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sha Reddy\Downloads\"/>
    </mc:Choice>
  </mc:AlternateContent>
  <xr:revisionPtr revIDLastSave="0" documentId="13_ncr:1_{B85E53B9-B769-4889-9C50-6680BC39C337}" xr6:coauthVersionLast="47" xr6:coauthVersionMax="47" xr10:uidLastSave="{00000000-0000-0000-0000-000000000000}"/>
  <bookViews>
    <workbookView xWindow="-108" yWindow="-108" windowWidth="23256" windowHeight="12456" tabRatio="847" firstSheet="4" activeTab="4" xr2:uid="{EA253DAD-0CB9-49AB-9AEA-C4FDB42E4060}"/>
  </bookViews>
  <sheets>
    <sheet name="PAYMENTS SUMMARY" sheetId="1" state="hidden" r:id="rId1"/>
    <sheet name="AAC BLOCKS" sheetId="2" state="hidden" r:id="rId2"/>
    <sheet name="Sheet1" sheetId="3" state="hidden" r:id="rId3"/>
    <sheet name="Sheet4" sheetId="8" state="hidden" r:id="rId4"/>
    <sheet name="Prasad Expenses" sheetId="4" r:id="rId5"/>
    <sheet name="Sheet5" sheetId="9" state="hidden" r:id="rId6"/>
    <sheet name="Sheet3" sheetId="6" state="hidden" r:id="rId7"/>
    <sheet name="Sheet2" sheetId="5" state="hidden" r:id="rId8"/>
    <sheet name="MATERIAL INVENTORY - SUMMAR (U)" sheetId="7" state="hidden" r:id="rId9"/>
  </sheets>
  <externalReferences>
    <externalReference r:id="rId10"/>
  </externalReferences>
  <definedNames>
    <definedName name="_xlnm._FilterDatabase" localSheetId="1" hidden="1">'AAC BLOCKS'!$A$2:$AG$438</definedName>
    <definedName name="_xlnm._FilterDatabase" localSheetId="8" hidden="1">'MATERIAL INVENTORY - SUMMAR (U)'!$B$3:$X$1662</definedName>
    <definedName name="_xlnm._FilterDatabase" localSheetId="0" hidden="1">'PAYMENTS SUMMARY'!$A$1:$AF$616</definedName>
    <definedName name="_xlnm._FilterDatabase" localSheetId="4" hidden="1">'Prasad Expenses'!$A$3:$M$4080</definedName>
    <definedName name="_xlnm.Database">[1]Database!$B$1:$BC$9</definedName>
    <definedName name="_xlnm.Print_Area" localSheetId="1">'AAC BLOCKS'!$A$2:$L$378</definedName>
    <definedName name="_xlnm.Print_Area" localSheetId="0">'PAYMENTS SUMMARY'!$A$1:$K$616</definedName>
  </definedNames>
  <calcPr calcId="191029"/>
  <pivotCaches>
    <pivotCache cacheId="2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80" i="4" l="1"/>
  <c r="L4079" i="4"/>
  <c r="L4078" i="4"/>
  <c r="L4075" i="4"/>
  <c r="L4074" i="4"/>
  <c r="L4073" i="4"/>
  <c r="L4072" i="4"/>
  <c r="L4071" i="4"/>
  <c r="L4070" i="4"/>
  <c r="L4077" i="4"/>
  <c r="L4069" i="4"/>
  <c r="L4068" i="4"/>
  <c r="K4067" i="4" l="1"/>
  <c r="K4066" i="4"/>
  <c r="K4065" i="4"/>
  <c r="K4064" i="4"/>
  <c r="K4063" i="4"/>
  <c r="K4062" i="4"/>
  <c r="K4061" i="4"/>
  <c r="K4060" i="4"/>
  <c r="K4059" i="4"/>
  <c r="K4058" i="4"/>
  <c r="K4057" i="4"/>
  <c r="K4056" i="4"/>
  <c r="K4055" i="4"/>
  <c r="K4054" i="4"/>
  <c r="K4053" i="4"/>
  <c r="K4052" i="4"/>
  <c r="K4051" i="4"/>
  <c r="K4050" i="4"/>
  <c r="L4049" i="4"/>
  <c r="K4048" i="4"/>
  <c r="K4047" i="4"/>
  <c r="K4046" i="4"/>
  <c r="K4045" i="4"/>
  <c r="K4044" i="4"/>
  <c r="K4043" i="4"/>
  <c r="K4042" i="4"/>
  <c r="K4041" i="4"/>
  <c r="K4040" i="4"/>
  <c r="K4039" i="4"/>
  <c r="K4038" i="4"/>
  <c r="K4037" i="4"/>
  <c r="K4036" i="4"/>
  <c r="K1503" i="4"/>
  <c r="K1502" i="4"/>
  <c r="K1501" i="4"/>
  <c r="L1500" i="4"/>
  <c r="L1032" i="4"/>
  <c r="L894" i="4"/>
  <c r="L583" i="4"/>
  <c r="J1589" i="4"/>
  <c r="K262" i="4"/>
  <c r="K1730" i="4"/>
  <c r="K1612" i="4"/>
  <c r="K1411" i="4"/>
  <c r="K1347" i="4"/>
  <c r="K1305" i="4"/>
  <c r="K1110" i="4"/>
  <c r="K1063" i="4"/>
  <c r="K803" i="4"/>
  <c r="K800" i="4"/>
  <c r="K770" i="4"/>
  <c r="K656" i="4"/>
  <c r="K620" i="4"/>
  <c r="K579" i="4"/>
  <c r="K567" i="4"/>
  <c r="K534" i="4"/>
  <c r="K485" i="4"/>
  <c r="K389" i="4"/>
  <c r="K2745" i="4"/>
  <c r="K2704" i="4"/>
  <c r="K2689" i="4"/>
  <c r="K2158" i="4"/>
  <c r="L2067" i="4" l="1"/>
  <c r="L2066" i="4"/>
  <c r="O18" i="7"/>
  <c r="K1823" i="4"/>
  <c r="K1797" i="4"/>
  <c r="K3260" i="4"/>
  <c r="K3053" i="4"/>
  <c r="K3043" i="4"/>
  <c r="K2982" i="4"/>
  <c r="K2933" i="4"/>
  <c r="K2769" i="4"/>
  <c r="K2749" i="4"/>
  <c r="K2645" i="4"/>
  <c r="K2642" i="4"/>
  <c r="K2632" i="4"/>
  <c r="K2622" i="4"/>
  <c r="K2618" i="4"/>
  <c r="K2616" i="4"/>
  <c r="K2612" i="4"/>
  <c r="K2609" i="4"/>
  <c r="K2550" i="4"/>
  <c r="K2525" i="4"/>
  <c r="K2208" i="4"/>
  <c r="K2183" i="4"/>
  <c r="K2178" i="4"/>
  <c r="K2174" i="4"/>
  <c r="K2156" i="4"/>
  <c r="K2147" i="4"/>
  <c r="K2144" i="4"/>
  <c r="K2132" i="4"/>
  <c r="K2131" i="4"/>
  <c r="K2130" i="4"/>
  <c r="K2119" i="4"/>
  <c r="K2092" i="4"/>
  <c r="K2090" i="4"/>
  <c r="K2078" i="4"/>
  <c r="K2071" i="4"/>
  <c r="K2057" i="4"/>
  <c r="K2056" i="4"/>
  <c r="K2055" i="4"/>
  <c r="K2027" i="4"/>
  <c r="K2020" i="4"/>
  <c r="K2013" i="4"/>
  <c r="K2012" i="4"/>
  <c r="K2009" i="4"/>
  <c r="K1962" i="4"/>
  <c r="K1943" i="4"/>
  <c r="K1912" i="4"/>
  <c r="K1911" i="4"/>
  <c r="K1898" i="4"/>
  <c r="K1886" i="4"/>
  <c r="K1884" i="4"/>
  <c r="K1878" i="4"/>
  <c r="K1876" i="4"/>
  <c r="K1875" i="4"/>
  <c r="K1873" i="4"/>
  <c r="K1861" i="4"/>
  <c r="K1860" i="4"/>
  <c r="K1856" i="4"/>
  <c r="K1855" i="4"/>
  <c r="K1854" i="4"/>
  <c r="K1838" i="4"/>
  <c r="K1836" i="4"/>
  <c r="K1834" i="4"/>
  <c r="K1824" i="4"/>
  <c r="K1807" i="4"/>
  <c r="K1803" i="4"/>
  <c r="K1798" i="4"/>
  <c r="K1788" i="4"/>
  <c r="K1784" i="4"/>
  <c r="K1781" i="4"/>
  <c r="K1774" i="4"/>
  <c r="K1755" i="4"/>
  <c r="K1743" i="4"/>
  <c r="K1723" i="4"/>
  <c r="K1721" i="4"/>
  <c r="K1709" i="4"/>
  <c r="K1708" i="4"/>
  <c r="K1704" i="4"/>
  <c r="K1698" i="4"/>
  <c r="K1697" i="4"/>
  <c r="K1681" i="4"/>
  <c r="K1680" i="4"/>
  <c r="K1679" i="4"/>
  <c r="K1662" i="4"/>
  <c r="K1636" i="4"/>
  <c r="K1635" i="4"/>
  <c r="K1633" i="4"/>
  <c r="K1627" i="4"/>
  <c r="K1625" i="4"/>
  <c r="K1621" i="4"/>
  <c r="K1605" i="4"/>
  <c r="K1601" i="4"/>
  <c r="K1577" i="4"/>
  <c r="K1569" i="4"/>
  <c r="K1546" i="4"/>
  <c r="K1544" i="4"/>
  <c r="K1541" i="4"/>
  <c r="K1540" i="4"/>
  <c r="K1529" i="4"/>
  <c r="K1527" i="4"/>
  <c r="K1525" i="4"/>
  <c r="K1514" i="4"/>
  <c r="K1498" i="4"/>
  <c r="K1496" i="4"/>
  <c r="K1493" i="4"/>
  <c r="K1492" i="4"/>
  <c r="K1484" i="4"/>
  <c r="K1465" i="4"/>
  <c r="K1462" i="4"/>
  <c r="K1441" i="4"/>
  <c r="K1438" i="4"/>
  <c r="K1432" i="4"/>
  <c r="K1431" i="4"/>
  <c r="K1426" i="4"/>
  <c r="K1424" i="4"/>
  <c r="K1423" i="4"/>
  <c r="K1419" i="4"/>
  <c r="K1401" i="4"/>
  <c r="K1390" i="4"/>
  <c r="K1389" i="4"/>
  <c r="K1343" i="4"/>
  <c r="K1310" i="4"/>
  <c r="K1309" i="4"/>
  <c r="K1293" i="4"/>
  <c r="K1290" i="4"/>
  <c r="K1281" i="4"/>
  <c r="K1265" i="4"/>
  <c r="K1255" i="4"/>
  <c r="K3803" i="4"/>
  <c r="K2956" i="4"/>
  <c r="K2937" i="4"/>
  <c r="K2912" i="4"/>
  <c r="K2425" i="4"/>
  <c r="K3092" i="4"/>
  <c r="K3138" i="4"/>
  <c r="K3256" i="4"/>
  <c r="K3252" i="4"/>
  <c r="K3259" i="4"/>
  <c r="K3973" i="4"/>
  <c r="K3802" i="4"/>
  <c r="K3801" i="4"/>
  <c r="K3635" i="4"/>
  <c r="K3535" i="4"/>
  <c r="K3384" i="4"/>
  <c r="K3380" i="4"/>
  <c r="K3100" i="4"/>
  <c r="K3877" i="4"/>
  <c r="K3202" i="4"/>
  <c r="K3190" i="4"/>
  <c r="K3099" i="4"/>
  <c r="K3980" i="4"/>
  <c r="K3702" i="4"/>
  <c r="K3681" i="4"/>
  <c r="K3645" i="4"/>
  <c r="K3620" i="4"/>
  <c r="K3569" i="4"/>
  <c r="K3507" i="4"/>
  <c r="K3500" i="4"/>
  <c r="K3450" i="4"/>
  <c r="K3443" i="4"/>
  <c r="K3390" i="4"/>
  <c r="K3336" i="4"/>
  <c r="K3288" i="4"/>
  <c r="K3281" i="4"/>
  <c r="K3247" i="4"/>
  <c r="K3222" i="4"/>
  <c r="K3145" i="4"/>
  <c r="K3127" i="4"/>
  <c r="K3034" i="4"/>
  <c r="K3005" i="4"/>
  <c r="K2932" i="4"/>
  <c r="K2882" i="4"/>
  <c r="K2877" i="4"/>
  <c r="K2870" i="4"/>
  <c r="K2833" i="4"/>
  <c r="K2734" i="4"/>
  <c r="K2670" i="4"/>
  <c r="K2665" i="4"/>
  <c r="K2655" i="4"/>
  <c r="K2643" i="4"/>
  <c r="K2606" i="4"/>
  <c r="K2528" i="4"/>
  <c r="K2455" i="4"/>
  <c r="K2439" i="4"/>
  <c r="K2407" i="4"/>
  <c r="K2781" i="4"/>
  <c r="K3273" i="4"/>
  <c r="K3128" i="4"/>
  <c r="K2894" i="4"/>
  <c r="K1245" i="4"/>
  <c r="K1244" i="4"/>
  <c r="M1244" i="4"/>
  <c r="K1236" i="4"/>
  <c r="K1235" i="4"/>
  <c r="M1235" i="4"/>
  <c r="K1231" i="4"/>
  <c r="K1224" i="4"/>
  <c r="K1216" i="4"/>
  <c r="K1215" i="4"/>
  <c r="K1208" i="4"/>
  <c r="K1206" i="4"/>
  <c r="K1199" i="4"/>
  <c r="K1193" i="4"/>
  <c r="K1192" i="4"/>
  <c r="M1192" i="4"/>
  <c r="K1182" i="4"/>
  <c r="K1181" i="4"/>
  <c r="M1181" i="4"/>
  <c r="K1173" i="4"/>
  <c r="K1159" i="4"/>
  <c r="K1158" i="4"/>
  <c r="K1139" i="4"/>
  <c r="K1134" i="4"/>
  <c r="K1128" i="4"/>
  <c r="K1127" i="4"/>
  <c r="K1125" i="4"/>
  <c r="K1118" i="4"/>
  <c r="K1117" i="4"/>
  <c r="K1111" i="4"/>
  <c r="K1107" i="4"/>
  <c r="K1100" i="4"/>
  <c r="K1003" i="4"/>
  <c r="K1002" i="4"/>
  <c r="K967" i="4"/>
  <c r="K966" i="4"/>
  <c r="K963" i="4"/>
  <c r="K887" i="4"/>
  <c r="J1221" i="4"/>
  <c r="J910" i="4"/>
  <c r="J909" i="4"/>
  <c r="J2442" i="4"/>
  <c r="J3512" i="4"/>
  <c r="J3981" i="4"/>
  <c r="K3836" i="4"/>
  <c r="K3634" i="4"/>
  <c r="K3625" i="4"/>
  <c r="K3340" i="4"/>
  <c r="K3337" i="4"/>
  <c r="K3328" i="4"/>
  <c r="K3319" i="4"/>
  <c r="K3302" i="4"/>
  <c r="K3301" i="4"/>
  <c r="K3275" i="4"/>
  <c r="K3274" i="4"/>
  <c r="K3243" i="4"/>
  <c r="K3209" i="4"/>
  <c r="K3201" i="4"/>
  <c r="K3187" i="4"/>
  <c r="K3182" i="4"/>
  <c r="K3103" i="4"/>
  <c r="K3101" i="4"/>
  <c r="K3091" i="4"/>
  <c r="K3076" i="4"/>
  <c r="K3019" i="4"/>
  <c r="K2992" i="4"/>
  <c r="K2983" i="4"/>
  <c r="K2969" i="4"/>
  <c r="K2966" i="4"/>
  <c r="K2950" i="4"/>
  <c r="K2915" i="4"/>
  <c r="K2906" i="4"/>
  <c r="K2863" i="4"/>
  <c r="K2841" i="4"/>
  <c r="K2821" i="4"/>
  <c r="K2816" i="4"/>
  <c r="K2815" i="4"/>
  <c r="K2784" i="4"/>
  <c r="K2473" i="4"/>
  <c r="K2467" i="4"/>
  <c r="K2466" i="4"/>
  <c r="K2461" i="4"/>
  <c r="K2443" i="4"/>
  <c r="K2431" i="4"/>
  <c r="K2646" i="4"/>
  <c r="K2640" i="4"/>
  <c r="K2629" i="4"/>
  <c r="K2627" i="4"/>
  <c r="K2607" i="4"/>
  <c r="K2589" i="4"/>
  <c r="K2576" i="4"/>
  <c r="K2555" i="4"/>
  <c r="K2460" i="4"/>
  <c r="K2524" i="4"/>
  <c r="K2510" i="4"/>
  <c r="K2498" i="4"/>
  <c r="K2494" i="4"/>
  <c r="K2478" i="4"/>
  <c r="K2477" i="4"/>
  <c r="K2470" i="4"/>
  <c r="K2414" i="4"/>
  <c r="K2263" i="4"/>
  <c r="K2251" i="4"/>
  <c r="K2221" i="4"/>
  <c r="K2172" i="4"/>
  <c r="K2159" i="4"/>
  <c r="K2126" i="4"/>
  <c r="K2111" i="4"/>
  <c r="K2008" i="4"/>
  <c r="K1983" i="4"/>
  <c r="K1955" i="4"/>
  <c r="K1954" i="4"/>
  <c r="K1928" i="4"/>
  <c r="K1913" i="4"/>
  <c r="K1908" i="4"/>
  <c r="K1867" i="4"/>
  <c r="K1852" i="4"/>
  <c r="K1847" i="4"/>
  <c r="K1819" i="4"/>
  <c r="K1791" i="4"/>
  <c r="K1770" i="4"/>
  <c r="K1741" i="4"/>
  <c r="K1694" i="4"/>
  <c r="K1665" i="4"/>
  <c r="K1645" i="4"/>
  <c r="K1640" i="4"/>
  <c r="K1586" i="4"/>
  <c r="K1579" i="4"/>
  <c r="K1570" i="4"/>
  <c r="K1563" i="4"/>
  <c r="K1556" i="4"/>
  <c r="K1554" i="4"/>
  <c r="K1536" i="4"/>
  <c r="K1511" i="4"/>
  <c r="K1497" i="4"/>
  <c r="K1452" i="4"/>
  <c r="K1422" i="4"/>
  <c r="K1377" i="4"/>
  <c r="J1372" i="4"/>
  <c r="K1345" i="4"/>
  <c r="K1304" i="4"/>
  <c r="K1266" i="4"/>
  <c r="K1112" i="4"/>
  <c r="K1098" i="4"/>
  <c r="K1085" i="4"/>
  <c r="K1034" i="4"/>
  <c r="K658" i="4"/>
  <c r="K354" i="4"/>
  <c r="K247" i="4"/>
  <c r="J4027" i="4"/>
  <c r="J4021" i="4"/>
  <c r="J4018" i="4"/>
  <c r="J4012" i="4"/>
  <c r="J4005" i="4"/>
  <c r="J4002" i="4"/>
  <c r="J3999" i="4"/>
  <c r="J3995" i="4"/>
  <c r="J3992" i="4"/>
  <c r="J3987" i="4"/>
  <c r="J3986" i="4"/>
  <c r="J3985" i="4"/>
  <c r="J3984" i="4"/>
  <c r="J3983" i="4"/>
  <c r="J3982" i="4"/>
  <c r="J3979" i="4"/>
  <c r="J3964" i="4"/>
  <c r="J3962" i="4"/>
  <c r="J3951" i="4"/>
  <c r="J3949" i="4"/>
  <c r="J3944" i="4"/>
  <c r="J3939" i="4"/>
  <c r="J3938" i="4"/>
  <c r="J3936" i="4"/>
  <c r="J3935" i="4"/>
  <c r="J3927" i="4"/>
  <c r="J3926" i="4"/>
  <c r="J3924" i="4"/>
  <c r="J3923" i="4"/>
  <c r="J3922" i="4"/>
  <c r="J3919" i="4"/>
  <c r="J3918" i="4"/>
  <c r="J3917" i="4"/>
  <c r="J3914" i="4"/>
  <c r="J3913" i="4"/>
  <c r="J3910" i="4"/>
  <c r="J3909" i="4"/>
  <c r="J3908" i="4"/>
  <c r="J3907" i="4"/>
  <c r="J3897" i="4"/>
  <c r="J3896" i="4"/>
  <c r="J3890" i="4"/>
  <c r="J3888" i="4"/>
  <c r="J3875" i="4"/>
  <c r="J3874" i="4"/>
  <c r="J3873" i="4"/>
  <c r="J3868" i="4"/>
  <c r="J3859" i="4"/>
  <c r="J3858" i="4"/>
  <c r="J3852" i="4"/>
  <c r="J3849" i="4"/>
  <c r="J3848" i="4"/>
  <c r="J3847" i="4"/>
  <c r="J3846" i="4"/>
  <c r="J3844" i="4"/>
  <c r="J3842" i="4"/>
  <c r="J3840" i="4"/>
  <c r="J3833" i="4"/>
  <c r="J3824" i="4"/>
  <c r="J3823" i="4"/>
  <c r="J3822" i="4"/>
  <c r="J3818" i="4"/>
  <c r="J3816" i="4"/>
  <c r="J3814" i="4"/>
  <c r="J3813" i="4"/>
  <c r="J3811" i="4"/>
  <c r="J3809" i="4"/>
  <c r="J3806" i="4"/>
  <c r="J3800" i="4"/>
  <c r="J3799" i="4"/>
  <c r="J3798" i="4"/>
  <c r="J3787" i="4"/>
  <c r="J3784" i="4"/>
  <c r="J3783" i="4"/>
  <c r="J3779" i="4"/>
  <c r="J3778" i="4"/>
  <c r="J3776" i="4"/>
  <c r="J3774" i="4"/>
  <c r="J3773" i="4"/>
  <c r="J3765" i="4"/>
  <c r="J3762" i="4"/>
  <c r="J3760" i="4"/>
  <c r="J3758" i="4"/>
  <c r="J3756" i="4"/>
  <c r="J3755" i="4"/>
  <c r="J3754" i="4"/>
  <c r="J3748" i="4"/>
  <c r="J3747" i="4"/>
  <c r="J3743" i="4"/>
  <c r="J3741" i="4"/>
  <c r="J3740" i="4"/>
  <c r="J3739" i="4"/>
  <c r="J3735" i="4"/>
  <c r="J3734" i="4"/>
  <c r="J3732" i="4"/>
  <c r="J3730" i="4"/>
  <c r="J3729" i="4"/>
  <c r="J3727" i="4"/>
  <c r="J3724" i="4"/>
  <c r="J3719" i="4"/>
  <c r="J3718" i="4"/>
  <c r="J3717" i="4"/>
  <c r="J3715" i="4"/>
  <c r="J3708" i="4"/>
  <c r="J3707" i="4"/>
  <c r="J3701" i="4"/>
  <c r="J3700" i="4"/>
  <c r="J3699" i="4"/>
  <c r="J3698" i="4"/>
  <c r="J3697" i="4"/>
  <c r="J3694" i="4"/>
  <c r="J3693" i="4"/>
  <c r="J3692" i="4"/>
  <c r="J3691" i="4"/>
  <c r="J3685" i="4"/>
  <c r="J3680" i="4"/>
  <c r="J3669" i="4"/>
  <c r="J3668" i="4"/>
  <c r="J3667" i="4"/>
  <c r="J3666" i="4"/>
  <c r="J3665" i="4"/>
  <c r="J3664" i="4"/>
  <c r="J3660" i="4"/>
  <c r="J3658" i="4"/>
  <c r="J3657" i="4"/>
  <c r="J3653" i="4"/>
  <c r="J3649" i="4"/>
  <c r="J3644" i="4"/>
  <c r="J3640" i="4"/>
  <c r="J3637" i="4"/>
  <c r="J3633" i="4"/>
  <c r="J3630" i="4"/>
  <c r="J3624" i="4"/>
  <c r="J3619" i="4"/>
  <c r="J3617" i="4"/>
  <c r="J3615" i="4"/>
  <c r="J3614" i="4"/>
  <c r="J3613" i="4"/>
  <c r="J3611" i="4"/>
  <c r="J3610" i="4"/>
  <c r="J3609" i="4"/>
  <c r="J3608" i="4"/>
  <c r="J3607" i="4"/>
  <c r="J3606" i="4"/>
  <c r="J3605" i="4"/>
  <c r="J3604" i="4"/>
  <c r="J3599" i="4"/>
  <c r="J3598" i="4"/>
  <c r="J3590" i="4"/>
  <c r="J3589" i="4"/>
  <c r="J3587" i="4"/>
  <c r="J3577" i="4"/>
  <c r="J3574" i="4"/>
  <c r="J3571" i="4"/>
  <c r="J3570" i="4"/>
  <c r="J3566" i="4"/>
  <c r="J3561" i="4"/>
  <c r="J3560" i="4"/>
  <c r="J3558" i="4"/>
  <c r="J3556" i="4"/>
  <c r="J3551" i="4"/>
  <c r="J3549" i="4"/>
  <c r="J3548" i="4"/>
  <c r="J3547" i="4"/>
  <c r="J3544" i="4"/>
  <c r="J3543" i="4"/>
  <c r="J3542" i="4"/>
  <c r="J3539" i="4"/>
  <c r="J3537" i="4"/>
  <c r="J3534" i="4"/>
  <c r="J3532" i="4"/>
  <c r="J3530" i="4"/>
  <c r="J3528" i="4"/>
  <c r="J3527" i="4"/>
  <c r="J3526" i="4"/>
  <c r="J3525" i="4"/>
  <c r="J3523" i="4"/>
  <c r="J3522" i="4"/>
  <c r="J3521" i="4"/>
  <c r="J3517" i="4"/>
  <c r="J3516" i="4"/>
  <c r="J3511" i="4"/>
  <c r="J3510" i="4"/>
  <c r="J3505" i="4"/>
  <c r="J3504" i="4"/>
  <c r="J3502" i="4"/>
  <c r="J3499" i="4"/>
  <c r="J3495" i="4"/>
  <c r="J3494" i="4"/>
  <c r="J3490" i="4"/>
  <c r="J3489" i="4"/>
  <c r="J3487" i="4"/>
  <c r="J3483" i="4"/>
  <c r="J3482" i="4"/>
  <c r="J3481" i="4"/>
  <c r="J3480" i="4"/>
  <c r="J3479" i="4"/>
  <c r="J3473" i="4"/>
  <c r="J3471" i="4"/>
  <c r="J3469" i="4"/>
  <c r="J3467" i="4"/>
  <c r="J3446" i="4"/>
  <c r="J3426" i="4"/>
  <c r="J3423" i="4"/>
  <c r="J3414" i="4"/>
  <c r="J3410" i="4"/>
  <c r="J3409" i="4"/>
  <c r="J3408" i="4"/>
  <c r="J3407" i="4"/>
  <c r="J3406" i="4"/>
  <c r="J3405" i="4"/>
  <c r="J3404" i="4"/>
  <c r="J3400" i="4"/>
  <c r="J3389" i="4"/>
  <c r="J3388" i="4"/>
  <c r="J3387" i="4"/>
  <c r="J3386" i="4"/>
  <c r="J3385" i="4"/>
  <c r="J3382" i="4"/>
  <c r="J3378" i="4"/>
  <c r="J3376" i="4"/>
  <c r="J3375" i="4"/>
  <c r="J3374" i="4"/>
  <c r="J3367" i="4"/>
  <c r="J3364" i="4"/>
  <c r="J3363" i="4"/>
  <c r="J3362" i="4"/>
  <c r="J3361" i="4"/>
  <c r="J3360" i="4"/>
  <c r="J3353" i="4"/>
  <c r="J3352" i="4"/>
  <c r="J3339" i="4"/>
  <c r="J3338" i="4"/>
  <c r="J3332" i="4"/>
  <c r="J3329" i="4"/>
  <c r="J3327" i="4"/>
  <c r="J3318" i="4"/>
  <c r="J3310" i="4"/>
  <c r="J3309" i="4"/>
  <c r="J3306" i="4"/>
  <c r="J3305" i="4"/>
  <c r="J3295" i="4"/>
  <c r="J3292" i="4"/>
  <c r="J3291" i="4"/>
  <c r="J3290" i="4"/>
  <c r="J3285" i="4"/>
  <c r="J3284" i="4"/>
  <c r="J3280" i="4"/>
  <c r="J3279" i="4"/>
  <c r="J3276" i="4"/>
  <c r="J3271" i="4"/>
  <c r="J3265" i="4"/>
  <c r="J3262" i="4"/>
  <c r="J3258" i="4"/>
  <c r="J3248" i="4"/>
  <c r="J3246" i="4"/>
  <c r="J3245" i="4"/>
  <c r="J3241" i="4"/>
  <c r="J3235" i="4"/>
  <c r="J3233" i="4"/>
  <c r="J3231" i="4"/>
  <c r="J3230" i="4"/>
  <c r="J3229" i="4"/>
  <c r="J3227" i="4"/>
  <c r="J3225" i="4"/>
  <c r="J3224" i="4"/>
  <c r="J3223" i="4"/>
  <c r="J3220" i="4"/>
  <c r="J3219" i="4"/>
  <c r="J3218" i="4"/>
  <c r="J3217" i="4"/>
  <c r="J3215" i="4"/>
  <c r="J3206" i="4"/>
  <c r="J3204" i="4"/>
  <c r="J3203" i="4"/>
  <c r="J3200" i="4"/>
  <c r="J3199" i="4"/>
  <c r="J3198" i="4"/>
  <c r="J3197" i="4"/>
  <c r="J3191" i="4"/>
  <c r="J3189" i="4"/>
  <c r="J3185" i="4"/>
  <c r="J3184" i="4"/>
  <c r="J3183" i="4"/>
  <c r="J3179" i="4"/>
  <c r="J3167" i="4"/>
  <c r="J3164" i="4"/>
  <c r="J3157" i="4"/>
  <c r="J3156" i="4"/>
  <c r="J3155" i="4"/>
  <c r="J3153" i="4"/>
  <c r="J3152" i="4"/>
  <c r="J3146" i="4"/>
  <c r="J3144" i="4"/>
  <c r="J3142" i="4"/>
  <c r="J3141" i="4"/>
  <c r="J3139" i="4"/>
  <c r="J3130" i="4"/>
  <c r="J3126" i="4"/>
  <c r="J3119" i="4"/>
  <c r="J3118" i="4"/>
  <c r="J3117" i="4"/>
  <c r="J3116" i="4"/>
  <c r="J3113" i="4"/>
  <c r="J3106" i="4"/>
  <c r="J3095" i="4"/>
  <c r="J3093" i="4"/>
  <c r="J3090" i="4"/>
  <c r="J3089" i="4"/>
  <c r="J3088" i="4"/>
  <c r="J3086" i="4"/>
  <c r="J3083" i="4"/>
  <c r="J3080" i="4"/>
  <c r="J3074" i="4"/>
  <c r="J3073" i="4"/>
  <c r="J3072" i="4"/>
  <c r="J3071" i="4"/>
  <c r="J3068" i="4"/>
  <c r="J3066" i="4"/>
  <c r="J3054" i="4"/>
  <c r="J3052" i="4"/>
  <c r="J3051" i="4"/>
  <c r="J3050" i="4"/>
  <c r="J3042" i="4"/>
  <c r="J3041" i="4"/>
  <c r="J3038" i="4"/>
  <c r="J3033" i="4"/>
  <c r="J3032" i="4"/>
  <c r="J3022" i="4"/>
  <c r="J3018" i="4"/>
  <c r="J3017" i="4"/>
  <c r="J3008" i="4"/>
  <c r="J3007" i="4"/>
  <c r="J3004" i="4"/>
  <c r="J3003" i="4"/>
  <c r="J2998" i="4"/>
  <c r="J2997" i="4"/>
  <c r="J2995" i="4"/>
  <c r="J2991" i="4"/>
  <c r="J2989" i="4"/>
  <c r="J2987" i="4"/>
  <c r="J2986" i="4"/>
  <c r="J2985" i="4"/>
  <c r="J2980" i="4"/>
  <c r="J2979" i="4"/>
  <c r="J2978" i="4"/>
  <c r="J2977" i="4"/>
  <c r="J2971" i="4"/>
  <c r="J2964" i="4"/>
  <c r="J2963" i="4"/>
  <c r="J2962" i="4"/>
  <c r="J2959" i="4"/>
  <c r="J2953" i="4"/>
  <c r="J2946" i="4"/>
  <c r="J2930" i="4"/>
  <c r="J2929" i="4"/>
  <c r="J2928" i="4"/>
  <c r="J2927" i="4"/>
  <c r="J2926" i="4"/>
  <c r="J2924" i="4"/>
  <c r="J2920" i="4"/>
  <c r="J2917" i="4"/>
  <c r="J2908" i="4"/>
  <c r="J2907" i="4"/>
  <c r="J2905" i="4"/>
  <c r="J2901" i="4"/>
  <c r="J2900" i="4"/>
  <c r="J2899" i="4"/>
  <c r="J2898" i="4"/>
  <c r="J2897" i="4"/>
  <c r="J2896" i="4"/>
  <c r="J2884" i="4"/>
  <c r="J2879" i="4"/>
  <c r="J2878" i="4"/>
  <c r="J2876" i="4"/>
  <c r="J2875" i="4"/>
  <c r="J2869" i="4"/>
  <c r="J2868" i="4"/>
  <c r="J2866" i="4"/>
  <c r="J2861" i="4"/>
  <c r="J2860" i="4"/>
  <c r="J2858" i="4"/>
  <c r="J2857" i="4"/>
  <c r="J2853" i="4"/>
  <c r="J2852" i="4"/>
  <c r="J2847" i="4"/>
  <c r="J2845" i="4"/>
  <c r="J2834" i="4"/>
  <c r="J2832" i="4"/>
  <c r="J2830" i="4"/>
  <c r="J2829" i="4"/>
  <c r="J2828" i="4"/>
  <c r="J2826" i="4"/>
  <c r="J2824" i="4"/>
  <c r="J2817" i="4"/>
  <c r="J2812" i="4"/>
  <c r="J2811" i="4"/>
  <c r="J2809" i="4"/>
  <c r="J2804" i="4"/>
  <c r="J2803" i="4"/>
  <c r="J2800" i="4"/>
  <c r="J2799" i="4"/>
  <c r="J2798" i="4"/>
  <c r="J2793" i="4"/>
  <c r="J2789" i="4"/>
  <c r="J2788" i="4"/>
  <c r="J2787" i="4"/>
  <c r="J2786" i="4"/>
  <c r="J2782" i="4"/>
  <c r="J2766" i="4"/>
  <c r="J2765" i="4"/>
  <c r="J2760" i="4"/>
  <c r="J2756" i="4"/>
  <c r="J2755" i="4"/>
  <c r="J2754" i="4"/>
  <c r="J2747" i="4"/>
  <c r="J2746" i="4"/>
  <c r="J2743" i="4"/>
  <c r="J2742" i="4"/>
  <c r="J2741" i="4"/>
  <c r="J2735" i="4"/>
  <c r="J2731" i="4"/>
  <c r="J2719" i="4"/>
  <c r="J2706" i="4"/>
  <c r="J2705" i="4"/>
  <c r="J2701" i="4"/>
  <c r="J2690" i="4"/>
  <c r="J2685" i="4"/>
  <c r="J2684" i="4"/>
  <c r="J2683" i="4"/>
  <c r="J2682" i="4"/>
  <c r="J2681" i="4"/>
  <c r="J2669" i="4"/>
  <c r="J2662" i="4"/>
  <c r="J2654" i="4"/>
  <c r="J2653" i="4"/>
  <c r="J2651" i="4"/>
  <c r="J2649" i="4"/>
  <c r="J2647" i="4"/>
  <c r="J2639" i="4"/>
  <c r="J2637" i="4"/>
  <c r="J2634" i="4"/>
  <c r="J2626" i="4"/>
  <c r="J2624" i="4"/>
  <c r="J2623" i="4"/>
  <c r="J2621" i="4"/>
  <c r="J2611" i="4"/>
  <c r="J2602" i="4"/>
  <c r="J2599" i="4"/>
  <c r="J2598" i="4"/>
  <c r="J2597" i="4"/>
  <c r="J2596" i="4"/>
  <c r="J2586" i="4"/>
  <c r="J2584" i="4"/>
  <c r="J2581" i="4"/>
  <c r="J2580" i="4"/>
  <c r="J2573" i="4"/>
  <c r="J2570" i="4"/>
  <c r="J2568" i="4"/>
  <c r="J2567" i="4"/>
  <c r="J2565" i="4"/>
  <c r="J2564" i="4"/>
  <c r="J2563" i="4"/>
  <c r="J2562" i="4"/>
  <c r="J2561" i="4"/>
  <c r="J2560" i="4"/>
  <c r="J2556" i="4"/>
  <c r="J2548" i="4"/>
  <c r="J2544" i="4"/>
  <c r="J2543" i="4"/>
  <c r="J2541" i="4"/>
  <c r="J2540" i="4"/>
  <c r="J2539" i="4"/>
  <c r="J2538" i="4"/>
  <c r="J2537" i="4"/>
  <c r="J2536" i="4"/>
  <c r="J2529" i="4"/>
  <c r="J2526" i="4"/>
  <c r="J2520" i="4"/>
  <c r="J2518" i="4"/>
  <c r="J2515" i="4"/>
  <c r="J2512" i="4"/>
  <c r="J2509" i="4"/>
  <c r="J2508" i="4"/>
  <c r="J2506" i="4"/>
  <c r="J2505" i="4"/>
  <c r="J2504" i="4"/>
  <c r="J2503" i="4"/>
  <c r="J2502" i="4"/>
  <c r="J2501" i="4"/>
  <c r="J2499" i="4"/>
  <c r="J2497" i="4"/>
  <c r="J2495" i="4"/>
  <c r="J2491" i="4"/>
  <c r="J2489" i="4"/>
  <c r="J2488" i="4"/>
  <c r="J2486" i="4"/>
  <c r="J2474" i="4"/>
  <c r="J2472" i="4"/>
  <c r="J2471" i="4"/>
  <c r="J2469" i="4"/>
  <c r="J2468" i="4"/>
  <c r="J2465" i="4"/>
  <c r="J2464" i="4"/>
  <c r="J2448" i="4"/>
  <c r="J2447" i="4"/>
  <c r="J2446" i="4"/>
  <c r="J2445" i="4"/>
  <c r="J2444" i="4"/>
  <c r="J2441" i="4"/>
  <c r="J2438" i="4"/>
  <c r="J2424" i="4"/>
  <c r="J2421" i="4"/>
  <c r="J2419" i="4"/>
  <c r="J2417" i="4"/>
  <c r="J2416" i="4"/>
  <c r="J2409" i="4"/>
  <c r="J2404" i="4"/>
  <c r="J2403" i="4"/>
  <c r="J2348" i="4"/>
  <c r="J2337" i="4"/>
  <c r="J2332" i="4"/>
  <c r="J2325" i="4"/>
  <c r="J2322" i="4"/>
  <c r="J2319" i="4"/>
  <c r="J2314" i="4"/>
  <c r="J2310" i="4"/>
  <c r="J2298" i="4"/>
  <c r="J2297" i="4"/>
  <c r="J2296" i="4"/>
  <c r="J2285" i="4"/>
  <c r="J2284" i="4"/>
  <c r="J2283" i="4"/>
  <c r="J2282" i="4"/>
  <c r="J2279" i="4"/>
  <c r="J2265" i="4"/>
  <c r="J2261" i="4"/>
  <c r="J2260" i="4"/>
  <c r="J2259" i="4"/>
  <c r="J2255" i="4"/>
  <c r="J2249" i="4"/>
  <c r="J2248" i="4"/>
  <c r="J2246" i="4"/>
  <c r="J2245" i="4"/>
  <c r="J2240" i="4"/>
  <c r="J2236" i="4"/>
  <c r="J2228" i="4"/>
  <c r="J2226" i="4"/>
  <c r="J2224" i="4"/>
  <c r="J2219" i="4"/>
  <c r="J2209" i="4"/>
  <c r="J2204" i="4"/>
  <c r="J2202" i="4"/>
  <c r="J2201" i="4"/>
  <c r="J2200" i="4"/>
  <c r="J2193" i="4"/>
  <c r="J2190" i="4"/>
  <c r="J2187" i="4"/>
  <c r="J2186" i="4"/>
  <c r="J2179" i="4"/>
  <c r="J2175" i="4"/>
  <c r="J2165" i="4"/>
  <c r="J2163" i="4"/>
  <c r="J2160" i="4"/>
  <c r="J2157" i="4"/>
  <c r="J2155" i="4"/>
  <c r="J2152" i="4"/>
  <c r="J2146" i="4"/>
  <c r="J2143" i="4"/>
  <c r="J2142" i="4"/>
  <c r="J2128" i="4"/>
  <c r="J2125" i="4"/>
  <c r="J2124" i="4"/>
  <c r="J2122" i="4"/>
  <c r="J2120" i="4"/>
  <c r="J2118" i="4"/>
  <c r="J2116" i="4"/>
  <c r="J2115" i="4"/>
  <c r="J2107" i="4"/>
  <c r="J2106" i="4"/>
  <c r="J2103" i="4"/>
  <c r="J2101" i="4"/>
  <c r="J2099" i="4"/>
  <c r="J2091" i="4"/>
  <c r="J2086" i="4"/>
  <c r="J2084" i="4"/>
  <c r="J2077" i="4"/>
  <c r="J2076" i="4"/>
  <c r="J2075" i="4"/>
  <c r="J2074" i="4"/>
  <c r="J2070" i="4"/>
  <c r="J2069" i="4"/>
  <c r="J2068" i="4"/>
  <c r="J2058" i="4"/>
  <c r="J2054" i="4"/>
  <c r="J2053" i="4"/>
  <c r="J2050" i="4"/>
  <c r="J2046" i="4"/>
  <c r="J2045" i="4"/>
  <c r="J2021" i="4"/>
  <c r="J2017" i="4"/>
  <c r="J2005" i="4"/>
  <c r="J2001" i="4"/>
  <c r="J2000" i="4"/>
  <c r="J1999" i="4"/>
  <c r="J1998" i="4"/>
  <c r="J1990" i="4"/>
  <c r="J1989" i="4"/>
  <c r="J1988" i="4"/>
  <c r="J1985" i="4"/>
  <c r="J1984" i="4"/>
  <c r="J1982" i="4"/>
  <c r="J1981" i="4"/>
  <c r="J1980" i="4"/>
  <c r="J1978" i="4"/>
  <c r="J1977" i="4"/>
  <c r="J1976" i="4"/>
  <c r="J1974" i="4"/>
  <c r="J1973" i="4"/>
  <c r="J1971" i="4"/>
  <c r="J1970" i="4"/>
  <c r="J1960" i="4"/>
  <c r="J1957" i="4"/>
  <c r="J1956" i="4"/>
  <c r="J1950" i="4"/>
  <c r="J1944" i="4"/>
  <c r="J1941" i="4"/>
  <c r="J1936" i="4"/>
  <c r="J1932" i="4"/>
  <c r="J1931" i="4"/>
  <c r="J1930" i="4"/>
  <c r="J1925" i="4"/>
  <c r="J1924" i="4"/>
  <c r="J1921" i="4"/>
  <c r="J1918" i="4"/>
  <c r="J1906" i="4"/>
  <c r="J1903" i="4"/>
  <c r="J1899" i="4"/>
  <c r="J1894" i="4"/>
  <c r="J1889" i="4"/>
  <c r="J1885" i="4"/>
  <c r="J1881" i="4"/>
  <c r="J1880" i="4"/>
  <c r="J1874" i="4"/>
  <c r="J1872" i="4"/>
  <c r="J1869" i="4"/>
  <c r="J1868" i="4"/>
  <c r="J1866" i="4"/>
  <c r="J1850" i="4"/>
  <c r="J1846" i="4"/>
  <c r="J1841" i="4"/>
  <c r="J1839" i="4"/>
  <c r="J1833" i="4"/>
  <c r="J1832" i="4"/>
  <c r="J1828" i="4"/>
  <c r="J1822" i="4"/>
  <c r="J1818" i="4"/>
  <c r="J1817" i="4"/>
  <c r="J1816" i="4"/>
  <c r="J1810" i="4"/>
  <c r="J1806" i="4"/>
  <c r="J1802" i="4"/>
  <c r="J1792" i="4"/>
  <c r="J1790" i="4"/>
  <c r="J1780" i="4"/>
  <c r="J1778" i="4"/>
  <c r="J1777" i="4"/>
  <c r="J1776" i="4"/>
  <c r="J1775" i="4"/>
  <c r="J1773" i="4"/>
  <c r="J1771" i="4"/>
  <c r="J1769" i="4"/>
  <c r="J1768" i="4"/>
  <c r="J1757" i="4"/>
  <c r="J1739" i="4"/>
  <c r="J1738" i="4"/>
  <c r="J1736" i="4"/>
  <c r="J1720" i="4"/>
  <c r="J1717" i="4"/>
  <c r="J1715" i="4"/>
  <c r="J1712" i="4"/>
  <c r="J1711" i="4"/>
  <c r="J1710" i="4"/>
  <c r="J1707" i="4"/>
  <c r="J1706" i="4"/>
  <c r="J1705" i="4"/>
  <c r="J1702" i="4"/>
  <c r="J1696" i="4"/>
  <c r="J1695" i="4"/>
  <c r="J1692" i="4"/>
  <c r="J1691" i="4"/>
  <c r="J1688" i="4"/>
  <c r="J1682" i="4"/>
  <c r="J1673" i="4"/>
  <c r="J1671" i="4"/>
  <c r="J1660" i="4"/>
  <c r="J1659" i="4"/>
  <c r="J1656" i="4"/>
  <c r="J1653" i="4"/>
  <c r="J1647" i="4"/>
  <c r="J1643" i="4"/>
  <c r="J1642" i="4"/>
  <c r="J1632" i="4"/>
  <c r="J1629" i="4"/>
  <c r="J1628" i="4"/>
  <c r="J1626" i="4"/>
  <c r="J1622" i="4"/>
  <c r="J1620" i="4"/>
  <c r="J1611" i="4"/>
  <c r="J1610" i="4"/>
  <c r="J1609" i="4"/>
  <c r="J1608" i="4"/>
  <c r="J1607" i="4"/>
  <c r="J1604" i="4"/>
  <c r="J1602" i="4"/>
  <c r="J1599" i="4"/>
  <c r="J1587" i="4"/>
  <c r="J1584" i="4"/>
  <c r="J1583" i="4"/>
  <c r="J1582" i="4"/>
  <c r="J1578" i="4"/>
  <c r="J1576" i="4"/>
  <c r="J1575" i="4"/>
  <c r="J1573" i="4"/>
  <c r="J1572" i="4"/>
  <c r="J1564" i="4"/>
  <c r="J1561" i="4"/>
  <c r="J1560" i="4"/>
  <c r="J1558" i="4"/>
  <c r="J1552" i="4"/>
  <c r="J1547" i="4"/>
  <c r="J1538" i="4"/>
  <c r="J1537" i="4"/>
  <c r="J1534" i="4"/>
  <c r="J1533" i="4"/>
  <c r="J1532" i="4"/>
  <c r="J1530" i="4"/>
  <c r="J1528" i="4"/>
  <c r="J1526" i="4"/>
  <c r="J1524" i="4"/>
  <c r="J1521" i="4"/>
  <c r="J1520" i="4"/>
  <c r="J1517" i="4"/>
  <c r="J1513" i="4"/>
  <c r="J1508" i="4"/>
  <c r="J1507" i="4"/>
  <c r="J1489" i="4"/>
  <c r="J1487" i="4"/>
  <c r="J1486" i="4"/>
  <c r="J1483" i="4"/>
  <c r="J1482" i="4"/>
  <c r="J1481" i="4"/>
  <c r="J1473" i="4"/>
  <c r="J1469" i="4"/>
  <c r="J1463" i="4"/>
  <c r="J1460" i="4"/>
  <c r="J1459" i="4"/>
  <c r="J1447" i="4"/>
  <c r="J1443" i="4"/>
  <c r="J1437" i="4"/>
  <c r="J1435" i="4"/>
  <c r="J1434" i="4"/>
  <c r="J1433" i="4"/>
  <c r="J1430" i="4"/>
  <c r="J1429" i="4"/>
  <c r="J1428" i="4"/>
  <c r="J1421" i="4"/>
  <c r="J1417" i="4"/>
  <c r="J1414" i="4"/>
  <c r="J1413" i="4"/>
  <c r="J1412" i="4"/>
  <c r="J1399" i="4"/>
  <c r="J1394" i="4"/>
  <c r="J1393" i="4"/>
  <c r="J1392" i="4"/>
  <c r="J1388" i="4"/>
  <c r="J1387" i="4"/>
  <c r="J1386" i="4"/>
  <c r="J1382" i="4"/>
  <c r="J1378" i="4"/>
  <c r="J1376" i="4"/>
  <c r="J1369" i="4"/>
  <c r="J1368" i="4"/>
  <c r="J1366" i="4"/>
  <c r="J1364" i="4"/>
  <c r="J1363" i="4"/>
  <c r="J1359" i="4"/>
  <c r="J1358" i="4"/>
  <c r="J1357" i="4"/>
  <c r="J1356" i="4"/>
  <c r="J1354" i="4"/>
  <c r="J1350" i="4"/>
  <c r="J1340" i="4"/>
  <c r="J1339" i="4"/>
  <c r="J1335" i="4"/>
  <c r="J1334" i="4"/>
  <c r="J1331" i="4"/>
  <c r="J1330" i="4"/>
  <c r="J1327" i="4"/>
  <c r="J1326" i="4"/>
  <c r="J1324" i="4"/>
  <c r="J1321" i="4"/>
  <c r="J1320" i="4"/>
  <c r="J1319" i="4"/>
  <c r="J1318" i="4"/>
  <c r="J1312" i="4"/>
  <c r="J1306" i="4"/>
  <c r="J1299" i="4"/>
  <c r="J1292" i="4"/>
  <c r="J1289" i="4"/>
  <c r="J1286" i="4"/>
  <c r="J1285" i="4"/>
  <c r="J1283" i="4"/>
  <c r="J1277" i="4"/>
  <c r="J1273" i="4"/>
  <c r="J1272" i="4"/>
  <c r="J1269" i="4"/>
  <c r="J1264" i="4"/>
  <c r="J1263" i="4"/>
  <c r="J1262" i="4"/>
  <c r="J1261" i="4"/>
  <c r="J1259" i="4"/>
  <c r="J1254" i="4"/>
  <c r="J1251" i="4"/>
  <c r="J1242" i="4"/>
  <c r="J1240" i="4"/>
  <c r="J1234" i="4"/>
  <c r="J1233" i="4"/>
  <c r="J1232" i="4"/>
  <c r="J1226" i="4"/>
  <c r="J1222" i="4"/>
  <c r="J1220" i="4"/>
  <c r="J1219" i="4"/>
  <c r="J1218" i="4"/>
  <c r="J1217" i="4"/>
  <c r="J1214" i="4"/>
  <c r="J1213" i="4"/>
  <c r="J1211" i="4"/>
  <c r="J1210" i="4"/>
  <c r="J1204" i="4"/>
  <c r="J1202" i="4"/>
  <c r="J1187" i="4"/>
  <c r="J1186" i="4"/>
  <c r="J1185" i="4"/>
  <c r="J1175" i="4"/>
  <c r="J1174" i="4"/>
  <c r="J1166" i="4"/>
  <c r="J1163" i="4"/>
  <c r="J1162" i="4"/>
  <c r="J1152" i="4"/>
  <c r="J1151" i="4"/>
  <c r="J1150" i="4"/>
  <c r="J1135" i="4"/>
  <c r="J1132" i="4"/>
  <c r="J1131" i="4"/>
  <c r="J1122" i="4"/>
  <c r="J1121" i="4"/>
  <c r="J1115" i="4"/>
  <c r="J1109" i="4"/>
  <c r="J1095" i="4"/>
  <c r="J1093" i="4"/>
  <c r="J1092" i="4"/>
  <c r="J1091" i="4"/>
  <c r="J1090" i="4"/>
  <c r="J1089" i="4"/>
  <c r="J1087" i="4"/>
  <c r="J1084" i="4"/>
  <c r="J1083" i="4"/>
  <c r="J1075" i="4"/>
  <c r="J1074" i="4"/>
  <c r="J1073" i="4"/>
  <c r="J1069" i="4"/>
  <c r="J1068" i="4"/>
  <c r="J1062" i="4"/>
  <c r="J1060" i="4"/>
  <c r="J1040" i="4"/>
  <c r="J1039" i="4"/>
  <c r="J1036" i="4"/>
  <c r="J1035" i="4"/>
  <c r="J1031" i="4"/>
  <c r="J1026" i="4"/>
  <c r="J1025" i="4"/>
  <c r="J1024" i="4"/>
  <c r="J1023" i="4"/>
  <c r="J1017" i="4"/>
  <c r="J1013" i="4"/>
  <c r="J1011" i="4"/>
  <c r="J1010" i="4"/>
  <c r="J1004" i="4"/>
  <c r="J1001" i="4"/>
  <c r="J997" i="4"/>
  <c r="J996" i="4"/>
  <c r="J994" i="4"/>
  <c r="J993" i="4"/>
  <c r="J992" i="4"/>
  <c r="J991" i="4"/>
  <c r="J989" i="4"/>
  <c r="J988" i="4"/>
  <c r="J986" i="4"/>
  <c r="J985" i="4"/>
  <c r="J981" i="4"/>
  <c r="J980" i="4"/>
  <c r="J979" i="4"/>
  <c r="J978" i="4"/>
  <c r="J975" i="4"/>
  <c r="J969" i="4"/>
  <c r="J964" i="4"/>
  <c r="J959" i="4"/>
  <c r="J958" i="4"/>
  <c r="J952" i="4"/>
  <c r="J951" i="4"/>
  <c r="J950" i="4"/>
  <c r="J949" i="4"/>
  <c r="J948" i="4"/>
  <c r="J947" i="4"/>
  <c r="J945" i="4"/>
  <c r="J944" i="4"/>
  <c r="J942" i="4"/>
  <c r="J941" i="4"/>
  <c r="J940" i="4"/>
  <c r="J938" i="4"/>
  <c r="J937" i="4"/>
  <c r="J936" i="4"/>
  <c r="J931" i="4"/>
  <c r="J930" i="4"/>
  <c r="J925" i="4"/>
  <c r="J924" i="4"/>
  <c r="J923" i="4"/>
  <c r="J915" i="4"/>
  <c r="J911" i="4"/>
  <c r="J905" i="4"/>
  <c r="J903" i="4"/>
  <c r="J901" i="4"/>
  <c r="J898" i="4"/>
  <c r="J897" i="4"/>
  <c r="J896" i="4"/>
  <c r="J891" i="4"/>
  <c r="J888" i="4"/>
  <c r="J886" i="4"/>
  <c r="J880" i="4"/>
  <c r="J874" i="4"/>
  <c r="J866" i="4"/>
  <c r="J865" i="4"/>
  <c r="J864" i="4"/>
  <c r="J862" i="4"/>
  <c r="J852" i="4"/>
  <c r="J850" i="4"/>
  <c r="J849" i="4"/>
  <c r="J848" i="4"/>
  <c r="J845" i="4"/>
  <c r="J843" i="4"/>
  <c r="J842" i="4"/>
  <c r="J840" i="4"/>
  <c r="J839" i="4"/>
  <c r="J838" i="4"/>
  <c r="J836" i="4"/>
  <c r="J835" i="4"/>
  <c r="J833" i="4"/>
  <c r="J832" i="4"/>
  <c r="J830" i="4"/>
  <c r="J829" i="4"/>
  <c r="J823" i="4"/>
  <c r="J819" i="4"/>
  <c r="J816" i="4"/>
  <c r="J815" i="4"/>
  <c r="J813" i="4"/>
  <c r="J812" i="4"/>
  <c r="J811" i="4"/>
  <c r="J806" i="4"/>
  <c r="J801" i="4"/>
  <c r="J797" i="4"/>
  <c r="J796" i="4"/>
  <c r="J794" i="4"/>
  <c r="J793" i="4"/>
  <c r="J790" i="4"/>
  <c r="J788" i="4"/>
  <c r="J787" i="4"/>
  <c r="J784" i="4"/>
  <c r="J783" i="4"/>
  <c r="J782" i="4"/>
  <c r="J779" i="4"/>
  <c r="J777" i="4"/>
  <c r="J776" i="4"/>
  <c r="J775" i="4"/>
  <c r="J774" i="4"/>
  <c r="J773" i="4"/>
  <c r="J769" i="4"/>
  <c r="J766" i="4"/>
  <c r="J763" i="4"/>
  <c r="J758" i="4"/>
  <c r="J756" i="4"/>
  <c r="J750" i="4"/>
  <c r="J749" i="4"/>
  <c r="J744" i="4"/>
  <c r="J742" i="4"/>
  <c r="J737" i="4"/>
  <c r="J736" i="4"/>
  <c r="J734" i="4"/>
  <c r="J729" i="4"/>
  <c r="J728" i="4"/>
  <c r="J726" i="4"/>
  <c r="J723" i="4"/>
  <c r="J718" i="4"/>
  <c r="J717" i="4"/>
  <c r="J716" i="4"/>
  <c r="J715" i="4"/>
  <c r="J708" i="4"/>
  <c r="J703" i="4"/>
  <c r="J701" i="4"/>
  <c r="J697" i="4"/>
  <c r="J695" i="4"/>
  <c r="J694" i="4"/>
  <c r="J691" i="4"/>
  <c r="J688" i="4"/>
  <c r="J684" i="4"/>
  <c r="J682" i="4"/>
  <c r="J681" i="4"/>
  <c r="J680" i="4"/>
  <c r="J677" i="4"/>
  <c r="J674" i="4"/>
  <c r="J673" i="4"/>
  <c r="J669" i="4"/>
  <c r="J668" i="4"/>
  <c r="J667" i="4"/>
  <c r="J666" i="4"/>
  <c r="J662" i="4"/>
  <c r="J653" i="4"/>
  <c r="J649" i="4"/>
  <c r="J647" i="4"/>
  <c r="J643" i="4"/>
  <c r="J636" i="4"/>
  <c r="J634" i="4"/>
  <c r="J633" i="4"/>
  <c r="J632" i="4"/>
  <c r="J630" i="4"/>
  <c r="J628" i="4"/>
  <c r="J626" i="4"/>
  <c r="J618" i="4"/>
  <c r="J612" i="4"/>
  <c r="J608" i="4"/>
  <c r="J590" i="4"/>
  <c r="J587" i="4"/>
  <c r="J586" i="4"/>
  <c r="J581" i="4"/>
  <c r="J571" i="4"/>
  <c r="J563" i="4"/>
  <c r="J560" i="4"/>
  <c r="J558" i="4"/>
  <c r="J555" i="4"/>
  <c r="J550" i="4"/>
  <c r="J549" i="4"/>
  <c r="J545" i="4"/>
  <c r="J544" i="4"/>
  <c r="J542" i="4"/>
  <c r="J539" i="4"/>
  <c r="J535" i="4"/>
  <c r="J528" i="4"/>
  <c r="J527" i="4"/>
  <c r="J526" i="4"/>
  <c r="J525" i="4"/>
  <c r="J524" i="4"/>
  <c r="J522" i="4"/>
  <c r="J521" i="4"/>
  <c r="J517" i="4"/>
  <c r="J516" i="4"/>
  <c r="J515" i="4"/>
  <c r="J510" i="4"/>
  <c r="J501" i="4"/>
  <c r="J498" i="4"/>
  <c r="J497" i="4"/>
  <c r="J495" i="4"/>
  <c r="J487" i="4"/>
  <c r="J479" i="4"/>
  <c r="J478" i="4"/>
  <c r="J477" i="4"/>
  <c r="J474" i="4"/>
  <c r="J473" i="4"/>
  <c r="J468" i="4"/>
  <c r="J467" i="4"/>
  <c r="J466" i="4"/>
  <c r="J464" i="4"/>
  <c r="J455" i="4"/>
  <c r="J454" i="4"/>
  <c r="J450" i="4"/>
  <c r="J449" i="4"/>
  <c r="J444" i="4"/>
  <c r="J443" i="4"/>
  <c r="J442" i="4"/>
  <c r="J439" i="4"/>
  <c r="J437" i="4"/>
  <c r="J436" i="4"/>
  <c r="J430" i="4"/>
  <c r="J425" i="4"/>
  <c r="J422" i="4"/>
  <c r="J419" i="4"/>
  <c r="J418" i="4"/>
  <c r="J415" i="4"/>
  <c r="J414" i="4"/>
  <c r="J413" i="4"/>
  <c r="J412" i="4"/>
  <c r="J411" i="4"/>
  <c r="J410" i="4"/>
  <c r="J408" i="4"/>
  <c r="J407" i="4"/>
  <c r="J406" i="4"/>
  <c r="J405" i="4"/>
  <c r="J404" i="4"/>
  <c r="J403" i="4"/>
  <c r="J401" i="4"/>
  <c r="J397" i="4"/>
  <c r="J395" i="4"/>
  <c r="J387" i="4"/>
  <c r="J379" i="4"/>
  <c r="J372" i="4"/>
  <c r="J370" i="4"/>
  <c r="J365" i="4"/>
  <c r="J364" i="4"/>
  <c r="J358" i="4"/>
  <c r="J352" i="4"/>
  <c r="J350" i="4"/>
  <c r="J347" i="4"/>
  <c r="J345" i="4"/>
  <c r="J344" i="4"/>
  <c r="J337" i="4"/>
  <c r="J336" i="4"/>
  <c r="J330" i="4"/>
  <c r="J319" i="4"/>
  <c r="J318" i="4"/>
  <c r="J311" i="4"/>
  <c r="J302" i="4"/>
  <c r="J296" i="4"/>
  <c r="J295" i="4"/>
  <c r="J294" i="4"/>
  <c r="J293" i="4"/>
  <c r="J292" i="4"/>
  <c r="J290" i="4"/>
  <c r="J289" i="4"/>
  <c r="J284" i="4"/>
  <c r="J283" i="4"/>
  <c r="J280" i="4"/>
  <c r="J275" i="4"/>
  <c r="J271" i="4"/>
  <c r="J270" i="4"/>
  <c r="J269" i="4"/>
  <c r="J266" i="4"/>
  <c r="J265" i="4"/>
  <c r="J264" i="4"/>
  <c r="J261" i="4"/>
  <c r="J260" i="4"/>
  <c r="J258" i="4"/>
  <c r="J252" i="4"/>
  <c r="J251" i="4"/>
  <c r="J246" i="4"/>
  <c r="J245" i="4"/>
  <c r="J244" i="4"/>
  <c r="J238" i="4"/>
  <c r="J230" i="4"/>
  <c r="J224" i="4"/>
  <c r="J223" i="4"/>
  <c r="J220" i="4"/>
  <c r="J218" i="4"/>
  <c r="J216" i="4"/>
  <c r="J209" i="4"/>
  <c r="J208" i="4"/>
  <c r="J205" i="4"/>
  <c r="J201" i="4"/>
  <c r="J199" i="4"/>
  <c r="J197" i="4"/>
  <c r="J196" i="4"/>
  <c r="J192" i="4"/>
  <c r="J190" i="4"/>
  <c r="J182" i="4"/>
  <c r="J177" i="4"/>
  <c r="J175" i="4"/>
  <c r="J172" i="4"/>
  <c r="J171" i="4"/>
  <c r="J147" i="4"/>
  <c r="J144" i="4"/>
  <c r="J126" i="4"/>
  <c r="J110" i="4"/>
  <c r="J109" i="4"/>
  <c r="J96" i="4"/>
  <c r="J91" i="4"/>
  <c r="J77" i="4"/>
  <c r="J76" i="4"/>
  <c r="J70" i="4"/>
  <c r="J60" i="4"/>
  <c r="J57" i="4"/>
  <c r="J46" i="4"/>
  <c r="J42" i="4"/>
  <c r="K827" i="4"/>
  <c r="K2411" i="4"/>
  <c r="J2577" i="4"/>
  <c r="K2957" i="4"/>
  <c r="J3055" i="4"/>
  <c r="J3210" i="4"/>
  <c r="J2999" i="4"/>
  <c r="K3597" i="4"/>
  <c r="K3651" i="4"/>
  <c r="K3650" i="4"/>
  <c r="K3568" i="4"/>
  <c r="K3345" i="4"/>
  <c r="K3344" i="4"/>
  <c r="K3313" i="4"/>
  <c r="K3322" i="4"/>
  <c r="K3326" i="4"/>
  <c r="K3341" i="4"/>
  <c r="K3391" i="4"/>
  <c r="K3445" i="4"/>
  <c r="K3458" i="4"/>
  <c r="K3484" i="4"/>
  <c r="K3474" i="4"/>
  <c r="K3485" i="4"/>
  <c r="K3557" i="4"/>
  <c r="K3636" i="4"/>
  <c r="K3684" i="4"/>
  <c r="K3687" i="4"/>
  <c r="K3703" i="4"/>
  <c r="K4000" i="4"/>
  <c r="K3312" i="4"/>
  <c r="K3297" i="4"/>
  <c r="K3049" i="4"/>
  <c r="K3006" i="4"/>
  <c r="K2955" i="4"/>
  <c r="K2949" i="4"/>
  <c r="K2934" i="4"/>
  <c r="K2885" i="4"/>
  <c r="K2846" i="4"/>
  <c r="K2839" i="4"/>
  <c r="K2831" i="4"/>
  <c r="K2744" i="4"/>
  <c r="K2710" i="4"/>
  <c r="K2703" i="4"/>
  <c r="K2702" i="4"/>
  <c r="K2688" i="4"/>
  <c r="K2671" i="4"/>
  <c r="K2666" i="4"/>
  <c r="K2656" i="4"/>
  <c r="K2635" i="4"/>
  <c r="K2644" i="4"/>
  <c r="K2633" i="4"/>
  <c r="K2553" i="4"/>
  <c r="K2440" i="4"/>
  <c r="K2426" i="4"/>
  <c r="K3303" i="4"/>
  <c r="J2272" i="4"/>
  <c r="L4029" i="4"/>
  <c r="L4017" i="4"/>
  <c r="L4010" i="4"/>
  <c r="L4009" i="4"/>
  <c r="L4008" i="4"/>
  <c r="L4004" i="4"/>
  <c r="L4003" i="4"/>
  <c r="L3997" i="4"/>
  <c r="L3989" i="4"/>
  <c r="L3988" i="4"/>
  <c r="L3974" i="4"/>
  <c r="L3972" i="4"/>
  <c r="L3968" i="4"/>
  <c r="L3967" i="4"/>
  <c r="K3744" i="4" l="1"/>
  <c r="K3745" i="4"/>
  <c r="K3781" i="4"/>
  <c r="K3788" i="4"/>
  <c r="K3866" i="4"/>
  <c r="K3934" i="4"/>
  <c r="L3870" i="4" l="1"/>
  <c r="L3825" i="4"/>
  <c r="L3827" i="4"/>
  <c r="L3820" i="4"/>
  <c r="L3805" i="4"/>
  <c r="L3807" i="4"/>
  <c r="L3817" i="4"/>
  <c r="L3855" i="4"/>
  <c r="L3864" i="4"/>
  <c r="L3865" i="4"/>
  <c r="L3867" i="4"/>
  <c r="L3893" i="4"/>
  <c r="L3899" i="4"/>
  <c r="L3916" i="4"/>
  <c r="L3928" i="4"/>
  <c r="L3930" i="4"/>
  <c r="L3942" i="4"/>
  <c r="L3785" i="4"/>
  <c r="L3786" i="4"/>
  <c r="L3790" i="4"/>
  <c r="L3792" i="4"/>
  <c r="L3793" i="4"/>
  <c r="L3696" i="4"/>
  <c r="L3709" i="4"/>
  <c r="L3736" i="4"/>
  <c r="L3751" i="4"/>
  <c r="L3766" i="4"/>
  <c r="L3767" i="4"/>
  <c r="K492" i="2"/>
  <c r="K493" i="2"/>
  <c r="K494" i="2"/>
  <c r="K495" i="2"/>
  <c r="K496" i="2"/>
  <c r="K497" i="2"/>
  <c r="K498" i="2"/>
  <c r="K499" i="2"/>
  <c r="K500" i="2"/>
  <c r="K501" i="2"/>
  <c r="K491" i="2"/>
  <c r="K490" i="2"/>
  <c r="K479" i="2"/>
  <c r="K480" i="2"/>
  <c r="K481" i="2"/>
  <c r="K482" i="2"/>
  <c r="K483" i="2"/>
  <c r="K484" i="2"/>
  <c r="K485" i="2"/>
  <c r="K486" i="2"/>
  <c r="K487" i="2"/>
  <c r="K488" i="2"/>
  <c r="K489" i="2"/>
  <c r="L3672" i="4"/>
  <c r="K467" i="2"/>
  <c r="K468" i="2"/>
  <c r="L3659" i="4"/>
  <c r="L3662" i="4"/>
  <c r="L3663" i="4"/>
  <c r="L3670" i="4"/>
  <c r="L3679" i="4"/>
  <c r="L3682" i="4"/>
  <c r="L3639" i="4"/>
  <c r="L3616" i="4"/>
  <c r="L3627" i="4"/>
  <c r="L3638" i="4"/>
  <c r="L3583" i="4"/>
  <c r="L3555" i="4"/>
  <c r="L3559" i="4"/>
  <c r="L3563" i="4"/>
  <c r="L3579" i="4"/>
  <c r="L3541" i="4"/>
  <c r="L3540" i="4"/>
  <c r="L3518" i="4"/>
  <c r="L3519" i="4"/>
  <c r="L3550" i="4"/>
  <c r="K478" i="2"/>
  <c r="K477" i="2"/>
  <c r="K476" i="2"/>
  <c r="K475" i="2"/>
  <c r="K474" i="2"/>
  <c r="K473" i="2"/>
  <c r="K472" i="2"/>
  <c r="K471" i="2"/>
  <c r="K470" i="2"/>
  <c r="K469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L3477" i="4"/>
  <c r="L3465" i="4"/>
  <c r="L3470" i="4"/>
  <c r="L3501" i="4"/>
  <c r="L3506" i="4"/>
  <c r="L3434" i="4"/>
  <c r="L3433" i="4"/>
  <c r="L3432" i="4"/>
  <c r="L3431" i="4"/>
  <c r="L3430" i="4"/>
  <c r="L3429" i="4"/>
  <c r="K451" i="2"/>
  <c r="L3424" i="4"/>
  <c r="L3427" i="4"/>
  <c r="L3435" i="4"/>
  <c r="L3436" i="4"/>
  <c r="L3437" i="4"/>
  <c r="L3438" i="4"/>
  <c r="L3439" i="4"/>
  <c r="L3440" i="4"/>
  <c r="L3441" i="4"/>
  <c r="L3447" i="4"/>
  <c r="L3392" i="4"/>
  <c r="L3370" i="4"/>
  <c r="L3315" i="4"/>
  <c r="L3316" i="4"/>
  <c r="L3314" i="4"/>
  <c r="L3342" i="4"/>
  <c r="L3299" i="4"/>
  <c r="L3277" i="4"/>
  <c r="L3282" i="4"/>
  <c r="L3283" i="4"/>
  <c r="L3298" i="4"/>
  <c r="L3307" i="4"/>
  <c r="L3250" i="4"/>
  <c r="L3221" i="4"/>
  <c r="K439" i="2"/>
  <c r="K440" i="2"/>
  <c r="K441" i="2"/>
  <c r="K442" i="2"/>
  <c r="K443" i="2"/>
  <c r="K444" i="2"/>
  <c r="K445" i="2"/>
  <c r="K446" i="2"/>
  <c r="K447" i="2"/>
  <c r="K448" i="2"/>
  <c r="K449" i="2"/>
  <c r="K450" i="2"/>
  <c r="L3195" i="4"/>
  <c r="L3208" i="4"/>
  <c r="L3211" i="4"/>
  <c r="L3173" i="4"/>
  <c r="K426" i="2"/>
  <c r="K427" i="2"/>
  <c r="L3143" i="4"/>
  <c r="L3147" i="4"/>
  <c r="L3159" i="4"/>
  <c r="K370" i="2"/>
  <c r="K371" i="2"/>
  <c r="K379" i="2"/>
  <c r="K395" i="2"/>
  <c r="K422" i="2"/>
  <c r="K421" i="2"/>
  <c r="L2657" i="4"/>
  <c r="L2658" i="4"/>
  <c r="L3123" i="4"/>
  <c r="L2572" i="4"/>
  <c r="L2575" i="4"/>
  <c r="L2631" i="4"/>
  <c r="L2559" i="4"/>
  <c r="L2558" i="4"/>
  <c r="L2557" i="4"/>
  <c r="L2534" i="4"/>
  <c r="K415" i="2"/>
  <c r="K416" i="2"/>
  <c r="K417" i="2"/>
  <c r="K418" i="2"/>
  <c r="K419" i="2"/>
  <c r="K420" i="2"/>
  <c r="K423" i="2"/>
  <c r="K424" i="2"/>
  <c r="K425" i="2"/>
  <c r="K428" i="2"/>
  <c r="K429" i="2"/>
  <c r="K430" i="2"/>
  <c r="K431" i="2"/>
  <c r="K432" i="2"/>
  <c r="K433" i="2"/>
  <c r="K434" i="2"/>
  <c r="K435" i="2"/>
  <c r="K436" i="2"/>
  <c r="K437" i="2"/>
  <c r="K438" i="2"/>
  <c r="K412" i="2"/>
  <c r="K411" i="2"/>
  <c r="L3075" i="4"/>
  <c r="L2479" i="4"/>
  <c r="L2434" i="4"/>
  <c r="L2433" i="4"/>
  <c r="L2436" i="4"/>
  <c r="K403" i="2"/>
  <c r="K404" i="2"/>
  <c r="K405" i="2"/>
  <c r="K406" i="2"/>
  <c r="K407" i="2"/>
  <c r="K408" i="2"/>
  <c r="K409" i="2"/>
  <c r="K410" i="2"/>
  <c r="K413" i="2"/>
  <c r="K414" i="2"/>
  <c r="L3013" i="4"/>
  <c r="L3016" i="4"/>
  <c r="L3039" i="4"/>
  <c r="L3040" i="4"/>
  <c r="L3047" i="4"/>
  <c r="L3048" i="4"/>
  <c r="L2453" i="4"/>
  <c r="L2454" i="4"/>
  <c r="L2401" i="4"/>
  <c r="L2415" i="4"/>
  <c r="L2988" i="4"/>
  <c r="L3000" i="4"/>
  <c r="L3002" i="4"/>
  <c r="K391" i="2"/>
  <c r="K392" i="2"/>
  <c r="K393" i="2"/>
  <c r="K394" i="2"/>
  <c r="K396" i="2"/>
  <c r="K397" i="2"/>
  <c r="K398" i="2"/>
  <c r="K399" i="2"/>
  <c r="K400" i="2"/>
  <c r="K401" i="2"/>
  <c r="K402" i="2"/>
  <c r="L2975" i="4"/>
  <c r="L2961" i="4"/>
  <c r="L2974" i="4"/>
  <c r="L2944" i="4"/>
  <c r="L2938" i="4"/>
  <c r="L2943" i="4"/>
  <c r="L2913" i="4"/>
  <c r="L2914" i="4"/>
  <c r="L2925" i="4"/>
  <c r="K354" i="2"/>
  <c r="K355" i="2"/>
  <c r="K356" i="2"/>
  <c r="K357" i="2"/>
  <c r="K358" i="2"/>
  <c r="K377" i="2"/>
  <c r="K378" i="2"/>
  <c r="K380" i="2"/>
  <c r="K381" i="2"/>
  <c r="K382" i="2"/>
  <c r="K383" i="2"/>
  <c r="K384" i="2"/>
  <c r="K385" i="2"/>
  <c r="K386" i="2"/>
  <c r="K387" i="2"/>
  <c r="K388" i="2"/>
  <c r="K389" i="2"/>
  <c r="K390" i="2"/>
  <c r="L2904" i="4"/>
  <c r="L2850" i="4"/>
  <c r="L2835" i="4"/>
  <c r="L2805" i="4"/>
  <c r="L2806" i="4"/>
  <c r="L2807" i="4"/>
  <c r="L2777" i="4"/>
  <c r="L2770" i="4"/>
  <c r="L2772" i="4"/>
  <c r="L2773" i="4"/>
  <c r="L2778" i="4"/>
  <c r="L2785" i="4"/>
  <c r="L2762" i="4"/>
  <c r="L2752" i="4"/>
  <c r="L2699" i="4"/>
  <c r="L2697" i="4"/>
  <c r="L2698" i="4"/>
  <c r="L2696" i="4"/>
  <c r="L2695" i="4"/>
  <c r="L2732" i="4"/>
  <c r="L2733" i="4"/>
  <c r="L2737" i="4"/>
  <c r="L2738" i="4"/>
  <c r="L2753" i="4"/>
  <c r="L2763" i="4"/>
  <c r="L2400" i="4"/>
  <c r="L2678" i="4"/>
  <c r="L2679" i="4"/>
  <c r="L2680" i="4"/>
  <c r="J619" i="4"/>
  <c r="K592" i="4"/>
  <c r="K530" i="4"/>
  <c r="K529" i="4"/>
  <c r="K222" i="4"/>
  <c r="K2222" i="4"/>
  <c r="K2223" i="4"/>
  <c r="K2250" i="4"/>
  <c r="K2256" i="4"/>
  <c r="K2262" i="4"/>
  <c r="K2324" i="4"/>
  <c r="K2065" i="4"/>
  <c r="K2064" i="4"/>
  <c r="K1371" i="4"/>
  <c r="K1370" i="4"/>
  <c r="K1355" i="4"/>
  <c r="K826" i="4"/>
  <c r="K805" i="4"/>
  <c r="K792" i="4"/>
  <c r="K248" i="4"/>
  <c r="K221" i="4"/>
  <c r="P8" i="2"/>
  <c r="P7" i="2"/>
  <c r="P6" i="2"/>
  <c r="P5" i="2"/>
  <c r="K352" i="2"/>
  <c r="K616" i="1"/>
  <c r="K331" i="2" l="1"/>
  <c r="K359" i="2"/>
  <c r="K360" i="2"/>
  <c r="K361" i="2"/>
  <c r="K362" i="2"/>
  <c r="K363" i="2"/>
  <c r="K364" i="2"/>
  <c r="K365" i="2"/>
  <c r="K366" i="2"/>
  <c r="K367" i="2"/>
  <c r="K368" i="2"/>
  <c r="K369" i="2"/>
  <c r="K372" i="2"/>
  <c r="K373" i="2"/>
  <c r="K374" i="2"/>
  <c r="K375" i="2"/>
  <c r="K10" i="2" l="1"/>
  <c r="K269" i="2"/>
  <c r="K261" i="2"/>
  <c r="K254" i="2"/>
  <c r="K253" i="2"/>
  <c r="K249" i="2"/>
  <c r="K248" i="2"/>
  <c r="K221" i="2"/>
  <c r="K245" i="2"/>
  <c r="K244" i="2"/>
  <c r="K220" i="2"/>
  <c r="J39" i="3" l="1"/>
  <c r="K14" i="3"/>
  <c r="K35" i="3"/>
  <c r="L50" i="3"/>
  <c r="K50" i="3"/>
  <c r="J50" i="3"/>
  <c r="I50" i="3"/>
  <c r="K38" i="3"/>
  <c r="K37" i="3"/>
  <c r="K36" i="3"/>
  <c r="K39" i="3" l="1"/>
  <c r="L1014" i="4" l="1"/>
  <c r="N225" i="7"/>
  <c r="O11" i="7"/>
  <c r="P11" i="7" s="1"/>
  <c r="O13" i="7"/>
  <c r="P13" i="7" s="1"/>
  <c r="Q13" i="7" s="1"/>
  <c r="C4" i="7"/>
  <c r="O4" i="7"/>
  <c r="P4" i="7" s="1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C5" i="7"/>
  <c r="O5" i="7"/>
  <c r="P5" i="7" s="1"/>
  <c r="C6" i="7"/>
  <c r="O6" i="7"/>
  <c r="P6" i="7" s="1"/>
  <c r="C7" i="7"/>
  <c r="O7" i="7"/>
  <c r="C8" i="7"/>
  <c r="O8" i="7"/>
  <c r="C9" i="7"/>
  <c r="O9" i="7"/>
  <c r="P9" i="7" s="1"/>
  <c r="C10" i="7"/>
  <c r="O10" i="7"/>
  <c r="C11" i="7"/>
  <c r="C12" i="7"/>
  <c r="O12" i="7"/>
  <c r="P12" i="7" s="1"/>
  <c r="C13" i="7"/>
  <c r="C14" i="7"/>
  <c r="O14" i="7"/>
  <c r="P14" i="7" s="1"/>
  <c r="Q14" i="7" s="1"/>
  <c r="C15" i="7"/>
  <c r="O15" i="7"/>
  <c r="P15" i="7" s="1"/>
  <c r="C16" i="7"/>
  <c r="O16" i="7"/>
  <c r="C17" i="7"/>
  <c r="O17" i="7"/>
  <c r="P17" i="7" s="1"/>
  <c r="Q17" i="7" s="1"/>
  <c r="C18" i="7"/>
  <c r="C19" i="7"/>
  <c r="O19" i="7"/>
  <c r="P19" i="7" s="1"/>
  <c r="C20" i="7"/>
  <c r="O20" i="7"/>
  <c r="P20" i="7" s="1"/>
  <c r="Q20" i="7" s="1"/>
  <c r="C21" i="7"/>
  <c r="O21" i="7"/>
  <c r="C22" i="7"/>
  <c r="O22" i="7"/>
  <c r="P22" i="7" s="1"/>
  <c r="Q22" i="7" s="1"/>
  <c r="C23" i="7"/>
  <c r="O23" i="7"/>
  <c r="C24" i="7"/>
  <c r="O24" i="7"/>
  <c r="P24" i="7" s="1"/>
  <c r="Q24" i="7" s="1"/>
  <c r="C25" i="7"/>
  <c r="O25" i="7"/>
  <c r="P25" i="7" s="1"/>
  <c r="C26" i="7"/>
  <c r="O26" i="7"/>
  <c r="C27" i="7"/>
  <c r="O27" i="7"/>
  <c r="P27" i="7" s="1"/>
  <c r="C28" i="7"/>
  <c r="O28" i="7"/>
  <c r="P28" i="7" s="1"/>
  <c r="C29" i="7"/>
  <c r="O29" i="7"/>
  <c r="P29" i="7" s="1"/>
  <c r="C30" i="7"/>
  <c r="O30" i="7"/>
  <c r="P30" i="7" s="1"/>
  <c r="Q30" i="7" s="1"/>
  <c r="C31" i="7"/>
  <c r="O31" i="7"/>
  <c r="P31" i="7" s="1"/>
  <c r="C32" i="7"/>
  <c r="O32" i="7"/>
  <c r="C33" i="7"/>
  <c r="O33" i="7"/>
  <c r="P33" i="7" s="1"/>
  <c r="C34" i="7"/>
  <c r="O34" i="7"/>
  <c r="P34" i="7" s="1"/>
  <c r="C35" i="7"/>
  <c r="O35" i="7"/>
  <c r="C36" i="7"/>
  <c r="O36" i="7"/>
  <c r="P36" i="7" s="1"/>
  <c r="Q36" i="7" s="1"/>
  <c r="C37" i="7"/>
  <c r="O37" i="7"/>
  <c r="P37" i="7" s="1"/>
  <c r="C38" i="7"/>
  <c r="O38" i="7"/>
  <c r="P38" i="7" s="1"/>
  <c r="C39" i="7"/>
  <c r="O39" i="7"/>
  <c r="C40" i="7"/>
  <c r="O40" i="7"/>
  <c r="P40" i="7" s="1"/>
  <c r="Q40" i="7" s="1"/>
  <c r="C41" i="7"/>
  <c r="O41" i="7"/>
  <c r="P41" i="7" s="1"/>
  <c r="C42" i="7"/>
  <c r="O42" i="7"/>
  <c r="P42" i="7" s="1"/>
  <c r="C43" i="7"/>
  <c r="O43" i="7"/>
  <c r="P43" i="7" s="1"/>
  <c r="C44" i="7"/>
  <c r="O44" i="7"/>
  <c r="P44" i="7" s="1"/>
  <c r="C45" i="7"/>
  <c r="O45" i="7"/>
  <c r="P45" i="7" s="1"/>
  <c r="C46" i="7"/>
  <c r="O46" i="7"/>
  <c r="P46" i="7" s="1"/>
  <c r="Q46" i="7" s="1"/>
  <c r="C47" i="7"/>
  <c r="O47" i="7"/>
  <c r="P47" i="7" s="1"/>
  <c r="Q47" i="7" s="1"/>
  <c r="C48" i="7"/>
  <c r="O48" i="7"/>
  <c r="C49" i="7"/>
  <c r="O49" i="7"/>
  <c r="P49" i="7" s="1"/>
  <c r="Q49" i="7" s="1"/>
  <c r="C50" i="7"/>
  <c r="O50" i="7"/>
  <c r="C51" i="7"/>
  <c r="O51" i="7"/>
  <c r="P51" i="7" s="1"/>
  <c r="C52" i="7"/>
  <c r="O52" i="7"/>
  <c r="P52" i="7" s="1"/>
  <c r="Q52" i="7" s="1"/>
  <c r="C53" i="7"/>
  <c r="O53" i="7"/>
  <c r="P53" i="7" s="1"/>
  <c r="Q53" i="7" s="1"/>
  <c r="C54" i="7"/>
  <c r="O54" i="7"/>
  <c r="P54" i="7" s="1"/>
  <c r="Q54" i="7" s="1"/>
  <c r="C55" i="7"/>
  <c r="O55" i="7"/>
  <c r="C56" i="7"/>
  <c r="O56" i="7"/>
  <c r="P56" i="7" s="1"/>
  <c r="C57" i="7"/>
  <c r="O57" i="7"/>
  <c r="P57" i="7" s="1"/>
  <c r="C58" i="7"/>
  <c r="O58" i="7"/>
  <c r="P58" i="7" s="1"/>
  <c r="C59" i="7"/>
  <c r="O59" i="7"/>
  <c r="P59" i="7" s="1"/>
  <c r="C60" i="7"/>
  <c r="O60" i="7"/>
  <c r="P60" i="7" s="1"/>
  <c r="C61" i="7"/>
  <c r="O61" i="7"/>
  <c r="P61" i="7" s="1"/>
  <c r="C62" i="7"/>
  <c r="O62" i="7"/>
  <c r="P62" i="7" s="1"/>
  <c r="Q62" i="7" s="1"/>
  <c r="C63" i="7"/>
  <c r="O63" i="7"/>
  <c r="C64" i="7"/>
  <c r="O64" i="7"/>
  <c r="P64" i="7" s="1"/>
  <c r="C65" i="7"/>
  <c r="O65" i="7"/>
  <c r="P65" i="7" s="1"/>
  <c r="Q65" i="7" s="1"/>
  <c r="C66" i="7"/>
  <c r="O66" i="7"/>
  <c r="P66" i="7" s="1"/>
  <c r="C67" i="7"/>
  <c r="O67" i="7"/>
  <c r="C68" i="7"/>
  <c r="O68" i="7"/>
  <c r="P68" i="7" s="1"/>
  <c r="Q68" i="7" s="1"/>
  <c r="C69" i="7"/>
  <c r="O69" i="7"/>
  <c r="P69" i="7" s="1"/>
  <c r="C70" i="7"/>
  <c r="O70" i="7"/>
  <c r="P70" i="7" s="1"/>
  <c r="C71" i="7"/>
  <c r="O71" i="7"/>
  <c r="C72" i="7"/>
  <c r="O72" i="7"/>
  <c r="P72" i="7" s="1"/>
  <c r="C73" i="7"/>
  <c r="O73" i="7"/>
  <c r="P73" i="7" s="1"/>
  <c r="C74" i="7"/>
  <c r="O74" i="7"/>
  <c r="P74" i="7" s="1"/>
  <c r="C75" i="7"/>
  <c r="O75" i="7"/>
  <c r="P75" i="7" s="1"/>
  <c r="C76" i="7"/>
  <c r="O76" i="7"/>
  <c r="P76" i="7" s="1"/>
  <c r="C77" i="7"/>
  <c r="O77" i="7"/>
  <c r="P77" i="7" s="1"/>
  <c r="C78" i="7"/>
  <c r="O78" i="7"/>
  <c r="P78" i="7" s="1"/>
  <c r="C79" i="7"/>
  <c r="O79" i="7"/>
  <c r="P79" i="7" s="1"/>
  <c r="C80" i="7"/>
  <c r="O80" i="7"/>
  <c r="P80" i="7" s="1"/>
  <c r="C81" i="7"/>
  <c r="O81" i="7"/>
  <c r="P81" i="7" s="1"/>
  <c r="Q81" i="7" s="1"/>
  <c r="C82" i="7"/>
  <c r="O82" i="7"/>
  <c r="C83" i="7"/>
  <c r="O83" i="7"/>
  <c r="P83" i="7" s="1"/>
  <c r="C84" i="7"/>
  <c r="O84" i="7"/>
  <c r="P84" i="7" s="1"/>
  <c r="Q84" i="7" s="1"/>
  <c r="C85" i="7"/>
  <c r="O85" i="7"/>
  <c r="C86" i="7"/>
  <c r="O86" i="7"/>
  <c r="P86" i="7" s="1"/>
  <c r="Q86" i="7" s="1"/>
  <c r="C87" i="7"/>
  <c r="O87" i="7"/>
  <c r="C88" i="7"/>
  <c r="O88" i="7"/>
  <c r="C89" i="7"/>
  <c r="O89" i="7"/>
  <c r="C90" i="7"/>
  <c r="O90" i="7"/>
  <c r="P90" i="7" s="1"/>
  <c r="C91" i="7"/>
  <c r="O91" i="7"/>
  <c r="P91" i="7" s="1"/>
  <c r="Q91" i="7" s="1"/>
  <c r="C92" i="7"/>
  <c r="O92" i="7"/>
  <c r="P92" i="7" s="1"/>
  <c r="C93" i="7"/>
  <c r="O93" i="7"/>
  <c r="P93" i="7" s="1"/>
  <c r="C94" i="7"/>
  <c r="O94" i="7"/>
  <c r="P94" i="7" s="1"/>
  <c r="C95" i="7"/>
  <c r="O95" i="7"/>
  <c r="P95" i="7" s="1"/>
  <c r="C96" i="7"/>
  <c r="O96" i="7"/>
  <c r="C97" i="7"/>
  <c r="O97" i="7"/>
  <c r="P97" i="7" s="1"/>
  <c r="Q97" i="7" s="1"/>
  <c r="C98" i="7"/>
  <c r="O98" i="7"/>
  <c r="P98" i="7" s="1"/>
  <c r="Q98" i="7" s="1"/>
  <c r="C99" i="7"/>
  <c r="O99" i="7"/>
  <c r="P99" i="7" s="1"/>
  <c r="Q99" i="7" s="1"/>
  <c r="C100" i="7"/>
  <c r="O100" i="7"/>
  <c r="P100" i="7" s="1"/>
  <c r="C101" i="7"/>
  <c r="O101" i="7"/>
  <c r="P101" i="7" s="1"/>
  <c r="C102" i="7"/>
  <c r="O102" i="7"/>
  <c r="P102" i="7" s="1"/>
  <c r="C103" i="7"/>
  <c r="O103" i="7"/>
  <c r="C104" i="7"/>
  <c r="O104" i="7"/>
  <c r="P104" i="7" s="1"/>
  <c r="C105" i="7"/>
  <c r="O105" i="7"/>
  <c r="C106" i="7"/>
  <c r="O106" i="7"/>
  <c r="P106" i="7" s="1"/>
  <c r="C107" i="7"/>
  <c r="O107" i="7"/>
  <c r="P107" i="7" s="1"/>
  <c r="C108" i="7"/>
  <c r="O108" i="7"/>
  <c r="C109" i="7"/>
  <c r="O109" i="7"/>
  <c r="P109" i="7" s="1"/>
  <c r="C110" i="7"/>
  <c r="O110" i="7"/>
  <c r="P110" i="7" s="1"/>
  <c r="Q110" i="7" s="1"/>
  <c r="C111" i="7"/>
  <c r="O111" i="7"/>
  <c r="P111" i="7" s="1"/>
  <c r="C112" i="7"/>
  <c r="O112" i="7"/>
  <c r="X112" i="7"/>
  <c r="C113" i="7"/>
  <c r="O113" i="7"/>
  <c r="P113" i="7" s="1"/>
  <c r="Q113" i="7" s="1"/>
  <c r="C114" i="7"/>
  <c r="O114" i="7"/>
  <c r="P114" i="7" s="1"/>
  <c r="C115" i="7"/>
  <c r="O115" i="7"/>
  <c r="P115" i="7" s="1"/>
  <c r="Q115" i="7" s="1"/>
  <c r="C116" i="7"/>
  <c r="O116" i="7"/>
  <c r="P116" i="7" s="1"/>
  <c r="C117" i="7"/>
  <c r="O117" i="7"/>
  <c r="P117" i="7" s="1"/>
  <c r="C118" i="7"/>
  <c r="O118" i="7"/>
  <c r="C119" i="7"/>
  <c r="O119" i="7"/>
  <c r="P119" i="7" s="1"/>
  <c r="C120" i="7"/>
  <c r="O120" i="7"/>
  <c r="P120" i="7" s="1"/>
  <c r="C121" i="7"/>
  <c r="O121" i="7"/>
  <c r="C122" i="7"/>
  <c r="O122" i="7"/>
  <c r="C123" i="7"/>
  <c r="O123" i="7"/>
  <c r="P123" i="7" s="1"/>
  <c r="Q123" i="7" s="1"/>
  <c r="C124" i="7"/>
  <c r="O124" i="7"/>
  <c r="P124" i="7" s="1"/>
  <c r="C125" i="7"/>
  <c r="O125" i="7"/>
  <c r="P125" i="7" s="1"/>
  <c r="C126" i="7"/>
  <c r="O126" i="7"/>
  <c r="P126" i="7" s="1"/>
  <c r="C127" i="7"/>
  <c r="O127" i="7"/>
  <c r="P127" i="7" s="1"/>
  <c r="C128" i="7"/>
  <c r="O128" i="7"/>
  <c r="C129" i="7"/>
  <c r="O129" i="7"/>
  <c r="P129" i="7" s="1"/>
  <c r="Q129" i="7" s="1"/>
  <c r="C130" i="7"/>
  <c r="O130" i="7"/>
  <c r="P130" i="7" s="1"/>
  <c r="Q130" i="7" s="1"/>
  <c r="C131" i="7"/>
  <c r="O131" i="7"/>
  <c r="C132" i="7"/>
  <c r="O132" i="7"/>
  <c r="P132" i="7" s="1"/>
  <c r="C133" i="7"/>
  <c r="O133" i="7"/>
  <c r="P133" i="7" s="1"/>
  <c r="C134" i="7"/>
  <c r="O134" i="7"/>
  <c r="P134" i="7" s="1"/>
  <c r="Q134" i="7" s="1"/>
  <c r="C135" i="7"/>
  <c r="O135" i="7"/>
  <c r="P135" i="7" s="1"/>
  <c r="C136" i="7"/>
  <c r="O136" i="7"/>
  <c r="P136" i="7" s="1"/>
  <c r="C137" i="7"/>
  <c r="O137" i="7"/>
  <c r="P137" i="7" s="1"/>
  <c r="Q137" i="7" s="1"/>
  <c r="C138" i="7"/>
  <c r="O138" i="7"/>
  <c r="C139" i="7"/>
  <c r="O139" i="7"/>
  <c r="P139" i="7" s="1"/>
  <c r="C140" i="7"/>
  <c r="O140" i="7"/>
  <c r="P140" i="7" s="1"/>
  <c r="C141" i="7"/>
  <c r="O141" i="7"/>
  <c r="P141" i="7" s="1"/>
  <c r="C142" i="7"/>
  <c r="O142" i="7"/>
  <c r="P142" i="7" s="1"/>
  <c r="Q142" i="7" s="1"/>
  <c r="C143" i="7"/>
  <c r="O143" i="7"/>
  <c r="P143" i="7" s="1"/>
  <c r="Q143" i="7" s="1"/>
  <c r="C144" i="7"/>
  <c r="O144" i="7"/>
  <c r="C145" i="7"/>
  <c r="O145" i="7"/>
  <c r="P145" i="7" s="1"/>
  <c r="C146" i="7"/>
  <c r="O146" i="7"/>
  <c r="P146" i="7" s="1"/>
  <c r="C147" i="7"/>
  <c r="O147" i="7"/>
  <c r="P147" i="7" s="1"/>
  <c r="C148" i="7"/>
  <c r="O148" i="7"/>
  <c r="P148" i="7" s="1"/>
  <c r="C149" i="7"/>
  <c r="O149" i="7"/>
  <c r="P149" i="7" s="1"/>
  <c r="C150" i="7"/>
  <c r="O150" i="7"/>
  <c r="P150" i="7" s="1"/>
  <c r="Q150" i="7" s="1"/>
  <c r="C151" i="7"/>
  <c r="O151" i="7"/>
  <c r="P151" i="7" s="1"/>
  <c r="C152" i="7"/>
  <c r="O152" i="7"/>
  <c r="P152" i="7" s="1"/>
  <c r="Q152" i="7" s="1"/>
  <c r="C153" i="7"/>
  <c r="O153" i="7"/>
  <c r="P153" i="7" s="1"/>
  <c r="C154" i="7"/>
  <c r="O154" i="7"/>
  <c r="C155" i="7"/>
  <c r="O155" i="7"/>
  <c r="P155" i="7" s="1"/>
  <c r="C156" i="7"/>
  <c r="O156" i="7"/>
  <c r="P156" i="7" s="1"/>
  <c r="Q156" i="7" s="1"/>
  <c r="C157" i="7"/>
  <c r="O157" i="7"/>
  <c r="P157" i="7" s="1"/>
  <c r="C158" i="7"/>
  <c r="O158" i="7"/>
  <c r="P158" i="7" s="1"/>
  <c r="C159" i="7"/>
  <c r="O159" i="7"/>
  <c r="P159" i="7" s="1"/>
  <c r="Q159" i="7" s="1"/>
  <c r="C160" i="7"/>
  <c r="O160" i="7"/>
  <c r="C161" i="7"/>
  <c r="O161" i="7"/>
  <c r="P161" i="7" s="1"/>
  <c r="Q161" i="7" s="1"/>
  <c r="C162" i="7"/>
  <c r="O162" i="7"/>
  <c r="P162" i="7" s="1"/>
  <c r="C163" i="7"/>
  <c r="O163" i="7"/>
  <c r="C164" i="7"/>
  <c r="O164" i="7"/>
  <c r="P164" i="7" s="1"/>
  <c r="C165" i="7"/>
  <c r="O165" i="7"/>
  <c r="P165" i="7" s="1"/>
  <c r="C166" i="7"/>
  <c r="O166" i="7"/>
  <c r="P166" i="7" s="1"/>
  <c r="C167" i="7"/>
  <c r="O167" i="7"/>
  <c r="P167" i="7" s="1"/>
  <c r="C168" i="7"/>
  <c r="O168" i="7"/>
  <c r="C169" i="7"/>
  <c r="O169" i="7"/>
  <c r="C170" i="7"/>
  <c r="O170" i="7"/>
  <c r="C171" i="7"/>
  <c r="O171" i="7"/>
  <c r="P171" i="7" s="1"/>
  <c r="C172" i="7"/>
  <c r="O172" i="7"/>
  <c r="P172" i="7" s="1"/>
  <c r="C173" i="7"/>
  <c r="O173" i="7"/>
  <c r="C174" i="7"/>
  <c r="O174" i="7"/>
  <c r="C175" i="7"/>
  <c r="O175" i="7"/>
  <c r="P175" i="7" s="1"/>
  <c r="Q175" i="7" s="1"/>
  <c r="C176" i="7"/>
  <c r="O176" i="7"/>
  <c r="P176" i="7" s="1"/>
  <c r="Q176" i="7" s="1"/>
  <c r="C177" i="7"/>
  <c r="O177" i="7"/>
  <c r="P177" i="7" s="1"/>
  <c r="C178" i="7"/>
  <c r="O178" i="7"/>
  <c r="P178" i="7" s="1"/>
  <c r="C179" i="7"/>
  <c r="O179" i="7"/>
  <c r="P179" i="7" s="1"/>
  <c r="C180" i="7"/>
  <c r="O180" i="7"/>
  <c r="P180" i="7" s="1"/>
  <c r="Q180" i="7" s="1"/>
  <c r="C181" i="7"/>
  <c r="O181" i="7"/>
  <c r="P181" i="7" s="1"/>
  <c r="C182" i="7"/>
  <c r="O182" i="7"/>
  <c r="P182" i="7" s="1"/>
  <c r="C183" i="7"/>
  <c r="O183" i="7"/>
  <c r="P183" i="7" s="1"/>
  <c r="C184" i="7"/>
  <c r="O184" i="7"/>
  <c r="P184" i="7" s="1"/>
  <c r="C185" i="7"/>
  <c r="O185" i="7"/>
  <c r="P185" i="7" s="1"/>
  <c r="C186" i="7"/>
  <c r="O186" i="7"/>
  <c r="C187" i="7"/>
  <c r="O187" i="7"/>
  <c r="C188" i="7"/>
  <c r="O188" i="7"/>
  <c r="P188" i="7" s="1"/>
  <c r="Q188" i="7" s="1"/>
  <c r="C189" i="7"/>
  <c r="O189" i="7"/>
  <c r="P189" i="7" s="1"/>
  <c r="C190" i="7"/>
  <c r="O190" i="7"/>
  <c r="P190" i="7" s="1"/>
  <c r="C191" i="7"/>
  <c r="O191" i="7"/>
  <c r="P191" i="7" s="1"/>
  <c r="Q191" i="7" s="1"/>
  <c r="C192" i="7"/>
  <c r="O192" i="7"/>
  <c r="C193" i="7"/>
  <c r="O193" i="7"/>
  <c r="P193" i="7" s="1"/>
  <c r="Q193" i="7" s="1"/>
  <c r="C194" i="7"/>
  <c r="O194" i="7"/>
  <c r="P194" i="7" s="1"/>
  <c r="Q194" i="7" s="1"/>
  <c r="C195" i="7"/>
  <c r="O195" i="7"/>
  <c r="P195" i="7" s="1"/>
  <c r="Q195" i="7" s="1"/>
  <c r="C196" i="7"/>
  <c r="O196" i="7"/>
  <c r="P196" i="7" s="1"/>
  <c r="C197" i="7"/>
  <c r="O197" i="7"/>
  <c r="C198" i="7"/>
  <c r="O198" i="7"/>
  <c r="P198" i="7" s="1"/>
  <c r="C199" i="7"/>
  <c r="O199" i="7"/>
  <c r="P199" i="7" s="1"/>
  <c r="C200" i="7"/>
  <c r="O200" i="7"/>
  <c r="P200" i="7" s="1"/>
  <c r="Q200" i="7" s="1"/>
  <c r="C201" i="7"/>
  <c r="O201" i="7"/>
  <c r="P201" i="7" s="1"/>
  <c r="C202" i="7"/>
  <c r="O202" i="7"/>
  <c r="C203" i="7"/>
  <c r="O203" i="7"/>
  <c r="P203" i="7" s="1"/>
  <c r="C204" i="7"/>
  <c r="O204" i="7"/>
  <c r="P204" i="7" s="1"/>
  <c r="Q204" i="7" s="1"/>
  <c r="C205" i="7"/>
  <c r="O205" i="7"/>
  <c r="P205" i="7" s="1"/>
  <c r="C206" i="7"/>
  <c r="O206" i="7"/>
  <c r="C207" i="7"/>
  <c r="O207" i="7"/>
  <c r="P207" i="7" s="1"/>
  <c r="Q207" i="7" s="1"/>
  <c r="C208" i="7"/>
  <c r="O208" i="7"/>
  <c r="C209" i="7"/>
  <c r="O209" i="7"/>
  <c r="P209" i="7" s="1"/>
  <c r="C210" i="7"/>
  <c r="O210" i="7"/>
  <c r="P210" i="7" s="1"/>
  <c r="C211" i="7"/>
  <c r="O211" i="7"/>
  <c r="P211" i="7" s="1"/>
  <c r="C212" i="7"/>
  <c r="O212" i="7"/>
  <c r="P212" i="7" s="1"/>
  <c r="C213" i="7"/>
  <c r="O213" i="7"/>
  <c r="P213" i="7" s="1"/>
  <c r="C214" i="7"/>
  <c r="O214" i="7"/>
  <c r="P214" i="7" s="1"/>
  <c r="C215" i="7"/>
  <c r="O215" i="7"/>
  <c r="P215" i="7" s="1"/>
  <c r="C216" i="7"/>
  <c r="O216" i="7"/>
  <c r="C217" i="7"/>
  <c r="O217" i="7"/>
  <c r="P217" i="7" s="1"/>
  <c r="C218" i="7"/>
  <c r="O218" i="7"/>
  <c r="C219" i="7"/>
  <c r="O219" i="7"/>
  <c r="P219" i="7" s="1"/>
  <c r="C220" i="7"/>
  <c r="O220" i="7"/>
  <c r="P220" i="7" s="1"/>
  <c r="C221" i="7"/>
  <c r="O221" i="7"/>
  <c r="P221" i="7" s="1"/>
  <c r="C222" i="7"/>
  <c r="O222" i="7"/>
  <c r="P222" i="7" s="1"/>
  <c r="C223" i="7"/>
  <c r="O223" i="7"/>
  <c r="P223" i="7" s="1"/>
  <c r="C224" i="7"/>
  <c r="O224" i="7"/>
  <c r="C225" i="7"/>
  <c r="P225" i="7"/>
  <c r="Q225" i="7" s="1"/>
  <c r="C226" i="7"/>
  <c r="O226" i="7"/>
  <c r="P226" i="7" s="1"/>
  <c r="Q226" i="7" s="1"/>
  <c r="C227" i="7"/>
  <c r="O227" i="7"/>
  <c r="P227" i="7" s="1"/>
  <c r="C228" i="7"/>
  <c r="O228" i="7"/>
  <c r="C229" i="7"/>
  <c r="O229" i="7"/>
  <c r="P229" i="7" s="1"/>
  <c r="C230" i="7"/>
  <c r="O230" i="7"/>
  <c r="P230" i="7" s="1"/>
  <c r="C231" i="7"/>
  <c r="O231" i="7"/>
  <c r="P231" i="7" s="1"/>
  <c r="C232" i="7"/>
  <c r="O232" i="7"/>
  <c r="P232" i="7" s="1"/>
  <c r="C233" i="7"/>
  <c r="O233" i="7"/>
  <c r="P233" i="7" s="1"/>
  <c r="C234" i="7"/>
  <c r="O234" i="7"/>
  <c r="C235" i="7"/>
  <c r="O235" i="7"/>
  <c r="P235" i="7" s="1"/>
  <c r="C236" i="7"/>
  <c r="O236" i="7"/>
  <c r="C237" i="7"/>
  <c r="O237" i="7"/>
  <c r="C238" i="7"/>
  <c r="O238" i="7"/>
  <c r="P238" i="7" s="1"/>
  <c r="C239" i="7"/>
  <c r="O239" i="7"/>
  <c r="P239" i="7" s="1"/>
  <c r="C240" i="7"/>
  <c r="O240" i="7"/>
  <c r="P240" i="7" s="1"/>
  <c r="C241" i="7"/>
  <c r="O241" i="7"/>
  <c r="P241" i="7" s="1"/>
  <c r="Q241" i="7" s="1"/>
  <c r="C242" i="7"/>
  <c r="O242" i="7"/>
  <c r="P242" i="7" s="1"/>
  <c r="C243" i="7"/>
  <c r="O243" i="7"/>
  <c r="P243" i="7" s="1"/>
  <c r="C244" i="7"/>
  <c r="O244" i="7"/>
  <c r="P244" i="7" s="1"/>
  <c r="C245" i="7"/>
  <c r="O245" i="7"/>
  <c r="P245" i="7" s="1"/>
  <c r="C246" i="7"/>
  <c r="O246" i="7"/>
  <c r="C247" i="7"/>
  <c r="O247" i="7"/>
  <c r="P247" i="7" s="1"/>
  <c r="C248" i="7"/>
  <c r="O248" i="7"/>
  <c r="P248" i="7" s="1"/>
  <c r="C249" i="7"/>
  <c r="O249" i="7"/>
  <c r="P249" i="7" s="1"/>
  <c r="Q249" i="7" s="1"/>
  <c r="C250" i="7"/>
  <c r="O250" i="7"/>
  <c r="C251" i="7"/>
  <c r="O251" i="7"/>
  <c r="P251" i="7" s="1"/>
  <c r="C252" i="7"/>
  <c r="O252" i="7"/>
  <c r="P252" i="7" s="1"/>
  <c r="Q252" i="7" s="1"/>
  <c r="C253" i="7"/>
  <c r="O253" i="7"/>
  <c r="P253" i="7" s="1"/>
  <c r="C254" i="7"/>
  <c r="O254" i="7"/>
  <c r="P254" i="7" s="1"/>
  <c r="C255" i="7"/>
  <c r="O255" i="7"/>
  <c r="P255" i="7" s="1"/>
  <c r="C256" i="7"/>
  <c r="O256" i="7"/>
  <c r="C257" i="7"/>
  <c r="O257" i="7"/>
  <c r="P257" i="7" s="1"/>
  <c r="Q257" i="7" s="1"/>
  <c r="C258" i="7"/>
  <c r="O258" i="7"/>
  <c r="C259" i="7"/>
  <c r="O259" i="7"/>
  <c r="C260" i="7"/>
  <c r="O260" i="7"/>
  <c r="P260" i="7" s="1"/>
  <c r="C261" i="7"/>
  <c r="O261" i="7"/>
  <c r="P261" i="7" s="1"/>
  <c r="Q261" i="7" s="1"/>
  <c r="C262" i="7"/>
  <c r="O262" i="7"/>
  <c r="P262" i="7" s="1"/>
  <c r="C263" i="7"/>
  <c r="O263" i="7"/>
  <c r="P263" i="7" s="1"/>
  <c r="C264" i="7"/>
  <c r="O264" i="7"/>
  <c r="P264" i="7" s="1"/>
  <c r="C265" i="7"/>
  <c r="O265" i="7"/>
  <c r="P265" i="7" s="1"/>
  <c r="Q265" i="7" s="1"/>
  <c r="C266" i="7"/>
  <c r="O266" i="7"/>
  <c r="C267" i="7"/>
  <c r="O267" i="7"/>
  <c r="P267" i="7" s="1"/>
  <c r="C268" i="7"/>
  <c r="O268" i="7"/>
  <c r="P268" i="7" s="1"/>
  <c r="C269" i="7"/>
  <c r="O269" i="7"/>
  <c r="C270" i="7"/>
  <c r="O270" i="7"/>
  <c r="P270" i="7" s="1"/>
  <c r="C271" i="7"/>
  <c r="O271" i="7"/>
  <c r="P271" i="7" s="1"/>
  <c r="Q271" i="7" s="1"/>
  <c r="C272" i="7"/>
  <c r="O272" i="7"/>
  <c r="P272" i="7" s="1"/>
  <c r="C273" i="7"/>
  <c r="O273" i="7"/>
  <c r="C274" i="7"/>
  <c r="O274" i="7"/>
  <c r="P274" i="7" s="1"/>
  <c r="C275" i="7"/>
  <c r="O275" i="7"/>
  <c r="P275" i="7" s="1"/>
  <c r="C276" i="7"/>
  <c r="O276" i="7"/>
  <c r="P276" i="7" s="1"/>
  <c r="C277" i="7"/>
  <c r="O277" i="7"/>
  <c r="P277" i="7" s="1"/>
  <c r="C278" i="7"/>
  <c r="O278" i="7"/>
  <c r="P278" i="7" s="1"/>
  <c r="C279" i="7"/>
  <c r="O279" i="7"/>
  <c r="C280" i="7"/>
  <c r="O280" i="7"/>
  <c r="P280" i="7" s="1"/>
  <c r="C281" i="7"/>
  <c r="O281" i="7"/>
  <c r="P281" i="7" s="1"/>
  <c r="C282" i="7"/>
  <c r="O282" i="7"/>
  <c r="C283" i="7"/>
  <c r="O283" i="7"/>
  <c r="P283" i="7" s="1"/>
  <c r="Q283" i="7" s="1"/>
  <c r="C284" i="7"/>
  <c r="O284" i="7"/>
  <c r="P284" i="7" s="1"/>
  <c r="Q284" i="7" s="1"/>
  <c r="C285" i="7"/>
  <c r="O285" i="7"/>
  <c r="P285" i="7" s="1"/>
  <c r="C286" i="7"/>
  <c r="O286" i="7"/>
  <c r="P286" i="7" s="1"/>
  <c r="C287" i="7"/>
  <c r="O287" i="7"/>
  <c r="P287" i="7" s="1"/>
  <c r="Q287" i="7" s="1"/>
  <c r="C288" i="7"/>
  <c r="O288" i="7"/>
  <c r="C289" i="7"/>
  <c r="O289" i="7"/>
  <c r="P289" i="7" s="1"/>
  <c r="Q289" i="7" s="1"/>
  <c r="C290" i="7"/>
  <c r="O290" i="7"/>
  <c r="P290" i="7" s="1"/>
  <c r="C291" i="7"/>
  <c r="O291" i="7"/>
  <c r="P291" i="7" s="1"/>
  <c r="C292" i="7"/>
  <c r="O292" i="7"/>
  <c r="P292" i="7" s="1"/>
  <c r="C293" i="7"/>
  <c r="O293" i="7"/>
  <c r="C294" i="7"/>
  <c r="O294" i="7"/>
  <c r="P294" i="7" s="1"/>
  <c r="C295" i="7"/>
  <c r="O295" i="7"/>
  <c r="P295" i="7" s="1"/>
  <c r="C296" i="7"/>
  <c r="O296" i="7"/>
  <c r="P296" i="7" s="1"/>
  <c r="C297" i="7"/>
  <c r="O297" i="7"/>
  <c r="P297" i="7" s="1"/>
  <c r="C298" i="7"/>
  <c r="O298" i="7"/>
  <c r="C299" i="7"/>
  <c r="O299" i="7"/>
  <c r="P299" i="7" s="1"/>
  <c r="C300" i="7"/>
  <c r="O300" i="7"/>
  <c r="P300" i="7" s="1"/>
  <c r="Q300" i="7" s="1"/>
  <c r="C301" i="7"/>
  <c r="O301" i="7"/>
  <c r="P301" i="7" s="1"/>
  <c r="C302" i="7"/>
  <c r="O302" i="7"/>
  <c r="C303" i="7"/>
  <c r="O303" i="7"/>
  <c r="P303" i="7" s="1"/>
  <c r="Q303" i="7" s="1"/>
  <c r="C304" i="7"/>
  <c r="O304" i="7"/>
  <c r="C305" i="7"/>
  <c r="O305" i="7"/>
  <c r="P305" i="7" s="1"/>
  <c r="Q305" i="7" s="1"/>
  <c r="C306" i="7"/>
  <c r="O306" i="7"/>
  <c r="P306" i="7" s="1"/>
  <c r="C307" i="7"/>
  <c r="O307" i="7"/>
  <c r="C308" i="7"/>
  <c r="O308" i="7"/>
  <c r="C309" i="7"/>
  <c r="O309" i="7"/>
  <c r="P309" i="7" s="1"/>
  <c r="C310" i="7"/>
  <c r="O310" i="7"/>
  <c r="P310" i="7" s="1"/>
  <c r="C311" i="7"/>
  <c r="O311" i="7"/>
  <c r="P311" i="7" s="1"/>
  <c r="C312" i="7"/>
  <c r="O312" i="7"/>
  <c r="P312" i="7" s="1"/>
  <c r="C313" i="7"/>
  <c r="O313" i="7"/>
  <c r="P313" i="7" s="1"/>
  <c r="C314" i="7"/>
  <c r="O314" i="7"/>
  <c r="C315" i="7"/>
  <c r="O315" i="7"/>
  <c r="P315" i="7" s="1"/>
  <c r="C316" i="7"/>
  <c r="O316" i="7"/>
  <c r="P316" i="7" s="1"/>
  <c r="Q316" i="7" s="1"/>
  <c r="C317" i="7"/>
  <c r="O317" i="7"/>
  <c r="P317" i="7" s="1"/>
  <c r="C318" i="7"/>
  <c r="O318" i="7"/>
  <c r="C319" i="7"/>
  <c r="O319" i="7"/>
  <c r="P319" i="7" s="1"/>
  <c r="Q319" i="7" s="1"/>
  <c r="C320" i="7"/>
  <c r="O320" i="7"/>
  <c r="C321" i="7"/>
  <c r="O321" i="7"/>
  <c r="P321" i="7" s="1"/>
  <c r="Q321" i="7" s="1"/>
  <c r="C322" i="7"/>
  <c r="O322" i="7"/>
  <c r="P322" i="7" s="1"/>
  <c r="C323" i="7"/>
  <c r="O323" i="7"/>
  <c r="P323" i="7" s="1"/>
  <c r="Q323" i="7" s="1"/>
  <c r="C324" i="7"/>
  <c r="O324" i="7"/>
  <c r="P324" i="7" s="1"/>
  <c r="C325" i="7"/>
  <c r="O325" i="7"/>
  <c r="C326" i="7"/>
  <c r="O326" i="7"/>
  <c r="P326" i="7" s="1"/>
  <c r="C327" i="7"/>
  <c r="O327" i="7"/>
  <c r="P327" i="7" s="1"/>
  <c r="C328" i="7"/>
  <c r="O328" i="7"/>
  <c r="P328" i="7" s="1"/>
  <c r="Q328" i="7" s="1"/>
  <c r="C329" i="7"/>
  <c r="O329" i="7"/>
  <c r="P329" i="7" s="1"/>
  <c r="C330" i="7"/>
  <c r="O330" i="7"/>
  <c r="C331" i="7"/>
  <c r="O331" i="7"/>
  <c r="P331" i="7" s="1"/>
  <c r="C332" i="7"/>
  <c r="O332" i="7"/>
  <c r="C333" i="7"/>
  <c r="O333" i="7"/>
  <c r="P333" i="7" s="1"/>
  <c r="C334" i="7"/>
  <c r="O334" i="7"/>
  <c r="P334" i="7" s="1"/>
  <c r="C335" i="7"/>
  <c r="O335" i="7"/>
  <c r="P335" i="7" s="1"/>
  <c r="Q335" i="7" s="1"/>
  <c r="C336" i="7"/>
  <c r="O336" i="7"/>
  <c r="P336" i="7" s="1"/>
  <c r="C337" i="7"/>
  <c r="O337" i="7"/>
  <c r="P337" i="7" s="1"/>
  <c r="Q337" i="7" s="1"/>
  <c r="C338" i="7"/>
  <c r="O338" i="7"/>
  <c r="P338" i="7" s="1"/>
  <c r="C339" i="7"/>
  <c r="O339" i="7"/>
  <c r="P339" i="7" s="1"/>
  <c r="C340" i="7"/>
  <c r="O340" i="7"/>
  <c r="P340" i="7" s="1"/>
  <c r="Q340" i="7" s="1"/>
  <c r="C341" i="7"/>
  <c r="O341" i="7"/>
  <c r="P341" i="7" s="1"/>
  <c r="C342" i="7"/>
  <c r="O342" i="7"/>
  <c r="C343" i="7"/>
  <c r="O343" i="7"/>
  <c r="P343" i="7" s="1"/>
  <c r="C344" i="7"/>
  <c r="O344" i="7"/>
  <c r="P344" i="7" s="1"/>
  <c r="C345" i="7"/>
  <c r="O345" i="7"/>
  <c r="P345" i="7" s="1"/>
  <c r="C346" i="7"/>
  <c r="O346" i="7"/>
  <c r="C347" i="7"/>
  <c r="O347" i="7"/>
  <c r="P347" i="7" s="1"/>
  <c r="C348" i="7"/>
  <c r="O348" i="7"/>
  <c r="P348" i="7" s="1"/>
  <c r="C349" i="7"/>
  <c r="O349" i="7"/>
  <c r="P349" i="7" s="1"/>
  <c r="C350" i="7"/>
  <c r="O350" i="7"/>
  <c r="P350" i="7" s="1"/>
  <c r="Q350" i="7" s="1"/>
  <c r="C351" i="7"/>
  <c r="O351" i="7"/>
  <c r="P351" i="7" s="1"/>
  <c r="C352" i="7"/>
  <c r="O352" i="7"/>
  <c r="C353" i="7"/>
  <c r="O353" i="7"/>
  <c r="P353" i="7" s="1"/>
  <c r="C354" i="7"/>
  <c r="O354" i="7"/>
  <c r="P354" i="7" s="1"/>
  <c r="C355" i="7"/>
  <c r="O355" i="7"/>
  <c r="P355" i="7" s="1"/>
  <c r="Q355" i="7" s="1"/>
  <c r="C356" i="7"/>
  <c r="O356" i="7"/>
  <c r="P356" i="7" s="1"/>
  <c r="C357" i="7"/>
  <c r="O357" i="7"/>
  <c r="P357" i="7" s="1"/>
  <c r="C358" i="7"/>
  <c r="O358" i="7"/>
  <c r="P358" i="7" s="1"/>
  <c r="C359" i="7"/>
  <c r="O359" i="7"/>
  <c r="P359" i="7" s="1"/>
  <c r="C360" i="7"/>
  <c r="O360" i="7"/>
  <c r="P360" i="7" s="1"/>
  <c r="C361" i="7"/>
  <c r="O361" i="7"/>
  <c r="P361" i="7" s="1"/>
  <c r="Q361" i="7" s="1"/>
  <c r="C362" i="7"/>
  <c r="O362" i="7"/>
  <c r="C363" i="7"/>
  <c r="O363" i="7"/>
  <c r="P363" i="7" s="1"/>
  <c r="C364" i="7"/>
  <c r="O364" i="7"/>
  <c r="C365" i="7"/>
  <c r="O365" i="7"/>
  <c r="C366" i="7"/>
  <c r="O366" i="7"/>
  <c r="P366" i="7" s="1"/>
  <c r="C367" i="7"/>
  <c r="O367" i="7"/>
  <c r="P367" i="7" s="1"/>
  <c r="Q367" i="7" s="1"/>
  <c r="C368" i="7"/>
  <c r="O368" i="7"/>
  <c r="P368" i="7" s="1"/>
  <c r="C369" i="7"/>
  <c r="O369" i="7"/>
  <c r="P369" i="7" s="1"/>
  <c r="C370" i="7"/>
  <c r="O370" i="7"/>
  <c r="P370" i="7" s="1"/>
  <c r="C371" i="7"/>
  <c r="O371" i="7"/>
  <c r="P371" i="7" s="1"/>
  <c r="C372" i="7"/>
  <c r="O372" i="7"/>
  <c r="P372" i="7" s="1"/>
  <c r="C373" i="7"/>
  <c r="O373" i="7"/>
  <c r="P373" i="7" s="1"/>
  <c r="C374" i="7"/>
  <c r="O374" i="7"/>
  <c r="P374" i="7" s="1"/>
  <c r="C375" i="7"/>
  <c r="O375" i="7"/>
  <c r="P375" i="7" s="1"/>
  <c r="C376" i="7"/>
  <c r="O376" i="7"/>
  <c r="P376" i="7" s="1"/>
  <c r="Q376" i="7" s="1"/>
  <c r="C377" i="7"/>
  <c r="O377" i="7"/>
  <c r="P377" i="7" s="1"/>
  <c r="C378" i="7"/>
  <c r="O378" i="7"/>
  <c r="C379" i="7"/>
  <c r="O379" i="7"/>
  <c r="P379" i="7" s="1"/>
  <c r="C380" i="7"/>
  <c r="O380" i="7"/>
  <c r="P380" i="7" s="1"/>
  <c r="C381" i="7"/>
  <c r="O381" i="7"/>
  <c r="P381" i="7" s="1"/>
  <c r="C382" i="7"/>
  <c r="O382" i="7"/>
  <c r="P382" i="7" s="1"/>
  <c r="C383" i="7"/>
  <c r="O383" i="7"/>
  <c r="P383" i="7" s="1"/>
  <c r="C384" i="7"/>
  <c r="O384" i="7"/>
  <c r="C385" i="7"/>
  <c r="O385" i="7"/>
  <c r="P385" i="7" s="1"/>
  <c r="Q385" i="7" s="1"/>
  <c r="C386" i="7"/>
  <c r="O386" i="7"/>
  <c r="P386" i="7" s="1"/>
  <c r="C387" i="7"/>
  <c r="O387" i="7"/>
  <c r="C388" i="7"/>
  <c r="O388" i="7"/>
  <c r="P388" i="7" s="1"/>
  <c r="C389" i="7"/>
  <c r="O389" i="7"/>
  <c r="P389" i="7" s="1"/>
  <c r="Q389" i="7" s="1"/>
  <c r="C390" i="7"/>
  <c r="O390" i="7"/>
  <c r="C391" i="7"/>
  <c r="O391" i="7"/>
  <c r="P391" i="7" s="1"/>
  <c r="C392" i="7"/>
  <c r="O392" i="7"/>
  <c r="P392" i="7" s="1"/>
  <c r="C393" i="7"/>
  <c r="O393" i="7"/>
  <c r="P393" i="7" s="1"/>
  <c r="Q393" i="7" s="1"/>
  <c r="C394" i="7"/>
  <c r="O394" i="7"/>
  <c r="C395" i="7"/>
  <c r="O395" i="7"/>
  <c r="C396" i="7"/>
  <c r="O396" i="7"/>
  <c r="P396" i="7" s="1"/>
  <c r="C397" i="7"/>
  <c r="O397" i="7"/>
  <c r="C398" i="7"/>
  <c r="O398" i="7"/>
  <c r="P398" i="7" s="1"/>
  <c r="Q398" i="7" s="1"/>
  <c r="C399" i="7"/>
  <c r="O399" i="7"/>
  <c r="P399" i="7" s="1"/>
  <c r="C400" i="7"/>
  <c r="O400" i="7"/>
  <c r="C401" i="7"/>
  <c r="O401" i="7"/>
  <c r="P401" i="7" s="1"/>
  <c r="Q401" i="7" s="1"/>
  <c r="C402" i="7"/>
  <c r="O402" i="7"/>
  <c r="C403" i="7"/>
  <c r="O403" i="7"/>
  <c r="P403" i="7" s="1"/>
  <c r="C404" i="7"/>
  <c r="O404" i="7"/>
  <c r="P404" i="7" s="1"/>
  <c r="Q404" i="7" s="1"/>
  <c r="C405" i="7"/>
  <c r="O405" i="7"/>
  <c r="P405" i="7" s="1"/>
  <c r="C406" i="7"/>
  <c r="O406" i="7"/>
  <c r="C407" i="7"/>
  <c r="O407" i="7"/>
  <c r="P407" i="7" s="1"/>
  <c r="C408" i="7"/>
  <c r="O408" i="7"/>
  <c r="P408" i="7" s="1"/>
  <c r="C409" i="7"/>
  <c r="O409" i="7"/>
  <c r="C410" i="7"/>
  <c r="O410" i="7"/>
  <c r="C411" i="7"/>
  <c r="O411" i="7"/>
  <c r="C412" i="7"/>
  <c r="O412" i="7"/>
  <c r="P412" i="7" s="1"/>
  <c r="C413" i="7"/>
  <c r="O413" i="7"/>
  <c r="P413" i="7" s="1"/>
  <c r="C414" i="7"/>
  <c r="O414" i="7"/>
  <c r="P414" i="7" s="1"/>
  <c r="C415" i="7"/>
  <c r="O415" i="7"/>
  <c r="C416" i="7"/>
  <c r="O416" i="7"/>
  <c r="P416" i="7" s="1"/>
  <c r="Q416" i="7" s="1"/>
  <c r="C417" i="7"/>
  <c r="O417" i="7"/>
  <c r="P417" i="7" s="1"/>
  <c r="C418" i="7"/>
  <c r="O418" i="7"/>
  <c r="P418" i="7" s="1"/>
  <c r="Q418" i="7" s="1"/>
  <c r="C419" i="7"/>
  <c r="O419" i="7"/>
  <c r="P419" i="7" s="1"/>
  <c r="C420" i="7"/>
  <c r="O420" i="7"/>
  <c r="P420" i="7" s="1"/>
  <c r="Q420" i="7" s="1"/>
  <c r="C421" i="7"/>
  <c r="O421" i="7"/>
  <c r="C422" i="7"/>
  <c r="O422" i="7"/>
  <c r="C423" i="7"/>
  <c r="O423" i="7"/>
  <c r="P423" i="7" s="1"/>
  <c r="C424" i="7"/>
  <c r="O424" i="7"/>
  <c r="P424" i="7" s="1"/>
  <c r="Q424" i="7" s="1"/>
  <c r="C425" i="7"/>
  <c r="O425" i="7"/>
  <c r="C426" i="7"/>
  <c r="O426" i="7"/>
  <c r="C427" i="7"/>
  <c r="O427" i="7"/>
  <c r="P427" i="7" s="1"/>
  <c r="C428" i="7"/>
  <c r="O428" i="7"/>
  <c r="P428" i="7" s="1"/>
  <c r="Q428" i="7" s="1"/>
  <c r="C429" i="7"/>
  <c r="O429" i="7"/>
  <c r="P429" i="7" s="1"/>
  <c r="C430" i="7"/>
  <c r="O430" i="7"/>
  <c r="C431" i="7"/>
  <c r="O431" i="7"/>
  <c r="P431" i="7" s="1"/>
  <c r="C432" i="7"/>
  <c r="O432" i="7"/>
  <c r="P432" i="7" s="1"/>
  <c r="C433" i="7"/>
  <c r="O433" i="7"/>
  <c r="P433" i="7" s="1"/>
  <c r="C434" i="7"/>
  <c r="O434" i="7"/>
  <c r="C435" i="7"/>
  <c r="O435" i="7"/>
  <c r="P435" i="7" s="1"/>
  <c r="C436" i="7"/>
  <c r="O436" i="7"/>
  <c r="P436" i="7" s="1"/>
  <c r="C437" i="7"/>
  <c r="O437" i="7"/>
  <c r="P437" i="7" s="1"/>
  <c r="Q437" i="7" s="1"/>
  <c r="C438" i="7"/>
  <c r="O438" i="7"/>
  <c r="P438" i="7" s="1"/>
  <c r="Q438" i="7" s="1"/>
  <c r="C439" i="7"/>
  <c r="O439" i="7"/>
  <c r="P439" i="7" s="1"/>
  <c r="Q439" i="7" s="1"/>
  <c r="C440" i="7"/>
  <c r="O440" i="7"/>
  <c r="C441" i="7"/>
  <c r="O441" i="7"/>
  <c r="C442" i="7"/>
  <c r="O442" i="7"/>
  <c r="C443" i="7"/>
  <c r="O443" i="7"/>
  <c r="P443" i="7" s="1"/>
  <c r="C444" i="7"/>
  <c r="O444" i="7"/>
  <c r="P444" i="7" s="1"/>
  <c r="Q444" i="7" s="1"/>
  <c r="C445" i="7"/>
  <c r="O445" i="7"/>
  <c r="P445" i="7" s="1"/>
  <c r="C446" i="7"/>
  <c r="O446" i="7"/>
  <c r="P446" i="7" s="1"/>
  <c r="C447" i="7"/>
  <c r="O447" i="7"/>
  <c r="P447" i="7" s="1"/>
  <c r="C448" i="7"/>
  <c r="O448" i="7"/>
  <c r="P448" i="7" s="1"/>
  <c r="C449" i="7"/>
  <c r="O449" i="7"/>
  <c r="P449" i="7" s="1"/>
  <c r="Q449" i="7" s="1"/>
  <c r="C450" i="7"/>
  <c r="O450" i="7"/>
  <c r="C451" i="7"/>
  <c r="O451" i="7"/>
  <c r="P451" i="7" s="1"/>
  <c r="C452" i="7"/>
  <c r="O452" i="7"/>
  <c r="P452" i="7" s="1"/>
  <c r="C453" i="7"/>
  <c r="O453" i="7"/>
  <c r="P453" i="7" s="1"/>
  <c r="C454" i="7"/>
  <c r="O454" i="7"/>
  <c r="P454" i="7" s="1"/>
  <c r="C455" i="7"/>
  <c r="O455" i="7"/>
  <c r="C456" i="7"/>
  <c r="O456" i="7"/>
  <c r="P456" i="7" s="1"/>
  <c r="Q456" i="7" s="1"/>
  <c r="C457" i="7"/>
  <c r="O457" i="7"/>
  <c r="C458" i="7"/>
  <c r="O458" i="7"/>
  <c r="P458" i="7" s="1"/>
  <c r="C459" i="7"/>
  <c r="O459" i="7"/>
  <c r="P459" i="7" s="1"/>
  <c r="Q459" i="7" s="1"/>
  <c r="C460" i="7"/>
  <c r="O460" i="7"/>
  <c r="P460" i="7" s="1"/>
  <c r="C461" i="7"/>
  <c r="O461" i="7"/>
  <c r="C462" i="7"/>
  <c r="O462" i="7"/>
  <c r="P462" i="7" s="1"/>
  <c r="Q462" i="7" s="1"/>
  <c r="C463" i="7"/>
  <c r="O463" i="7"/>
  <c r="P463" i="7" s="1"/>
  <c r="C464" i="7"/>
  <c r="O464" i="7"/>
  <c r="P464" i="7" s="1"/>
  <c r="Q464" i="7" s="1"/>
  <c r="C465" i="7"/>
  <c r="O465" i="7"/>
  <c r="P465" i="7" s="1"/>
  <c r="Q465" i="7" s="1"/>
  <c r="C466" i="7"/>
  <c r="O466" i="7"/>
  <c r="C467" i="7"/>
  <c r="O467" i="7"/>
  <c r="P467" i="7" s="1"/>
  <c r="C468" i="7"/>
  <c r="O468" i="7"/>
  <c r="P468" i="7" s="1"/>
  <c r="C469" i="7"/>
  <c r="O469" i="7"/>
  <c r="C470" i="7"/>
  <c r="O470" i="7"/>
  <c r="C471" i="7"/>
  <c r="O471" i="7"/>
  <c r="C472" i="7"/>
  <c r="O472" i="7"/>
  <c r="P472" i="7" s="1"/>
  <c r="C473" i="7"/>
  <c r="O473" i="7"/>
  <c r="P473" i="7" s="1"/>
  <c r="Q473" i="7" s="1"/>
  <c r="C474" i="7"/>
  <c r="O474" i="7"/>
  <c r="P474" i="7" s="1"/>
  <c r="C475" i="7"/>
  <c r="O475" i="7"/>
  <c r="P475" i="7" s="1"/>
  <c r="Q475" i="7" s="1"/>
  <c r="C476" i="7"/>
  <c r="O476" i="7"/>
  <c r="P476" i="7" s="1"/>
  <c r="C477" i="7"/>
  <c r="O477" i="7"/>
  <c r="P477" i="7" s="1"/>
  <c r="Q477" i="7" s="1"/>
  <c r="C478" i="7"/>
  <c r="O478" i="7"/>
  <c r="P478" i="7" s="1"/>
  <c r="Q478" i="7" s="1"/>
  <c r="C479" i="7"/>
  <c r="O479" i="7"/>
  <c r="P479" i="7" s="1"/>
  <c r="C480" i="7"/>
  <c r="O480" i="7"/>
  <c r="P480" i="7" s="1"/>
  <c r="Q480" i="7" s="1"/>
  <c r="C481" i="7"/>
  <c r="O481" i="7"/>
  <c r="P481" i="7" s="1"/>
  <c r="C482" i="7"/>
  <c r="O482" i="7"/>
  <c r="C483" i="7"/>
  <c r="O483" i="7"/>
  <c r="P483" i="7" s="1"/>
  <c r="C484" i="7"/>
  <c r="O484" i="7"/>
  <c r="P484" i="7" s="1"/>
  <c r="C485" i="7"/>
  <c r="O485" i="7"/>
  <c r="P485" i="7" s="1"/>
  <c r="C486" i="7"/>
  <c r="O486" i="7"/>
  <c r="P486" i="7" s="1"/>
  <c r="C487" i="7"/>
  <c r="O487" i="7"/>
  <c r="C488" i="7"/>
  <c r="O488" i="7"/>
  <c r="P488" i="7" s="1"/>
  <c r="Q488" i="7" s="1"/>
  <c r="C489" i="7"/>
  <c r="O489" i="7"/>
  <c r="P489" i="7" s="1"/>
  <c r="C490" i="7"/>
  <c r="O490" i="7"/>
  <c r="P490" i="7" s="1"/>
  <c r="C491" i="7"/>
  <c r="O491" i="7"/>
  <c r="P491" i="7" s="1"/>
  <c r="C492" i="7"/>
  <c r="O492" i="7"/>
  <c r="P492" i="7" s="1"/>
  <c r="C493" i="7"/>
  <c r="O493" i="7"/>
  <c r="C494" i="7"/>
  <c r="O494" i="7"/>
  <c r="P494" i="7" s="1"/>
  <c r="Q494" i="7" s="1"/>
  <c r="C495" i="7"/>
  <c r="O495" i="7"/>
  <c r="P495" i="7" s="1"/>
  <c r="C496" i="7"/>
  <c r="O496" i="7"/>
  <c r="P496" i="7" s="1"/>
  <c r="Q496" i="7" s="1"/>
  <c r="C497" i="7"/>
  <c r="O497" i="7"/>
  <c r="P497" i="7" s="1"/>
  <c r="C498" i="7"/>
  <c r="O498" i="7"/>
  <c r="P498" i="7" s="1"/>
  <c r="C499" i="7"/>
  <c r="O499" i="7"/>
  <c r="P499" i="7" s="1"/>
  <c r="Q499" i="7" s="1"/>
  <c r="C500" i="7"/>
  <c r="O500" i="7"/>
  <c r="P500" i="7" s="1"/>
  <c r="C501" i="7"/>
  <c r="O501" i="7"/>
  <c r="P501" i="7" s="1"/>
  <c r="C502" i="7"/>
  <c r="O502" i="7"/>
  <c r="P502" i="7" s="1"/>
  <c r="C503" i="7"/>
  <c r="O503" i="7"/>
  <c r="C504" i="7"/>
  <c r="O504" i="7"/>
  <c r="P504" i="7" s="1"/>
  <c r="C505" i="7"/>
  <c r="O505" i="7"/>
  <c r="P505" i="7" s="1"/>
  <c r="Q505" i="7" s="1"/>
  <c r="C506" i="7"/>
  <c r="O506" i="7"/>
  <c r="P506" i="7" s="1"/>
  <c r="C507" i="7"/>
  <c r="O507" i="7"/>
  <c r="P507" i="7" s="1"/>
  <c r="C508" i="7"/>
  <c r="O508" i="7"/>
  <c r="C509" i="7"/>
  <c r="O509" i="7"/>
  <c r="C510" i="7"/>
  <c r="O510" i="7"/>
  <c r="P510" i="7" s="1"/>
  <c r="Q510" i="7" s="1"/>
  <c r="C511" i="7"/>
  <c r="O511" i="7"/>
  <c r="P511" i="7" s="1"/>
  <c r="C512" i="7"/>
  <c r="O512" i="7"/>
  <c r="P512" i="7" s="1"/>
  <c r="Q512" i="7" s="1"/>
  <c r="C513" i="7"/>
  <c r="O513" i="7"/>
  <c r="P513" i="7" s="1"/>
  <c r="Q513" i="7" s="1"/>
  <c r="C514" i="7"/>
  <c r="O514" i="7"/>
  <c r="P514" i="7" s="1"/>
  <c r="C515" i="7"/>
  <c r="O515" i="7"/>
  <c r="P515" i="7" s="1"/>
  <c r="C516" i="7"/>
  <c r="O516" i="7"/>
  <c r="P516" i="7" s="1"/>
  <c r="C517" i="7"/>
  <c r="O517" i="7"/>
  <c r="P517" i="7" s="1"/>
  <c r="C518" i="7"/>
  <c r="O518" i="7"/>
  <c r="P518" i="7" s="1"/>
  <c r="C519" i="7"/>
  <c r="O519" i="7"/>
  <c r="C520" i="7"/>
  <c r="O520" i="7"/>
  <c r="C521" i="7"/>
  <c r="O521" i="7"/>
  <c r="C522" i="7"/>
  <c r="O522" i="7"/>
  <c r="P522" i="7" s="1"/>
  <c r="C523" i="7"/>
  <c r="O523" i="7"/>
  <c r="P523" i="7" s="1"/>
  <c r="C524" i="7"/>
  <c r="O524" i="7"/>
  <c r="P524" i="7" s="1"/>
  <c r="C525" i="7"/>
  <c r="O525" i="7"/>
  <c r="P525" i="7" s="1"/>
  <c r="C526" i="7"/>
  <c r="O526" i="7"/>
  <c r="P526" i="7" s="1"/>
  <c r="Q526" i="7" s="1"/>
  <c r="C527" i="7"/>
  <c r="O527" i="7"/>
  <c r="P527" i="7" s="1"/>
  <c r="C528" i="7"/>
  <c r="O528" i="7"/>
  <c r="P528" i="7" s="1"/>
  <c r="Q528" i="7" s="1"/>
  <c r="C529" i="7"/>
  <c r="O529" i="7"/>
  <c r="P529" i="7" s="1"/>
  <c r="C530" i="7"/>
  <c r="O530" i="7"/>
  <c r="P530" i="7" s="1"/>
  <c r="C531" i="7"/>
  <c r="O531" i="7"/>
  <c r="P531" i="7" s="1"/>
  <c r="Q531" i="7" s="1"/>
  <c r="C532" i="7"/>
  <c r="O532" i="7"/>
  <c r="C533" i="7"/>
  <c r="O533" i="7"/>
  <c r="C534" i="7"/>
  <c r="O534" i="7"/>
  <c r="C535" i="7"/>
  <c r="O535" i="7"/>
  <c r="P535" i="7" s="1"/>
  <c r="C536" i="7"/>
  <c r="O536" i="7"/>
  <c r="P536" i="7" s="1"/>
  <c r="C537" i="7"/>
  <c r="O537" i="7"/>
  <c r="P537" i="7" s="1"/>
  <c r="C538" i="7"/>
  <c r="O538" i="7"/>
  <c r="P538" i="7" s="1"/>
  <c r="C539" i="7"/>
  <c r="O539" i="7"/>
  <c r="C540" i="7"/>
  <c r="O540" i="7"/>
  <c r="C541" i="7"/>
  <c r="O541" i="7"/>
  <c r="C542" i="7"/>
  <c r="O542" i="7"/>
  <c r="P542" i="7" s="1"/>
  <c r="Q542" i="7" s="1"/>
  <c r="C543" i="7"/>
  <c r="O543" i="7"/>
  <c r="P543" i="7" s="1"/>
  <c r="C544" i="7"/>
  <c r="O544" i="7"/>
  <c r="P544" i="7" s="1"/>
  <c r="C545" i="7"/>
  <c r="O545" i="7"/>
  <c r="P545" i="7" s="1"/>
  <c r="C546" i="7"/>
  <c r="O546" i="7"/>
  <c r="P546" i="7" s="1"/>
  <c r="C547" i="7"/>
  <c r="O547" i="7"/>
  <c r="P547" i="7" s="1"/>
  <c r="C548" i="7"/>
  <c r="O548" i="7"/>
  <c r="C549" i="7"/>
  <c r="O549" i="7"/>
  <c r="C550" i="7"/>
  <c r="O550" i="7"/>
  <c r="P550" i="7" s="1"/>
  <c r="C551" i="7"/>
  <c r="O551" i="7"/>
  <c r="C552" i="7"/>
  <c r="O552" i="7"/>
  <c r="C553" i="7"/>
  <c r="O553" i="7"/>
  <c r="P553" i="7" s="1"/>
  <c r="C554" i="7"/>
  <c r="O554" i="7"/>
  <c r="P554" i="7" s="1"/>
  <c r="C555" i="7"/>
  <c r="O555" i="7"/>
  <c r="C556" i="7"/>
  <c r="O556" i="7"/>
  <c r="C557" i="7"/>
  <c r="O557" i="7"/>
  <c r="C558" i="7"/>
  <c r="O558" i="7"/>
  <c r="P558" i="7" s="1"/>
  <c r="C559" i="7"/>
  <c r="O559" i="7"/>
  <c r="C560" i="7"/>
  <c r="O560" i="7"/>
  <c r="P560" i="7" s="1"/>
  <c r="C561" i="7"/>
  <c r="O561" i="7"/>
  <c r="P561" i="7" s="1"/>
  <c r="Q561" i="7" s="1"/>
  <c r="C562" i="7"/>
  <c r="O562" i="7"/>
  <c r="P562" i="7" s="1"/>
  <c r="C563" i="7"/>
  <c r="O563" i="7"/>
  <c r="P563" i="7" s="1"/>
  <c r="C564" i="7"/>
  <c r="O564" i="7"/>
  <c r="C565" i="7"/>
  <c r="O565" i="7"/>
  <c r="C566" i="7"/>
  <c r="O566" i="7"/>
  <c r="C567" i="7"/>
  <c r="O567" i="7"/>
  <c r="C568" i="7"/>
  <c r="O568" i="7"/>
  <c r="C569" i="7"/>
  <c r="O569" i="7"/>
  <c r="P569" i="7" s="1"/>
  <c r="C570" i="7"/>
  <c r="O570" i="7"/>
  <c r="P570" i="7" s="1"/>
  <c r="C571" i="7"/>
  <c r="O571" i="7"/>
  <c r="C572" i="7"/>
  <c r="O572" i="7"/>
  <c r="P572" i="7" s="1"/>
  <c r="Q572" i="7" s="1"/>
  <c r="C573" i="7"/>
  <c r="O573" i="7"/>
  <c r="C574" i="7"/>
  <c r="O574" i="7"/>
  <c r="P574" i="7" s="1"/>
  <c r="C575" i="7"/>
  <c r="O575" i="7"/>
  <c r="P575" i="7" s="1"/>
  <c r="C576" i="7"/>
  <c r="O576" i="7"/>
  <c r="P576" i="7" s="1"/>
  <c r="C577" i="7"/>
  <c r="O577" i="7"/>
  <c r="P577" i="7" s="1"/>
  <c r="Q577" i="7" s="1"/>
  <c r="C578" i="7"/>
  <c r="O578" i="7"/>
  <c r="P578" i="7" s="1"/>
  <c r="C579" i="7"/>
  <c r="O579" i="7"/>
  <c r="C580" i="7"/>
  <c r="O580" i="7"/>
  <c r="C581" i="7"/>
  <c r="O581" i="7"/>
  <c r="P581" i="7" s="1"/>
  <c r="Q581" i="7" s="1"/>
  <c r="C582" i="7"/>
  <c r="O582" i="7"/>
  <c r="P582" i="7" s="1"/>
  <c r="C583" i="7"/>
  <c r="O583" i="7"/>
  <c r="C584" i="7"/>
  <c r="O584" i="7"/>
  <c r="P584" i="7" s="1"/>
  <c r="Q584" i="7" s="1"/>
  <c r="C585" i="7"/>
  <c r="O585" i="7"/>
  <c r="P585" i="7" s="1"/>
  <c r="Q585" i="7" s="1"/>
  <c r="C586" i="7"/>
  <c r="O586" i="7"/>
  <c r="C587" i="7"/>
  <c r="O587" i="7"/>
  <c r="P587" i="7" s="1"/>
  <c r="C588" i="7"/>
  <c r="O588" i="7"/>
  <c r="P588" i="7" s="1"/>
  <c r="C589" i="7"/>
  <c r="O589" i="7"/>
  <c r="P589" i="7" s="1"/>
  <c r="C590" i="7"/>
  <c r="O590" i="7"/>
  <c r="P590" i="7" s="1"/>
  <c r="Q590" i="7" s="1"/>
  <c r="C591" i="7"/>
  <c r="O591" i="7"/>
  <c r="C592" i="7"/>
  <c r="O592" i="7"/>
  <c r="C593" i="7"/>
  <c r="O593" i="7"/>
  <c r="P593" i="7" s="1"/>
  <c r="Q593" i="7" s="1"/>
  <c r="C594" i="7"/>
  <c r="O594" i="7"/>
  <c r="P594" i="7" s="1"/>
  <c r="C595" i="7"/>
  <c r="O595" i="7"/>
  <c r="P595" i="7" s="1"/>
  <c r="Q595" i="7" s="1"/>
  <c r="C596" i="7"/>
  <c r="O596" i="7"/>
  <c r="C597" i="7"/>
  <c r="O597" i="7"/>
  <c r="P597" i="7" s="1"/>
  <c r="C598" i="7"/>
  <c r="O598" i="7"/>
  <c r="P598" i="7" s="1"/>
  <c r="Q598" i="7" s="1"/>
  <c r="C599" i="7"/>
  <c r="O599" i="7"/>
  <c r="P599" i="7" s="1"/>
  <c r="C600" i="7"/>
  <c r="O600" i="7"/>
  <c r="P600" i="7" s="1"/>
  <c r="C601" i="7"/>
  <c r="O601" i="7"/>
  <c r="P601" i="7" s="1"/>
  <c r="Q601" i="7" s="1"/>
  <c r="C602" i="7"/>
  <c r="O602" i="7"/>
  <c r="C603" i="7"/>
  <c r="O603" i="7"/>
  <c r="C604" i="7"/>
  <c r="O604" i="7"/>
  <c r="P604" i="7" s="1"/>
  <c r="C605" i="7"/>
  <c r="O605" i="7"/>
  <c r="P605" i="7" s="1"/>
  <c r="Q605" i="7" s="1"/>
  <c r="C606" i="7"/>
  <c r="O606" i="7"/>
  <c r="P606" i="7" s="1"/>
  <c r="Q606" i="7" s="1"/>
  <c r="C607" i="7"/>
  <c r="O607" i="7"/>
  <c r="C608" i="7"/>
  <c r="O608" i="7"/>
  <c r="P608" i="7" s="1"/>
  <c r="C609" i="7"/>
  <c r="O609" i="7"/>
  <c r="P609" i="7" s="1"/>
  <c r="C610" i="7"/>
  <c r="O610" i="7"/>
  <c r="P610" i="7" s="1"/>
  <c r="C611" i="7"/>
  <c r="O611" i="7"/>
  <c r="C612" i="7"/>
  <c r="O612" i="7"/>
  <c r="C613" i="7"/>
  <c r="O613" i="7"/>
  <c r="P613" i="7" s="1"/>
  <c r="C614" i="7"/>
  <c r="O614" i="7"/>
  <c r="P614" i="7" s="1"/>
  <c r="C615" i="7"/>
  <c r="O615" i="7"/>
  <c r="P615" i="7" s="1"/>
  <c r="C616" i="7"/>
  <c r="O616" i="7"/>
  <c r="C617" i="7"/>
  <c r="O617" i="7"/>
  <c r="C618" i="7"/>
  <c r="O618" i="7"/>
  <c r="P618" i="7" s="1"/>
  <c r="Q618" i="7" s="1"/>
  <c r="C619" i="7"/>
  <c r="O619" i="7"/>
  <c r="P619" i="7" s="1"/>
  <c r="C620" i="7"/>
  <c r="O620" i="7"/>
  <c r="C621" i="7"/>
  <c r="O621" i="7"/>
  <c r="P621" i="7" s="1"/>
  <c r="C622" i="7"/>
  <c r="O622" i="7"/>
  <c r="P622" i="7" s="1"/>
  <c r="Q622" i="7" s="1"/>
  <c r="C623" i="7"/>
  <c r="O623" i="7"/>
  <c r="P623" i="7" s="1"/>
  <c r="Q623" i="7" s="1"/>
  <c r="C624" i="7"/>
  <c r="O624" i="7"/>
  <c r="C625" i="7"/>
  <c r="O625" i="7"/>
  <c r="P625" i="7" s="1"/>
  <c r="Q625" i="7" s="1"/>
  <c r="C626" i="7"/>
  <c r="O626" i="7"/>
  <c r="P626" i="7" s="1"/>
  <c r="C627" i="7"/>
  <c r="O627" i="7"/>
  <c r="P627" i="7" s="1"/>
  <c r="C628" i="7"/>
  <c r="O628" i="7"/>
  <c r="C629" i="7"/>
  <c r="O629" i="7"/>
  <c r="C630" i="7"/>
  <c r="O630" i="7"/>
  <c r="C631" i="7"/>
  <c r="O631" i="7"/>
  <c r="P631" i="7" s="1"/>
  <c r="C632" i="7"/>
  <c r="O632" i="7"/>
  <c r="C633" i="7"/>
  <c r="O633" i="7"/>
  <c r="P633" i="7" s="1"/>
  <c r="C634" i="7"/>
  <c r="O634" i="7"/>
  <c r="P634" i="7" s="1"/>
  <c r="C635" i="7"/>
  <c r="O635" i="7"/>
  <c r="P635" i="7" s="1"/>
  <c r="C636" i="7"/>
  <c r="O636" i="7"/>
  <c r="P636" i="7" s="1"/>
  <c r="Q636" i="7" s="1"/>
  <c r="C637" i="7"/>
  <c r="O637" i="7"/>
  <c r="P637" i="7" s="1"/>
  <c r="C638" i="7"/>
  <c r="O638" i="7"/>
  <c r="P638" i="7" s="1"/>
  <c r="Q638" i="7" s="1"/>
  <c r="C639" i="7"/>
  <c r="O639" i="7"/>
  <c r="P639" i="7" s="1"/>
  <c r="Q639" i="7" s="1"/>
  <c r="C640" i="7"/>
  <c r="O640" i="7"/>
  <c r="P640" i="7" s="1"/>
  <c r="C641" i="7"/>
  <c r="O641" i="7"/>
  <c r="P641" i="7" s="1"/>
  <c r="C642" i="7"/>
  <c r="O642" i="7"/>
  <c r="C643" i="7"/>
  <c r="O643" i="7"/>
  <c r="P643" i="7" s="1"/>
  <c r="C644" i="7"/>
  <c r="O644" i="7"/>
  <c r="C645" i="7"/>
  <c r="O645" i="7"/>
  <c r="P645" i="7" s="1"/>
  <c r="C646" i="7"/>
  <c r="O646" i="7"/>
  <c r="C647" i="7"/>
  <c r="O647" i="7"/>
  <c r="C648" i="7"/>
  <c r="O648" i="7"/>
  <c r="P648" i="7" s="1"/>
  <c r="C649" i="7"/>
  <c r="O649" i="7"/>
  <c r="P649" i="7" s="1"/>
  <c r="C650" i="7"/>
  <c r="O650" i="7"/>
  <c r="C651" i="7"/>
  <c r="O651" i="7"/>
  <c r="C652" i="7"/>
  <c r="O652" i="7"/>
  <c r="P652" i="7" s="1"/>
  <c r="C653" i="7"/>
  <c r="O653" i="7"/>
  <c r="P653" i="7" s="1"/>
  <c r="C654" i="7"/>
  <c r="O654" i="7"/>
  <c r="P654" i="7" s="1"/>
  <c r="Q654" i="7" s="1"/>
  <c r="C655" i="7"/>
  <c r="O655" i="7"/>
  <c r="C656" i="7"/>
  <c r="O656" i="7"/>
  <c r="P656" i="7" s="1"/>
  <c r="C657" i="7"/>
  <c r="O657" i="7"/>
  <c r="P657" i="7" s="1"/>
  <c r="C658" i="7"/>
  <c r="O658" i="7"/>
  <c r="P658" i="7" s="1"/>
  <c r="C659" i="7"/>
  <c r="O659" i="7"/>
  <c r="P659" i="7" s="1"/>
  <c r="Q659" i="7" s="1"/>
  <c r="C660" i="7"/>
  <c r="O660" i="7"/>
  <c r="C661" i="7"/>
  <c r="O661" i="7"/>
  <c r="P661" i="7" s="1"/>
  <c r="C662" i="7"/>
  <c r="O662" i="7"/>
  <c r="P662" i="7" s="1"/>
  <c r="C663" i="7"/>
  <c r="O663" i="7"/>
  <c r="C664" i="7"/>
  <c r="O664" i="7"/>
  <c r="P664" i="7" s="1"/>
  <c r="Q664" i="7" s="1"/>
  <c r="C665" i="7"/>
  <c r="O665" i="7"/>
  <c r="P665" i="7" s="1"/>
  <c r="Q665" i="7" s="1"/>
  <c r="C666" i="7"/>
  <c r="O666" i="7"/>
  <c r="P666" i="7" s="1"/>
  <c r="C667" i="7"/>
  <c r="O667" i="7"/>
  <c r="C668" i="7"/>
  <c r="O668" i="7"/>
  <c r="P668" i="7" s="1"/>
  <c r="Q668" i="7" s="1"/>
  <c r="C669" i="7"/>
  <c r="O669" i="7"/>
  <c r="P669" i="7" s="1"/>
  <c r="C670" i="7"/>
  <c r="O670" i="7"/>
  <c r="P670" i="7" s="1"/>
  <c r="Q670" i="7" s="1"/>
  <c r="C671" i="7"/>
  <c r="O671" i="7"/>
  <c r="P671" i="7" s="1"/>
  <c r="Q671" i="7" s="1"/>
  <c r="C672" i="7"/>
  <c r="O672" i="7"/>
  <c r="C673" i="7"/>
  <c r="O673" i="7"/>
  <c r="P673" i="7" s="1"/>
  <c r="Q673" i="7" s="1"/>
  <c r="C674" i="7"/>
  <c r="O674" i="7"/>
  <c r="P674" i="7" s="1"/>
  <c r="C675" i="7"/>
  <c r="O675" i="7"/>
  <c r="C676" i="7"/>
  <c r="O676" i="7"/>
  <c r="C677" i="7"/>
  <c r="O677" i="7"/>
  <c r="P677" i="7" s="1"/>
  <c r="C678" i="7"/>
  <c r="O678" i="7"/>
  <c r="P678" i="7" s="1"/>
  <c r="C679" i="7"/>
  <c r="O679" i="7"/>
  <c r="P679" i="7" s="1"/>
  <c r="C680" i="7"/>
  <c r="O680" i="7"/>
  <c r="P680" i="7" s="1"/>
  <c r="Q680" i="7" s="1"/>
  <c r="C681" i="7"/>
  <c r="O681" i="7"/>
  <c r="P681" i="7" s="1"/>
  <c r="C682" i="7"/>
  <c r="O682" i="7"/>
  <c r="P682" i="7" s="1"/>
  <c r="Q682" i="7" s="1"/>
  <c r="C683" i="7"/>
  <c r="O683" i="7"/>
  <c r="P683" i="7" s="1"/>
  <c r="Q683" i="7" s="1"/>
  <c r="C684" i="7"/>
  <c r="O684" i="7"/>
  <c r="P684" i="7" s="1"/>
  <c r="C685" i="7"/>
  <c r="O685" i="7"/>
  <c r="P685" i="7" s="1"/>
  <c r="C686" i="7"/>
  <c r="O686" i="7"/>
  <c r="P686" i="7" s="1"/>
  <c r="C687" i="7"/>
  <c r="O687" i="7"/>
  <c r="P687" i="7" s="1"/>
  <c r="Q687" i="7" s="1"/>
  <c r="C688" i="7"/>
  <c r="O688" i="7"/>
  <c r="P688" i="7" s="1"/>
  <c r="C689" i="7"/>
  <c r="O689" i="7"/>
  <c r="P689" i="7" s="1"/>
  <c r="Q689" i="7" s="1"/>
  <c r="C690" i="7"/>
  <c r="O690" i="7"/>
  <c r="C691" i="7"/>
  <c r="O691" i="7"/>
  <c r="P691" i="7" s="1"/>
  <c r="C692" i="7"/>
  <c r="O692" i="7"/>
  <c r="C693" i="7"/>
  <c r="O693" i="7"/>
  <c r="P693" i="7" s="1"/>
  <c r="C694" i="7"/>
  <c r="O694" i="7"/>
  <c r="P694" i="7" s="1"/>
  <c r="C695" i="7"/>
  <c r="O695" i="7"/>
  <c r="P695" i="7" s="1"/>
  <c r="C696" i="7"/>
  <c r="O696" i="7"/>
  <c r="C697" i="7"/>
  <c r="O697" i="7"/>
  <c r="P697" i="7" s="1"/>
  <c r="C698" i="7"/>
  <c r="O698" i="7"/>
  <c r="P698" i="7" s="1"/>
  <c r="C699" i="7"/>
  <c r="O699" i="7"/>
  <c r="P699" i="7" s="1"/>
  <c r="C700" i="7"/>
  <c r="O700" i="7"/>
  <c r="C701" i="7"/>
  <c r="O701" i="7"/>
  <c r="P701" i="7" s="1"/>
  <c r="Q701" i="7" s="1"/>
  <c r="C702" i="7"/>
  <c r="O702" i="7"/>
  <c r="P702" i="7" s="1"/>
  <c r="C703" i="7"/>
  <c r="O703" i="7"/>
  <c r="C704" i="7"/>
  <c r="O704" i="7"/>
  <c r="P704" i="7" s="1"/>
  <c r="C705" i="7"/>
  <c r="O705" i="7"/>
  <c r="P705" i="7" s="1"/>
  <c r="C706" i="7"/>
  <c r="O706" i="7"/>
  <c r="P706" i="7" s="1"/>
  <c r="C707" i="7"/>
  <c r="O707" i="7"/>
  <c r="C708" i="7"/>
  <c r="O708" i="7"/>
  <c r="C709" i="7"/>
  <c r="O709" i="7"/>
  <c r="P709" i="7" s="1"/>
  <c r="C710" i="7"/>
  <c r="O710" i="7"/>
  <c r="P710" i="7" s="1"/>
  <c r="Q710" i="7" s="1"/>
  <c r="C711" i="7"/>
  <c r="O711" i="7"/>
  <c r="P711" i="7" s="1"/>
  <c r="C712" i="7"/>
  <c r="O712" i="7"/>
  <c r="C713" i="7"/>
  <c r="O713" i="7"/>
  <c r="P713" i="7" s="1"/>
  <c r="C714" i="7"/>
  <c r="O714" i="7"/>
  <c r="P714" i="7" s="1"/>
  <c r="C715" i="7"/>
  <c r="O715" i="7"/>
  <c r="P715" i="7" s="1"/>
  <c r="C716" i="7"/>
  <c r="O716" i="7"/>
  <c r="C717" i="7"/>
  <c r="O717" i="7"/>
  <c r="C718" i="7"/>
  <c r="O718" i="7"/>
  <c r="P718" i="7" s="1"/>
  <c r="C719" i="7"/>
  <c r="O719" i="7"/>
  <c r="P719" i="7" s="1"/>
  <c r="C720" i="7"/>
  <c r="O720" i="7"/>
  <c r="C721" i="7"/>
  <c r="O721" i="7"/>
  <c r="P721" i="7" s="1"/>
  <c r="C722" i="7"/>
  <c r="O722" i="7"/>
  <c r="P722" i="7" s="1"/>
  <c r="C723" i="7"/>
  <c r="O723" i="7"/>
  <c r="P723" i="7" s="1"/>
  <c r="C724" i="7"/>
  <c r="O724" i="7"/>
  <c r="C725" i="7"/>
  <c r="O725" i="7"/>
  <c r="C726" i="7"/>
  <c r="O726" i="7"/>
  <c r="P726" i="7" s="1"/>
  <c r="Q726" i="7" s="1"/>
  <c r="C727" i="7"/>
  <c r="O727" i="7"/>
  <c r="P727" i="7" s="1"/>
  <c r="C728" i="7"/>
  <c r="O728" i="7"/>
  <c r="P728" i="7" s="1"/>
  <c r="C729" i="7"/>
  <c r="O729" i="7"/>
  <c r="C730" i="7"/>
  <c r="O730" i="7"/>
  <c r="P730" i="7" s="1"/>
  <c r="Q730" i="7" s="1"/>
  <c r="C731" i="7"/>
  <c r="O731" i="7"/>
  <c r="P731" i="7" s="1"/>
  <c r="Q731" i="7" s="1"/>
  <c r="C732" i="7"/>
  <c r="O732" i="7"/>
  <c r="P732" i="7" s="1"/>
  <c r="C733" i="7"/>
  <c r="O733" i="7"/>
  <c r="P733" i="7" s="1"/>
  <c r="C734" i="7"/>
  <c r="O734" i="7"/>
  <c r="C735" i="7"/>
  <c r="O735" i="7"/>
  <c r="P735" i="7" s="1"/>
  <c r="C736" i="7"/>
  <c r="O736" i="7"/>
  <c r="P736" i="7" s="1"/>
  <c r="C737" i="7"/>
  <c r="O737" i="7"/>
  <c r="P737" i="7" s="1"/>
  <c r="Q737" i="7" s="1"/>
  <c r="C738" i="7"/>
  <c r="P738" i="7"/>
  <c r="Q738" i="7" s="1"/>
  <c r="C739" i="7"/>
  <c r="P739" i="7"/>
  <c r="Q739" i="7" s="1"/>
  <c r="C740" i="7"/>
  <c r="P740" i="7"/>
  <c r="Q740" i="7" s="1"/>
  <c r="C741" i="7"/>
  <c r="P741" i="7"/>
  <c r="Q741" i="7" s="1"/>
  <c r="C742" i="7"/>
  <c r="P742" i="7"/>
  <c r="Q742" i="7" s="1"/>
  <c r="C743" i="7"/>
  <c r="P743" i="7"/>
  <c r="Q743" i="7" s="1"/>
  <c r="C744" i="7"/>
  <c r="P744" i="7"/>
  <c r="Q744" i="7" s="1"/>
  <c r="C745" i="7"/>
  <c r="P745" i="7"/>
  <c r="Q745" i="7" s="1"/>
  <c r="C746" i="7"/>
  <c r="P746" i="7"/>
  <c r="Q746" i="7" s="1"/>
  <c r="C747" i="7"/>
  <c r="P747" i="7"/>
  <c r="Q747" i="7" s="1"/>
  <c r="C748" i="7"/>
  <c r="P748" i="7"/>
  <c r="Q748" i="7" s="1"/>
  <c r="C749" i="7"/>
  <c r="P749" i="7"/>
  <c r="Q749" i="7" s="1"/>
  <c r="C750" i="7"/>
  <c r="P750" i="7"/>
  <c r="Q750" i="7" s="1"/>
  <c r="C751" i="7"/>
  <c r="P751" i="7"/>
  <c r="Q751" i="7" s="1"/>
  <c r="C752" i="7"/>
  <c r="P752" i="7"/>
  <c r="Q752" i="7" s="1"/>
  <c r="C753" i="7"/>
  <c r="P753" i="7"/>
  <c r="Q753" i="7" s="1"/>
  <c r="C754" i="7"/>
  <c r="P754" i="7"/>
  <c r="Q754" i="7" s="1"/>
  <c r="C755" i="7"/>
  <c r="P755" i="7"/>
  <c r="Q755" i="7" s="1"/>
  <c r="C756" i="7"/>
  <c r="P756" i="7"/>
  <c r="Q756" i="7" s="1"/>
  <c r="C757" i="7"/>
  <c r="P757" i="7"/>
  <c r="Q757" i="7" s="1"/>
  <c r="C758" i="7"/>
  <c r="P758" i="7"/>
  <c r="Q758" i="7" s="1"/>
  <c r="C759" i="7"/>
  <c r="P759" i="7"/>
  <c r="Q759" i="7" s="1"/>
  <c r="C760" i="7"/>
  <c r="P760" i="7"/>
  <c r="Q760" i="7" s="1"/>
  <c r="C761" i="7"/>
  <c r="P761" i="7"/>
  <c r="Q761" i="7" s="1"/>
  <c r="C762" i="7"/>
  <c r="P762" i="7"/>
  <c r="Q762" i="7" s="1"/>
  <c r="C763" i="7"/>
  <c r="P763" i="7"/>
  <c r="Q763" i="7" s="1"/>
  <c r="C764" i="7"/>
  <c r="P764" i="7"/>
  <c r="Q764" i="7" s="1"/>
  <c r="C765" i="7"/>
  <c r="P765" i="7"/>
  <c r="Q765" i="7" s="1"/>
  <c r="C766" i="7"/>
  <c r="P766" i="7"/>
  <c r="Q766" i="7" s="1"/>
  <c r="C767" i="7"/>
  <c r="P767" i="7"/>
  <c r="Q767" i="7" s="1"/>
  <c r="C768" i="7"/>
  <c r="P768" i="7"/>
  <c r="Q768" i="7" s="1"/>
  <c r="C769" i="7"/>
  <c r="P769" i="7"/>
  <c r="Q769" i="7" s="1"/>
  <c r="C770" i="7"/>
  <c r="P770" i="7"/>
  <c r="Q770" i="7" s="1"/>
  <c r="C771" i="7"/>
  <c r="P771" i="7"/>
  <c r="Q771" i="7" s="1"/>
  <c r="C772" i="7"/>
  <c r="P772" i="7"/>
  <c r="Q772" i="7" s="1"/>
  <c r="C773" i="7"/>
  <c r="P773" i="7"/>
  <c r="Q773" i="7" s="1"/>
  <c r="C774" i="7"/>
  <c r="P774" i="7"/>
  <c r="Q774" i="7" s="1"/>
  <c r="C775" i="7"/>
  <c r="P775" i="7"/>
  <c r="Q775" i="7" s="1"/>
  <c r="C776" i="7"/>
  <c r="P776" i="7"/>
  <c r="Q776" i="7" s="1"/>
  <c r="C777" i="7"/>
  <c r="P777" i="7"/>
  <c r="Q777" i="7" s="1"/>
  <c r="C778" i="7"/>
  <c r="P778" i="7"/>
  <c r="Q778" i="7" s="1"/>
  <c r="C779" i="7"/>
  <c r="P779" i="7"/>
  <c r="Q779" i="7" s="1"/>
  <c r="C780" i="7"/>
  <c r="P780" i="7"/>
  <c r="Q780" i="7" s="1"/>
  <c r="C781" i="7"/>
  <c r="P781" i="7"/>
  <c r="Q781" i="7" s="1"/>
  <c r="C782" i="7"/>
  <c r="P782" i="7"/>
  <c r="Q782" i="7" s="1"/>
  <c r="C783" i="7"/>
  <c r="P783" i="7"/>
  <c r="Q783" i="7" s="1"/>
  <c r="C784" i="7"/>
  <c r="P784" i="7"/>
  <c r="Q784" i="7" s="1"/>
  <c r="C785" i="7"/>
  <c r="P785" i="7"/>
  <c r="Q785" i="7" s="1"/>
  <c r="C786" i="7"/>
  <c r="P786" i="7"/>
  <c r="Q786" i="7" s="1"/>
  <c r="C787" i="7"/>
  <c r="P787" i="7"/>
  <c r="Q787" i="7" s="1"/>
  <c r="C788" i="7"/>
  <c r="P788" i="7"/>
  <c r="Q788" i="7" s="1"/>
  <c r="C789" i="7"/>
  <c r="P789" i="7"/>
  <c r="Q789" i="7" s="1"/>
  <c r="C790" i="7"/>
  <c r="P790" i="7"/>
  <c r="Q790" i="7" s="1"/>
  <c r="C791" i="7"/>
  <c r="P791" i="7"/>
  <c r="Q791" i="7" s="1"/>
  <c r="C792" i="7"/>
  <c r="P792" i="7"/>
  <c r="Q792" i="7" s="1"/>
  <c r="C793" i="7"/>
  <c r="P793" i="7"/>
  <c r="Q793" i="7" s="1"/>
  <c r="C794" i="7"/>
  <c r="P794" i="7"/>
  <c r="Q794" i="7" s="1"/>
  <c r="C795" i="7"/>
  <c r="P795" i="7"/>
  <c r="Q795" i="7" s="1"/>
  <c r="C796" i="7"/>
  <c r="P796" i="7"/>
  <c r="Q796" i="7" s="1"/>
  <c r="C797" i="7"/>
  <c r="P797" i="7"/>
  <c r="Q797" i="7" s="1"/>
  <c r="C798" i="7"/>
  <c r="P798" i="7"/>
  <c r="Q798" i="7" s="1"/>
  <c r="C799" i="7"/>
  <c r="P799" i="7"/>
  <c r="Q799" i="7" s="1"/>
  <c r="C800" i="7"/>
  <c r="P800" i="7"/>
  <c r="Q800" i="7" s="1"/>
  <c r="C801" i="7"/>
  <c r="P801" i="7"/>
  <c r="Q801" i="7" s="1"/>
  <c r="C802" i="7"/>
  <c r="P802" i="7"/>
  <c r="Q802" i="7" s="1"/>
  <c r="C803" i="7"/>
  <c r="P803" i="7"/>
  <c r="Q803" i="7" s="1"/>
  <c r="C804" i="7"/>
  <c r="P804" i="7"/>
  <c r="Q804" i="7" s="1"/>
  <c r="C805" i="7"/>
  <c r="P805" i="7"/>
  <c r="Q805" i="7" s="1"/>
  <c r="C806" i="7"/>
  <c r="P806" i="7"/>
  <c r="Q806" i="7" s="1"/>
  <c r="C807" i="7"/>
  <c r="P807" i="7"/>
  <c r="Q807" i="7" s="1"/>
  <c r="C808" i="7"/>
  <c r="P808" i="7"/>
  <c r="Q808" i="7" s="1"/>
  <c r="C809" i="7"/>
  <c r="P809" i="7"/>
  <c r="Q809" i="7" s="1"/>
  <c r="C810" i="7"/>
  <c r="P810" i="7"/>
  <c r="Q810" i="7" s="1"/>
  <c r="C811" i="7"/>
  <c r="P811" i="7"/>
  <c r="Q811" i="7" s="1"/>
  <c r="C812" i="7"/>
  <c r="P812" i="7"/>
  <c r="Q812" i="7" s="1"/>
  <c r="C813" i="7"/>
  <c r="P813" i="7"/>
  <c r="Q813" i="7" s="1"/>
  <c r="C814" i="7"/>
  <c r="P814" i="7"/>
  <c r="Q814" i="7" s="1"/>
  <c r="C815" i="7"/>
  <c r="P815" i="7"/>
  <c r="Q815" i="7" s="1"/>
  <c r="C816" i="7"/>
  <c r="P816" i="7"/>
  <c r="Q816" i="7" s="1"/>
  <c r="C817" i="7"/>
  <c r="P817" i="7"/>
  <c r="Q817" i="7" s="1"/>
  <c r="C818" i="7"/>
  <c r="P818" i="7"/>
  <c r="Q818" i="7" s="1"/>
  <c r="C819" i="7"/>
  <c r="P819" i="7"/>
  <c r="Q819" i="7" s="1"/>
  <c r="C820" i="7"/>
  <c r="P820" i="7"/>
  <c r="Q820" i="7" s="1"/>
  <c r="C821" i="7"/>
  <c r="P821" i="7"/>
  <c r="Q821" i="7" s="1"/>
  <c r="C822" i="7"/>
  <c r="P822" i="7"/>
  <c r="Q822" i="7" s="1"/>
  <c r="C823" i="7"/>
  <c r="P823" i="7"/>
  <c r="Q823" i="7" s="1"/>
  <c r="C824" i="7"/>
  <c r="P824" i="7"/>
  <c r="Q824" i="7" s="1"/>
  <c r="C825" i="7"/>
  <c r="P825" i="7"/>
  <c r="Q825" i="7" s="1"/>
  <c r="C826" i="7"/>
  <c r="P826" i="7"/>
  <c r="Q826" i="7" s="1"/>
  <c r="C827" i="7"/>
  <c r="P827" i="7"/>
  <c r="Q827" i="7" s="1"/>
  <c r="C828" i="7"/>
  <c r="P828" i="7"/>
  <c r="Q828" i="7" s="1"/>
  <c r="C829" i="7"/>
  <c r="P829" i="7"/>
  <c r="Q829" i="7" s="1"/>
  <c r="C830" i="7"/>
  <c r="P830" i="7"/>
  <c r="Q830" i="7" s="1"/>
  <c r="C831" i="7"/>
  <c r="P831" i="7"/>
  <c r="Q831" i="7" s="1"/>
  <c r="C832" i="7"/>
  <c r="P832" i="7"/>
  <c r="Q832" i="7" s="1"/>
  <c r="C833" i="7"/>
  <c r="P833" i="7"/>
  <c r="Q833" i="7" s="1"/>
  <c r="C834" i="7"/>
  <c r="P834" i="7"/>
  <c r="Q834" i="7" s="1"/>
  <c r="C835" i="7"/>
  <c r="P835" i="7"/>
  <c r="Q835" i="7" s="1"/>
  <c r="C836" i="7"/>
  <c r="P836" i="7"/>
  <c r="Q836" i="7" s="1"/>
  <c r="C837" i="7"/>
  <c r="P837" i="7"/>
  <c r="Q837" i="7" s="1"/>
  <c r="C838" i="7"/>
  <c r="P838" i="7"/>
  <c r="Q838" i="7" s="1"/>
  <c r="C839" i="7"/>
  <c r="P839" i="7"/>
  <c r="Q839" i="7" s="1"/>
  <c r="C840" i="7"/>
  <c r="P840" i="7"/>
  <c r="Q840" i="7" s="1"/>
  <c r="C841" i="7"/>
  <c r="P841" i="7"/>
  <c r="Q841" i="7" s="1"/>
  <c r="C842" i="7"/>
  <c r="P842" i="7"/>
  <c r="Q842" i="7" s="1"/>
  <c r="C843" i="7"/>
  <c r="P843" i="7"/>
  <c r="Q843" i="7" s="1"/>
  <c r="C844" i="7"/>
  <c r="P844" i="7"/>
  <c r="Q844" i="7" s="1"/>
  <c r="C845" i="7"/>
  <c r="P845" i="7"/>
  <c r="Q845" i="7" s="1"/>
  <c r="C846" i="7"/>
  <c r="P846" i="7"/>
  <c r="Q846" i="7" s="1"/>
  <c r="C847" i="7"/>
  <c r="P847" i="7"/>
  <c r="Q847" i="7" s="1"/>
  <c r="C848" i="7"/>
  <c r="P848" i="7"/>
  <c r="Q848" i="7" s="1"/>
  <c r="C849" i="7"/>
  <c r="P849" i="7"/>
  <c r="Q849" i="7" s="1"/>
  <c r="C850" i="7"/>
  <c r="P850" i="7"/>
  <c r="Q850" i="7" s="1"/>
  <c r="C851" i="7"/>
  <c r="P851" i="7"/>
  <c r="Q851" i="7" s="1"/>
  <c r="C852" i="7"/>
  <c r="P852" i="7"/>
  <c r="Q852" i="7" s="1"/>
  <c r="C853" i="7"/>
  <c r="P853" i="7"/>
  <c r="Q853" i="7" s="1"/>
  <c r="C854" i="7"/>
  <c r="P854" i="7"/>
  <c r="Q854" i="7" s="1"/>
  <c r="C855" i="7"/>
  <c r="P855" i="7"/>
  <c r="Q855" i="7" s="1"/>
  <c r="C856" i="7"/>
  <c r="P856" i="7"/>
  <c r="Q856" i="7" s="1"/>
  <c r="C857" i="7"/>
  <c r="P857" i="7"/>
  <c r="Q857" i="7" s="1"/>
  <c r="C858" i="7"/>
  <c r="P858" i="7"/>
  <c r="Q858" i="7" s="1"/>
  <c r="C859" i="7"/>
  <c r="P859" i="7"/>
  <c r="Q859" i="7" s="1"/>
  <c r="C860" i="7"/>
  <c r="P860" i="7"/>
  <c r="Q860" i="7" s="1"/>
  <c r="C861" i="7"/>
  <c r="P861" i="7"/>
  <c r="Q861" i="7" s="1"/>
  <c r="C862" i="7"/>
  <c r="P862" i="7"/>
  <c r="Q862" i="7" s="1"/>
  <c r="C863" i="7"/>
  <c r="P863" i="7"/>
  <c r="Q863" i="7" s="1"/>
  <c r="C864" i="7"/>
  <c r="P864" i="7"/>
  <c r="Q864" i="7" s="1"/>
  <c r="C865" i="7"/>
  <c r="P865" i="7"/>
  <c r="Q865" i="7" s="1"/>
  <c r="C866" i="7"/>
  <c r="P866" i="7"/>
  <c r="Q866" i="7" s="1"/>
  <c r="C867" i="7"/>
  <c r="P867" i="7"/>
  <c r="Q867" i="7" s="1"/>
  <c r="C868" i="7"/>
  <c r="P868" i="7"/>
  <c r="Q868" i="7" s="1"/>
  <c r="C869" i="7"/>
  <c r="P869" i="7"/>
  <c r="Q869" i="7" s="1"/>
  <c r="C870" i="7"/>
  <c r="P870" i="7"/>
  <c r="Q870" i="7" s="1"/>
  <c r="C871" i="7"/>
  <c r="P871" i="7"/>
  <c r="Q871" i="7" s="1"/>
  <c r="C872" i="7"/>
  <c r="P872" i="7"/>
  <c r="Q872" i="7" s="1"/>
  <c r="C873" i="7"/>
  <c r="P873" i="7"/>
  <c r="Q873" i="7" s="1"/>
  <c r="C874" i="7"/>
  <c r="P874" i="7"/>
  <c r="Q874" i="7" s="1"/>
  <c r="C875" i="7"/>
  <c r="P875" i="7"/>
  <c r="Q875" i="7" s="1"/>
  <c r="C876" i="7"/>
  <c r="P876" i="7"/>
  <c r="Q876" i="7" s="1"/>
  <c r="C877" i="7"/>
  <c r="P877" i="7"/>
  <c r="Q877" i="7" s="1"/>
  <c r="C878" i="7"/>
  <c r="P878" i="7"/>
  <c r="Q878" i="7" s="1"/>
  <c r="C879" i="7"/>
  <c r="P879" i="7"/>
  <c r="Q879" i="7" s="1"/>
  <c r="C880" i="7"/>
  <c r="P880" i="7"/>
  <c r="Q880" i="7" s="1"/>
  <c r="C881" i="7"/>
  <c r="P881" i="7"/>
  <c r="Q881" i="7" s="1"/>
  <c r="C882" i="7"/>
  <c r="P882" i="7"/>
  <c r="Q882" i="7" s="1"/>
  <c r="C883" i="7"/>
  <c r="P883" i="7"/>
  <c r="Q883" i="7" s="1"/>
  <c r="C884" i="7"/>
  <c r="P884" i="7"/>
  <c r="Q884" i="7" s="1"/>
  <c r="C885" i="7"/>
  <c r="P885" i="7"/>
  <c r="Q885" i="7" s="1"/>
  <c r="C886" i="7"/>
  <c r="P886" i="7"/>
  <c r="Q886" i="7" s="1"/>
  <c r="C887" i="7"/>
  <c r="P887" i="7"/>
  <c r="Q887" i="7" s="1"/>
  <c r="C888" i="7"/>
  <c r="P888" i="7"/>
  <c r="Q888" i="7" s="1"/>
  <c r="C889" i="7"/>
  <c r="P889" i="7"/>
  <c r="Q889" i="7" s="1"/>
  <c r="C890" i="7"/>
  <c r="P890" i="7"/>
  <c r="Q890" i="7" s="1"/>
  <c r="C891" i="7"/>
  <c r="P891" i="7"/>
  <c r="Q891" i="7" s="1"/>
  <c r="C892" i="7"/>
  <c r="P892" i="7"/>
  <c r="Q892" i="7" s="1"/>
  <c r="C893" i="7"/>
  <c r="P893" i="7"/>
  <c r="Q893" i="7" s="1"/>
  <c r="C894" i="7"/>
  <c r="P894" i="7"/>
  <c r="Q894" i="7" s="1"/>
  <c r="C895" i="7"/>
  <c r="P895" i="7"/>
  <c r="Q895" i="7" s="1"/>
  <c r="C896" i="7"/>
  <c r="P896" i="7"/>
  <c r="Q896" i="7" s="1"/>
  <c r="C897" i="7"/>
  <c r="P897" i="7"/>
  <c r="Q897" i="7" s="1"/>
  <c r="C898" i="7"/>
  <c r="P898" i="7"/>
  <c r="Q898" i="7" s="1"/>
  <c r="C899" i="7"/>
  <c r="P899" i="7"/>
  <c r="Q899" i="7" s="1"/>
  <c r="C900" i="7"/>
  <c r="P900" i="7"/>
  <c r="Q900" i="7" s="1"/>
  <c r="C901" i="7"/>
  <c r="P901" i="7"/>
  <c r="Q901" i="7" s="1"/>
  <c r="C902" i="7"/>
  <c r="P902" i="7"/>
  <c r="Q902" i="7" s="1"/>
  <c r="C903" i="7"/>
  <c r="P903" i="7"/>
  <c r="Q903" i="7" s="1"/>
  <c r="C904" i="7"/>
  <c r="P904" i="7"/>
  <c r="Q904" i="7" s="1"/>
  <c r="C905" i="7"/>
  <c r="P905" i="7"/>
  <c r="Q905" i="7" s="1"/>
  <c r="C906" i="7"/>
  <c r="P906" i="7"/>
  <c r="Q906" i="7" s="1"/>
  <c r="C907" i="7"/>
  <c r="P907" i="7"/>
  <c r="Q907" i="7" s="1"/>
  <c r="C908" i="7"/>
  <c r="P908" i="7"/>
  <c r="Q908" i="7" s="1"/>
  <c r="C909" i="7"/>
  <c r="P909" i="7"/>
  <c r="Q909" i="7" s="1"/>
  <c r="C910" i="7"/>
  <c r="P910" i="7"/>
  <c r="Q910" i="7" s="1"/>
  <c r="C911" i="7"/>
  <c r="P911" i="7"/>
  <c r="Q911" i="7" s="1"/>
  <c r="C912" i="7"/>
  <c r="P912" i="7"/>
  <c r="Q912" i="7" s="1"/>
  <c r="C913" i="7"/>
  <c r="P913" i="7"/>
  <c r="Q913" i="7" s="1"/>
  <c r="C914" i="7"/>
  <c r="P914" i="7"/>
  <c r="Q914" i="7" s="1"/>
  <c r="C915" i="7"/>
  <c r="P915" i="7"/>
  <c r="Q915" i="7" s="1"/>
  <c r="C916" i="7"/>
  <c r="P916" i="7"/>
  <c r="Q916" i="7" s="1"/>
  <c r="C917" i="7"/>
  <c r="P917" i="7"/>
  <c r="Q917" i="7" s="1"/>
  <c r="C918" i="7"/>
  <c r="P918" i="7"/>
  <c r="Q918" i="7" s="1"/>
  <c r="C919" i="7"/>
  <c r="P919" i="7"/>
  <c r="Q919" i="7" s="1"/>
  <c r="C920" i="7"/>
  <c r="P920" i="7"/>
  <c r="Q920" i="7" s="1"/>
  <c r="C921" i="7"/>
  <c r="P921" i="7"/>
  <c r="Q921" i="7" s="1"/>
  <c r="C922" i="7"/>
  <c r="P922" i="7"/>
  <c r="Q922" i="7" s="1"/>
  <c r="C923" i="7"/>
  <c r="P923" i="7"/>
  <c r="Q923" i="7" s="1"/>
  <c r="C924" i="7"/>
  <c r="P924" i="7"/>
  <c r="Q924" i="7" s="1"/>
  <c r="C925" i="7"/>
  <c r="P925" i="7"/>
  <c r="Q925" i="7" s="1"/>
  <c r="C926" i="7"/>
  <c r="P926" i="7"/>
  <c r="Q926" i="7" s="1"/>
  <c r="C927" i="7"/>
  <c r="P927" i="7"/>
  <c r="Q927" i="7" s="1"/>
  <c r="C928" i="7"/>
  <c r="P928" i="7"/>
  <c r="Q928" i="7" s="1"/>
  <c r="C929" i="7"/>
  <c r="P929" i="7"/>
  <c r="Q929" i="7" s="1"/>
  <c r="C930" i="7"/>
  <c r="P930" i="7"/>
  <c r="Q930" i="7" s="1"/>
  <c r="C931" i="7"/>
  <c r="P931" i="7"/>
  <c r="Q931" i="7" s="1"/>
  <c r="C932" i="7"/>
  <c r="P932" i="7"/>
  <c r="Q932" i="7" s="1"/>
  <c r="C933" i="7"/>
  <c r="P933" i="7"/>
  <c r="Q933" i="7" s="1"/>
  <c r="C934" i="7"/>
  <c r="P934" i="7"/>
  <c r="Q934" i="7" s="1"/>
  <c r="C935" i="7"/>
  <c r="P935" i="7"/>
  <c r="Q935" i="7" s="1"/>
  <c r="C936" i="7"/>
  <c r="P936" i="7"/>
  <c r="Q936" i="7" s="1"/>
  <c r="C937" i="7"/>
  <c r="P937" i="7"/>
  <c r="Q937" i="7" s="1"/>
  <c r="C938" i="7"/>
  <c r="P938" i="7"/>
  <c r="Q938" i="7" s="1"/>
  <c r="C939" i="7"/>
  <c r="P939" i="7"/>
  <c r="Q939" i="7" s="1"/>
  <c r="C940" i="7"/>
  <c r="P940" i="7"/>
  <c r="Q940" i="7" s="1"/>
  <c r="C941" i="7"/>
  <c r="P941" i="7"/>
  <c r="Q941" i="7" s="1"/>
  <c r="C942" i="7"/>
  <c r="P942" i="7"/>
  <c r="Q942" i="7" s="1"/>
  <c r="C943" i="7"/>
  <c r="P943" i="7"/>
  <c r="Q943" i="7" s="1"/>
  <c r="C944" i="7"/>
  <c r="P944" i="7"/>
  <c r="Q944" i="7" s="1"/>
  <c r="C945" i="7"/>
  <c r="P945" i="7"/>
  <c r="Q945" i="7" s="1"/>
  <c r="C946" i="7"/>
  <c r="P946" i="7"/>
  <c r="Q946" i="7" s="1"/>
  <c r="C947" i="7"/>
  <c r="P947" i="7"/>
  <c r="Q947" i="7" s="1"/>
  <c r="C948" i="7"/>
  <c r="P948" i="7"/>
  <c r="Q948" i="7" s="1"/>
  <c r="C949" i="7"/>
  <c r="P949" i="7"/>
  <c r="Q949" i="7" s="1"/>
  <c r="C950" i="7"/>
  <c r="P950" i="7"/>
  <c r="Q950" i="7" s="1"/>
  <c r="C951" i="7"/>
  <c r="P951" i="7"/>
  <c r="Q951" i="7" s="1"/>
  <c r="C952" i="7"/>
  <c r="P952" i="7"/>
  <c r="Q952" i="7" s="1"/>
  <c r="C953" i="7"/>
  <c r="P953" i="7"/>
  <c r="Q953" i="7" s="1"/>
  <c r="C954" i="7"/>
  <c r="P954" i="7"/>
  <c r="Q954" i="7" s="1"/>
  <c r="C955" i="7"/>
  <c r="P955" i="7"/>
  <c r="Q955" i="7" s="1"/>
  <c r="C956" i="7"/>
  <c r="P956" i="7"/>
  <c r="Q956" i="7" s="1"/>
  <c r="C957" i="7"/>
  <c r="P957" i="7"/>
  <c r="Q957" i="7" s="1"/>
  <c r="C958" i="7"/>
  <c r="P958" i="7"/>
  <c r="Q958" i="7" s="1"/>
  <c r="C959" i="7"/>
  <c r="P959" i="7"/>
  <c r="Q959" i="7" s="1"/>
  <c r="C960" i="7"/>
  <c r="P960" i="7"/>
  <c r="Q960" i="7" s="1"/>
  <c r="C961" i="7"/>
  <c r="P961" i="7"/>
  <c r="Q961" i="7" s="1"/>
  <c r="C962" i="7"/>
  <c r="P962" i="7"/>
  <c r="Q962" i="7" s="1"/>
  <c r="C963" i="7"/>
  <c r="P963" i="7"/>
  <c r="Q963" i="7" s="1"/>
  <c r="C964" i="7"/>
  <c r="P964" i="7"/>
  <c r="Q964" i="7" s="1"/>
  <c r="C965" i="7"/>
  <c r="P965" i="7"/>
  <c r="Q965" i="7" s="1"/>
  <c r="C966" i="7"/>
  <c r="P966" i="7"/>
  <c r="Q966" i="7" s="1"/>
  <c r="C967" i="7"/>
  <c r="P967" i="7"/>
  <c r="Q967" i="7" s="1"/>
  <c r="C968" i="7"/>
  <c r="P968" i="7"/>
  <c r="Q968" i="7" s="1"/>
  <c r="C969" i="7"/>
  <c r="P969" i="7"/>
  <c r="Q969" i="7" s="1"/>
  <c r="C970" i="7"/>
  <c r="P970" i="7"/>
  <c r="Q970" i="7" s="1"/>
  <c r="C971" i="7"/>
  <c r="P971" i="7"/>
  <c r="Q971" i="7" s="1"/>
  <c r="C972" i="7"/>
  <c r="P972" i="7"/>
  <c r="Q972" i="7" s="1"/>
  <c r="C973" i="7"/>
  <c r="P973" i="7"/>
  <c r="Q973" i="7" s="1"/>
  <c r="C974" i="7"/>
  <c r="P974" i="7"/>
  <c r="Q974" i="7" s="1"/>
  <c r="C975" i="7"/>
  <c r="P975" i="7"/>
  <c r="Q975" i="7" s="1"/>
  <c r="C976" i="7"/>
  <c r="P976" i="7"/>
  <c r="Q976" i="7" s="1"/>
  <c r="C977" i="7"/>
  <c r="P977" i="7"/>
  <c r="Q977" i="7" s="1"/>
  <c r="C978" i="7"/>
  <c r="P978" i="7"/>
  <c r="Q978" i="7" s="1"/>
  <c r="C979" i="7"/>
  <c r="P979" i="7"/>
  <c r="Q979" i="7" s="1"/>
  <c r="C980" i="7"/>
  <c r="P980" i="7"/>
  <c r="Q980" i="7" s="1"/>
  <c r="C981" i="7"/>
  <c r="P981" i="7"/>
  <c r="Q981" i="7" s="1"/>
  <c r="C982" i="7"/>
  <c r="P982" i="7"/>
  <c r="Q982" i="7" s="1"/>
  <c r="C983" i="7"/>
  <c r="P983" i="7"/>
  <c r="Q983" i="7" s="1"/>
  <c r="C984" i="7"/>
  <c r="P984" i="7"/>
  <c r="Q984" i="7" s="1"/>
  <c r="C985" i="7"/>
  <c r="P985" i="7"/>
  <c r="Q985" i="7" s="1"/>
  <c r="C986" i="7"/>
  <c r="P986" i="7"/>
  <c r="Q986" i="7" s="1"/>
  <c r="C987" i="7"/>
  <c r="P987" i="7"/>
  <c r="Q987" i="7" s="1"/>
  <c r="C988" i="7"/>
  <c r="P988" i="7"/>
  <c r="Q988" i="7" s="1"/>
  <c r="C989" i="7"/>
  <c r="P989" i="7"/>
  <c r="Q989" i="7" s="1"/>
  <c r="C990" i="7"/>
  <c r="P990" i="7"/>
  <c r="Q990" i="7" s="1"/>
  <c r="C991" i="7"/>
  <c r="P991" i="7"/>
  <c r="Q991" i="7" s="1"/>
  <c r="C992" i="7"/>
  <c r="P992" i="7"/>
  <c r="Q992" i="7" s="1"/>
  <c r="C993" i="7"/>
  <c r="P993" i="7"/>
  <c r="Q993" i="7" s="1"/>
  <c r="C994" i="7"/>
  <c r="P994" i="7"/>
  <c r="Q994" i="7" s="1"/>
  <c r="C995" i="7"/>
  <c r="P995" i="7"/>
  <c r="Q995" i="7" s="1"/>
  <c r="C996" i="7"/>
  <c r="P996" i="7"/>
  <c r="Q996" i="7" s="1"/>
  <c r="C997" i="7"/>
  <c r="P997" i="7"/>
  <c r="Q997" i="7" s="1"/>
  <c r="C998" i="7"/>
  <c r="P998" i="7"/>
  <c r="Q998" i="7" s="1"/>
  <c r="C999" i="7"/>
  <c r="P999" i="7"/>
  <c r="Q999" i="7" s="1"/>
  <c r="C1000" i="7"/>
  <c r="P1000" i="7"/>
  <c r="Q1000" i="7" s="1"/>
  <c r="C1001" i="7"/>
  <c r="P1001" i="7"/>
  <c r="Q1001" i="7" s="1"/>
  <c r="C1002" i="7"/>
  <c r="P1002" i="7"/>
  <c r="Q1002" i="7" s="1"/>
  <c r="C1003" i="7"/>
  <c r="P1003" i="7"/>
  <c r="Q1003" i="7" s="1"/>
  <c r="C1004" i="7"/>
  <c r="P1004" i="7"/>
  <c r="Q1004" i="7" s="1"/>
  <c r="C1005" i="7"/>
  <c r="P1005" i="7"/>
  <c r="Q1005" i="7" s="1"/>
  <c r="C1006" i="7"/>
  <c r="P1006" i="7"/>
  <c r="Q1006" i="7" s="1"/>
  <c r="C1007" i="7"/>
  <c r="P1007" i="7"/>
  <c r="Q1007" i="7" s="1"/>
  <c r="C1008" i="7"/>
  <c r="P1008" i="7"/>
  <c r="Q1008" i="7" s="1"/>
  <c r="C1009" i="7"/>
  <c r="P1009" i="7"/>
  <c r="Q1009" i="7" s="1"/>
  <c r="C1010" i="7"/>
  <c r="P1010" i="7"/>
  <c r="Q1010" i="7" s="1"/>
  <c r="C1011" i="7"/>
  <c r="P1011" i="7"/>
  <c r="Q1011" i="7" s="1"/>
  <c r="C1012" i="7"/>
  <c r="P1012" i="7"/>
  <c r="Q1012" i="7" s="1"/>
  <c r="C1013" i="7"/>
  <c r="P1013" i="7"/>
  <c r="Q1013" i="7" s="1"/>
  <c r="C1014" i="7"/>
  <c r="P1014" i="7"/>
  <c r="Q1014" i="7" s="1"/>
  <c r="C1015" i="7"/>
  <c r="P1015" i="7"/>
  <c r="Q1015" i="7" s="1"/>
  <c r="C1016" i="7"/>
  <c r="P1016" i="7"/>
  <c r="Q1016" i="7" s="1"/>
  <c r="C1017" i="7"/>
  <c r="P1017" i="7"/>
  <c r="Q1017" i="7" s="1"/>
  <c r="C1018" i="7"/>
  <c r="P1018" i="7"/>
  <c r="Q1018" i="7" s="1"/>
  <c r="C1019" i="7"/>
  <c r="P1019" i="7"/>
  <c r="Q1019" i="7" s="1"/>
  <c r="C1020" i="7"/>
  <c r="P1020" i="7"/>
  <c r="Q1020" i="7" s="1"/>
  <c r="C1021" i="7"/>
  <c r="P1021" i="7"/>
  <c r="Q1021" i="7" s="1"/>
  <c r="C1022" i="7"/>
  <c r="P1022" i="7"/>
  <c r="Q1022" i="7" s="1"/>
  <c r="C1023" i="7"/>
  <c r="P1023" i="7"/>
  <c r="Q1023" i="7" s="1"/>
  <c r="C1024" i="7"/>
  <c r="P1024" i="7"/>
  <c r="Q1024" i="7" s="1"/>
  <c r="C1025" i="7"/>
  <c r="P1025" i="7"/>
  <c r="Q1025" i="7" s="1"/>
  <c r="C1026" i="7"/>
  <c r="P1026" i="7"/>
  <c r="Q1026" i="7" s="1"/>
  <c r="C1027" i="7"/>
  <c r="P1027" i="7"/>
  <c r="Q1027" i="7" s="1"/>
  <c r="C1028" i="7"/>
  <c r="P1028" i="7"/>
  <c r="Q1028" i="7" s="1"/>
  <c r="C1029" i="7"/>
  <c r="P1029" i="7"/>
  <c r="Q1029" i="7" s="1"/>
  <c r="C1030" i="7"/>
  <c r="P1030" i="7"/>
  <c r="Q1030" i="7" s="1"/>
  <c r="C1031" i="7"/>
  <c r="P1031" i="7"/>
  <c r="Q1031" i="7" s="1"/>
  <c r="C1032" i="7"/>
  <c r="P1032" i="7"/>
  <c r="Q1032" i="7" s="1"/>
  <c r="C1033" i="7"/>
  <c r="P1033" i="7"/>
  <c r="Q1033" i="7" s="1"/>
  <c r="C1034" i="7"/>
  <c r="P1034" i="7"/>
  <c r="Q1034" i="7" s="1"/>
  <c r="C1035" i="7"/>
  <c r="P1035" i="7"/>
  <c r="Q1035" i="7" s="1"/>
  <c r="C1036" i="7"/>
  <c r="P1036" i="7"/>
  <c r="Q1036" i="7" s="1"/>
  <c r="C1037" i="7"/>
  <c r="P1037" i="7"/>
  <c r="Q1037" i="7" s="1"/>
  <c r="C1038" i="7"/>
  <c r="P1038" i="7"/>
  <c r="Q1038" i="7" s="1"/>
  <c r="C1039" i="7"/>
  <c r="P1039" i="7"/>
  <c r="Q1039" i="7" s="1"/>
  <c r="C1040" i="7"/>
  <c r="P1040" i="7"/>
  <c r="Q1040" i="7" s="1"/>
  <c r="C1041" i="7"/>
  <c r="P1041" i="7"/>
  <c r="Q1041" i="7" s="1"/>
  <c r="C1042" i="7"/>
  <c r="P1042" i="7"/>
  <c r="Q1042" i="7" s="1"/>
  <c r="C1043" i="7"/>
  <c r="P1043" i="7"/>
  <c r="Q1043" i="7" s="1"/>
  <c r="C1044" i="7"/>
  <c r="P1044" i="7"/>
  <c r="Q1044" i="7" s="1"/>
  <c r="C1045" i="7"/>
  <c r="P1045" i="7"/>
  <c r="Q1045" i="7" s="1"/>
  <c r="C1046" i="7"/>
  <c r="P1046" i="7"/>
  <c r="Q1046" i="7" s="1"/>
  <c r="C1047" i="7"/>
  <c r="P1047" i="7"/>
  <c r="Q1047" i="7" s="1"/>
  <c r="C1048" i="7"/>
  <c r="P1048" i="7"/>
  <c r="Q1048" i="7" s="1"/>
  <c r="C1049" i="7"/>
  <c r="P1049" i="7"/>
  <c r="Q1049" i="7" s="1"/>
  <c r="C1050" i="7"/>
  <c r="P1050" i="7"/>
  <c r="Q1050" i="7" s="1"/>
  <c r="C1051" i="7"/>
  <c r="P1051" i="7"/>
  <c r="Q1051" i="7" s="1"/>
  <c r="C1052" i="7"/>
  <c r="P1052" i="7"/>
  <c r="Q1052" i="7" s="1"/>
  <c r="C1053" i="7"/>
  <c r="P1053" i="7"/>
  <c r="Q1053" i="7" s="1"/>
  <c r="C1054" i="7"/>
  <c r="P1054" i="7"/>
  <c r="Q1054" i="7" s="1"/>
  <c r="C1055" i="7"/>
  <c r="P1055" i="7"/>
  <c r="Q1055" i="7" s="1"/>
  <c r="C1056" i="7"/>
  <c r="P1056" i="7"/>
  <c r="Q1056" i="7" s="1"/>
  <c r="C1057" i="7"/>
  <c r="P1057" i="7"/>
  <c r="Q1057" i="7" s="1"/>
  <c r="C1058" i="7"/>
  <c r="P1058" i="7"/>
  <c r="Q1058" i="7" s="1"/>
  <c r="C1059" i="7"/>
  <c r="P1059" i="7"/>
  <c r="Q1059" i="7" s="1"/>
  <c r="C1060" i="7"/>
  <c r="P1060" i="7"/>
  <c r="Q1060" i="7" s="1"/>
  <c r="C1061" i="7"/>
  <c r="P1061" i="7"/>
  <c r="Q1061" i="7" s="1"/>
  <c r="C1062" i="7"/>
  <c r="P1062" i="7"/>
  <c r="Q1062" i="7" s="1"/>
  <c r="C1063" i="7"/>
  <c r="P1063" i="7"/>
  <c r="Q1063" i="7" s="1"/>
  <c r="C1064" i="7"/>
  <c r="P1064" i="7"/>
  <c r="Q1064" i="7" s="1"/>
  <c r="C1065" i="7"/>
  <c r="P1065" i="7"/>
  <c r="Q1065" i="7" s="1"/>
  <c r="C1066" i="7"/>
  <c r="P1066" i="7"/>
  <c r="Q1066" i="7" s="1"/>
  <c r="C1067" i="7"/>
  <c r="P1067" i="7"/>
  <c r="Q1067" i="7" s="1"/>
  <c r="C1068" i="7"/>
  <c r="P1068" i="7"/>
  <c r="Q1068" i="7" s="1"/>
  <c r="C1069" i="7"/>
  <c r="P1069" i="7"/>
  <c r="Q1069" i="7" s="1"/>
  <c r="C1070" i="7"/>
  <c r="P1070" i="7"/>
  <c r="Q1070" i="7" s="1"/>
  <c r="C1071" i="7"/>
  <c r="P1071" i="7"/>
  <c r="Q1071" i="7" s="1"/>
  <c r="C1072" i="7"/>
  <c r="P1072" i="7"/>
  <c r="Q1072" i="7" s="1"/>
  <c r="C1073" i="7"/>
  <c r="P1073" i="7"/>
  <c r="Q1073" i="7" s="1"/>
  <c r="C1074" i="7"/>
  <c r="P1074" i="7"/>
  <c r="Q1074" i="7" s="1"/>
  <c r="C1075" i="7"/>
  <c r="P1075" i="7"/>
  <c r="Q1075" i="7" s="1"/>
  <c r="C1076" i="7"/>
  <c r="P1076" i="7"/>
  <c r="Q1076" i="7" s="1"/>
  <c r="C1077" i="7"/>
  <c r="P1077" i="7"/>
  <c r="Q1077" i="7" s="1"/>
  <c r="C1078" i="7"/>
  <c r="P1078" i="7"/>
  <c r="Q1078" i="7" s="1"/>
  <c r="C1079" i="7"/>
  <c r="P1079" i="7"/>
  <c r="Q1079" i="7" s="1"/>
  <c r="C1080" i="7"/>
  <c r="P1080" i="7"/>
  <c r="Q1080" i="7" s="1"/>
  <c r="C1081" i="7"/>
  <c r="P1081" i="7"/>
  <c r="Q1081" i="7" s="1"/>
  <c r="C1082" i="7"/>
  <c r="P1082" i="7"/>
  <c r="Q1082" i="7" s="1"/>
  <c r="C1083" i="7"/>
  <c r="P1083" i="7"/>
  <c r="Q1083" i="7" s="1"/>
  <c r="C1084" i="7"/>
  <c r="P1084" i="7"/>
  <c r="Q1084" i="7" s="1"/>
  <c r="C1085" i="7"/>
  <c r="P1085" i="7"/>
  <c r="Q1085" i="7" s="1"/>
  <c r="C1086" i="7"/>
  <c r="P1086" i="7"/>
  <c r="Q1086" i="7" s="1"/>
  <c r="C1087" i="7"/>
  <c r="P1087" i="7"/>
  <c r="Q1087" i="7" s="1"/>
  <c r="C1088" i="7"/>
  <c r="P1088" i="7"/>
  <c r="Q1088" i="7" s="1"/>
  <c r="C1089" i="7"/>
  <c r="P1089" i="7"/>
  <c r="Q1089" i="7" s="1"/>
  <c r="C1090" i="7"/>
  <c r="P1090" i="7"/>
  <c r="Q1090" i="7" s="1"/>
  <c r="C1091" i="7"/>
  <c r="P1091" i="7"/>
  <c r="Q1091" i="7" s="1"/>
  <c r="C1092" i="7"/>
  <c r="P1092" i="7"/>
  <c r="Q1092" i="7" s="1"/>
  <c r="C1093" i="7"/>
  <c r="P1093" i="7"/>
  <c r="Q1093" i="7" s="1"/>
  <c r="C1094" i="7"/>
  <c r="P1094" i="7"/>
  <c r="Q1094" i="7" s="1"/>
  <c r="C1095" i="7"/>
  <c r="P1095" i="7"/>
  <c r="Q1095" i="7" s="1"/>
  <c r="C1096" i="7"/>
  <c r="P1096" i="7"/>
  <c r="Q1096" i="7" s="1"/>
  <c r="C1097" i="7"/>
  <c r="P1097" i="7"/>
  <c r="Q1097" i="7" s="1"/>
  <c r="C1098" i="7"/>
  <c r="P1098" i="7"/>
  <c r="Q1098" i="7" s="1"/>
  <c r="C1099" i="7"/>
  <c r="P1099" i="7"/>
  <c r="Q1099" i="7" s="1"/>
  <c r="C1100" i="7"/>
  <c r="P1100" i="7"/>
  <c r="Q1100" i="7" s="1"/>
  <c r="C1101" i="7"/>
  <c r="P1101" i="7"/>
  <c r="Q1101" i="7" s="1"/>
  <c r="C1102" i="7"/>
  <c r="P1102" i="7"/>
  <c r="Q1102" i="7" s="1"/>
  <c r="C1103" i="7"/>
  <c r="P1103" i="7"/>
  <c r="Q1103" i="7" s="1"/>
  <c r="C1104" i="7"/>
  <c r="P1104" i="7"/>
  <c r="Q1104" i="7" s="1"/>
  <c r="C1105" i="7"/>
  <c r="P1105" i="7"/>
  <c r="Q1105" i="7" s="1"/>
  <c r="C1106" i="7"/>
  <c r="P1106" i="7"/>
  <c r="Q1106" i="7" s="1"/>
  <c r="C1107" i="7"/>
  <c r="P1107" i="7"/>
  <c r="Q1107" i="7" s="1"/>
  <c r="C1108" i="7"/>
  <c r="P1108" i="7"/>
  <c r="Q1108" i="7" s="1"/>
  <c r="C1109" i="7"/>
  <c r="P1109" i="7"/>
  <c r="Q1109" i="7" s="1"/>
  <c r="C1110" i="7"/>
  <c r="P1110" i="7"/>
  <c r="Q1110" i="7" s="1"/>
  <c r="C1111" i="7"/>
  <c r="P1111" i="7"/>
  <c r="Q1111" i="7" s="1"/>
  <c r="C1112" i="7"/>
  <c r="P1112" i="7"/>
  <c r="Q1112" i="7" s="1"/>
  <c r="C1113" i="7"/>
  <c r="P1113" i="7"/>
  <c r="Q1113" i="7" s="1"/>
  <c r="C1114" i="7"/>
  <c r="P1114" i="7"/>
  <c r="Q1114" i="7" s="1"/>
  <c r="C1115" i="7"/>
  <c r="P1115" i="7"/>
  <c r="Q1115" i="7" s="1"/>
  <c r="C1116" i="7"/>
  <c r="P1116" i="7"/>
  <c r="Q1116" i="7" s="1"/>
  <c r="C1117" i="7"/>
  <c r="P1117" i="7"/>
  <c r="Q1117" i="7" s="1"/>
  <c r="C1118" i="7"/>
  <c r="P1118" i="7"/>
  <c r="Q1118" i="7" s="1"/>
  <c r="C1119" i="7"/>
  <c r="P1119" i="7"/>
  <c r="Q1119" i="7" s="1"/>
  <c r="C1120" i="7"/>
  <c r="P1120" i="7"/>
  <c r="Q1120" i="7" s="1"/>
  <c r="C1121" i="7"/>
  <c r="P1121" i="7"/>
  <c r="Q1121" i="7" s="1"/>
  <c r="C1122" i="7"/>
  <c r="P1122" i="7"/>
  <c r="Q1122" i="7" s="1"/>
  <c r="C1123" i="7"/>
  <c r="P1123" i="7"/>
  <c r="Q1123" i="7" s="1"/>
  <c r="C1124" i="7"/>
  <c r="P1124" i="7"/>
  <c r="Q1124" i="7" s="1"/>
  <c r="C1125" i="7"/>
  <c r="P1125" i="7"/>
  <c r="Q1125" i="7" s="1"/>
  <c r="C1126" i="7"/>
  <c r="P1126" i="7"/>
  <c r="Q1126" i="7" s="1"/>
  <c r="C1127" i="7"/>
  <c r="P1127" i="7"/>
  <c r="Q1127" i="7" s="1"/>
  <c r="C1128" i="7"/>
  <c r="P1128" i="7"/>
  <c r="Q1128" i="7" s="1"/>
  <c r="C1129" i="7"/>
  <c r="P1129" i="7"/>
  <c r="Q1129" i="7" s="1"/>
  <c r="C1130" i="7"/>
  <c r="P1130" i="7"/>
  <c r="Q1130" i="7" s="1"/>
  <c r="C1131" i="7"/>
  <c r="P1131" i="7"/>
  <c r="Q1131" i="7" s="1"/>
  <c r="C1132" i="7"/>
  <c r="P1132" i="7"/>
  <c r="Q1132" i="7" s="1"/>
  <c r="C1133" i="7"/>
  <c r="P1133" i="7"/>
  <c r="Q1133" i="7" s="1"/>
  <c r="C1134" i="7"/>
  <c r="P1134" i="7"/>
  <c r="Q1134" i="7" s="1"/>
  <c r="C1135" i="7"/>
  <c r="P1135" i="7"/>
  <c r="Q1135" i="7" s="1"/>
  <c r="C1136" i="7"/>
  <c r="P1136" i="7"/>
  <c r="Q1136" i="7" s="1"/>
  <c r="C1137" i="7"/>
  <c r="P1137" i="7"/>
  <c r="Q1137" i="7" s="1"/>
  <c r="C1138" i="7"/>
  <c r="P1138" i="7"/>
  <c r="Q1138" i="7" s="1"/>
  <c r="C1139" i="7"/>
  <c r="P1139" i="7"/>
  <c r="Q1139" i="7" s="1"/>
  <c r="C1140" i="7"/>
  <c r="P1140" i="7"/>
  <c r="Q1140" i="7" s="1"/>
  <c r="C1141" i="7"/>
  <c r="P1141" i="7"/>
  <c r="Q1141" i="7" s="1"/>
  <c r="C1142" i="7"/>
  <c r="P1142" i="7"/>
  <c r="Q1142" i="7" s="1"/>
  <c r="C1143" i="7"/>
  <c r="P1143" i="7"/>
  <c r="Q1143" i="7" s="1"/>
  <c r="C1144" i="7"/>
  <c r="P1144" i="7"/>
  <c r="Q1144" i="7" s="1"/>
  <c r="C1145" i="7"/>
  <c r="P1145" i="7"/>
  <c r="Q1145" i="7" s="1"/>
  <c r="C1146" i="7"/>
  <c r="P1146" i="7"/>
  <c r="Q1146" i="7" s="1"/>
  <c r="C1147" i="7"/>
  <c r="P1147" i="7"/>
  <c r="Q1147" i="7" s="1"/>
  <c r="C1148" i="7"/>
  <c r="P1148" i="7"/>
  <c r="Q1148" i="7" s="1"/>
  <c r="C1149" i="7"/>
  <c r="P1149" i="7"/>
  <c r="Q1149" i="7" s="1"/>
  <c r="C1150" i="7"/>
  <c r="P1150" i="7"/>
  <c r="Q1150" i="7" s="1"/>
  <c r="C1151" i="7"/>
  <c r="P1151" i="7"/>
  <c r="Q1151" i="7" s="1"/>
  <c r="C1152" i="7"/>
  <c r="P1152" i="7"/>
  <c r="Q1152" i="7" s="1"/>
  <c r="C1153" i="7"/>
  <c r="P1153" i="7"/>
  <c r="Q1153" i="7" s="1"/>
  <c r="C1154" i="7"/>
  <c r="P1154" i="7"/>
  <c r="Q1154" i="7" s="1"/>
  <c r="C1155" i="7"/>
  <c r="P1155" i="7"/>
  <c r="Q1155" i="7" s="1"/>
  <c r="C1156" i="7"/>
  <c r="P1156" i="7"/>
  <c r="Q1156" i="7" s="1"/>
  <c r="C1157" i="7"/>
  <c r="P1157" i="7"/>
  <c r="Q1157" i="7" s="1"/>
  <c r="C1158" i="7"/>
  <c r="P1158" i="7"/>
  <c r="Q1158" i="7" s="1"/>
  <c r="C1159" i="7"/>
  <c r="P1159" i="7"/>
  <c r="Q1159" i="7" s="1"/>
  <c r="C1160" i="7"/>
  <c r="P1160" i="7"/>
  <c r="Q1160" i="7" s="1"/>
  <c r="C1161" i="7"/>
  <c r="P1161" i="7"/>
  <c r="Q1161" i="7" s="1"/>
  <c r="C1162" i="7"/>
  <c r="P1162" i="7"/>
  <c r="Q1162" i="7" s="1"/>
  <c r="C1163" i="7"/>
  <c r="P1163" i="7"/>
  <c r="Q1163" i="7" s="1"/>
  <c r="C1164" i="7"/>
  <c r="P1164" i="7"/>
  <c r="Q1164" i="7" s="1"/>
  <c r="C1165" i="7"/>
  <c r="P1165" i="7"/>
  <c r="Q1165" i="7" s="1"/>
  <c r="C1166" i="7"/>
  <c r="P1166" i="7"/>
  <c r="Q1166" i="7" s="1"/>
  <c r="C1167" i="7"/>
  <c r="P1167" i="7"/>
  <c r="Q1167" i="7" s="1"/>
  <c r="C1168" i="7"/>
  <c r="P1168" i="7"/>
  <c r="Q1168" i="7" s="1"/>
  <c r="C1169" i="7"/>
  <c r="P1169" i="7"/>
  <c r="Q1169" i="7" s="1"/>
  <c r="C1170" i="7"/>
  <c r="P1170" i="7"/>
  <c r="Q1170" i="7" s="1"/>
  <c r="C1171" i="7"/>
  <c r="P1171" i="7"/>
  <c r="Q1171" i="7" s="1"/>
  <c r="C1172" i="7"/>
  <c r="P1172" i="7"/>
  <c r="Q1172" i="7" s="1"/>
  <c r="C1173" i="7"/>
  <c r="P1173" i="7"/>
  <c r="Q1173" i="7" s="1"/>
  <c r="C1174" i="7"/>
  <c r="P1174" i="7"/>
  <c r="Q1174" i="7" s="1"/>
  <c r="C1175" i="7"/>
  <c r="P1175" i="7"/>
  <c r="Q1175" i="7" s="1"/>
  <c r="C1176" i="7"/>
  <c r="P1176" i="7"/>
  <c r="Q1176" i="7" s="1"/>
  <c r="C1177" i="7"/>
  <c r="P1177" i="7"/>
  <c r="Q1177" i="7" s="1"/>
  <c r="C1178" i="7"/>
  <c r="P1178" i="7"/>
  <c r="Q1178" i="7" s="1"/>
  <c r="C1179" i="7"/>
  <c r="P1179" i="7"/>
  <c r="Q1179" i="7" s="1"/>
  <c r="C1180" i="7"/>
  <c r="P1180" i="7"/>
  <c r="Q1180" i="7" s="1"/>
  <c r="C1181" i="7"/>
  <c r="P1181" i="7"/>
  <c r="Q1181" i="7" s="1"/>
  <c r="C1182" i="7"/>
  <c r="P1182" i="7"/>
  <c r="Q1182" i="7" s="1"/>
  <c r="C1183" i="7"/>
  <c r="P1183" i="7"/>
  <c r="Q1183" i="7" s="1"/>
  <c r="C1184" i="7"/>
  <c r="P1184" i="7"/>
  <c r="Q1184" i="7" s="1"/>
  <c r="C1185" i="7"/>
  <c r="P1185" i="7"/>
  <c r="Q1185" i="7" s="1"/>
  <c r="C1186" i="7"/>
  <c r="P1186" i="7"/>
  <c r="Q1186" i="7" s="1"/>
  <c r="C1187" i="7"/>
  <c r="P1187" i="7"/>
  <c r="Q1187" i="7" s="1"/>
  <c r="C1188" i="7"/>
  <c r="P1188" i="7"/>
  <c r="Q1188" i="7" s="1"/>
  <c r="C1189" i="7"/>
  <c r="P1189" i="7"/>
  <c r="Q1189" i="7" s="1"/>
  <c r="C1190" i="7"/>
  <c r="P1190" i="7"/>
  <c r="Q1190" i="7" s="1"/>
  <c r="C1191" i="7"/>
  <c r="P1191" i="7"/>
  <c r="Q1191" i="7" s="1"/>
  <c r="C1192" i="7"/>
  <c r="P1192" i="7"/>
  <c r="Q1192" i="7" s="1"/>
  <c r="C1193" i="7"/>
  <c r="P1193" i="7"/>
  <c r="Q1193" i="7" s="1"/>
  <c r="C1194" i="7"/>
  <c r="P1194" i="7"/>
  <c r="Q1194" i="7" s="1"/>
  <c r="C1195" i="7"/>
  <c r="P1195" i="7"/>
  <c r="Q1195" i="7" s="1"/>
  <c r="C1196" i="7"/>
  <c r="P1196" i="7"/>
  <c r="Q1196" i="7" s="1"/>
  <c r="C1197" i="7"/>
  <c r="P1197" i="7"/>
  <c r="Q1197" i="7" s="1"/>
  <c r="C1198" i="7"/>
  <c r="P1198" i="7"/>
  <c r="Q1198" i="7" s="1"/>
  <c r="C1199" i="7"/>
  <c r="P1199" i="7"/>
  <c r="Q1199" i="7" s="1"/>
  <c r="C1200" i="7"/>
  <c r="P1200" i="7"/>
  <c r="Q1200" i="7" s="1"/>
  <c r="C1201" i="7"/>
  <c r="P1201" i="7"/>
  <c r="Q1201" i="7" s="1"/>
  <c r="C1202" i="7"/>
  <c r="P1202" i="7"/>
  <c r="Q1202" i="7" s="1"/>
  <c r="C1203" i="7"/>
  <c r="P1203" i="7"/>
  <c r="Q1203" i="7" s="1"/>
  <c r="C1204" i="7"/>
  <c r="P1204" i="7"/>
  <c r="Q1204" i="7" s="1"/>
  <c r="C1205" i="7"/>
  <c r="P1205" i="7"/>
  <c r="Q1205" i="7" s="1"/>
  <c r="C1206" i="7"/>
  <c r="P1206" i="7"/>
  <c r="Q1206" i="7" s="1"/>
  <c r="C1207" i="7"/>
  <c r="P1207" i="7"/>
  <c r="Q1207" i="7" s="1"/>
  <c r="C1208" i="7"/>
  <c r="P1208" i="7"/>
  <c r="Q1208" i="7" s="1"/>
  <c r="C1209" i="7"/>
  <c r="P1209" i="7"/>
  <c r="Q1209" i="7" s="1"/>
  <c r="C1210" i="7"/>
  <c r="P1210" i="7"/>
  <c r="Q1210" i="7" s="1"/>
  <c r="C1211" i="7"/>
  <c r="P1211" i="7"/>
  <c r="Q1211" i="7" s="1"/>
  <c r="C1212" i="7"/>
  <c r="P1212" i="7"/>
  <c r="Q1212" i="7" s="1"/>
  <c r="C1213" i="7"/>
  <c r="P1213" i="7"/>
  <c r="Q1213" i="7" s="1"/>
  <c r="C1214" i="7"/>
  <c r="P1214" i="7"/>
  <c r="Q1214" i="7" s="1"/>
  <c r="C1215" i="7"/>
  <c r="P1215" i="7"/>
  <c r="Q1215" i="7" s="1"/>
  <c r="C1216" i="7"/>
  <c r="P1216" i="7"/>
  <c r="Q1216" i="7" s="1"/>
  <c r="C1217" i="7"/>
  <c r="P1217" i="7"/>
  <c r="Q1217" i="7" s="1"/>
  <c r="C1218" i="7"/>
  <c r="P1218" i="7"/>
  <c r="Q1218" i="7" s="1"/>
  <c r="C1219" i="7"/>
  <c r="P1219" i="7"/>
  <c r="Q1219" i="7" s="1"/>
  <c r="C1220" i="7"/>
  <c r="P1220" i="7"/>
  <c r="Q1220" i="7" s="1"/>
  <c r="C1221" i="7"/>
  <c r="P1221" i="7"/>
  <c r="Q1221" i="7" s="1"/>
  <c r="C1222" i="7"/>
  <c r="P1222" i="7"/>
  <c r="Q1222" i="7" s="1"/>
  <c r="C1223" i="7"/>
  <c r="P1223" i="7"/>
  <c r="Q1223" i="7" s="1"/>
  <c r="C1224" i="7"/>
  <c r="P1224" i="7"/>
  <c r="Q1224" i="7" s="1"/>
  <c r="C1225" i="7"/>
  <c r="P1225" i="7"/>
  <c r="Q1225" i="7" s="1"/>
  <c r="C1226" i="7"/>
  <c r="P1226" i="7"/>
  <c r="Q1226" i="7" s="1"/>
  <c r="C1227" i="7"/>
  <c r="P1227" i="7"/>
  <c r="Q1227" i="7" s="1"/>
  <c r="C1228" i="7"/>
  <c r="P1228" i="7"/>
  <c r="Q1228" i="7" s="1"/>
  <c r="C1229" i="7"/>
  <c r="P1229" i="7"/>
  <c r="Q1229" i="7" s="1"/>
  <c r="C1230" i="7"/>
  <c r="P1230" i="7"/>
  <c r="Q1230" i="7" s="1"/>
  <c r="C1231" i="7"/>
  <c r="P1231" i="7"/>
  <c r="Q1231" i="7" s="1"/>
  <c r="C1232" i="7"/>
  <c r="P1232" i="7"/>
  <c r="Q1232" i="7" s="1"/>
  <c r="C1233" i="7"/>
  <c r="P1233" i="7"/>
  <c r="Q1233" i="7" s="1"/>
  <c r="C1234" i="7"/>
  <c r="P1234" i="7"/>
  <c r="Q1234" i="7" s="1"/>
  <c r="C1235" i="7"/>
  <c r="P1235" i="7"/>
  <c r="Q1235" i="7" s="1"/>
  <c r="C1236" i="7"/>
  <c r="P1236" i="7"/>
  <c r="Q1236" i="7" s="1"/>
  <c r="C1237" i="7"/>
  <c r="P1237" i="7"/>
  <c r="Q1237" i="7" s="1"/>
  <c r="C1238" i="7"/>
  <c r="P1238" i="7"/>
  <c r="Q1238" i="7" s="1"/>
  <c r="C1239" i="7"/>
  <c r="P1239" i="7"/>
  <c r="Q1239" i="7" s="1"/>
  <c r="C1240" i="7"/>
  <c r="P1240" i="7"/>
  <c r="Q1240" i="7" s="1"/>
  <c r="C1241" i="7"/>
  <c r="P1241" i="7"/>
  <c r="Q1241" i="7" s="1"/>
  <c r="C1242" i="7"/>
  <c r="P1242" i="7"/>
  <c r="Q1242" i="7" s="1"/>
  <c r="C1243" i="7"/>
  <c r="P1243" i="7"/>
  <c r="Q1243" i="7" s="1"/>
  <c r="C1244" i="7"/>
  <c r="P1244" i="7"/>
  <c r="Q1244" i="7" s="1"/>
  <c r="C1245" i="7"/>
  <c r="P1245" i="7"/>
  <c r="Q1245" i="7" s="1"/>
  <c r="C1246" i="7"/>
  <c r="P1246" i="7"/>
  <c r="Q1246" i="7" s="1"/>
  <c r="C1247" i="7"/>
  <c r="P1247" i="7"/>
  <c r="Q1247" i="7" s="1"/>
  <c r="C1248" i="7"/>
  <c r="P1248" i="7"/>
  <c r="Q1248" i="7" s="1"/>
  <c r="C1249" i="7"/>
  <c r="P1249" i="7"/>
  <c r="Q1249" i="7" s="1"/>
  <c r="C1250" i="7"/>
  <c r="P1250" i="7"/>
  <c r="Q1250" i="7" s="1"/>
  <c r="C1251" i="7"/>
  <c r="P1251" i="7"/>
  <c r="Q1251" i="7" s="1"/>
  <c r="C1252" i="7"/>
  <c r="P1252" i="7"/>
  <c r="Q1252" i="7" s="1"/>
  <c r="C1253" i="7"/>
  <c r="P1253" i="7"/>
  <c r="Q1253" i="7" s="1"/>
  <c r="C1254" i="7"/>
  <c r="P1254" i="7"/>
  <c r="Q1254" i="7" s="1"/>
  <c r="C1255" i="7"/>
  <c r="P1255" i="7"/>
  <c r="Q1255" i="7" s="1"/>
  <c r="C1256" i="7"/>
  <c r="P1256" i="7"/>
  <c r="Q1256" i="7" s="1"/>
  <c r="C1257" i="7"/>
  <c r="P1257" i="7"/>
  <c r="Q1257" i="7" s="1"/>
  <c r="C1258" i="7"/>
  <c r="P1258" i="7"/>
  <c r="Q1258" i="7" s="1"/>
  <c r="C1259" i="7"/>
  <c r="P1259" i="7"/>
  <c r="Q1259" i="7" s="1"/>
  <c r="C1260" i="7"/>
  <c r="P1260" i="7"/>
  <c r="Q1260" i="7" s="1"/>
  <c r="C1261" i="7"/>
  <c r="P1261" i="7"/>
  <c r="Q1261" i="7" s="1"/>
  <c r="C1262" i="7"/>
  <c r="P1262" i="7"/>
  <c r="Q1262" i="7" s="1"/>
  <c r="C1263" i="7"/>
  <c r="P1263" i="7"/>
  <c r="Q1263" i="7" s="1"/>
  <c r="C1264" i="7"/>
  <c r="P1264" i="7"/>
  <c r="Q1264" i="7" s="1"/>
  <c r="C1265" i="7"/>
  <c r="P1265" i="7"/>
  <c r="Q1265" i="7" s="1"/>
  <c r="C1266" i="7"/>
  <c r="P1266" i="7"/>
  <c r="Q1266" i="7" s="1"/>
  <c r="C1267" i="7"/>
  <c r="P1267" i="7"/>
  <c r="Q1267" i="7" s="1"/>
  <c r="C1268" i="7"/>
  <c r="P1268" i="7"/>
  <c r="Q1268" i="7" s="1"/>
  <c r="C1269" i="7"/>
  <c r="P1269" i="7"/>
  <c r="Q1269" i="7" s="1"/>
  <c r="C1270" i="7"/>
  <c r="P1270" i="7"/>
  <c r="Q1270" i="7" s="1"/>
  <c r="C1271" i="7"/>
  <c r="P1271" i="7"/>
  <c r="Q1271" i="7" s="1"/>
  <c r="C1272" i="7"/>
  <c r="P1272" i="7"/>
  <c r="Q1272" i="7" s="1"/>
  <c r="C1273" i="7"/>
  <c r="P1273" i="7"/>
  <c r="Q1273" i="7" s="1"/>
  <c r="C1274" i="7"/>
  <c r="P1274" i="7"/>
  <c r="Q1274" i="7" s="1"/>
  <c r="C1275" i="7"/>
  <c r="P1275" i="7"/>
  <c r="Q1275" i="7" s="1"/>
  <c r="C1276" i="7"/>
  <c r="P1276" i="7"/>
  <c r="Q1276" i="7" s="1"/>
  <c r="C1277" i="7"/>
  <c r="P1277" i="7"/>
  <c r="Q1277" i="7" s="1"/>
  <c r="C1278" i="7"/>
  <c r="P1278" i="7"/>
  <c r="Q1278" i="7" s="1"/>
  <c r="C1279" i="7"/>
  <c r="P1279" i="7"/>
  <c r="Q1279" i="7" s="1"/>
  <c r="C1280" i="7"/>
  <c r="P1280" i="7"/>
  <c r="Q1280" i="7" s="1"/>
  <c r="C1281" i="7"/>
  <c r="P1281" i="7"/>
  <c r="Q1281" i="7" s="1"/>
  <c r="C1282" i="7"/>
  <c r="P1282" i="7"/>
  <c r="Q1282" i="7" s="1"/>
  <c r="C1283" i="7"/>
  <c r="P1283" i="7"/>
  <c r="Q1283" i="7" s="1"/>
  <c r="C1284" i="7"/>
  <c r="P1284" i="7"/>
  <c r="Q1284" i="7" s="1"/>
  <c r="C1285" i="7"/>
  <c r="P1285" i="7"/>
  <c r="Q1285" i="7" s="1"/>
  <c r="C1286" i="7"/>
  <c r="P1286" i="7"/>
  <c r="Q1286" i="7" s="1"/>
  <c r="C1287" i="7"/>
  <c r="P1287" i="7"/>
  <c r="Q1287" i="7" s="1"/>
  <c r="C1288" i="7"/>
  <c r="P1288" i="7"/>
  <c r="Q1288" i="7" s="1"/>
  <c r="C1289" i="7"/>
  <c r="P1289" i="7"/>
  <c r="Q1289" i="7" s="1"/>
  <c r="C1290" i="7"/>
  <c r="P1290" i="7"/>
  <c r="Q1290" i="7" s="1"/>
  <c r="C1291" i="7"/>
  <c r="P1291" i="7"/>
  <c r="Q1291" i="7" s="1"/>
  <c r="C1292" i="7"/>
  <c r="P1292" i="7"/>
  <c r="Q1292" i="7" s="1"/>
  <c r="C1293" i="7"/>
  <c r="P1293" i="7"/>
  <c r="Q1293" i="7" s="1"/>
  <c r="C1294" i="7"/>
  <c r="P1294" i="7"/>
  <c r="Q1294" i="7" s="1"/>
  <c r="C1295" i="7"/>
  <c r="P1295" i="7"/>
  <c r="Q1295" i="7" s="1"/>
  <c r="C1296" i="7"/>
  <c r="P1296" i="7"/>
  <c r="Q1296" i="7" s="1"/>
  <c r="C1297" i="7"/>
  <c r="P1297" i="7"/>
  <c r="Q1297" i="7" s="1"/>
  <c r="C1298" i="7"/>
  <c r="P1298" i="7"/>
  <c r="Q1298" i="7" s="1"/>
  <c r="C1299" i="7"/>
  <c r="P1299" i="7"/>
  <c r="Q1299" i="7" s="1"/>
  <c r="C1300" i="7"/>
  <c r="P1300" i="7"/>
  <c r="Q1300" i="7" s="1"/>
  <c r="C1301" i="7"/>
  <c r="P1301" i="7"/>
  <c r="Q1301" i="7" s="1"/>
  <c r="C1302" i="7"/>
  <c r="P1302" i="7"/>
  <c r="Q1302" i="7" s="1"/>
  <c r="C1303" i="7"/>
  <c r="P1303" i="7"/>
  <c r="Q1303" i="7" s="1"/>
  <c r="C1304" i="7"/>
  <c r="P1304" i="7"/>
  <c r="Q1304" i="7" s="1"/>
  <c r="C1305" i="7"/>
  <c r="P1305" i="7"/>
  <c r="Q1305" i="7" s="1"/>
  <c r="C1306" i="7"/>
  <c r="P1306" i="7"/>
  <c r="Q1306" i="7" s="1"/>
  <c r="C1307" i="7"/>
  <c r="P1307" i="7"/>
  <c r="Q1307" i="7" s="1"/>
  <c r="C1308" i="7"/>
  <c r="P1308" i="7"/>
  <c r="Q1308" i="7" s="1"/>
  <c r="C1309" i="7"/>
  <c r="P1309" i="7"/>
  <c r="Q1309" i="7" s="1"/>
  <c r="C1310" i="7"/>
  <c r="P1310" i="7"/>
  <c r="Q1310" i="7" s="1"/>
  <c r="C1311" i="7"/>
  <c r="P1311" i="7"/>
  <c r="Q1311" i="7" s="1"/>
  <c r="C1312" i="7"/>
  <c r="P1312" i="7"/>
  <c r="Q1312" i="7" s="1"/>
  <c r="C1313" i="7"/>
  <c r="P1313" i="7"/>
  <c r="Q1313" i="7" s="1"/>
  <c r="C1314" i="7"/>
  <c r="P1314" i="7"/>
  <c r="Q1314" i="7" s="1"/>
  <c r="C1315" i="7"/>
  <c r="P1315" i="7"/>
  <c r="Q1315" i="7" s="1"/>
  <c r="C1316" i="7"/>
  <c r="P1316" i="7"/>
  <c r="Q1316" i="7" s="1"/>
  <c r="C1317" i="7"/>
  <c r="P1317" i="7"/>
  <c r="Q1317" i="7" s="1"/>
  <c r="C1318" i="7"/>
  <c r="P1318" i="7"/>
  <c r="Q1318" i="7" s="1"/>
  <c r="C1319" i="7"/>
  <c r="P1319" i="7"/>
  <c r="Q1319" i="7" s="1"/>
  <c r="C1320" i="7"/>
  <c r="P1320" i="7"/>
  <c r="Q1320" i="7" s="1"/>
  <c r="C1321" i="7"/>
  <c r="P1321" i="7"/>
  <c r="Q1321" i="7" s="1"/>
  <c r="C1322" i="7"/>
  <c r="P1322" i="7"/>
  <c r="Q1322" i="7" s="1"/>
  <c r="C1323" i="7"/>
  <c r="P1323" i="7"/>
  <c r="Q1323" i="7" s="1"/>
  <c r="C1324" i="7"/>
  <c r="P1324" i="7"/>
  <c r="Q1324" i="7" s="1"/>
  <c r="C1325" i="7"/>
  <c r="P1325" i="7"/>
  <c r="Q1325" i="7" s="1"/>
  <c r="C1326" i="7"/>
  <c r="P1326" i="7"/>
  <c r="Q1326" i="7" s="1"/>
  <c r="C1327" i="7"/>
  <c r="P1327" i="7"/>
  <c r="Q1327" i="7" s="1"/>
  <c r="C1328" i="7"/>
  <c r="P1328" i="7"/>
  <c r="Q1328" i="7" s="1"/>
  <c r="C1329" i="7"/>
  <c r="P1329" i="7"/>
  <c r="Q1329" i="7" s="1"/>
  <c r="C1330" i="7"/>
  <c r="P1330" i="7"/>
  <c r="Q1330" i="7" s="1"/>
  <c r="C1331" i="7"/>
  <c r="P1331" i="7"/>
  <c r="Q1331" i="7" s="1"/>
  <c r="C1332" i="7"/>
  <c r="P1332" i="7"/>
  <c r="Q1332" i="7" s="1"/>
  <c r="C1333" i="7"/>
  <c r="P1333" i="7"/>
  <c r="Q1333" i="7" s="1"/>
  <c r="C1334" i="7"/>
  <c r="P1334" i="7"/>
  <c r="Q1334" i="7" s="1"/>
  <c r="C1335" i="7"/>
  <c r="P1335" i="7"/>
  <c r="Q1335" i="7" s="1"/>
  <c r="C1336" i="7"/>
  <c r="P1336" i="7"/>
  <c r="Q1336" i="7" s="1"/>
  <c r="C1337" i="7"/>
  <c r="P1337" i="7"/>
  <c r="Q1337" i="7" s="1"/>
  <c r="C1338" i="7"/>
  <c r="P1338" i="7"/>
  <c r="Q1338" i="7" s="1"/>
  <c r="C1339" i="7"/>
  <c r="P1339" i="7"/>
  <c r="Q1339" i="7" s="1"/>
  <c r="C1340" i="7"/>
  <c r="P1340" i="7"/>
  <c r="Q1340" i="7" s="1"/>
  <c r="C1341" i="7"/>
  <c r="P1341" i="7"/>
  <c r="Q1341" i="7" s="1"/>
  <c r="C1342" i="7"/>
  <c r="P1342" i="7"/>
  <c r="Q1342" i="7" s="1"/>
  <c r="C1343" i="7"/>
  <c r="P1343" i="7"/>
  <c r="Q1343" i="7" s="1"/>
  <c r="C1344" i="7"/>
  <c r="P1344" i="7"/>
  <c r="Q1344" i="7" s="1"/>
  <c r="C1345" i="7"/>
  <c r="P1345" i="7"/>
  <c r="Q1345" i="7" s="1"/>
  <c r="C1346" i="7"/>
  <c r="P1346" i="7"/>
  <c r="Q1346" i="7" s="1"/>
  <c r="C1347" i="7"/>
  <c r="P1347" i="7"/>
  <c r="Q1347" i="7" s="1"/>
  <c r="C1348" i="7"/>
  <c r="P1348" i="7"/>
  <c r="Q1348" i="7" s="1"/>
  <c r="C1349" i="7"/>
  <c r="P1349" i="7"/>
  <c r="Q1349" i="7" s="1"/>
  <c r="C1350" i="7"/>
  <c r="P1350" i="7"/>
  <c r="Q1350" i="7" s="1"/>
  <c r="C1351" i="7"/>
  <c r="P1351" i="7"/>
  <c r="Q1351" i="7" s="1"/>
  <c r="C1352" i="7"/>
  <c r="P1352" i="7"/>
  <c r="Q1352" i="7" s="1"/>
  <c r="C1353" i="7"/>
  <c r="P1353" i="7"/>
  <c r="Q1353" i="7" s="1"/>
  <c r="C1354" i="7"/>
  <c r="P1354" i="7"/>
  <c r="Q1354" i="7" s="1"/>
  <c r="C1355" i="7"/>
  <c r="P1355" i="7"/>
  <c r="Q1355" i="7" s="1"/>
  <c r="C1356" i="7"/>
  <c r="P1356" i="7"/>
  <c r="Q1356" i="7" s="1"/>
  <c r="C1357" i="7"/>
  <c r="P1357" i="7"/>
  <c r="Q1357" i="7" s="1"/>
  <c r="C1358" i="7"/>
  <c r="P1358" i="7"/>
  <c r="Q1358" i="7" s="1"/>
  <c r="C1359" i="7"/>
  <c r="P1359" i="7"/>
  <c r="Q1359" i="7" s="1"/>
  <c r="C1360" i="7"/>
  <c r="P1360" i="7"/>
  <c r="Q1360" i="7" s="1"/>
  <c r="C1361" i="7"/>
  <c r="P1361" i="7"/>
  <c r="Q1361" i="7" s="1"/>
  <c r="C1362" i="7"/>
  <c r="P1362" i="7"/>
  <c r="Q1362" i="7" s="1"/>
  <c r="C1363" i="7"/>
  <c r="P1363" i="7"/>
  <c r="Q1363" i="7" s="1"/>
  <c r="C1364" i="7"/>
  <c r="P1364" i="7"/>
  <c r="Q1364" i="7" s="1"/>
  <c r="C1365" i="7"/>
  <c r="P1365" i="7"/>
  <c r="Q1365" i="7" s="1"/>
  <c r="C1366" i="7"/>
  <c r="P1366" i="7"/>
  <c r="Q1366" i="7" s="1"/>
  <c r="C1367" i="7"/>
  <c r="P1367" i="7"/>
  <c r="Q1367" i="7" s="1"/>
  <c r="C1368" i="7"/>
  <c r="P1368" i="7"/>
  <c r="Q1368" i="7" s="1"/>
  <c r="C1369" i="7"/>
  <c r="P1369" i="7"/>
  <c r="Q1369" i="7" s="1"/>
  <c r="C1370" i="7"/>
  <c r="P1370" i="7"/>
  <c r="Q1370" i="7" s="1"/>
  <c r="C1371" i="7"/>
  <c r="P1371" i="7"/>
  <c r="Q1371" i="7" s="1"/>
  <c r="C1372" i="7"/>
  <c r="P1372" i="7"/>
  <c r="Q1372" i="7" s="1"/>
  <c r="C1373" i="7"/>
  <c r="P1373" i="7"/>
  <c r="Q1373" i="7" s="1"/>
  <c r="C1374" i="7"/>
  <c r="P1374" i="7"/>
  <c r="Q1374" i="7" s="1"/>
  <c r="C1375" i="7"/>
  <c r="P1375" i="7"/>
  <c r="Q1375" i="7" s="1"/>
  <c r="C1376" i="7"/>
  <c r="P1376" i="7"/>
  <c r="Q1376" i="7" s="1"/>
  <c r="C1377" i="7"/>
  <c r="P1377" i="7"/>
  <c r="Q1377" i="7" s="1"/>
  <c r="C1378" i="7"/>
  <c r="P1378" i="7"/>
  <c r="Q1378" i="7" s="1"/>
  <c r="C1379" i="7"/>
  <c r="P1379" i="7"/>
  <c r="Q1379" i="7" s="1"/>
  <c r="C1380" i="7"/>
  <c r="P1380" i="7"/>
  <c r="Q1380" i="7" s="1"/>
  <c r="C1381" i="7"/>
  <c r="P1381" i="7"/>
  <c r="Q1381" i="7" s="1"/>
  <c r="C1382" i="7"/>
  <c r="P1382" i="7"/>
  <c r="Q1382" i="7" s="1"/>
  <c r="C1383" i="7"/>
  <c r="P1383" i="7"/>
  <c r="Q1383" i="7" s="1"/>
  <c r="C1384" i="7"/>
  <c r="P1384" i="7"/>
  <c r="Q1384" i="7" s="1"/>
  <c r="C1385" i="7"/>
  <c r="P1385" i="7"/>
  <c r="Q1385" i="7" s="1"/>
  <c r="C1386" i="7"/>
  <c r="P1386" i="7"/>
  <c r="Q1386" i="7" s="1"/>
  <c r="C1387" i="7"/>
  <c r="P1387" i="7"/>
  <c r="Q1387" i="7" s="1"/>
  <c r="C1388" i="7"/>
  <c r="P1388" i="7"/>
  <c r="Q1388" i="7" s="1"/>
  <c r="C1389" i="7"/>
  <c r="P1389" i="7"/>
  <c r="Q1389" i="7" s="1"/>
  <c r="C1390" i="7"/>
  <c r="P1390" i="7"/>
  <c r="Q1390" i="7" s="1"/>
  <c r="C1391" i="7"/>
  <c r="P1391" i="7"/>
  <c r="Q1391" i="7" s="1"/>
  <c r="C1392" i="7"/>
  <c r="P1392" i="7"/>
  <c r="Q1392" i="7" s="1"/>
  <c r="C1393" i="7"/>
  <c r="P1393" i="7"/>
  <c r="Q1393" i="7" s="1"/>
  <c r="C1394" i="7"/>
  <c r="P1394" i="7"/>
  <c r="Q1394" i="7" s="1"/>
  <c r="C1395" i="7"/>
  <c r="P1395" i="7"/>
  <c r="Q1395" i="7" s="1"/>
  <c r="C1396" i="7"/>
  <c r="P1396" i="7"/>
  <c r="Q1396" i="7" s="1"/>
  <c r="C1397" i="7"/>
  <c r="P1397" i="7"/>
  <c r="Q1397" i="7" s="1"/>
  <c r="C1398" i="7"/>
  <c r="P1398" i="7"/>
  <c r="Q1398" i="7" s="1"/>
  <c r="C1399" i="7"/>
  <c r="P1399" i="7"/>
  <c r="Q1399" i="7" s="1"/>
  <c r="C1400" i="7"/>
  <c r="P1400" i="7"/>
  <c r="Q1400" i="7" s="1"/>
  <c r="C1401" i="7"/>
  <c r="P1401" i="7"/>
  <c r="Q1401" i="7" s="1"/>
  <c r="C1402" i="7"/>
  <c r="P1402" i="7"/>
  <c r="Q1402" i="7" s="1"/>
  <c r="C1403" i="7"/>
  <c r="P1403" i="7"/>
  <c r="Q1403" i="7" s="1"/>
  <c r="C1404" i="7"/>
  <c r="P1404" i="7"/>
  <c r="Q1404" i="7" s="1"/>
  <c r="C1405" i="7"/>
  <c r="P1405" i="7"/>
  <c r="Q1405" i="7" s="1"/>
  <c r="C1406" i="7"/>
  <c r="P1406" i="7"/>
  <c r="Q1406" i="7" s="1"/>
  <c r="C1407" i="7"/>
  <c r="P1407" i="7"/>
  <c r="Q1407" i="7" s="1"/>
  <c r="C1408" i="7"/>
  <c r="P1408" i="7"/>
  <c r="Q1408" i="7" s="1"/>
  <c r="C1409" i="7"/>
  <c r="P1409" i="7"/>
  <c r="Q1409" i="7" s="1"/>
  <c r="C1410" i="7"/>
  <c r="P1410" i="7"/>
  <c r="Q1410" i="7" s="1"/>
  <c r="C1411" i="7"/>
  <c r="P1411" i="7"/>
  <c r="Q1411" i="7" s="1"/>
  <c r="C1412" i="7"/>
  <c r="P1412" i="7"/>
  <c r="Q1412" i="7" s="1"/>
  <c r="C1413" i="7"/>
  <c r="P1413" i="7"/>
  <c r="Q1413" i="7" s="1"/>
  <c r="C1414" i="7"/>
  <c r="P1414" i="7"/>
  <c r="Q1414" i="7" s="1"/>
  <c r="C1415" i="7"/>
  <c r="P1415" i="7"/>
  <c r="Q1415" i="7" s="1"/>
  <c r="C1416" i="7"/>
  <c r="P1416" i="7"/>
  <c r="Q1416" i="7" s="1"/>
  <c r="C1417" i="7"/>
  <c r="P1417" i="7"/>
  <c r="Q1417" i="7" s="1"/>
  <c r="C1418" i="7"/>
  <c r="P1418" i="7"/>
  <c r="Q1418" i="7" s="1"/>
  <c r="C1419" i="7"/>
  <c r="P1419" i="7"/>
  <c r="Q1419" i="7" s="1"/>
  <c r="C1420" i="7"/>
  <c r="P1420" i="7"/>
  <c r="Q1420" i="7" s="1"/>
  <c r="C1421" i="7"/>
  <c r="P1421" i="7"/>
  <c r="Q1421" i="7" s="1"/>
  <c r="C1422" i="7"/>
  <c r="P1422" i="7"/>
  <c r="Q1422" i="7" s="1"/>
  <c r="C1423" i="7"/>
  <c r="P1423" i="7"/>
  <c r="Q1423" i="7" s="1"/>
  <c r="C1424" i="7"/>
  <c r="P1424" i="7"/>
  <c r="Q1424" i="7" s="1"/>
  <c r="C1425" i="7"/>
  <c r="P1425" i="7"/>
  <c r="Q1425" i="7" s="1"/>
  <c r="C1426" i="7"/>
  <c r="P1426" i="7"/>
  <c r="Q1426" i="7" s="1"/>
  <c r="C1427" i="7"/>
  <c r="P1427" i="7"/>
  <c r="Q1427" i="7" s="1"/>
  <c r="C1428" i="7"/>
  <c r="P1428" i="7"/>
  <c r="Q1428" i="7" s="1"/>
  <c r="C1429" i="7"/>
  <c r="P1429" i="7"/>
  <c r="Q1429" i="7" s="1"/>
  <c r="C1430" i="7"/>
  <c r="P1430" i="7"/>
  <c r="Q1430" i="7" s="1"/>
  <c r="C1431" i="7"/>
  <c r="P1431" i="7"/>
  <c r="Q1431" i="7" s="1"/>
  <c r="C1432" i="7"/>
  <c r="P1432" i="7"/>
  <c r="Q1432" i="7" s="1"/>
  <c r="C1433" i="7"/>
  <c r="P1433" i="7"/>
  <c r="Q1433" i="7" s="1"/>
  <c r="C1434" i="7"/>
  <c r="P1434" i="7"/>
  <c r="Q1434" i="7" s="1"/>
  <c r="C1435" i="7"/>
  <c r="P1435" i="7"/>
  <c r="Q1435" i="7" s="1"/>
  <c r="C1436" i="7"/>
  <c r="P1436" i="7"/>
  <c r="Q1436" i="7" s="1"/>
  <c r="C1437" i="7"/>
  <c r="P1437" i="7"/>
  <c r="Q1437" i="7" s="1"/>
  <c r="C1438" i="7"/>
  <c r="P1438" i="7"/>
  <c r="Q1438" i="7" s="1"/>
  <c r="C1439" i="7"/>
  <c r="P1439" i="7"/>
  <c r="Q1439" i="7" s="1"/>
  <c r="C1440" i="7"/>
  <c r="P1440" i="7"/>
  <c r="Q1440" i="7" s="1"/>
  <c r="C1441" i="7"/>
  <c r="P1441" i="7"/>
  <c r="Q1441" i="7" s="1"/>
  <c r="C1442" i="7"/>
  <c r="P1442" i="7"/>
  <c r="Q1442" i="7" s="1"/>
  <c r="C1443" i="7"/>
  <c r="P1443" i="7"/>
  <c r="Q1443" i="7" s="1"/>
  <c r="C1444" i="7"/>
  <c r="P1444" i="7"/>
  <c r="Q1444" i="7" s="1"/>
  <c r="C1445" i="7"/>
  <c r="P1445" i="7"/>
  <c r="Q1445" i="7" s="1"/>
  <c r="C1446" i="7"/>
  <c r="P1446" i="7"/>
  <c r="Q1446" i="7" s="1"/>
  <c r="C1447" i="7"/>
  <c r="P1447" i="7"/>
  <c r="Q1447" i="7" s="1"/>
  <c r="C1448" i="7"/>
  <c r="P1448" i="7"/>
  <c r="Q1448" i="7" s="1"/>
  <c r="C1449" i="7"/>
  <c r="P1449" i="7"/>
  <c r="Q1449" i="7" s="1"/>
  <c r="C1450" i="7"/>
  <c r="P1450" i="7"/>
  <c r="Q1450" i="7" s="1"/>
  <c r="C1451" i="7"/>
  <c r="P1451" i="7"/>
  <c r="Q1451" i="7" s="1"/>
  <c r="C1452" i="7"/>
  <c r="P1452" i="7"/>
  <c r="Q1452" i="7" s="1"/>
  <c r="C1453" i="7"/>
  <c r="P1453" i="7"/>
  <c r="Q1453" i="7" s="1"/>
  <c r="C1454" i="7"/>
  <c r="P1454" i="7"/>
  <c r="Q1454" i="7" s="1"/>
  <c r="C1455" i="7"/>
  <c r="P1455" i="7"/>
  <c r="Q1455" i="7" s="1"/>
  <c r="C1456" i="7"/>
  <c r="P1456" i="7"/>
  <c r="Q1456" i="7" s="1"/>
  <c r="C1457" i="7"/>
  <c r="P1457" i="7"/>
  <c r="Q1457" i="7" s="1"/>
  <c r="C1458" i="7"/>
  <c r="P1458" i="7"/>
  <c r="Q1458" i="7" s="1"/>
  <c r="C1459" i="7"/>
  <c r="P1459" i="7"/>
  <c r="Q1459" i="7" s="1"/>
  <c r="C1460" i="7"/>
  <c r="P1460" i="7"/>
  <c r="Q1460" i="7" s="1"/>
  <c r="C1461" i="7"/>
  <c r="P1461" i="7"/>
  <c r="Q1461" i="7" s="1"/>
  <c r="C1462" i="7"/>
  <c r="P1462" i="7"/>
  <c r="Q1462" i="7" s="1"/>
  <c r="C1463" i="7"/>
  <c r="P1463" i="7"/>
  <c r="Q1463" i="7" s="1"/>
  <c r="C1464" i="7"/>
  <c r="P1464" i="7"/>
  <c r="Q1464" i="7" s="1"/>
  <c r="C1465" i="7"/>
  <c r="P1465" i="7"/>
  <c r="Q1465" i="7" s="1"/>
  <c r="C1466" i="7"/>
  <c r="P1466" i="7"/>
  <c r="Q1466" i="7" s="1"/>
  <c r="C1467" i="7"/>
  <c r="P1467" i="7"/>
  <c r="Q1467" i="7" s="1"/>
  <c r="C1468" i="7"/>
  <c r="P1468" i="7"/>
  <c r="Q1468" i="7" s="1"/>
  <c r="C1469" i="7"/>
  <c r="P1469" i="7"/>
  <c r="Q1469" i="7" s="1"/>
  <c r="C1470" i="7"/>
  <c r="P1470" i="7"/>
  <c r="Q1470" i="7" s="1"/>
  <c r="C1471" i="7"/>
  <c r="P1471" i="7"/>
  <c r="Q1471" i="7" s="1"/>
  <c r="C1472" i="7"/>
  <c r="P1472" i="7"/>
  <c r="Q1472" i="7" s="1"/>
  <c r="C1473" i="7"/>
  <c r="P1473" i="7"/>
  <c r="Q1473" i="7" s="1"/>
  <c r="C1474" i="7"/>
  <c r="P1474" i="7"/>
  <c r="Q1474" i="7" s="1"/>
  <c r="C1475" i="7"/>
  <c r="P1475" i="7"/>
  <c r="Q1475" i="7" s="1"/>
  <c r="C1476" i="7"/>
  <c r="P1476" i="7"/>
  <c r="Q1476" i="7" s="1"/>
  <c r="C1477" i="7"/>
  <c r="P1477" i="7"/>
  <c r="Q1477" i="7" s="1"/>
  <c r="C1478" i="7"/>
  <c r="P1478" i="7"/>
  <c r="Q1478" i="7" s="1"/>
  <c r="C1479" i="7"/>
  <c r="P1479" i="7"/>
  <c r="Q1479" i="7" s="1"/>
  <c r="C1480" i="7"/>
  <c r="P1480" i="7"/>
  <c r="Q1480" i="7" s="1"/>
  <c r="C1481" i="7"/>
  <c r="P1481" i="7"/>
  <c r="Q1481" i="7" s="1"/>
  <c r="C1482" i="7"/>
  <c r="P1482" i="7"/>
  <c r="Q1482" i="7" s="1"/>
  <c r="C1483" i="7"/>
  <c r="P1483" i="7"/>
  <c r="Q1483" i="7" s="1"/>
  <c r="C1484" i="7"/>
  <c r="P1484" i="7"/>
  <c r="Q1484" i="7" s="1"/>
  <c r="C1485" i="7"/>
  <c r="P1485" i="7"/>
  <c r="Q1485" i="7" s="1"/>
  <c r="C1486" i="7"/>
  <c r="P1486" i="7"/>
  <c r="Q1486" i="7" s="1"/>
  <c r="C1487" i="7"/>
  <c r="P1487" i="7"/>
  <c r="Q1487" i="7" s="1"/>
  <c r="C1488" i="7"/>
  <c r="P1488" i="7"/>
  <c r="Q1488" i="7" s="1"/>
  <c r="C1489" i="7"/>
  <c r="P1489" i="7"/>
  <c r="Q1489" i="7" s="1"/>
  <c r="C1490" i="7"/>
  <c r="P1490" i="7"/>
  <c r="Q1490" i="7" s="1"/>
  <c r="C1491" i="7"/>
  <c r="P1491" i="7"/>
  <c r="Q1491" i="7" s="1"/>
  <c r="C1492" i="7"/>
  <c r="P1492" i="7"/>
  <c r="Q1492" i="7" s="1"/>
  <c r="C1493" i="7"/>
  <c r="P1493" i="7"/>
  <c r="Q1493" i="7" s="1"/>
  <c r="C1494" i="7"/>
  <c r="P1494" i="7"/>
  <c r="Q1494" i="7" s="1"/>
  <c r="C1495" i="7"/>
  <c r="P1495" i="7"/>
  <c r="Q1495" i="7" s="1"/>
  <c r="C1496" i="7"/>
  <c r="P1496" i="7"/>
  <c r="Q1496" i="7" s="1"/>
  <c r="C1497" i="7"/>
  <c r="P1497" i="7"/>
  <c r="Q1497" i="7" s="1"/>
  <c r="C1498" i="7"/>
  <c r="P1498" i="7"/>
  <c r="Q1498" i="7" s="1"/>
  <c r="C1499" i="7"/>
  <c r="P1499" i="7"/>
  <c r="Q1499" i="7" s="1"/>
  <c r="C1500" i="7"/>
  <c r="P1500" i="7"/>
  <c r="Q1500" i="7" s="1"/>
  <c r="C1501" i="7"/>
  <c r="P1501" i="7"/>
  <c r="Q1501" i="7" s="1"/>
  <c r="C1502" i="7"/>
  <c r="P1502" i="7"/>
  <c r="Q1502" i="7" s="1"/>
  <c r="C1503" i="7"/>
  <c r="P1503" i="7"/>
  <c r="Q1503" i="7" s="1"/>
  <c r="C1504" i="7"/>
  <c r="P1504" i="7"/>
  <c r="Q1504" i="7" s="1"/>
  <c r="C1505" i="7"/>
  <c r="P1505" i="7"/>
  <c r="Q1505" i="7" s="1"/>
  <c r="C1506" i="7"/>
  <c r="P1506" i="7"/>
  <c r="Q1506" i="7" s="1"/>
  <c r="C1507" i="7"/>
  <c r="P1507" i="7"/>
  <c r="Q1507" i="7" s="1"/>
  <c r="C1508" i="7"/>
  <c r="P1508" i="7"/>
  <c r="Q1508" i="7" s="1"/>
  <c r="C1509" i="7"/>
  <c r="P1509" i="7"/>
  <c r="Q1509" i="7" s="1"/>
  <c r="C1510" i="7"/>
  <c r="P1510" i="7"/>
  <c r="Q1510" i="7" s="1"/>
  <c r="C1511" i="7"/>
  <c r="P1511" i="7"/>
  <c r="Q1511" i="7" s="1"/>
  <c r="C1512" i="7"/>
  <c r="P1512" i="7"/>
  <c r="Q1512" i="7" s="1"/>
  <c r="C1513" i="7"/>
  <c r="P1513" i="7"/>
  <c r="Q1513" i="7" s="1"/>
  <c r="C1514" i="7"/>
  <c r="P1514" i="7"/>
  <c r="Q1514" i="7" s="1"/>
  <c r="C1515" i="7"/>
  <c r="P1515" i="7"/>
  <c r="Q1515" i="7" s="1"/>
  <c r="C1516" i="7"/>
  <c r="P1516" i="7"/>
  <c r="Q1516" i="7" s="1"/>
  <c r="C1517" i="7"/>
  <c r="P1517" i="7"/>
  <c r="Q1517" i="7" s="1"/>
  <c r="C1518" i="7"/>
  <c r="P1518" i="7"/>
  <c r="Q1518" i="7" s="1"/>
  <c r="C1519" i="7"/>
  <c r="P1519" i="7"/>
  <c r="Q1519" i="7" s="1"/>
  <c r="C1520" i="7"/>
  <c r="P1520" i="7"/>
  <c r="Q1520" i="7" s="1"/>
  <c r="C1521" i="7"/>
  <c r="P1521" i="7"/>
  <c r="Q1521" i="7" s="1"/>
  <c r="C1522" i="7"/>
  <c r="P1522" i="7"/>
  <c r="Q1522" i="7" s="1"/>
  <c r="C1523" i="7"/>
  <c r="P1523" i="7"/>
  <c r="Q1523" i="7" s="1"/>
  <c r="C1524" i="7"/>
  <c r="P1524" i="7"/>
  <c r="Q1524" i="7" s="1"/>
  <c r="C1525" i="7"/>
  <c r="P1525" i="7"/>
  <c r="Q1525" i="7" s="1"/>
  <c r="C1526" i="7"/>
  <c r="P1526" i="7"/>
  <c r="Q1526" i="7" s="1"/>
  <c r="C1527" i="7"/>
  <c r="P1527" i="7"/>
  <c r="Q1527" i="7" s="1"/>
  <c r="C1528" i="7"/>
  <c r="P1528" i="7"/>
  <c r="Q1528" i="7" s="1"/>
  <c r="C1529" i="7"/>
  <c r="P1529" i="7"/>
  <c r="Q1529" i="7" s="1"/>
  <c r="C1530" i="7"/>
  <c r="P1530" i="7"/>
  <c r="Q1530" i="7" s="1"/>
  <c r="C1531" i="7"/>
  <c r="P1531" i="7"/>
  <c r="Q1531" i="7" s="1"/>
  <c r="C1532" i="7"/>
  <c r="P1532" i="7"/>
  <c r="Q1532" i="7" s="1"/>
  <c r="C1533" i="7"/>
  <c r="P1533" i="7"/>
  <c r="Q1533" i="7" s="1"/>
  <c r="C1534" i="7"/>
  <c r="P1534" i="7"/>
  <c r="Q1534" i="7" s="1"/>
  <c r="C1535" i="7"/>
  <c r="P1535" i="7"/>
  <c r="Q1535" i="7" s="1"/>
  <c r="C1536" i="7"/>
  <c r="P1536" i="7"/>
  <c r="Q1536" i="7" s="1"/>
  <c r="C1537" i="7"/>
  <c r="P1537" i="7"/>
  <c r="Q1537" i="7" s="1"/>
  <c r="C1538" i="7"/>
  <c r="P1538" i="7"/>
  <c r="Q1538" i="7" s="1"/>
  <c r="C1539" i="7"/>
  <c r="P1539" i="7"/>
  <c r="Q1539" i="7" s="1"/>
  <c r="C1540" i="7"/>
  <c r="P1540" i="7"/>
  <c r="Q1540" i="7" s="1"/>
  <c r="C1541" i="7"/>
  <c r="P1541" i="7"/>
  <c r="Q1541" i="7" s="1"/>
  <c r="C1542" i="7"/>
  <c r="P1542" i="7"/>
  <c r="Q1542" i="7" s="1"/>
  <c r="C1543" i="7"/>
  <c r="P1543" i="7"/>
  <c r="Q1543" i="7" s="1"/>
  <c r="C1544" i="7"/>
  <c r="P1544" i="7"/>
  <c r="Q1544" i="7" s="1"/>
  <c r="C1545" i="7"/>
  <c r="P1545" i="7"/>
  <c r="Q1545" i="7" s="1"/>
  <c r="C1546" i="7"/>
  <c r="P1546" i="7"/>
  <c r="Q1546" i="7" s="1"/>
  <c r="C1547" i="7"/>
  <c r="P1547" i="7"/>
  <c r="Q1547" i="7" s="1"/>
  <c r="C1548" i="7"/>
  <c r="P1548" i="7"/>
  <c r="Q1548" i="7" s="1"/>
  <c r="C1549" i="7"/>
  <c r="P1549" i="7"/>
  <c r="Q1549" i="7" s="1"/>
  <c r="C1550" i="7"/>
  <c r="P1550" i="7"/>
  <c r="Q1550" i="7" s="1"/>
  <c r="C1551" i="7"/>
  <c r="P1551" i="7"/>
  <c r="Q1551" i="7" s="1"/>
  <c r="C1552" i="7"/>
  <c r="P1552" i="7"/>
  <c r="Q1552" i="7" s="1"/>
  <c r="C1553" i="7"/>
  <c r="P1553" i="7"/>
  <c r="Q1553" i="7" s="1"/>
  <c r="C1554" i="7"/>
  <c r="P1554" i="7"/>
  <c r="Q1554" i="7" s="1"/>
  <c r="C1555" i="7"/>
  <c r="P1555" i="7"/>
  <c r="Q1555" i="7" s="1"/>
  <c r="C1556" i="7"/>
  <c r="P1556" i="7"/>
  <c r="Q1556" i="7" s="1"/>
  <c r="C1557" i="7"/>
  <c r="P1557" i="7"/>
  <c r="Q1557" i="7" s="1"/>
  <c r="C1558" i="7"/>
  <c r="P1558" i="7"/>
  <c r="Q1558" i="7" s="1"/>
  <c r="C1559" i="7"/>
  <c r="P1559" i="7"/>
  <c r="Q1559" i="7" s="1"/>
  <c r="C1560" i="7"/>
  <c r="P1560" i="7"/>
  <c r="Q1560" i="7" s="1"/>
  <c r="C1561" i="7"/>
  <c r="P1561" i="7"/>
  <c r="Q1561" i="7" s="1"/>
  <c r="C1562" i="7"/>
  <c r="P1562" i="7"/>
  <c r="Q1562" i="7" s="1"/>
  <c r="C1563" i="7"/>
  <c r="P1563" i="7"/>
  <c r="Q1563" i="7" s="1"/>
  <c r="C1564" i="7"/>
  <c r="P1564" i="7"/>
  <c r="Q1564" i="7" s="1"/>
  <c r="C1565" i="7"/>
  <c r="P1565" i="7"/>
  <c r="Q1565" i="7" s="1"/>
  <c r="C1566" i="7"/>
  <c r="P1566" i="7"/>
  <c r="Q1566" i="7" s="1"/>
  <c r="C1567" i="7"/>
  <c r="P1567" i="7"/>
  <c r="Q1567" i="7" s="1"/>
  <c r="C1568" i="7"/>
  <c r="P1568" i="7"/>
  <c r="Q1568" i="7" s="1"/>
  <c r="C1569" i="7"/>
  <c r="P1569" i="7"/>
  <c r="Q1569" i="7" s="1"/>
  <c r="C1570" i="7"/>
  <c r="P1570" i="7"/>
  <c r="Q1570" i="7" s="1"/>
  <c r="C1571" i="7"/>
  <c r="P1571" i="7"/>
  <c r="Q1571" i="7" s="1"/>
  <c r="C1572" i="7"/>
  <c r="P1572" i="7"/>
  <c r="Q1572" i="7" s="1"/>
  <c r="C1573" i="7"/>
  <c r="P1573" i="7"/>
  <c r="Q1573" i="7" s="1"/>
  <c r="C1574" i="7"/>
  <c r="P1574" i="7"/>
  <c r="Q1574" i="7" s="1"/>
  <c r="C1575" i="7"/>
  <c r="P1575" i="7"/>
  <c r="Q1575" i="7" s="1"/>
  <c r="C1576" i="7"/>
  <c r="P1576" i="7"/>
  <c r="Q1576" i="7" s="1"/>
  <c r="C1577" i="7"/>
  <c r="P1577" i="7"/>
  <c r="Q1577" i="7" s="1"/>
  <c r="C1578" i="7"/>
  <c r="P1578" i="7"/>
  <c r="Q1578" i="7" s="1"/>
  <c r="C1579" i="7"/>
  <c r="P1579" i="7"/>
  <c r="Q1579" i="7" s="1"/>
  <c r="C1580" i="7"/>
  <c r="P1580" i="7"/>
  <c r="Q1580" i="7" s="1"/>
  <c r="C1581" i="7"/>
  <c r="P1581" i="7"/>
  <c r="Q1581" i="7" s="1"/>
  <c r="C1582" i="7"/>
  <c r="P1582" i="7"/>
  <c r="Q1582" i="7" s="1"/>
  <c r="C1583" i="7"/>
  <c r="P1583" i="7"/>
  <c r="Q1583" i="7" s="1"/>
  <c r="C1584" i="7"/>
  <c r="P1584" i="7"/>
  <c r="Q1584" i="7" s="1"/>
  <c r="C1585" i="7"/>
  <c r="P1585" i="7"/>
  <c r="Q1585" i="7" s="1"/>
  <c r="C1586" i="7"/>
  <c r="P1586" i="7"/>
  <c r="Q1586" i="7" s="1"/>
  <c r="C1587" i="7"/>
  <c r="P1587" i="7"/>
  <c r="Q1587" i="7" s="1"/>
  <c r="C1588" i="7"/>
  <c r="P1588" i="7"/>
  <c r="Q1588" i="7" s="1"/>
  <c r="C1589" i="7"/>
  <c r="P1589" i="7"/>
  <c r="Q1589" i="7" s="1"/>
  <c r="C1590" i="7"/>
  <c r="P1590" i="7"/>
  <c r="Q1590" i="7" s="1"/>
  <c r="C1591" i="7"/>
  <c r="P1591" i="7"/>
  <c r="Q1591" i="7" s="1"/>
  <c r="C1592" i="7"/>
  <c r="P1592" i="7"/>
  <c r="Q1592" i="7" s="1"/>
  <c r="C1593" i="7"/>
  <c r="P1593" i="7"/>
  <c r="Q1593" i="7" s="1"/>
  <c r="C1594" i="7"/>
  <c r="P1594" i="7"/>
  <c r="Q1594" i="7" s="1"/>
  <c r="C1595" i="7"/>
  <c r="P1595" i="7"/>
  <c r="Q1595" i="7" s="1"/>
  <c r="C1596" i="7"/>
  <c r="P1596" i="7"/>
  <c r="Q1596" i="7" s="1"/>
  <c r="C1597" i="7"/>
  <c r="P1597" i="7"/>
  <c r="Q1597" i="7" s="1"/>
  <c r="C1598" i="7"/>
  <c r="P1598" i="7"/>
  <c r="Q1598" i="7" s="1"/>
  <c r="C1599" i="7"/>
  <c r="P1599" i="7"/>
  <c r="Q1599" i="7" s="1"/>
  <c r="C1600" i="7"/>
  <c r="P1600" i="7"/>
  <c r="Q1600" i="7" s="1"/>
  <c r="C1601" i="7"/>
  <c r="P1601" i="7"/>
  <c r="Q1601" i="7" s="1"/>
  <c r="C1602" i="7"/>
  <c r="P1602" i="7"/>
  <c r="Q1602" i="7" s="1"/>
  <c r="C1603" i="7"/>
  <c r="P1603" i="7"/>
  <c r="Q1603" i="7" s="1"/>
  <c r="C1604" i="7"/>
  <c r="P1604" i="7"/>
  <c r="Q1604" i="7" s="1"/>
  <c r="C1605" i="7"/>
  <c r="P1605" i="7"/>
  <c r="Q1605" i="7" s="1"/>
  <c r="C1606" i="7"/>
  <c r="P1606" i="7"/>
  <c r="Q1606" i="7" s="1"/>
  <c r="C1607" i="7"/>
  <c r="P1607" i="7"/>
  <c r="Q1607" i="7" s="1"/>
  <c r="C1608" i="7"/>
  <c r="P1608" i="7"/>
  <c r="Q1608" i="7" s="1"/>
  <c r="C1609" i="7"/>
  <c r="P1609" i="7"/>
  <c r="Q1609" i="7" s="1"/>
  <c r="C1610" i="7"/>
  <c r="P1610" i="7"/>
  <c r="Q1610" i="7" s="1"/>
  <c r="C1611" i="7"/>
  <c r="P1611" i="7"/>
  <c r="Q1611" i="7" s="1"/>
  <c r="C1612" i="7"/>
  <c r="P1612" i="7"/>
  <c r="Q1612" i="7" s="1"/>
  <c r="C1613" i="7"/>
  <c r="P1613" i="7"/>
  <c r="Q1613" i="7" s="1"/>
  <c r="C1614" i="7"/>
  <c r="P1614" i="7"/>
  <c r="Q1614" i="7" s="1"/>
  <c r="C1615" i="7"/>
  <c r="P1615" i="7"/>
  <c r="Q1615" i="7" s="1"/>
  <c r="C1616" i="7"/>
  <c r="P1616" i="7"/>
  <c r="Q1616" i="7" s="1"/>
  <c r="C1617" i="7"/>
  <c r="P1617" i="7"/>
  <c r="Q1617" i="7" s="1"/>
  <c r="C1618" i="7"/>
  <c r="P1618" i="7"/>
  <c r="Q1618" i="7" s="1"/>
  <c r="C1619" i="7"/>
  <c r="P1619" i="7"/>
  <c r="Q1619" i="7" s="1"/>
  <c r="C1620" i="7"/>
  <c r="P1620" i="7"/>
  <c r="Q1620" i="7" s="1"/>
  <c r="C1621" i="7"/>
  <c r="P1621" i="7"/>
  <c r="Q1621" i="7" s="1"/>
  <c r="C1622" i="7"/>
  <c r="P1622" i="7"/>
  <c r="Q1622" i="7" s="1"/>
  <c r="C1623" i="7"/>
  <c r="P1623" i="7"/>
  <c r="Q1623" i="7" s="1"/>
  <c r="C1624" i="7"/>
  <c r="P1624" i="7"/>
  <c r="Q1624" i="7" s="1"/>
  <c r="C1625" i="7"/>
  <c r="P1625" i="7"/>
  <c r="Q1625" i="7" s="1"/>
  <c r="C1626" i="7"/>
  <c r="P1626" i="7"/>
  <c r="Q1626" i="7" s="1"/>
  <c r="C1627" i="7"/>
  <c r="P1627" i="7"/>
  <c r="Q1627" i="7" s="1"/>
  <c r="C1628" i="7"/>
  <c r="P1628" i="7"/>
  <c r="Q1628" i="7" s="1"/>
  <c r="C1629" i="7"/>
  <c r="P1629" i="7"/>
  <c r="Q1629" i="7" s="1"/>
  <c r="C1630" i="7"/>
  <c r="P1630" i="7"/>
  <c r="Q1630" i="7" s="1"/>
  <c r="C1631" i="7"/>
  <c r="P1631" i="7"/>
  <c r="Q1631" i="7" s="1"/>
  <c r="C1632" i="7"/>
  <c r="P1632" i="7"/>
  <c r="Q1632" i="7" s="1"/>
  <c r="C1633" i="7"/>
  <c r="P1633" i="7"/>
  <c r="Q1633" i="7" s="1"/>
  <c r="C1634" i="7"/>
  <c r="P1634" i="7"/>
  <c r="Q1634" i="7" s="1"/>
  <c r="C1635" i="7"/>
  <c r="P1635" i="7"/>
  <c r="Q1635" i="7" s="1"/>
  <c r="C1636" i="7"/>
  <c r="P1636" i="7"/>
  <c r="Q1636" i="7" s="1"/>
  <c r="C1637" i="7"/>
  <c r="P1637" i="7"/>
  <c r="Q1637" i="7" s="1"/>
  <c r="C1638" i="7"/>
  <c r="P1638" i="7"/>
  <c r="Q1638" i="7" s="1"/>
  <c r="C1639" i="7"/>
  <c r="P1639" i="7"/>
  <c r="Q1639" i="7" s="1"/>
  <c r="C1640" i="7"/>
  <c r="P1640" i="7"/>
  <c r="Q1640" i="7" s="1"/>
  <c r="C1641" i="7"/>
  <c r="P1641" i="7"/>
  <c r="Q1641" i="7" s="1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L2277" i="4"/>
  <c r="L2276" i="4"/>
  <c r="K187" i="2"/>
  <c r="K193" i="2"/>
  <c r="K194" i="2"/>
  <c r="K186" i="2"/>
  <c r="K155" i="2"/>
  <c r="K154" i="2"/>
  <c r="K145" i="2"/>
  <c r="J107" i="2"/>
  <c r="K238" i="2"/>
  <c r="K239" i="2"/>
  <c r="K219" i="2"/>
  <c r="K9" i="2"/>
  <c r="K16" i="2"/>
  <c r="K29" i="2"/>
  <c r="K31" i="2"/>
  <c r="K39" i="2"/>
  <c r="K120" i="2"/>
  <c r="K133" i="2"/>
  <c r="K325" i="2"/>
  <c r="K332" i="2"/>
  <c r="K329" i="2"/>
  <c r="K335" i="2"/>
  <c r="K336" i="2"/>
  <c r="K337" i="2"/>
  <c r="K338" i="2"/>
  <c r="K339" i="2"/>
  <c r="K342" i="2"/>
  <c r="K345" i="2"/>
  <c r="K346" i="2"/>
  <c r="K347" i="2"/>
  <c r="K348" i="2"/>
  <c r="K349" i="2"/>
  <c r="K350" i="2"/>
  <c r="K351" i="2"/>
  <c r="K343" i="2"/>
  <c r="K344" i="2"/>
  <c r="K340" i="2"/>
  <c r="K341" i="2"/>
  <c r="K333" i="2"/>
  <c r="K334" i="2"/>
  <c r="K330" i="2"/>
  <c r="K353" i="2"/>
  <c r="K376" i="2"/>
  <c r="K237" i="2"/>
  <c r="K236" i="2"/>
  <c r="K243" i="2"/>
  <c r="K242" i="2"/>
  <c r="K241" i="2"/>
  <c r="K240" i="2"/>
  <c r="K268" i="2"/>
  <c r="K305" i="2"/>
  <c r="K304" i="2"/>
  <c r="K315" i="2"/>
  <c r="K314" i="2"/>
  <c r="K324" i="2"/>
  <c r="K323" i="2"/>
  <c r="K322" i="2"/>
  <c r="K321" i="2"/>
  <c r="K293" i="2"/>
  <c r="K292" i="2"/>
  <c r="K291" i="2"/>
  <c r="K296" i="2"/>
  <c r="K295" i="2"/>
  <c r="K303" i="2"/>
  <c r="K302" i="2"/>
  <c r="K301" i="2"/>
  <c r="K300" i="2"/>
  <c r="K299" i="2"/>
  <c r="K298" i="2"/>
  <c r="K310" i="2"/>
  <c r="K309" i="2"/>
  <c r="K308" i="2"/>
  <c r="K307" i="2"/>
  <c r="K313" i="2"/>
  <c r="K312" i="2"/>
  <c r="K311" i="2"/>
  <c r="K287" i="2"/>
  <c r="K286" i="2"/>
  <c r="K285" i="2"/>
  <c r="K279" i="2"/>
  <c r="K278" i="2"/>
  <c r="K277" i="2"/>
  <c r="K276" i="2"/>
  <c r="K274" i="2"/>
  <c r="K273" i="2"/>
  <c r="K272" i="2"/>
  <c r="K271" i="2"/>
  <c r="K267" i="2"/>
  <c r="K266" i="2"/>
  <c r="K265" i="2"/>
  <c r="K264" i="2"/>
  <c r="K260" i="2"/>
  <c r="K259" i="2"/>
  <c r="K258" i="2"/>
  <c r="K257" i="2"/>
  <c r="K251" i="2"/>
  <c r="K250" i="2"/>
  <c r="K247" i="2"/>
  <c r="K246" i="2"/>
  <c r="K235" i="2"/>
  <c r="K234" i="2"/>
  <c r="K233" i="2"/>
  <c r="K232" i="2"/>
  <c r="K231" i="2"/>
  <c r="K228" i="2"/>
  <c r="K227" i="2"/>
  <c r="K226" i="2"/>
  <c r="K225" i="2"/>
  <c r="K224" i="2"/>
  <c r="K223" i="2"/>
  <c r="K216" i="2"/>
  <c r="K215" i="2"/>
  <c r="K214" i="2"/>
  <c r="K213" i="2"/>
  <c r="K212" i="2"/>
  <c r="K211" i="2"/>
  <c r="K210" i="2"/>
  <c r="K209" i="2"/>
  <c r="K200" i="2"/>
  <c r="K199" i="2"/>
  <c r="K198" i="2"/>
  <c r="K328" i="2"/>
  <c r="K327" i="2"/>
  <c r="K326" i="2"/>
  <c r="K320" i="2"/>
  <c r="K319" i="2"/>
  <c r="K318" i="2"/>
  <c r="K317" i="2"/>
  <c r="K316" i="2"/>
  <c r="K306" i="2"/>
  <c r="K297" i="2"/>
  <c r="K294" i="2"/>
  <c r="K290" i="2"/>
  <c r="K289" i="2"/>
  <c r="K284" i="2"/>
  <c r="K283" i="2"/>
  <c r="K282" i="2"/>
  <c r="K275" i="2"/>
  <c r="K263" i="2"/>
  <c r="K262" i="2"/>
  <c r="K256" i="2"/>
  <c r="K255" i="2"/>
  <c r="K222" i="2"/>
  <c r="K218" i="2"/>
  <c r="K208" i="2"/>
  <c r="K207" i="2"/>
  <c r="K280" i="2"/>
  <c r="K281" i="2"/>
  <c r="K288" i="2"/>
  <c r="K270" i="2"/>
  <c r="J252" i="2"/>
  <c r="K230" i="2"/>
  <c r="K229" i="2"/>
  <c r="K217" i="2"/>
  <c r="K206" i="2"/>
  <c r="K202" i="2"/>
  <c r="K201" i="2"/>
  <c r="J192" i="2"/>
  <c r="I8" i="6"/>
  <c r="I5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Q133" i="7" l="1"/>
  <c r="Q722" i="7"/>
  <c r="Q211" i="7"/>
  <c r="Q704" i="7"/>
  <c r="Q569" i="7"/>
  <c r="Q483" i="7"/>
  <c r="Q358" i="7"/>
  <c r="Q527" i="7"/>
  <c r="Q353" i="7"/>
  <c r="Q491" i="7"/>
  <c r="Q709" i="7"/>
  <c r="Q570" i="7"/>
  <c r="Q653" i="7"/>
  <c r="Q492" i="7"/>
  <c r="Q214" i="7"/>
  <c r="Q699" i="7"/>
  <c r="Q460" i="7"/>
  <c r="Q372" i="7"/>
  <c r="Q432" i="7"/>
  <c r="Q652" i="7"/>
  <c r="Q230" i="7"/>
  <c r="Q657" i="7"/>
  <c r="Q643" i="7"/>
  <c r="Q562" i="7"/>
  <c r="Q292" i="7"/>
  <c r="Q339" i="7"/>
  <c r="Q248" i="7"/>
  <c r="Q72" i="7"/>
  <c r="Q733" i="7"/>
  <c r="Q5" i="7"/>
  <c r="Q272" i="7"/>
  <c r="Q33" i="7"/>
  <c r="Q545" i="7"/>
  <c r="P121" i="7"/>
  <c r="Q121" i="7" s="1"/>
  <c r="Q380" i="7"/>
  <c r="Q574" i="7"/>
  <c r="Q608" i="7"/>
  <c r="Q198" i="7"/>
  <c r="Q613" i="7"/>
  <c r="Q536" i="7"/>
  <c r="Q116" i="7"/>
  <c r="Q102" i="7"/>
  <c r="Q38" i="7"/>
  <c r="Q467" i="7"/>
  <c r="Q296" i="7"/>
  <c r="Q260" i="7"/>
  <c r="Q44" i="7"/>
  <c r="P700" i="7"/>
  <c r="Q700" i="7" s="1"/>
  <c r="P508" i="7"/>
  <c r="Q508" i="7" s="1"/>
  <c r="Q489" i="7"/>
  <c r="P187" i="7"/>
  <c r="Q187" i="7" s="1"/>
  <c r="Q41" i="7"/>
  <c r="Q609" i="7"/>
  <c r="Q196" i="7"/>
  <c r="Q641" i="7"/>
  <c r="Q669" i="7"/>
  <c r="Q322" i="7"/>
  <c r="Q120" i="7"/>
  <c r="Q78" i="7"/>
  <c r="Q417" i="7"/>
  <c r="Q546" i="7"/>
  <c r="Q550" i="7"/>
  <c r="Q37" i="7"/>
  <c r="Q715" i="7"/>
  <c r="Q369" i="7"/>
  <c r="Q412" i="7"/>
  <c r="Q563" i="7"/>
  <c r="Q15" i="7"/>
  <c r="Q386" i="7"/>
  <c r="Q60" i="7"/>
  <c r="Q405" i="7"/>
  <c r="Q177" i="7"/>
  <c r="Q315" i="7"/>
  <c r="P616" i="7"/>
  <c r="Q616" i="7" s="1"/>
  <c r="Q326" i="7"/>
  <c r="Q312" i="7"/>
  <c r="Q377" i="7"/>
  <c r="Q297" i="7"/>
  <c r="Q691" i="7"/>
  <c r="Q666" i="7"/>
  <c r="Q501" i="7"/>
  <c r="Q495" i="7"/>
  <c r="Q388" i="7"/>
  <c r="Q132" i="7"/>
  <c r="Q705" i="7"/>
  <c r="Q433" i="7"/>
  <c r="Q329" i="7"/>
  <c r="Q94" i="7"/>
  <c r="Q553" i="7"/>
  <c r="Q446" i="7"/>
  <c r="Q276" i="7"/>
  <c r="Q486" i="7"/>
  <c r="Q694" i="7"/>
  <c r="Q185" i="7"/>
  <c r="Q582" i="7"/>
  <c r="Q721" i="7"/>
  <c r="Q578" i="7"/>
  <c r="Q481" i="7"/>
  <c r="Q476" i="7"/>
  <c r="Q399" i="7"/>
  <c r="Q243" i="7"/>
  <c r="Q124" i="7"/>
  <c r="Q155" i="7"/>
  <c r="Q28" i="7"/>
  <c r="Q558" i="7"/>
  <c r="P571" i="7"/>
  <c r="Q571" i="7" s="1"/>
  <c r="P425" i="7"/>
  <c r="Q425" i="7" s="1"/>
  <c r="Q190" i="7"/>
  <c r="Q136" i="7"/>
  <c r="P105" i="7"/>
  <c r="Q105" i="7" s="1"/>
  <c r="P8" i="7"/>
  <c r="Q8" i="7" s="1"/>
  <c r="Q231" i="7"/>
  <c r="Q183" i="7"/>
  <c r="Q79" i="7"/>
  <c r="Q686" i="7"/>
  <c r="Q502" i="7"/>
  <c r="P144" i="7"/>
  <c r="Q144" i="7" s="1"/>
  <c r="Q327" i="7"/>
  <c r="Q634" i="7"/>
  <c r="Q345" i="7"/>
  <c r="Q697" i="7"/>
  <c r="Q435" i="7"/>
  <c r="Q375" i="7"/>
  <c r="Q732" i="7"/>
  <c r="Q684" i="7"/>
  <c r="Q633" i="7"/>
  <c r="Q547" i="7"/>
  <c r="Q529" i="7"/>
  <c r="Q524" i="7"/>
  <c r="Q264" i="7"/>
  <c r="P228" i="7"/>
  <c r="Q228" i="7" s="1"/>
  <c r="Q222" i="7"/>
  <c r="Q217" i="7"/>
  <c r="Q497" i="7"/>
  <c r="P734" i="7"/>
  <c r="Q734" i="7" s="1"/>
  <c r="P279" i="7"/>
  <c r="Q279" i="7" s="1"/>
  <c r="Q626" i="7"/>
  <c r="P308" i="7"/>
  <c r="Q308" i="7" s="1"/>
  <c r="Q295" i="7"/>
  <c r="Q270" i="7"/>
  <c r="Q199" i="7"/>
  <c r="Q447" i="7"/>
  <c r="P712" i="7"/>
  <c r="Q712" i="7" s="1"/>
  <c r="Q523" i="7"/>
  <c r="Q354" i="7"/>
  <c r="Q239" i="7"/>
  <c r="Q233" i="7"/>
  <c r="Q209" i="7"/>
  <c r="Q153" i="7"/>
  <c r="Q148" i="7"/>
  <c r="P118" i="7"/>
  <c r="Q118" i="7" s="1"/>
  <c r="P63" i="7"/>
  <c r="Q63" i="7" s="1"/>
  <c r="Q51" i="7"/>
  <c r="Q34" i="7"/>
  <c r="Q343" i="7"/>
  <c r="P318" i="7"/>
  <c r="Q318" i="7" s="1"/>
  <c r="Q313" i="7"/>
  <c r="P273" i="7"/>
  <c r="Q273" i="7" s="1"/>
  <c r="Q311" i="7"/>
  <c r="Q588" i="7"/>
  <c r="Q366" i="7"/>
  <c r="Q281" i="7"/>
  <c r="Q215" i="7"/>
  <c r="Q184" i="7"/>
  <c r="Q111" i="7"/>
  <c r="Q100" i="7"/>
  <c r="P406" i="7"/>
  <c r="Q406" i="7" s="1"/>
  <c r="Q371" i="7"/>
  <c r="P717" i="7"/>
  <c r="Q717" i="7" s="1"/>
  <c r="Q451" i="7"/>
  <c r="Q359" i="7"/>
  <c r="Q244" i="7"/>
  <c r="Q164" i="7"/>
  <c r="Q158" i="7"/>
  <c r="Q56" i="7"/>
  <c r="Q247" i="7"/>
  <c r="Q718" i="7"/>
  <c r="Q713" i="7"/>
  <c r="Q698" i="7"/>
  <c r="Q662" i="7"/>
  <c r="Q645" i="7"/>
  <c r="Q635" i="7"/>
  <c r="Q498" i="7"/>
  <c r="Q454" i="7"/>
  <c r="Q436" i="7"/>
  <c r="Q396" i="7"/>
  <c r="Q379" i="7"/>
  <c r="Q324" i="7"/>
  <c r="Q280" i="7"/>
  <c r="Q263" i="7"/>
  <c r="Q251" i="7"/>
  <c r="Q201" i="7"/>
  <c r="Q151" i="7"/>
  <c r="Q145" i="7"/>
  <c r="Q135" i="7"/>
  <c r="Q109" i="7"/>
  <c r="Q104" i="7"/>
  <c r="Q80" i="7"/>
  <c r="Q70" i="7"/>
  <c r="Q59" i="7"/>
  <c r="Q702" i="7"/>
  <c r="Q693" i="7"/>
  <c r="Q589" i="7"/>
  <c r="Q544" i="7"/>
  <c r="Q167" i="7"/>
  <c r="Q119" i="7"/>
  <c r="Q356" i="7"/>
  <c r="Q351" i="7"/>
  <c r="Q212" i="7"/>
  <c r="Q179" i="7"/>
  <c r="Q4" i="7"/>
  <c r="Q719" i="7"/>
  <c r="Q637" i="7"/>
  <c r="P573" i="7"/>
  <c r="Q573" i="7" s="1"/>
  <c r="P568" i="7"/>
  <c r="Q568" i="7" s="1"/>
  <c r="P470" i="7"/>
  <c r="Q470" i="7" s="1"/>
  <c r="P246" i="7"/>
  <c r="Q246" i="7" s="1"/>
  <c r="Q11" i="7"/>
  <c r="P667" i="7"/>
  <c r="Q667" i="7" s="1"/>
  <c r="P632" i="7"/>
  <c r="Q632" i="7" s="1"/>
  <c r="Q347" i="7"/>
  <c r="Q127" i="7"/>
  <c r="Q27" i="7"/>
  <c r="P724" i="7"/>
  <c r="Q724" i="7" s="1"/>
  <c r="P646" i="7"/>
  <c r="Q646" i="7" s="1"/>
  <c r="P620" i="7"/>
  <c r="Q620" i="7" s="1"/>
  <c r="P342" i="7"/>
  <c r="Q342" i="7" s="1"/>
  <c r="P169" i="7"/>
  <c r="Q169" i="7" s="1"/>
  <c r="P32" i="7"/>
  <c r="Q32" i="7" s="1"/>
  <c r="P21" i="7"/>
  <c r="Q21" i="7" s="1"/>
  <c r="P10" i="7"/>
  <c r="Q10" i="7" s="1"/>
  <c r="P628" i="7"/>
  <c r="Q628" i="7" s="1"/>
  <c r="P395" i="7"/>
  <c r="Q395" i="7" s="1"/>
  <c r="P434" i="7"/>
  <c r="Q434" i="7" s="1"/>
  <c r="P400" i="7"/>
  <c r="Q400" i="7" s="1"/>
  <c r="P7" i="7"/>
  <c r="Q7" i="7" s="1"/>
  <c r="P552" i="7"/>
  <c r="Q552" i="7" s="1"/>
  <c r="P541" i="7"/>
  <c r="Q541" i="7" s="1"/>
  <c r="P314" i="7"/>
  <c r="Q314" i="7" s="1"/>
  <c r="P82" i="7"/>
  <c r="Q82" i="7" s="1"/>
  <c r="P716" i="7"/>
  <c r="Q716" i="7" s="1"/>
  <c r="Q383" i="7"/>
  <c r="Q648" i="7"/>
  <c r="Q507" i="7"/>
  <c r="Q374" i="7"/>
  <c r="P534" i="7"/>
  <c r="Q534" i="7" s="1"/>
  <c r="Q517" i="7"/>
  <c r="P128" i="7"/>
  <c r="Q128" i="7" s="1"/>
  <c r="Q382" i="7"/>
  <c r="P555" i="7"/>
  <c r="Q555" i="7" s="1"/>
  <c r="Q485" i="7"/>
  <c r="P442" i="7"/>
  <c r="Q442" i="7" s="1"/>
  <c r="P729" i="7"/>
  <c r="Q729" i="7" s="1"/>
  <c r="Q640" i="7"/>
  <c r="P602" i="7"/>
  <c r="Q602" i="7" s="1"/>
  <c r="P548" i="7"/>
  <c r="Q548" i="7" s="1"/>
  <c r="P168" i="7"/>
  <c r="Q168" i="7" s="1"/>
  <c r="Q106" i="7"/>
  <c r="Q723" i="7"/>
  <c r="P690" i="7"/>
  <c r="Q690" i="7" s="1"/>
  <c r="Q681" i="7"/>
  <c r="P651" i="7"/>
  <c r="Q651" i="7" s="1"/>
  <c r="P630" i="7"/>
  <c r="Q630" i="7" s="1"/>
  <c r="Q537" i="7"/>
  <c r="P521" i="7"/>
  <c r="Q521" i="7" s="1"/>
  <c r="Q463" i="7"/>
  <c r="P441" i="7"/>
  <c r="Q441" i="7" s="1"/>
  <c r="P293" i="7"/>
  <c r="Q293" i="7" s="1"/>
  <c r="P565" i="7"/>
  <c r="Q565" i="7" s="1"/>
  <c r="Q560" i="7"/>
  <c r="P390" i="7"/>
  <c r="Q390" i="7" s="1"/>
  <c r="Q254" i="7"/>
  <c r="P503" i="7"/>
  <c r="Q503" i="7" s="1"/>
  <c r="P304" i="7"/>
  <c r="Q304" i="7" s="1"/>
  <c r="Q688" i="7"/>
  <c r="P365" i="7"/>
  <c r="Q365" i="7" s="1"/>
  <c r="P88" i="7"/>
  <c r="Q88" i="7" s="1"/>
  <c r="P422" i="7"/>
  <c r="Q422" i="7" s="1"/>
  <c r="P411" i="7"/>
  <c r="Q411" i="7" s="1"/>
  <c r="Q6" i="7"/>
  <c r="P557" i="7"/>
  <c r="Q557" i="7" s="1"/>
  <c r="P421" i="7"/>
  <c r="Q421" i="7" s="1"/>
  <c r="Q348" i="7"/>
  <c r="P96" i="7"/>
  <c r="Q96" i="7" s="1"/>
  <c r="P655" i="7"/>
  <c r="Q655" i="7" s="1"/>
  <c r="P650" i="7"/>
  <c r="Q650" i="7" s="1"/>
  <c r="P629" i="7"/>
  <c r="Q629" i="7" s="1"/>
  <c r="P592" i="7"/>
  <c r="Q592" i="7" s="1"/>
  <c r="P586" i="7"/>
  <c r="Q586" i="7" s="1"/>
  <c r="P440" i="7"/>
  <c r="Q440" i="7" s="1"/>
  <c r="P325" i="7"/>
  <c r="Q325" i="7" s="1"/>
  <c r="P707" i="7"/>
  <c r="Q707" i="7" s="1"/>
  <c r="Q538" i="7"/>
  <c r="P533" i="7"/>
  <c r="Q533" i="7" s="1"/>
  <c r="P469" i="7"/>
  <c r="Q469" i="7" s="1"/>
  <c r="Q357" i="7"/>
  <c r="P266" i="7"/>
  <c r="Q266" i="7" s="1"/>
  <c r="P48" i="7"/>
  <c r="Q48" i="7" s="1"/>
  <c r="P725" i="7"/>
  <c r="Q725" i="7" s="1"/>
  <c r="P675" i="7"/>
  <c r="Q675" i="7" s="1"/>
  <c r="P603" i="7"/>
  <c r="Q603" i="7" s="1"/>
  <c r="P564" i="7"/>
  <c r="Q564" i="7" s="1"/>
  <c r="Q554" i="7"/>
  <c r="P352" i="7"/>
  <c r="Q352" i="7" s="1"/>
  <c r="Q309" i="7"/>
  <c r="Q181" i="7"/>
  <c r="Q95" i="7"/>
  <c r="Q69" i="7"/>
  <c r="P16" i="7"/>
  <c r="Q16" i="7" s="1"/>
  <c r="P617" i="7"/>
  <c r="Q617" i="7" s="1"/>
  <c r="P482" i="7"/>
  <c r="Q482" i="7" s="1"/>
  <c r="P387" i="7"/>
  <c r="Q387" i="7" s="1"/>
  <c r="P378" i="7"/>
  <c r="Q378" i="7" s="1"/>
  <c r="Q290" i="7"/>
  <c r="P258" i="7"/>
  <c r="Q258" i="7" s="1"/>
  <c r="Q223" i="7"/>
  <c r="Q219" i="7"/>
  <c r="P173" i="7"/>
  <c r="Q173" i="7" s="1"/>
  <c r="Q728" i="7"/>
  <c r="P696" i="7"/>
  <c r="Q696" i="7" s="1"/>
  <c r="P591" i="7"/>
  <c r="Q591" i="7" s="1"/>
  <c r="P567" i="7"/>
  <c r="Q567" i="7" s="1"/>
  <c r="Q530" i="7"/>
  <c r="P466" i="7"/>
  <c r="Q466" i="7" s="1"/>
  <c r="Q126" i="7"/>
  <c r="P108" i="7"/>
  <c r="Q108" i="7" s="1"/>
  <c r="P672" i="7"/>
  <c r="Q672" i="7" s="1"/>
  <c r="Q600" i="7"/>
  <c r="Q227" i="7"/>
  <c r="Q45" i="7"/>
  <c r="P556" i="7"/>
  <c r="Q556" i="7" s="1"/>
  <c r="P540" i="7"/>
  <c r="Q540" i="7" s="1"/>
  <c r="P520" i="7"/>
  <c r="Q520" i="7" s="1"/>
  <c r="P430" i="7"/>
  <c r="Q430" i="7" s="1"/>
  <c r="P397" i="7"/>
  <c r="Q397" i="7" s="1"/>
  <c r="P131" i="7"/>
  <c r="Q131" i="7" s="1"/>
  <c r="Q92" i="7"/>
  <c r="Q76" i="7"/>
  <c r="Q677" i="7"/>
  <c r="Q649" i="7"/>
  <c r="Q344" i="7"/>
  <c r="P288" i="7"/>
  <c r="Q288" i="7" s="1"/>
  <c r="Q262" i="7"/>
  <c r="P154" i="7"/>
  <c r="Q154" i="7" s="1"/>
  <c r="P269" i="7"/>
  <c r="Q269" i="7" s="1"/>
  <c r="P218" i="7"/>
  <c r="Q218" i="7" s="1"/>
  <c r="P208" i="7"/>
  <c r="Q208" i="7" s="1"/>
  <c r="P103" i="7"/>
  <c r="Q103" i="7" s="1"/>
  <c r="P71" i="7"/>
  <c r="Q71" i="7" s="1"/>
  <c r="Q66" i="7"/>
  <c r="P202" i="7"/>
  <c r="Q202" i="7" s="1"/>
  <c r="Q695" i="7"/>
  <c r="P663" i="7"/>
  <c r="Q663" i="7" s="1"/>
  <c r="P644" i="7"/>
  <c r="Q644" i="7" s="1"/>
  <c r="Q525" i="7"/>
  <c r="Q414" i="7"/>
  <c r="Q392" i="7"/>
  <c r="Q141" i="7"/>
  <c r="Q736" i="7"/>
  <c r="P708" i="7"/>
  <c r="Q708" i="7" s="1"/>
  <c r="P703" i="7"/>
  <c r="Q703" i="7" s="1"/>
  <c r="P549" i="7"/>
  <c r="Q549" i="7" s="1"/>
  <c r="P539" i="7"/>
  <c r="Q539" i="7" s="1"/>
  <c r="P509" i="7"/>
  <c r="Q509" i="7" s="1"/>
  <c r="P455" i="7"/>
  <c r="Q455" i="7" s="1"/>
  <c r="P402" i="7"/>
  <c r="Q402" i="7" s="1"/>
  <c r="P236" i="7"/>
  <c r="Q236" i="7" s="1"/>
  <c r="Q165" i="7"/>
  <c r="P85" i="7"/>
  <c r="Q85" i="7" s="1"/>
  <c r="P18" i="7"/>
  <c r="Q18" i="7" s="1"/>
  <c r="Q735" i="7"/>
  <c r="Q714" i="7"/>
  <c r="Q685" i="7"/>
  <c r="Q661" i="7"/>
  <c r="P647" i="7"/>
  <c r="Q647" i="7" s="1"/>
  <c r="Q594" i="7"/>
  <c r="P566" i="7"/>
  <c r="Q566" i="7" s="1"/>
  <c r="Q515" i="7"/>
  <c r="Q474" i="7"/>
  <c r="P346" i="7"/>
  <c r="Q346" i="7" s="1"/>
  <c r="P332" i="7"/>
  <c r="Q332" i="7" s="1"/>
  <c r="P282" i="7"/>
  <c r="Q282" i="7" s="1"/>
  <c r="P216" i="7"/>
  <c r="Q216" i="7" s="1"/>
  <c r="P174" i="7"/>
  <c r="Q174" i="7" s="1"/>
  <c r="P163" i="7"/>
  <c r="Q163" i="7" s="1"/>
  <c r="Q73" i="7"/>
  <c r="Q9" i="7"/>
  <c r="Q656" i="7"/>
  <c r="P642" i="7"/>
  <c r="Q642" i="7" s="1"/>
  <c r="Q576" i="7"/>
  <c r="P487" i="7"/>
  <c r="Q487" i="7" s="1"/>
  <c r="P192" i="7"/>
  <c r="Q192" i="7" s="1"/>
  <c r="P612" i="7"/>
  <c r="Q612" i="7" s="1"/>
  <c r="P579" i="7"/>
  <c r="Q579" i="7" s="1"/>
  <c r="Q575" i="7"/>
  <c r="P551" i="7"/>
  <c r="Q551" i="7" s="1"/>
  <c r="P415" i="7"/>
  <c r="Q415" i="7" s="1"/>
  <c r="P410" i="7"/>
  <c r="Q410" i="7" s="1"/>
  <c r="P394" i="7"/>
  <c r="Q394" i="7" s="1"/>
  <c r="Q336" i="7"/>
  <c r="P206" i="7"/>
  <c r="Q206" i="7" s="1"/>
  <c r="Q448" i="7"/>
  <c r="Q429" i="7"/>
  <c r="P330" i="7"/>
  <c r="Q330" i="7" s="1"/>
  <c r="P307" i="7"/>
  <c r="Q307" i="7" s="1"/>
  <c r="Q301" i="7"/>
  <c r="P87" i="7"/>
  <c r="Q87" i="7" s="1"/>
  <c r="P67" i="7"/>
  <c r="Q67" i="7" s="1"/>
  <c r="P692" i="7"/>
  <c r="Q692" i="7" s="1"/>
  <c r="P676" i="7"/>
  <c r="Q676" i="7" s="1"/>
  <c r="P611" i="7"/>
  <c r="Q611" i="7" s="1"/>
  <c r="P457" i="7"/>
  <c r="Q457" i="7" s="1"/>
  <c r="P409" i="7"/>
  <c r="Q409" i="7" s="1"/>
  <c r="Q172" i="7"/>
  <c r="Q57" i="7"/>
  <c r="Q706" i="7"/>
  <c r="P559" i="7"/>
  <c r="Q559" i="7" s="1"/>
  <c r="P493" i="7"/>
  <c r="Q493" i="7" s="1"/>
  <c r="Q334" i="7"/>
  <c r="P302" i="7"/>
  <c r="Q302" i="7" s="1"/>
  <c r="P186" i="7"/>
  <c r="Q186" i="7" s="1"/>
  <c r="Q162" i="7"/>
  <c r="Q83" i="7"/>
  <c r="P720" i="7"/>
  <c r="Q720" i="7" s="1"/>
  <c r="Q674" i="7"/>
  <c r="Q619" i="7"/>
  <c r="Q610" i="7"/>
  <c r="P471" i="7"/>
  <c r="Q471" i="7" s="1"/>
  <c r="Q286" i="7"/>
  <c r="Q255" i="7"/>
  <c r="Q238" i="7"/>
  <c r="P224" i="7"/>
  <c r="Q224" i="7" s="1"/>
  <c r="Q220" i="7"/>
  <c r="Q31" i="7"/>
  <c r="Q408" i="7"/>
  <c r="Q278" i="7"/>
  <c r="P26" i="7"/>
  <c r="Q26" i="7" s="1"/>
  <c r="Q678" i="7"/>
  <c r="Q658" i="7"/>
  <c r="Q535" i="7"/>
  <c r="Q453" i="7"/>
  <c r="Q291" i="7"/>
  <c r="P237" i="7"/>
  <c r="Q237" i="7" s="1"/>
  <c r="P197" i="7"/>
  <c r="Q197" i="7" s="1"/>
  <c r="P112" i="7"/>
  <c r="Q112" i="7" s="1"/>
  <c r="Q77" i="7"/>
  <c r="Q58" i="7"/>
  <c r="Q19" i="7"/>
  <c r="P624" i="7"/>
  <c r="Q624" i="7" s="1"/>
  <c r="P596" i="7"/>
  <c r="Q596" i="7" s="1"/>
  <c r="P450" i="7"/>
  <c r="Q450" i="7" s="1"/>
  <c r="Q403" i="7"/>
  <c r="P364" i="7"/>
  <c r="Q364" i="7" s="1"/>
  <c r="P256" i="7"/>
  <c r="Q256" i="7" s="1"/>
  <c r="P234" i="7"/>
  <c r="Q234" i="7" s="1"/>
  <c r="Q149" i="7"/>
  <c r="Q140" i="7"/>
  <c r="P122" i="7"/>
  <c r="Q122" i="7" s="1"/>
  <c r="Q107" i="7"/>
  <c r="P35" i="7"/>
  <c r="Q35" i="7" s="1"/>
  <c r="Q711" i="7"/>
  <c r="Q627" i="7"/>
  <c r="P607" i="7"/>
  <c r="Q607" i="7" s="1"/>
  <c r="P320" i="7"/>
  <c r="Q320" i="7" s="1"/>
  <c r="P259" i="7"/>
  <c r="Q259" i="7" s="1"/>
  <c r="Q229" i="7"/>
  <c r="P160" i="7"/>
  <c r="Q160" i="7" s="1"/>
  <c r="P138" i="7"/>
  <c r="Q138" i="7" s="1"/>
  <c r="Q64" i="7"/>
  <c r="Q25" i="7"/>
  <c r="P660" i="7"/>
  <c r="Q660" i="7" s="1"/>
  <c r="Q599" i="7"/>
  <c r="P583" i="7"/>
  <c r="Q583" i="7" s="1"/>
  <c r="Q543" i="7"/>
  <c r="Q514" i="7"/>
  <c r="Q506" i="7"/>
  <c r="P461" i="7"/>
  <c r="Q461" i="7" s="1"/>
  <c r="P384" i="7"/>
  <c r="Q384" i="7" s="1"/>
  <c r="P362" i="7"/>
  <c r="Q362" i="7" s="1"/>
  <c r="Q277" i="7"/>
  <c r="Q268" i="7"/>
  <c r="P250" i="7"/>
  <c r="Q250" i="7" s="1"/>
  <c r="P89" i="7"/>
  <c r="Q89" i="7" s="1"/>
  <c r="P55" i="7"/>
  <c r="Q55" i="7" s="1"/>
  <c r="Q42" i="7"/>
  <c r="Q615" i="7"/>
  <c r="P519" i="7"/>
  <c r="Q519" i="7" s="1"/>
  <c r="Q373" i="7"/>
  <c r="Q245" i="7"/>
  <c r="Q117" i="7"/>
  <c r="Q75" i="7"/>
  <c r="Q621" i="7"/>
  <c r="Q614" i="7"/>
  <c r="Q604" i="7"/>
  <c r="Q597" i="7"/>
  <c r="Q587" i="7"/>
  <c r="P580" i="7"/>
  <c r="Q580" i="7" s="1"/>
  <c r="Q518" i="7"/>
  <c r="Q511" i="7"/>
  <c r="Q504" i="7"/>
  <c r="Q490" i="7"/>
  <c r="Q479" i="7"/>
  <c r="Q472" i="7"/>
  <c r="Q458" i="7"/>
  <c r="Q443" i="7"/>
  <c r="Q427" i="7"/>
  <c r="Q419" i="7"/>
  <c r="Q368" i="7"/>
  <c r="Q360" i="7"/>
  <c r="Q310" i="7"/>
  <c r="P298" i="7"/>
  <c r="Q298" i="7" s="1"/>
  <c r="Q294" i="7"/>
  <c r="Q275" i="7"/>
  <c r="Q240" i="7"/>
  <c r="Q232" i="7"/>
  <c r="Q182" i="7"/>
  <c r="P170" i="7"/>
  <c r="Q170" i="7" s="1"/>
  <c r="Q166" i="7"/>
  <c r="Q147" i="7"/>
  <c r="Q101" i="7"/>
  <c r="Q90" i="7"/>
  <c r="Q74" i="7"/>
  <c r="P39" i="7"/>
  <c r="Q39" i="7" s="1"/>
  <c r="Q727" i="7"/>
  <c r="Q679" i="7"/>
  <c r="P532" i="7"/>
  <c r="Q532" i="7" s="1"/>
  <c r="Q522" i="7"/>
  <c r="Q341" i="7"/>
  <c r="Q213" i="7"/>
  <c r="Q43" i="7"/>
  <c r="Q12" i="7"/>
  <c r="Q631" i="7"/>
  <c r="P426" i="7"/>
  <c r="Q426" i="7" s="1"/>
  <c r="Q333" i="7"/>
  <c r="Q205" i="7"/>
  <c r="P50" i="7"/>
  <c r="Q50" i="7" s="1"/>
  <c r="P23" i="7"/>
  <c r="Q23" i="7" s="1"/>
  <c r="Q516" i="7"/>
  <c r="Q500" i="7"/>
  <c r="Q484" i="7"/>
  <c r="Q468" i="7"/>
  <c r="Q452" i="7"/>
  <c r="Q431" i="7"/>
  <c r="Q381" i="7"/>
  <c r="Q370" i="7"/>
  <c r="Q363" i="7"/>
  <c r="Q349" i="7"/>
  <c r="Q338" i="7"/>
  <c r="Q331" i="7"/>
  <c r="Q317" i="7"/>
  <c r="Q306" i="7"/>
  <c r="Q299" i="7"/>
  <c r="Q285" i="7"/>
  <c r="Q274" i="7"/>
  <c r="Q267" i="7"/>
  <c r="Q253" i="7"/>
  <c r="Q242" i="7"/>
  <c r="Q235" i="7"/>
  <c r="Q221" i="7"/>
  <c r="Q210" i="7"/>
  <c r="Q203" i="7"/>
  <c r="Q189" i="7"/>
  <c r="Q178" i="7"/>
  <c r="Q171" i="7"/>
  <c r="Q157" i="7"/>
  <c r="Q146" i="7"/>
  <c r="Q139" i="7"/>
  <c r="Q125" i="7"/>
  <c r="Q114" i="7"/>
  <c r="Q93" i="7"/>
  <c r="Q61" i="7"/>
  <c r="Q29" i="7"/>
  <c r="Q445" i="7"/>
  <c r="Q413" i="7"/>
  <c r="Q423" i="7"/>
  <c r="Q407" i="7"/>
  <c r="Q391" i="7"/>
  <c r="J3" i="6"/>
  <c r="L225" i="4"/>
  <c r="L504" i="4"/>
  <c r="L1965" i="4"/>
  <c r="L1895" i="4"/>
  <c r="L1763" i="4"/>
  <c r="L1766" i="4"/>
  <c r="L1727" i="4"/>
  <c r="L1728" i="4"/>
  <c r="L1729" i="4"/>
  <c r="L1733" i="4"/>
  <c r="L1734" i="4"/>
  <c r="L1454" i="4"/>
  <c r="L1169" i="4"/>
  <c r="L1170" i="4"/>
  <c r="L929" i="4"/>
  <c r="L807" i="4"/>
  <c r="L671" i="4"/>
  <c r="L29" i="3" l="1"/>
  <c r="K29" i="3"/>
  <c r="J29" i="3"/>
  <c r="I29" i="3"/>
  <c r="J18" i="3"/>
  <c r="K17" i="3"/>
  <c r="K16" i="3"/>
  <c r="K15" i="3"/>
  <c r="K169" i="2"/>
  <c r="K163" i="2"/>
  <c r="K150" i="2"/>
  <c r="J139" i="2"/>
  <c r="J119" i="2"/>
  <c r="K104" i="2"/>
  <c r="K102" i="2"/>
  <c r="K103" i="2"/>
  <c r="K98" i="2"/>
  <c r="K58" i="2"/>
  <c r="J57" i="2"/>
  <c r="J56" i="2"/>
  <c r="J55" i="2"/>
  <c r="K48" i="2"/>
  <c r="K44" i="2"/>
  <c r="K42" i="2"/>
  <c r="K41" i="2"/>
  <c r="K40" i="2"/>
  <c r="J38" i="2"/>
  <c r="K37" i="2"/>
  <c r="J34" i="2"/>
  <c r="J30" i="2"/>
  <c r="J28" i="2"/>
  <c r="J20" i="2"/>
  <c r="J19" i="2"/>
  <c r="K15" i="2"/>
  <c r="K14" i="2"/>
  <c r="K13" i="2"/>
  <c r="K11" i="2"/>
  <c r="K185" i="2"/>
  <c r="K184" i="2"/>
  <c r="K183" i="2"/>
  <c r="K182" i="2"/>
  <c r="K181" i="2"/>
  <c r="K180" i="2"/>
  <c r="K177" i="2"/>
  <c r="K175" i="2"/>
  <c r="K174" i="2"/>
  <c r="K173" i="2"/>
  <c r="K172" i="2"/>
  <c r="K171" i="2"/>
  <c r="K168" i="2"/>
  <c r="K162" i="2"/>
  <c r="K161" i="2"/>
  <c r="K160" i="2"/>
  <c r="K159" i="2"/>
  <c r="K158" i="2"/>
  <c r="K149" i="2"/>
  <c r="K148" i="2"/>
  <c r="K147" i="2"/>
  <c r="K144" i="2"/>
  <c r="K143" i="2"/>
  <c r="K138" i="2"/>
  <c r="K134" i="2"/>
  <c r="K132" i="2"/>
  <c r="K131" i="2"/>
  <c r="K126" i="2"/>
  <c r="K125" i="2"/>
  <c r="K124" i="2"/>
  <c r="K118" i="2"/>
  <c r="I67" i="2"/>
  <c r="I61" i="2"/>
  <c r="I27" i="2"/>
  <c r="I26" i="2"/>
  <c r="I25" i="2"/>
  <c r="I24" i="2"/>
  <c r="I23" i="2"/>
  <c r="I22" i="2"/>
  <c r="I21" i="2"/>
  <c r="K191" i="2"/>
  <c r="K190" i="2"/>
  <c r="K179" i="2"/>
  <c r="K178" i="2"/>
  <c r="K176" i="2"/>
  <c r="K167" i="2"/>
  <c r="K166" i="2"/>
  <c r="K157" i="2"/>
  <c r="K153" i="2"/>
  <c r="K146" i="2"/>
  <c r="K142" i="2"/>
  <c r="K137" i="2"/>
  <c r="K130" i="2"/>
  <c r="K129" i="2"/>
  <c r="K123" i="2"/>
  <c r="K122" i="2"/>
  <c r="K121" i="2"/>
  <c r="K117" i="2"/>
  <c r="K116" i="2"/>
  <c r="K115" i="2"/>
  <c r="K114" i="2"/>
  <c r="K112" i="2"/>
  <c r="K111" i="2"/>
  <c r="K110" i="2"/>
  <c r="K108" i="2"/>
  <c r="K106" i="2"/>
  <c r="K105" i="2"/>
  <c r="K101" i="2"/>
  <c r="K100" i="2"/>
  <c r="K99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J76" i="2"/>
  <c r="K76" i="2" s="1"/>
  <c r="J77" i="2"/>
  <c r="K77" i="2" s="1"/>
  <c r="J75" i="2"/>
  <c r="K75" i="2" s="1"/>
  <c r="K74" i="2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6" i="2"/>
  <c r="K66" i="2" s="1"/>
  <c r="K65" i="2"/>
  <c r="J64" i="2"/>
  <c r="K64" i="2" s="1"/>
  <c r="J63" i="2"/>
  <c r="K63" i="2" s="1"/>
  <c r="K109" i="2"/>
  <c r="K62" i="2"/>
  <c r="K60" i="2"/>
  <c r="K59" i="2"/>
  <c r="K54" i="2"/>
  <c r="K53" i="2"/>
  <c r="K52" i="2"/>
  <c r="K51" i="2"/>
  <c r="K17" i="2"/>
  <c r="K18" i="2"/>
  <c r="K33" i="2"/>
  <c r="K32" i="2"/>
  <c r="K35" i="2"/>
  <c r="K36" i="2"/>
  <c r="K43" i="2"/>
  <c r="K45" i="2"/>
  <c r="K47" i="2"/>
  <c r="K46" i="2"/>
  <c r="K50" i="2"/>
  <c r="K49" i="2"/>
  <c r="K113" i="2"/>
  <c r="K128" i="2"/>
  <c r="K127" i="2"/>
  <c r="K136" i="2"/>
  <c r="K135" i="2"/>
  <c r="K141" i="2"/>
  <c r="K140" i="2"/>
  <c r="K152" i="2"/>
  <c r="K151" i="2"/>
  <c r="K156" i="2"/>
  <c r="K165" i="2"/>
  <c r="K164" i="2"/>
  <c r="K170" i="2"/>
  <c r="K189" i="2"/>
  <c r="K188" i="2"/>
  <c r="K197" i="2"/>
  <c r="K196" i="2"/>
  <c r="K195" i="2"/>
  <c r="K205" i="2"/>
  <c r="K204" i="2"/>
  <c r="K203" i="2"/>
  <c r="K8" i="2"/>
  <c r="K7" i="2"/>
  <c r="K6" i="2"/>
  <c r="K5" i="2"/>
  <c r="K4" i="2"/>
  <c r="K3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467" i="2" l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K1" i="2"/>
  <c r="P4" i="2"/>
  <c r="K18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B3001" i="4" s="1"/>
  <c r="B3002" i="4" s="1"/>
  <c r="B3003" i="4" s="1"/>
  <c r="B3004" i="4" s="1"/>
  <c r="B3005" i="4" s="1"/>
  <c r="B3006" i="4" s="1"/>
  <c r="B3007" i="4" s="1"/>
  <c r="B3008" i="4" s="1"/>
  <c r="B3009" i="4" s="1"/>
  <c r="B3010" i="4" s="1"/>
  <c r="B3011" i="4" s="1"/>
  <c r="B3012" i="4" s="1"/>
  <c r="B3013" i="4" s="1"/>
  <c r="B3014" i="4" s="1"/>
  <c r="B3015" i="4" s="1"/>
  <c r="B3016" i="4" s="1"/>
  <c r="B3017" i="4" s="1"/>
  <c r="B3018" i="4" s="1"/>
  <c r="B3019" i="4" s="1"/>
  <c r="B3020" i="4" s="1"/>
  <c r="B3021" i="4" s="1"/>
  <c r="B3022" i="4" s="1"/>
  <c r="B3023" i="4" s="1"/>
  <c r="B3024" i="4" s="1"/>
  <c r="B3025" i="4" s="1"/>
  <c r="B3026" i="4" s="1"/>
  <c r="B3027" i="4" s="1"/>
  <c r="B3028" i="4" s="1"/>
  <c r="B3029" i="4" s="1"/>
  <c r="B3030" i="4" s="1"/>
  <c r="B3031" i="4" s="1"/>
  <c r="B3032" i="4" s="1"/>
  <c r="B3033" i="4" s="1"/>
  <c r="B3034" i="4" s="1"/>
  <c r="B3035" i="4" s="1"/>
  <c r="B3036" i="4" s="1"/>
  <c r="B3037" i="4" s="1"/>
  <c r="B3038" i="4" s="1"/>
  <c r="B3039" i="4" s="1"/>
  <c r="B3040" i="4" s="1"/>
  <c r="B3041" i="4" s="1"/>
  <c r="B3042" i="4" s="1"/>
  <c r="B3043" i="4" s="1"/>
  <c r="B3044" i="4" s="1"/>
  <c r="B3045" i="4" s="1"/>
  <c r="B3046" i="4" s="1"/>
  <c r="B3047" i="4" s="1"/>
  <c r="B3048" i="4" s="1"/>
  <c r="B3049" i="4" s="1"/>
  <c r="B3050" i="4" s="1"/>
  <c r="B3051" i="4" s="1"/>
  <c r="B3052" i="4" s="1"/>
  <c r="B3053" i="4" s="1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70" i="4" s="1"/>
  <c r="B3071" i="4" s="1"/>
  <c r="B3072" i="4" s="1"/>
  <c r="B3073" i="4" s="1"/>
  <c r="B3074" i="4" s="1"/>
  <c r="B3075" i="4" s="1"/>
  <c r="B3076" i="4" s="1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94" i="4" s="1"/>
  <c r="B3095" i="4" s="1"/>
  <c r="B3096" i="4" s="1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118" i="4" s="1"/>
  <c r="B3119" i="4" s="1"/>
  <c r="B3120" i="4" s="1"/>
  <c r="B3121" i="4" s="1"/>
  <c r="B3122" i="4" s="1"/>
  <c r="B3123" i="4" s="1"/>
  <c r="B3124" i="4" s="1"/>
  <c r="B3125" i="4" s="1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42" i="4" s="1"/>
  <c r="B3143" i="4" s="1"/>
  <c r="B3144" i="4" s="1"/>
  <c r="B3145" i="4" s="1"/>
  <c r="B3146" i="4" s="1"/>
  <c r="B3147" i="4" s="1"/>
  <c r="B3148" i="4" s="1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65" i="4" s="1"/>
  <c r="B3166" i="4" s="1"/>
  <c r="B3167" i="4" s="1"/>
  <c r="B3168" i="4" s="1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90" i="4" s="1"/>
  <c r="B3191" i="4" s="1"/>
  <c r="B3192" i="4" s="1"/>
  <c r="B3193" i="4" s="1"/>
  <c r="B3194" i="4" s="1"/>
  <c r="B3195" i="4" s="1"/>
  <c r="B3196" i="4" s="1"/>
  <c r="B3197" i="4" s="1"/>
  <c r="B3198" i="4" s="1"/>
  <c r="B3199" i="4" s="1"/>
  <c r="B3200" i="4" s="1"/>
  <c r="B3201" i="4" s="1"/>
  <c r="B3202" i="4" s="1"/>
  <c r="B3203" i="4" s="1"/>
  <c r="B3204" i="4" s="1"/>
  <c r="B3205" i="4" s="1"/>
  <c r="B3206" i="4" s="1"/>
  <c r="B3207" i="4" s="1"/>
  <c r="B3208" i="4" s="1"/>
  <c r="B3209" i="4" s="1"/>
  <c r="B3210" i="4" s="1"/>
  <c r="B3211" i="4" s="1"/>
  <c r="B3212" i="4" s="1"/>
  <c r="B3213" i="4" s="1"/>
  <c r="B3214" i="4" s="1"/>
  <c r="B3215" i="4" s="1"/>
  <c r="B3216" i="4" s="1"/>
  <c r="B3217" i="4" s="1"/>
  <c r="B3218" i="4" s="1"/>
  <c r="B3219" i="4" s="1"/>
  <c r="B3220" i="4" s="1"/>
  <c r="B3221" i="4" s="1"/>
  <c r="B3222" i="4" s="1"/>
  <c r="B3223" i="4" s="1"/>
  <c r="B3224" i="4" s="1"/>
  <c r="B3225" i="4" s="1"/>
  <c r="B3226" i="4" s="1"/>
  <c r="B3227" i="4" s="1"/>
  <c r="B3228" i="4" s="1"/>
  <c r="B3229" i="4" s="1"/>
  <c r="B3230" i="4" s="1"/>
  <c r="B3231" i="4" s="1"/>
  <c r="B3232" i="4" s="1"/>
  <c r="B3233" i="4" s="1"/>
  <c r="B3234" i="4" s="1"/>
  <c r="B3235" i="4" s="1"/>
  <c r="B3236" i="4" s="1"/>
  <c r="B3237" i="4" s="1"/>
  <c r="B3238" i="4" s="1"/>
  <c r="B3239" i="4" s="1"/>
  <c r="B3240" i="4" s="1"/>
  <c r="B3241" i="4" s="1"/>
  <c r="B3242" i="4" s="1"/>
  <c r="B3243" i="4" s="1"/>
  <c r="B3244" i="4" s="1"/>
  <c r="B3245" i="4" s="1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62" i="4" s="1"/>
  <c r="B3263" i="4" s="1"/>
  <c r="B3264" i="4" s="1"/>
  <c r="B3265" i="4" s="1"/>
  <c r="B3266" i="4" s="1"/>
  <c r="B3267" i="4" s="1"/>
  <c r="B3268" i="4" s="1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86" i="4" s="1"/>
  <c r="B3287" i="4" s="1"/>
  <c r="B3288" i="4" s="1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310" i="4" s="1"/>
  <c r="B3311" i="4" s="1"/>
  <c r="B3312" i="4" s="1"/>
  <c r="B3313" i="4" s="1"/>
  <c r="B3314" i="4" s="1"/>
  <c r="B3315" i="4" s="1"/>
  <c r="B3316" i="4" s="1"/>
  <c r="B3317" i="4" s="1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34" i="4" s="1"/>
  <c r="B3335" i="4" s="1"/>
  <c r="B3336" i="4" s="1"/>
  <c r="B3337" i="4" s="1"/>
  <c r="B3338" i="4" s="1"/>
  <c r="B3339" i="4" s="1"/>
  <c r="B3340" i="4" s="1"/>
  <c r="B3341" i="4" s="1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60" i="4" s="1"/>
  <c r="B3361" i="4" s="1"/>
  <c r="B3362" i="4" s="1"/>
  <c r="B3363" i="4" s="1"/>
  <c r="B3364" i="4" s="1"/>
  <c r="B3365" i="4" s="1"/>
  <c r="B3366" i="4" s="1"/>
  <c r="B3367" i="4" s="1"/>
  <c r="B3368" i="4" s="1"/>
  <c r="B3369" i="4" s="1"/>
  <c r="B3370" i="4" s="1"/>
  <c r="B3371" i="4" s="1"/>
  <c r="B3372" i="4" s="1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84" i="4" s="1"/>
  <c r="B3385" i="4" s="1"/>
  <c r="B3386" i="4" s="1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408" i="4" s="1"/>
  <c r="B3409" i="4" s="1"/>
  <c r="B3410" i="4" s="1"/>
  <c r="B3411" i="4" s="1"/>
  <c r="B3412" i="4" s="1"/>
  <c r="B3413" i="4" s="1"/>
  <c r="B3414" i="4" s="1"/>
  <c r="B3415" i="4" s="1"/>
  <c r="B3416" i="4" s="1"/>
  <c r="B3417" i="4" s="1"/>
  <c r="B3418" i="4" s="1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32" i="4" s="1"/>
  <c r="B3433" i="4" s="1"/>
  <c r="B3434" i="4" s="1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51" i="4" s="1"/>
  <c r="B3452" i="4" s="1"/>
  <c r="B3453" i="4" s="1"/>
  <c r="B3454" i="4" s="1"/>
  <c r="B3455" i="4" s="1"/>
  <c r="B3456" i="4" s="1"/>
  <c r="B3457" i="4" s="1"/>
  <c r="B3458" i="4" s="1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80" i="4" s="1"/>
  <c r="B3481" i="4" s="1"/>
  <c r="B3482" i="4" s="1"/>
  <c r="B3483" i="4" s="1"/>
  <c r="B3484" i="4" s="1"/>
  <c r="B3485" i="4" s="1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504" i="4" s="1"/>
  <c r="B3505" i="4" s="1"/>
  <c r="B3506" i="4" s="1"/>
  <c r="B3507" i="4" s="1"/>
  <c r="B3508" i="4" s="1"/>
  <c r="B3509" i="4" s="1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22" i="4" s="1"/>
  <c r="B3523" i="4" s="1"/>
  <c r="B3524" i="4" s="1"/>
  <c r="B3525" i="4" s="1"/>
  <c r="B3526" i="4" s="1"/>
  <c r="B3527" i="4" s="1"/>
  <c r="B3528" i="4" s="1"/>
  <c r="B3529" i="4" s="1"/>
  <c r="B3530" i="4" s="1"/>
  <c r="B3531" i="4" s="1"/>
  <c r="B3532" i="4" s="1"/>
  <c r="B3533" i="4" s="1"/>
  <c r="B3534" i="4" s="1"/>
  <c r="B3535" i="4" s="1"/>
  <c r="B3536" i="4" s="1"/>
  <c r="B3537" i="4" s="1"/>
  <c r="B3538" i="4" s="1"/>
  <c r="B3539" i="4" s="1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52" i="4" s="1"/>
  <c r="B3553" i="4" s="1"/>
  <c r="B3554" i="4" s="1"/>
  <c r="B3555" i="4" s="1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73" i="4" s="1"/>
  <c r="B3574" i="4" s="1"/>
  <c r="B3575" i="4" s="1"/>
  <c r="B3576" i="4" s="1"/>
  <c r="B3577" i="4" s="1"/>
  <c r="B3578" i="4" s="1"/>
  <c r="B3579" i="4" s="1"/>
  <c r="B3580" i="4" s="1"/>
  <c r="B3581" i="4" s="1"/>
  <c r="B3582" i="4" s="1"/>
  <c r="B3583" i="4" s="1"/>
  <c r="B3584" i="4" s="1"/>
  <c r="B3585" i="4" s="1"/>
  <c r="B3586" i="4" s="1"/>
  <c r="B3587" i="4" s="1"/>
  <c r="B3588" i="4" s="1"/>
  <c r="B3589" i="4" s="1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600" i="4" s="1"/>
  <c r="B3601" i="4" s="1"/>
  <c r="B3602" i="4" s="1"/>
  <c r="B3603" i="4" s="1"/>
  <c r="B3604" i="4" s="1"/>
  <c r="B3605" i="4" s="1"/>
  <c r="B3606" i="4" s="1"/>
  <c r="B3607" i="4" s="1"/>
  <c r="B3608" i="4" s="1"/>
  <c r="B3609" i="4" s="1"/>
  <c r="B3610" i="4" s="1"/>
  <c r="B3611" i="4" s="1"/>
  <c r="B3612" i="4" s="1"/>
  <c r="B3613" i="4" s="1"/>
  <c r="B3614" i="4" s="1"/>
  <c r="B3615" i="4" s="1"/>
  <c r="B3616" i="4" s="1"/>
  <c r="B3617" i="4" s="1"/>
  <c r="B3618" i="4" s="1"/>
  <c r="B3619" i="4" s="1"/>
  <c r="B3620" i="4" s="1"/>
  <c r="B3621" i="4" s="1"/>
  <c r="B3622" i="4" s="1"/>
  <c r="B3623" i="4" s="1"/>
  <c r="B3624" i="4" s="1"/>
  <c r="B3625" i="4" s="1"/>
  <c r="B3626" i="4" s="1"/>
  <c r="B3627" i="4" s="1"/>
  <c r="B3628" i="4" s="1"/>
  <c r="B3629" i="4" s="1"/>
  <c r="B3630" i="4" s="1"/>
  <c r="B3631" i="4" s="1"/>
  <c r="B3632" i="4" s="1"/>
  <c r="B3633" i="4" s="1"/>
  <c r="B3634" i="4" s="1"/>
  <c r="B3635" i="4" s="1"/>
  <c r="B3636" i="4" s="1"/>
  <c r="B3637" i="4" s="1"/>
  <c r="B3638" i="4" s="1"/>
  <c r="B3639" i="4" s="1"/>
  <c r="B3640" i="4" s="1"/>
  <c r="B3641" i="4" s="1"/>
  <c r="B3642" i="4" s="1"/>
  <c r="B3643" i="4" s="1"/>
  <c r="B3644" i="4" s="1"/>
  <c r="B3645" i="4" s="1"/>
  <c r="B3646" i="4" s="1"/>
  <c r="B3647" i="4" s="1"/>
  <c r="B3648" i="4" s="1"/>
  <c r="B3649" i="4" s="1"/>
  <c r="B3650" i="4" s="1"/>
  <c r="B3651" i="4" s="1"/>
  <c r="B3652" i="4" s="1"/>
  <c r="B3653" i="4" s="1"/>
  <c r="B3654" i="4" s="1"/>
  <c r="B3655" i="4" s="1"/>
  <c r="B3656" i="4" s="1"/>
  <c r="B3657" i="4" s="1"/>
  <c r="B3658" i="4" s="1"/>
  <c r="B3659" i="4" s="1"/>
  <c r="B3660" i="4" s="1"/>
  <c r="B3661" i="4" s="1"/>
  <c r="B3662" i="4" s="1"/>
  <c r="B3663" i="4" s="1"/>
  <c r="B3664" i="4" s="1"/>
  <c r="B3665" i="4" s="1"/>
  <c r="B3666" i="4" s="1"/>
  <c r="B3667" i="4" s="1"/>
  <c r="B3668" i="4" s="1"/>
  <c r="B3669" i="4" s="1"/>
  <c r="B3670" i="4" s="1"/>
  <c r="B3671" i="4" s="1"/>
  <c r="B3672" i="4" s="1"/>
  <c r="B3673" i="4" s="1"/>
  <c r="B3674" i="4" s="1"/>
  <c r="B3675" i="4" s="1"/>
  <c r="B3676" i="4" s="1"/>
  <c r="B3677" i="4" s="1"/>
  <c r="B3678" i="4" s="1"/>
  <c r="B3679" i="4" s="1"/>
  <c r="B3680" i="4" s="1"/>
  <c r="B3681" i="4" s="1"/>
  <c r="B3682" i="4" s="1"/>
  <c r="B3683" i="4" s="1"/>
  <c r="B3684" i="4" s="1"/>
  <c r="B3685" i="4" s="1"/>
  <c r="B3686" i="4" s="1"/>
  <c r="B3687" i="4" s="1"/>
  <c r="B3688" i="4" s="1"/>
  <c r="B3689" i="4" s="1"/>
  <c r="B3690" i="4" s="1"/>
  <c r="B3691" i="4" s="1"/>
  <c r="B3692" i="4" s="1"/>
  <c r="B3693" i="4" s="1"/>
  <c r="B3694" i="4" s="1"/>
  <c r="B3695" i="4" s="1"/>
  <c r="B3696" i="4" s="1"/>
  <c r="B3697" i="4" s="1"/>
  <c r="B3698" i="4" s="1"/>
  <c r="B3699" i="4" s="1"/>
  <c r="B3700" i="4" s="1"/>
  <c r="B3701" i="4" s="1"/>
  <c r="B3702" i="4" s="1"/>
  <c r="B3703" i="4" s="1"/>
  <c r="B3704" i="4" s="1"/>
  <c r="B3705" i="4" s="1"/>
  <c r="B3706" i="4" s="1"/>
  <c r="B3707" i="4" s="1"/>
  <c r="B3708" i="4" s="1"/>
  <c r="B3709" i="4" s="1"/>
  <c r="B3710" i="4" s="1"/>
  <c r="B3711" i="4" s="1"/>
  <c r="B3712" i="4" s="1"/>
  <c r="B3713" i="4" s="1"/>
  <c r="B3714" i="4" s="1"/>
  <c r="B3715" i="4" s="1"/>
  <c r="B3716" i="4" s="1"/>
  <c r="B3717" i="4" s="1"/>
  <c r="B3718" i="4" s="1"/>
  <c r="B3719" i="4" s="1"/>
  <c r="B3720" i="4" s="1"/>
  <c r="B3721" i="4" s="1"/>
  <c r="B3722" i="4" s="1"/>
  <c r="B3723" i="4" s="1"/>
  <c r="B3724" i="4" s="1"/>
  <c r="B3725" i="4" s="1"/>
  <c r="B3726" i="4" s="1"/>
  <c r="B3727" i="4" s="1"/>
  <c r="B3728" i="4" s="1"/>
  <c r="B3729" i="4" s="1"/>
  <c r="B3730" i="4" s="1"/>
  <c r="B3731" i="4" s="1"/>
  <c r="B3732" i="4" s="1"/>
  <c r="B3733" i="4" s="1"/>
  <c r="B3734" i="4" s="1"/>
  <c r="B3735" i="4" s="1"/>
  <c r="B3736" i="4" s="1"/>
  <c r="B3737" i="4" s="1"/>
  <c r="B3738" i="4" s="1"/>
  <c r="B3739" i="4" s="1"/>
  <c r="B3740" i="4" s="1"/>
  <c r="B3741" i="4" s="1"/>
  <c r="B3742" i="4" s="1"/>
  <c r="B3743" i="4" s="1"/>
  <c r="B3744" i="4" s="1"/>
  <c r="B3745" i="4" s="1"/>
  <c r="B3746" i="4" s="1"/>
  <c r="B3747" i="4" s="1"/>
  <c r="B3748" i="4" s="1"/>
  <c r="B3749" i="4" s="1"/>
  <c r="B3750" i="4" s="1"/>
  <c r="B3751" i="4" s="1"/>
  <c r="B3752" i="4" s="1"/>
  <c r="B3753" i="4" s="1"/>
  <c r="B3754" i="4" s="1"/>
  <c r="B3755" i="4" s="1"/>
  <c r="B3756" i="4" s="1"/>
  <c r="B3757" i="4" s="1"/>
  <c r="B3758" i="4" s="1"/>
  <c r="B3759" i="4" s="1"/>
  <c r="B3760" i="4" s="1"/>
  <c r="B3761" i="4" s="1"/>
  <c r="B3762" i="4" s="1"/>
  <c r="B3763" i="4" s="1"/>
  <c r="B3764" i="4" s="1"/>
  <c r="B3765" i="4" s="1"/>
  <c r="B3766" i="4" s="1"/>
  <c r="B3767" i="4" s="1"/>
  <c r="B3768" i="4" s="1"/>
  <c r="B3769" i="4" s="1"/>
  <c r="B3770" i="4" s="1"/>
  <c r="B3771" i="4" s="1"/>
  <c r="B3772" i="4" s="1"/>
  <c r="B3773" i="4" s="1"/>
  <c r="B3774" i="4" s="1"/>
  <c r="B3775" i="4" s="1"/>
  <c r="B3776" i="4" s="1"/>
  <c r="B3777" i="4" s="1"/>
  <c r="B3778" i="4" s="1"/>
  <c r="B3779" i="4" s="1"/>
  <c r="B3780" i="4" s="1"/>
  <c r="B3781" i="4" s="1"/>
  <c r="B3782" i="4" s="1"/>
  <c r="B3783" i="4" s="1"/>
  <c r="B3784" i="4" s="1"/>
  <c r="B3785" i="4" s="1"/>
  <c r="B3786" i="4" s="1"/>
  <c r="B3787" i="4" s="1"/>
  <c r="B3788" i="4" s="1"/>
  <c r="B3789" i="4" s="1"/>
  <c r="B3790" i="4" s="1"/>
  <c r="B3791" i="4" s="1"/>
  <c r="B3792" i="4" s="1"/>
  <c r="B3793" i="4" s="1"/>
  <c r="B3794" i="4" s="1"/>
  <c r="B3795" i="4" s="1"/>
  <c r="B3796" i="4" s="1"/>
  <c r="B3797" i="4" s="1"/>
  <c r="B3798" i="4" s="1"/>
  <c r="B3799" i="4" s="1"/>
  <c r="B3800" i="4" s="1"/>
  <c r="B3801" i="4" s="1"/>
  <c r="B3802" i="4" s="1"/>
  <c r="B3803" i="4" s="1"/>
  <c r="B3804" i="4" s="1"/>
  <c r="B3805" i="4" s="1"/>
  <c r="B3806" i="4" s="1"/>
  <c r="B3807" i="4" s="1"/>
  <c r="B3808" i="4" s="1"/>
  <c r="B3809" i="4" s="1"/>
  <c r="B3810" i="4" s="1"/>
  <c r="B3811" i="4" s="1"/>
  <c r="B3812" i="4" s="1"/>
  <c r="B3813" i="4" s="1"/>
  <c r="B3814" i="4" s="1"/>
  <c r="B3815" i="4" s="1"/>
  <c r="B3816" i="4" s="1"/>
  <c r="B3817" i="4" s="1"/>
  <c r="B3818" i="4" s="1"/>
  <c r="B3819" i="4" s="1"/>
  <c r="B3820" i="4" s="1"/>
  <c r="B3821" i="4" s="1"/>
  <c r="B3822" i="4" s="1"/>
  <c r="B3823" i="4" s="1"/>
  <c r="B3824" i="4" s="1"/>
  <c r="B3825" i="4" s="1"/>
  <c r="B3826" i="4" s="1"/>
  <c r="B3827" i="4" s="1"/>
  <c r="B3828" i="4" s="1"/>
  <c r="B3829" i="4" s="1"/>
  <c r="B3830" i="4" s="1"/>
  <c r="B3831" i="4" s="1"/>
  <c r="B3832" i="4" s="1"/>
  <c r="B3833" i="4" s="1"/>
  <c r="B3834" i="4" s="1"/>
  <c r="B3835" i="4" s="1"/>
  <c r="B3836" i="4" s="1"/>
  <c r="B3837" i="4" s="1"/>
  <c r="B3838" i="4" s="1"/>
  <c r="B3839" i="4" s="1"/>
  <c r="B3840" i="4" s="1"/>
  <c r="B3841" i="4" s="1"/>
  <c r="B3842" i="4" s="1"/>
  <c r="B3843" i="4" s="1"/>
  <c r="B3844" i="4" s="1"/>
  <c r="B3845" i="4" s="1"/>
  <c r="B3846" i="4" s="1"/>
  <c r="B3847" i="4" s="1"/>
  <c r="B3848" i="4" s="1"/>
  <c r="B3849" i="4" s="1"/>
  <c r="B3850" i="4" s="1"/>
  <c r="B3851" i="4" s="1"/>
  <c r="B3852" i="4" s="1"/>
  <c r="B3853" i="4" s="1"/>
  <c r="B3854" i="4" s="1"/>
  <c r="B3855" i="4" s="1"/>
  <c r="B3856" i="4" s="1"/>
  <c r="B3857" i="4" s="1"/>
  <c r="B3858" i="4" s="1"/>
  <c r="B3859" i="4" s="1"/>
  <c r="B3860" i="4" s="1"/>
  <c r="B3861" i="4" s="1"/>
  <c r="B3862" i="4" s="1"/>
  <c r="B3863" i="4" s="1"/>
  <c r="B3864" i="4" s="1"/>
  <c r="B3865" i="4" s="1"/>
  <c r="B3866" i="4" s="1"/>
  <c r="B3867" i="4" s="1"/>
  <c r="B3868" i="4" s="1"/>
  <c r="B3869" i="4" s="1"/>
  <c r="B3870" i="4" s="1"/>
  <c r="B3871" i="4" s="1"/>
  <c r="B3872" i="4" s="1"/>
  <c r="B3873" i="4" s="1"/>
  <c r="B3874" i="4" s="1"/>
  <c r="B3875" i="4" s="1"/>
  <c r="B3876" i="4" s="1"/>
  <c r="B3877" i="4" s="1"/>
  <c r="B3878" i="4" s="1"/>
  <c r="B3879" i="4" s="1"/>
  <c r="B3880" i="4" s="1"/>
  <c r="B3881" i="4" s="1"/>
  <c r="B3882" i="4" s="1"/>
  <c r="B3883" i="4" s="1"/>
  <c r="B3884" i="4" s="1"/>
  <c r="B3885" i="4" s="1"/>
  <c r="B3886" i="4" s="1"/>
  <c r="B3887" i="4" s="1"/>
  <c r="B3888" i="4" s="1"/>
  <c r="B3889" i="4" s="1"/>
  <c r="B3890" i="4" s="1"/>
  <c r="B3891" i="4" s="1"/>
  <c r="B3892" i="4" s="1"/>
  <c r="B3893" i="4" s="1"/>
  <c r="B3894" i="4" s="1"/>
  <c r="B3895" i="4" s="1"/>
  <c r="B3896" i="4" s="1"/>
  <c r="B3897" i="4" s="1"/>
  <c r="B3898" i="4" s="1"/>
  <c r="B3899" i="4" s="1"/>
  <c r="B3900" i="4" s="1"/>
  <c r="B3901" i="4" s="1"/>
  <c r="B3902" i="4" s="1"/>
  <c r="B3903" i="4" s="1"/>
  <c r="B3904" i="4" s="1"/>
  <c r="B3905" i="4" s="1"/>
  <c r="B3906" i="4" s="1"/>
  <c r="B3907" i="4" s="1"/>
  <c r="B3908" i="4" s="1"/>
  <c r="B3909" i="4" s="1"/>
  <c r="B3910" i="4" s="1"/>
  <c r="B3911" i="4" s="1"/>
  <c r="B3912" i="4" s="1"/>
  <c r="B3913" i="4" s="1"/>
  <c r="B3914" i="4" s="1"/>
  <c r="B3915" i="4" s="1"/>
  <c r="B3916" i="4" s="1"/>
  <c r="B3917" i="4" s="1"/>
  <c r="B3918" i="4" s="1"/>
  <c r="B3919" i="4" s="1"/>
  <c r="B3920" i="4" s="1"/>
  <c r="B3921" i="4" s="1"/>
  <c r="B3922" i="4" s="1"/>
  <c r="B3923" i="4" s="1"/>
  <c r="B3924" i="4" s="1"/>
  <c r="B3925" i="4" s="1"/>
  <c r="B3926" i="4" s="1"/>
  <c r="B3927" i="4" s="1"/>
  <c r="B3928" i="4" s="1"/>
  <c r="B3929" i="4" s="1"/>
  <c r="B3930" i="4" s="1"/>
  <c r="B3931" i="4" s="1"/>
  <c r="B3932" i="4" s="1"/>
  <c r="B3933" i="4" s="1"/>
  <c r="B3934" i="4" s="1"/>
  <c r="B3935" i="4" s="1"/>
  <c r="B3936" i="4" s="1"/>
  <c r="B3937" i="4" s="1"/>
  <c r="B3938" i="4" s="1"/>
  <c r="B3939" i="4" s="1"/>
  <c r="B3940" i="4" s="1"/>
  <c r="B3941" i="4" s="1"/>
  <c r="B3942" i="4" s="1"/>
  <c r="B3943" i="4" s="1"/>
  <c r="B3944" i="4" s="1"/>
  <c r="B3945" i="4" s="1"/>
  <c r="B3946" i="4" s="1"/>
  <c r="B3947" i="4" s="1"/>
  <c r="B3948" i="4" s="1"/>
  <c r="B3949" i="4" s="1"/>
  <c r="B3950" i="4" s="1"/>
  <c r="B3951" i="4" s="1"/>
  <c r="B3952" i="4" s="1"/>
  <c r="B3953" i="4" s="1"/>
  <c r="B3954" i="4" s="1"/>
  <c r="B3955" i="4" s="1"/>
  <c r="B3956" i="4" s="1"/>
  <c r="B3957" i="4" s="1"/>
  <c r="B3958" i="4" s="1"/>
  <c r="B3959" i="4" s="1"/>
  <c r="B3960" i="4" s="1"/>
  <c r="B3961" i="4" s="1"/>
  <c r="B3962" i="4" s="1"/>
  <c r="B3963" i="4" s="1"/>
  <c r="B3964" i="4" s="1"/>
  <c r="B3965" i="4" s="1"/>
  <c r="B3966" i="4" s="1"/>
  <c r="B3967" i="4" s="1"/>
  <c r="B3968" i="4" s="1"/>
  <c r="B3969" i="4" s="1"/>
  <c r="B3970" i="4" s="1"/>
  <c r="B3971" i="4" s="1"/>
  <c r="B3972" i="4" s="1"/>
  <c r="B3973" i="4" s="1"/>
  <c r="B3974" i="4" s="1"/>
  <c r="B3975" i="4" s="1"/>
  <c r="B3976" i="4" s="1"/>
  <c r="B3977" i="4" s="1"/>
  <c r="B3978" i="4" s="1"/>
  <c r="B3979" i="4" s="1"/>
  <c r="B3980" i="4" s="1"/>
  <c r="B3981" i="4" s="1"/>
  <c r="B3982" i="4" s="1"/>
  <c r="B3983" i="4" s="1"/>
  <c r="B3984" i="4" s="1"/>
  <c r="B3985" i="4" s="1"/>
  <c r="B3986" i="4" s="1"/>
  <c r="B3987" i="4" s="1"/>
  <c r="B3988" i="4" s="1"/>
  <c r="B3989" i="4" s="1"/>
  <c r="B3990" i="4" s="1"/>
  <c r="B3991" i="4" s="1"/>
  <c r="B3992" i="4" s="1"/>
  <c r="B3993" i="4" s="1"/>
  <c r="B3994" i="4" s="1"/>
  <c r="B3995" i="4" s="1"/>
  <c r="B3996" i="4" s="1"/>
  <c r="B3997" i="4" s="1"/>
  <c r="B3998" i="4" s="1"/>
  <c r="B3999" i="4" s="1"/>
  <c r="B4000" i="4" s="1"/>
  <c r="B4001" i="4" s="1"/>
  <c r="B4002" i="4" s="1"/>
  <c r="B4003" i="4" s="1"/>
  <c r="B4004" i="4" s="1"/>
  <c r="B4005" i="4" s="1"/>
  <c r="B4006" i="4" s="1"/>
  <c r="B4007" i="4" s="1"/>
  <c r="B4008" i="4" s="1"/>
  <c r="B4009" i="4" s="1"/>
  <c r="B4010" i="4" s="1"/>
  <c r="B4011" i="4" s="1"/>
  <c r="B4012" i="4" s="1"/>
  <c r="B4013" i="4" s="1"/>
  <c r="B4014" i="4" s="1"/>
  <c r="B4015" i="4" s="1"/>
  <c r="B4016" i="4" s="1"/>
  <c r="B4017" i="4" s="1"/>
  <c r="B4018" i="4" s="1"/>
  <c r="B4019" i="4" s="1"/>
  <c r="B4020" i="4" s="1"/>
  <c r="B4021" i="4" s="1"/>
  <c r="B4022" i="4" s="1"/>
  <c r="B4023" i="4" s="1"/>
  <c r="B4024" i="4" s="1"/>
  <c r="B4025" i="4" s="1"/>
  <c r="B4026" i="4" s="1"/>
  <c r="B4027" i="4" s="1"/>
  <c r="B4028" i="4" s="1"/>
  <c r="B4029" i="4" s="1"/>
  <c r="B4030" i="4" s="1"/>
  <c r="B4031" i="4" s="1"/>
  <c r="B4032" i="4" s="1"/>
  <c r="B4033" i="4" s="1"/>
  <c r="B4034" i="4" s="1"/>
  <c r="B4035" i="4" s="1"/>
  <c r="B4036" i="4" s="1"/>
  <c r="B4037" i="4" s="1"/>
  <c r="B4038" i="4" s="1"/>
  <c r="B4039" i="4" s="1"/>
  <c r="B4040" i="4" s="1"/>
  <c r="B4041" i="4" s="1"/>
  <c r="B4042" i="4" s="1"/>
  <c r="B4043" i="4" s="1"/>
  <c r="B4044" i="4" s="1"/>
  <c r="B4045" i="4" s="1"/>
  <c r="B4046" i="4" s="1"/>
  <c r="B4047" i="4" s="1"/>
  <c r="B4048" i="4" s="1"/>
  <c r="B4049" i="4" s="1"/>
  <c r="B4050" i="4" s="1"/>
  <c r="B4051" i="4" s="1"/>
  <c r="B4052" i="4" s="1"/>
  <c r="B4053" i="4" s="1"/>
  <c r="B4054" i="4" s="1"/>
  <c r="B4055" i="4" s="1"/>
  <c r="B4056" i="4" s="1"/>
  <c r="B4057" i="4" s="1"/>
  <c r="B4058" i="4" s="1"/>
  <c r="B4059" i="4" s="1"/>
  <c r="B4060" i="4" s="1"/>
  <c r="B4061" i="4" s="1"/>
  <c r="B4062" i="4" s="1"/>
  <c r="B4063" i="4" s="1"/>
  <c r="B4064" i="4" s="1"/>
  <c r="B4065" i="4" s="1"/>
  <c r="B4066" i="4" s="1"/>
  <c r="B4067" i="4" s="1"/>
  <c r="B4068" i="4" s="1"/>
  <c r="B4069" i="4" s="1"/>
  <c r="B4070" i="4" s="1"/>
  <c r="B4071" i="4" s="1"/>
  <c r="B4072" i="4" s="1"/>
  <c r="B4073" i="4" s="1"/>
  <c r="B4074" i="4" s="1"/>
  <c r="B4075" i="4" s="1"/>
  <c r="B4076" i="4" s="1"/>
  <c r="B4077" i="4" s="1"/>
  <c r="B4078" i="4" s="1"/>
  <c r="B4079" i="4" s="1"/>
  <c r="B4080" i="4" s="1"/>
  <c r="B3" i="5" l="1"/>
  <c r="B4" i="5" s="1"/>
  <c r="B5" i="5" s="1"/>
  <c r="B6" i="5" s="1"/>
  <c r="B7" i="5" s="1"/>
  <c r="B8" i="5" s="1"/>
  <c r="B9" i="5" s="1"/>
  <c r="B10" i="5" s="1"/>
  <c r="B11" i="5" s="1"/>
  <c r="L3554" i="4" l="1"/>
  <c r="L3791" i="4"/>
  <c r="L3869" i="4"/>
  <c r="L2" i="4" l="1"/>
</calcChain>
</file>

<file path=xl/sharedStrings.xml><?xml version="1.0" encoding="utf-8"?>
<sst xmlns="http://schemas.openxmlformats.org/spreadsheetml/2006/main" count="27041" uniqueCount="4149">
  <si>
    <t>Sno</t>
  </si>
  <si>
    <t>Date</t>
  </si>
  <si>
    <t>VENDOR</t>
  </si>
  <si>
    <t>Description</t>
  </si>
  <si>
    <t>Chq./Ref.No.</t>
  </si>
  <si>
    <t>Amount</t>
  </si>
  <si>
    <t>REMARKS</t>
  </si>
  <si>
    <t>SHAIK AHMED</t>
  </si>
  <si>
    <t>CENERTING WOOD AMOUNT</t>
  </si>
  <si>
    <t>VENDOR LIST</t>
  </si>
  <si>
    <t>GEDELA VENKATARAO</t>
  </si>
  <si>
    <t>Ram Dixith</t>
  </si>
  <si>
    <t>PRASAD SIRIGIRISETTY</t>
  </si>
  <si>
    <t>Ramana Murthy</t>
  </si>
  <si>
    <t>BALAJI IRON &amp; ELECTRICALS</t>
  </si>
  <si>
    <t>IRON PURCHASE PALAKURTHY</t>
  </si>
  <si>
    <t>Ritwika</t>
  </si>
  <si>
    <t>D Naidu</t>
  </si>
  <si>
    <t>PAVAN SUPERVISOR</t>
  </si>
  <si>
    <t>SALARY ADVANCE</t>
  </si>
  <si>
    <t>Jagadeesh</t>
  </si>
  <si>
    <t>MAHESH</t>
  </si>
  <si>
    <t>SAI SRINU SALARY</t>
  </si>
  <si>
    <t>Shri Venkateswara Lorry Service(RAMU)</t>
  </si>
  <si>
    <t>Dhanunjay</t>
  </si>
  <si>
    <t>VIMAL UNNI</t>
  </si>
  <si>
    <t xml:space="preserve">PLYWOOD SHUTTERING </t>
  </si>
  <si>
    <t>PLYWOOD</t>
  </si>
  <si>
    <t>Murthy</t>
  </si>
  <si>
    <t>AR SONS TIMBER DEPOT</t>
  </si>
  <si>
    <t>Venkatarao</t>
  </si>
  <si>
    <t>PRAGATHI TIMBER &amp; PLY</t>
  </si>
  <si>
    <t>Srinivasarao</t>
  </si>
  <si>
    <t>G BHASKAR</t>
  </si>
  <si>
    <t>Rajasekhar</t>
  </si>
  <si>
    <t>HARI SUPERVISOR</t>
  </si>
  <si>
    <t>CENTERING UNLOAD VALIGONDA</t>
  </si>
  <si>
    <t>Phonepe</t>
  </si>
  <si>
    <t>Pydi Raju</t>
  </si>
  <si>
    <t>Shiva Narayareddy team</t>
  </si>
  <si>
    <t>janagaon</t>
  </si>
  <si>
    <t>Bhanu Filling station</t>
  </si>
  <si>
    <t>Peta Guruswamy</t>
  </si>
  <si>
    <t xml:space="preserve">BL Wood </t>
  </si>
  <si>
    <t>Bikes Purchase</t>
  </si>
  <si>
    <t>BALAJI POWER TOOLS</t>
  </si>
  <si>
    <t>TOOLS PURCHASE</t>
  </si>
  <si>
    <t>Shakthi Ready mix</t>
  </si>
  <si>
    <t>Seven Hills</t>
  </si>
  <si>
    <t>Astonic Account Opening Purpose</t>
  </si>
  <si>
    <t>MURTHY</t>
  </si>
  <si>
    <t>RAMAKRISHNA</t>
  </si>
  <si>
    <t>Tractor Advance</t>
  </si>
  <si>
    <t>Colour Stones</t>
  </si>
  <si>
    <t>wood Amount</t>
  </si>
  <si>
    <t>Bodddu Mohanarao</t>
  </si>
  <si>
    <t>L Gunnayya</t>
  </si>
  <si>
    <t>M Shivappa</t>
  </si>
  <si>
    <t>Wood Transport From Bangalore to Warangal</t>
  </si>
  <si>
    <t>Sri Bhavani Infra</t>
  </si>
  <si>
    <t>Mahalakshm Iron Depot</t>
  </si>
  <si>
    <t>Abhi Paints &amp; Iron</t>
  </si>
  <si>
    <t>Bali Reddy Annapureddy</t>
  </si>
  <si>
    <t>Vakiti Vijaya kumar</t>
  </si>
  <si>
    <t>RMC BHUVANGIRI FOR VALIGONDA</t>
  </si>
  <si>
    <t>CHEBOLU ANIL KUMAR</t>
  </si>
  <si>
    <t>RMC TIRUMALAGIRI</t>
  </si>
  <si>
    <t>PHONEPE ICICI</t>
  </si>
  <si>
    <t>ANIL</t>
  </si>
  <si>
    <t>MANOJ REDDY RMC</t>
  </si>
  <si>
    <t>BUDAGAM JAGAN ACCOUNT</t>
  </si>
  <si>
    <t>ADHI REDDY</t>
  </si>
  <si>
    <t>NASIB ENTERPRISES</t>
  </si>
  <si>
    <t>Veeramalla Vinodh kumar</t>
  </si>
  <si>
    <t>TRANSPORT WOOD</t>
  </si>
  <si>
    <t>HDFC ACCOUNT</t>
  </si>
  <si>
    <t>Kishore Bangalore</t>
  </si>
  <si>
    <t xml:space="preserve">Transport wood </t>
  </si>
  <si>
    <t>ICICI ADHI REDDY</t>
  </si>
  <si>
    <t>Vamshi wood wroks</t>
  </si>
  <si>
    <t>Real Rock Eco AAC Blocks</t>
  </si>
  <si>
    <t>SHIVA REDDY</t>
  </si>
  <si>
    <t>SHEK VALI</t>
  </si>
  <si>
    <t>ADURI NARESH</t>
  </si>
  <si>
    <t>AVS REDDY</t>
  </si>
  <si>
    <t>SRI MAHANANDI STEEL DISTIBUTERS</t>
  </si>
  <si>
    <t>Ravali traders rapaka Somasekhar</t>
  </si>
  <si>
    <t>Budagam Jagan</t>
  </si>
  <si>
    <t>HETHVIKA ENETERPRISES</t>
  </si>
  <si>
    <t>ECO CARE AAC BLOCKS</t>
  </si>
  <si>
    <t>PRIME NANDIGAMA</t>
  </si>
  <si>
    <t>Mukesh Kumar</t>
  </si>
  <si>
    <t>Valeti Ramanarao</t>
  </si>
  <si>
    <t>IT team Ramana Advance</t>
  </si>
  <si>
    <t>Chamanpelly Rajasekhar</t>
  </si>
  <si>
    <t>Sai Manikanta Infra</t>
  </si>
  <si>
    <t>Aggregate amount</t>
  </si>
  <si>
    <t>Aditya Dies And Moulds</t>
  </si>
  <si>
    <t>Shiva Reddy  Labour Payment</t>
  </si>
  <si>
    <t>Vishwam Transport</t>
  </si>
  <si>
    <t>Infra Market AAC Blocks</t>
  </si>
  <si>
    <t>Kotha Radhy Shyam</t>
  </si>
  <si>
    <t xml:space="preserve">Venkateswara RMC </t>
  </si>
  <si>
    <t>Maruthi Filling Station</t>
  </si>
  <si>
    <t>Sai Vani ReadyMIX Siddipet</t>
  </si>
  <si>
    <t>Atlantic Polymers UNIT - II Private limited</t>
  </si>
  <si>
    <t>Pasula Pavan kalyan</t>
  </si>
  <si>
    <t>House Maid</t>
  </si>
  <si>
    <t>ICICI PHONEPE</t>
  </si>
  <si>
    <t>Anumula Nagaraju</t>
  </si>
  <si>
    <t>MULUG RMC</t>
  </si>
  <si>
    <t>PONNUBOYINA PAVAN</t>
  </si>
  <si>
    <t>RSR CONSTRUCTIONS</t>
  </si>
  <si>
    <t>Attal RMC NIZAMABAD</t>
  </si>
  <si>
    <t>Madhavarao Vithoba patil Petrol Pump</t>
  </si>
  <si>
    <t xml:space="preserve">AADHI SHAKTHI RMC </t>
  </si>
  <si>
    <t>KAMAREDDY AADHI SHAKTHI RMC</t>
  </si>
  <si>
    <t>NOTI MALYADRI REDDY</t>
  </si>
  <si>
    <t>FROM ICICI</t>
  </si>
  <si>
    <t>Jagan Aggregate</t>
  </si>
  <si>
    <t>Diesel Payment For Hanamkonda</t>
  </si>
  <si>
    <t>Veeramalla Vinodh Kumar</t>
  </si>
  <si>
    <t>LED SCREEN RENT</t>
  </si>
  <si>
    <t>Parkala Constituency Meeting Expenses</t>
  </si>
  <si>
    <t>malyadri account</t>
  </si>
  <si>
    <t>Sanjana RMC KAMAREDDY</t>
  </si>
  <si>
    <t>Sri Srinivasa Stone Crusher</t>
  </si>
  <si>
    <t>Sanjana RMC Medak</t>
  </si>
  <si>
    <t>Shree Tirumala Manufacturing Sand Industry</t>
  </si>
  <si>
    <t>SILVER WOOD TRANSPORT FROM BANGALORE TO WARANGAL</t>
  </si>
  <si>
    <t xml:space="preserve">TOTAL </t>
  </si>
  <si>
    <t>Gudimetla Sivakumar</t>
  </si>
  <si>
    <t>Siva Nellore Labour Vendor</t>
  </si>
  <si>
    <t>avs reddy</t>
  </si>
  <si>
    <t>Boss Vinjamur Tractor EMI</t>
  </si>
  <si>
    <t>Donem Pudi Divya Account</t>
  </si>
  <si>
    <t>Rajavardhan Reddy (Ajax)</t>
  </si>
  <si>
    <t>Jyothi Tent House</t>
  </si>
  <si>
    <t>NOTI MALYADRI ACCOUNT</t>
  </si>
  <si>
    <t>KOTTANA NARENDRA</t>
  </si>
  <si>
    <t xml:space="preserve">SAND PURCHASE </t>
  </si>
  <si>
    <t>Ponchani Srinivasreddy</t>
  </si>
  <si>
    <t>need to verify</t>
  </si>
  <si>
    <t>Maleli Sai reddy</t>
  </si>
  <si>
    <t>Narayanapet,Kosigi Tractor Payment</t>
  </si>
  <si>
    <t>Shiva SaI Filling station</t>
  </si>
  <si>
    <t>Diesel</t>
  </si>
  <si>
    <t>Nagaraju Labour Vendor</t>
  </si>
  <si>
    <t>Derangula Lakshmi Devi</t>
  </si>
  <si>
    <t>Gandla Narsimulu</t>
  </si>
  <si>
    <t>Iron PuRCHASE Lingampet</t>
  </si>
  <si>
    <t>Nangunoori Ravindar</t>
  </si>
  <si>
    <t>8mm</t>
  </si>
  <si>
    <t>Kandadi Raju</t>
  </si>
  <si>
    <t>IRON STANDS FOR RL WORK</t>
  </si>
  <si>
    <t xml:space="preserve">UMMIDI RAMANA  Runners </t>
  </si>
  <si>
    <t>Rongali Sri Ram Murthy</t>
  </si>
  <si>
    <t>Iron Purchase AT Warangal</t>
  </si>
  <si>
    <t>SOMISETTI VENKATA LAKSHMI</t>
  </si>
  <si>
    <t>SaI Durga Traders And Developers</t>
  </si>
  <si>
    <t>Srinivasulu Konireddy</t>
  </si>
  <si>
    <t xml:space="preserve">Aggregate Amoun </t>
  </si>
  <si>
    <t>Sree Sai Ram Industries</t>
  </si>
  <si>
    <t>SSR AAC BLOCKS</t>
  </si>
  <si>
    <t>Unnam Rajasekhar</t>
  </si>
  <si>
    <t>Mujja Manoj</t>
  </si>
  <si>
    <t>Kamareddy Brick Vendor</t>
  </si>
  <si>
    <t>Shaik Raheem</t>
  </si>
  <si>
    <t>Cement Purchase For Birkoor By srinivas Reddy</t>
  </si>
  <si>
    <t>Hanumanth REDDY  Account</t>
  </si>
  <si>
    <t>Dumpala Sanjay</t>
  </si>
  <si>
    <t>Room Rent Birkoor April</t>
  </si>
  <si>
    <t xml:space="preserve">Saluri Mohan </t>
  </si>
  <si>
    <t>Birkoor Cement &amp; Iron</t>
  </si>
  <si>
    <t>Praveen Reddy RMC</t>
  </si>
  <si>
    <t>Bandi Narasimha Reddy Filling Station</t>
  </si>
  <si>
    <t>HDFCH00960015503</t>
  </si>
  <si>
    <t>HDFC</t>
  </si>
  <si>
    <t>Naga Venkatesh RMC</t>
  </si>
  <si>
    <t>Narsapur Concrete</t>
  </si>
  <si>
    <t>HDFCH00960015771</t>
  </si>
  <si>
    <t>HDFCH00960618548</t>
  </si>
  <si>
    <t>HDFCH00962500378</t>
  </si>
  <si>
    <t>HDFCH00968580335</t>
  </si>
  <si>
    <t>HDFCH0096878609</t>
  </si>
  <si>
    <t>Ramana valeti</t>
  </si>
  <si>
    <t xml:space="preserve">Nandhini RMC </t>
  </si>
  <si>
    <t>Nandhini RMC Kamareddy</t>
  </si>
  <si>
    <t>Bethu Venkateshwara Rao</t>
  </si>
  <si>
    <t>UPI HDFC</t>
  </si>
  <si>
    <t>Maddala Jagadeesh</t>
  </si>
  <si>
    <t>RL LABOUR MATERIAL PURCHASED BY AVS REDDY</t>
  </si>
  <si>
    <t>hdfc</t>
  </si>
  <si>
    <t>SAJAN RL LABOUR</t>
  </si>
  <si>
    <t>ADVANCE</t>
  </si>
  <si>
    <t>Iron purchase at Valigonda</t>
  </si>
  <si>
    <t>Anusha Poluboyina</t>
  </si>
  <si>
    <t>Centring Transport on 08-05-2025</t>
  </si>
  <si>
    <t>Uppu Manohar</t>
  </si>
  <si>
    <t>Malyadri Comp Team Advance</t>
  </si>
  <si>
    <t>Damera Ravindar For Auger Parts</t>
  </si>
  <si>
    <t>korapana Harikrishna</t>
  </si>
  <si>
    <t>Hari LABOUR</t>
  </si>
  <si>
    <t>BUDAGAM JAGAN</t>
  </si>
  <si>
    <t>Gedela Venkatarao</t>
  </si>
  <si>
    <t>PRIME Brick Transport</t>
  </si>
  <si>
    <t>Gangapatla Kishore</t>
  </si>
  <si>
    <t>Supervisor Advance</t>
  </si>
  <si>
    <t>hdFC</t>
  </si>
  <si>
    <t>Bisawajith</t>
  </si>
  <si>
    <t>Labour Advance</t>
  </si>
  <si>
    <t>Raghupathi Regalla</t>
  </si>
  <si>
    <t>Raja Rajeswara Enterprises</t>
  </si>
  <si>
    <t>Iron purchase at Tharigoppula</t>
  </si>
  <si>
    <t>Raghava Cement Works</t>
  </si>
  <si>
    <t>Brick Vendor From Medak</t>
  </si>
  <si>
    <t>NV CONSTRUCTIONS</t>
  </si>
  <si>
    <t>Karthik Reddy Kolli</t>
  </si>
  <si>
    <t>Suvvada Dhanunjay</t>
  </si>
  <si>
    <t>Suvvada Sridevi</t>
  </si>
  <si>
    <t>suvvada Dhanunjay</t>
  </si>
  <si>
    <t>Aripaka Gowrisu</t>
  </si>
  <si>
    <t>Ravindra Perugu</t>
  </si>
  <si>
    <t>Venkanna Oruganti</t>
  </si>
  <si>
    <t>Sand Amount</t>
  </si>
  <si>
    <t>shek vali</t>
  </si>
  <si>
    <t>Steel Purchased at Hanmakonda By Krishna Reddy</t>
  </si>
  <si>
    <t>Cement at Hanmakonda By Krishna Reddy</t>
  </si>
  <si>
    <t xml:space="preserve">PAL </t>
  </si>
  <si>
    <t>SAUMYARANJAN PRADHAN</t>
  </si>
  <si>
    <t>Anil Thondangi Benificiary</t>
  </si>
  <si>
    <t>Nrges Payment</t>
  </si>
  <si>
    <t>CaSH Deposit</t>
  </si>
  <si>
    <t>Purpose</t>
  </si>
  <si>
    <t>READY MIX</t>
  </si>
  <si>
    <t>Place</t>
  </si>
  <si>
    <t>Vendor</t>
  </si>
  <si>
    <t>Material</t>
  </si>
  <si>
    <t>QTY</t>
  </si>
  <si>
    <t>Rate</t>
  </si>
  <si>
    <t>AAC BLOCKS</t>
  </si>
  <si>
    <t>REAL ROCK</t>
  </si>
  <si>
    <t>PALAKURTHY</t>
  </si>
  <si>
    <t>Disription</t>
  </si>
  <si>
    <t>8 INCH Blocks</t>
  </si>
  <si>
    <t>Invoice</t>
  </si>
  <si>
    <t>Ramco Hard Worker</t>
  </si>
  <si>
    <t>40 KG</t>
  </si>
  <si>
    <t>2409/25-26</t>
  </si>
  <si>
    <t>2418/25-26</t>
  </si>
  <si>
    <t>Vasalamarri</t>
  </si>
  <si>
    <t>463/26-27</t>
  </si>
  <si>
    <t>462/26-27</t>
  </si>
  <si>
    <t>6 INCH Blocks</t>
  </si>
  <si>
    <t>Ponnekal</t>
  </si>
  <si>
    <t>436/26-27</t>
  </si>
  <si>
    <t>435/26-27</t>
  </si>
  <si>
    <t>Valigonda</t>
  </si>
  <si>
    <t>428/26-27</t>
  </si>
  <si>
    <t>427/26-27</t>
  </si>
  <si>
    <t>415/26-27</t>
  </si>
  <si>
    <t>Warangal</t>
  </si>
  <si>
    <t>392/26-27</t>
  </si>
  <si>
    <t>386/26-27</t>
  </si>
  <si>
    <t>375/26-27</t>
  </si>
  <si>
    <t>370/26-27</t>
  </si>
  <si>
    <t>350/26-27</t>
  </si>
  <si>
    <t>349/26-27</t>
  </si>
  <si>
    <t>346/26-27</t>
  </si>
  <si>
    <t>345/26-27</t>
  </si>
  <si>
    <t>Tharigoppula</t>
  </si>
  <si>
    <t>331/26-27</t>
  </si>
  <si>
    <t>308/26-27</t>
  </si>
  <si>
    <t>Dharma Sagar</t>
  </si>
  <si>
    <t>60/26-27</t>
  </si>
  <si>
    <t>59/26-27</t>
  </si>
  <si>
    <t>50/26-27</t>
  </si>
  <si>
    <t>49/26-27</t>
  </si>
  <si>
    <t>44/26-27</t>
  </si>
  <si>
    <t>29/26-27</t>
  </si>
  <si>
    <t>2849/25-26</t>
  </si>
  <si>
    <t>2841/25-26</t>
  </si>
  <si>
    <t>2828/25-26</t>
  </si>
  <si>
    <t>2827/25-26</t>
  </si>
  <si>
    <t>67/26-27</t>
  </si>
  <si>
    <t>68/26-27</t>
  </si>
  <si>
    <t>72/26-27</t>
  </si>
  <si>
    <t>73/26-27</t>
  </si>
  <si>
    <t>118/29-27</t>
  </si>
  <si>
    <t>128/26-27</t>
  </si>
  <si>
    <t>283/26-27</t>
  </si>
  <si>
    <t xml:space="preserve"> </t>
  </si>
  <si>
    <t>S.No</t>
  </si>
  <si>
    <t>Shayampet</t>
  </si>
  <si>
    <t>Somidi</t>
  </si>
  <si>
    <t>Phanindhra</t>
  </si>
  <si>
    <t>Cheela Sagar</t>
  </si>
  <si>
    <t>Rapakapalli</t>
  </si>
  <si>
    <t>Peechera</t>
  </si>
  <si>
    <t>Bhimadevarapalli</t>
  </si>
  <si>
    <t>Hanamkonda</t>
  </si>
  <si>
    <t>M.Turkapally</t>
  </si>
  <si>
    <t>INFRA MARKET</t>
  </si>
  <si>
    <t>Wardhannapet</t>
  </si>
  <si>
    <t>2526-581</t>
  </si>
  <si>
    <t>2526-582</t>
  </si>
  <si>
    <t>2526-583</t>
  </si>
  <si>
    <t>2526-584</t>
  </si>
  <si>
    <t>2526-592</t>
  </si>
  <si>
    <t>2526-591</t>
  </si>
  <si>
    <t>2526-620</t>
  </si>
  <si>
    <t>2627-050</t>
  </si>
  <si>
    <t>2627-054</t>
  </si>
  <si>
    <t>Domakonda</t>
  </si>
  <si>
    <t>2627-98</t>
  </si>
  <si>
    <t>2627-99</t>
  </si>
  <si>
    <t>Lingampet</t>
  </si>
  <si>
    <t>2627-100</t>
  </si>
  <si>
    <t>2627-102</t>
  </si>
  <si>
    <t>2627-106</t>
  </si>
  <si>
    <t>2627-108</t>
  </si>
  <si>
    <t>2627-110</t>
  </si>
  <si>
    <t>Raipole</t>
  </si>
  <si>
    <t>2627-111</t>
  </si>
  <si>
    <t>2627-113</t>
  </si>
  <si>
    <t>2627-117</t>
  </si>
  <si>
    <t>2627-123</t>
  </si>
  <si>
    <t>2627-124</t>
  </si>
  <si>
    <t>2627-125</t>
  </si>
  <si>
    <t>2627-126</t>
  </si>
  <si>
    <t>2627-133</t>
  </si>
  <si>
    <t>2627-139</t>
  </si>
  <si>
    <t>2627-140</t>
  </si>
  <si>
    <t>2627-141</t>
  </si>
  <si>
    <t>2627-146</t>
  </si>
  <si>
    <t>2627-148</t>
  </si>
  <si>
    <t>2627-149</t>
  </si>
  <si>
    <t>Doultabad</t>
  </si>
  <si>
    <t>2627-150</t>
  </si>
  <si>
    <t>2627-151</t>
  </si>
  <si>
    <t>MULUG</t>
  </si>
  <si>
    <t>Labour Vendor</t>
  </si>
  <si>
    <t>Sai Manikanta</t>
  </si>
  <si>
    <t>PPC CEMENT</t>
  </si>
  <si>
    <t>CEMENT</t>
  </si>
  <si>
    <t>Yellandu</t>
  </si>
  <si>
    <t>SMI 2025-26/337</t>
  </si>
  <si>
    <t>Tirupati TMT</t>
  </si>
  <si>
    <t>STEEL</t>
  </si>
  <si>
    <t>SMI 2025-26/340</t>
  </si>
  <si>
    <t>Siddipet</t>
  </si>
  <si>
    <t>SMI 2025-26/360</t>
  </si>
  <si>
    <t>Birkoor</t>
  </si>
  <si>
    <t>SMI 2025-26/369</t>
  </si>
  <si>
    <t>Banswada</t>
  </si>
  <si>
    <t>SMI 2025-26/371</t>
  </si>
  <si>
    <t>kamareddy</t>
  </si>
  <si>
    <t>6X8X12 Brick</t>
  </si>
  <si>
    <t>Fly ash Bricks</t>
  </si>
  <si>
    <t>Rajampet</t>
  </si>
  <si>
    <t>SMI 2025-26/378</t>
  </si>
  <si>
    <t>SMI 2026-27/001</t>
  </si>
  <si>
    <t>SMI 2026-27/002</t>
  </si>
  <si>
    <t>SMI 2026-27/003</t>
  </si>
  <si>
    <t>SMI 2026-27/004</t>
  </si>
  <si>
    <t>SMI 2026-27/005</t>
  </si>
  <si>
    <t>African Teak DOOR Frame</t>
  </si>
  <si>
    <t>Vamshi wood Works</t>
  </si>
  <si>
    <t xml:space="preserve">50 Door Frames Purchased </t>
  </si>
  <si>
    <t>STEEL Purchase</t>
  </si>
  <si>
    <t>Venkatesh</t>
  </si>
  <si>
    <t>Arani Jahnavi</t>
  </si>
  <si>
    <t>STAGE</t>
  </si>
  <si>
    <t>QUANTITY</t>
  </si>
  <si>
    <t>RATE</t>
  </si>
  <si>
    <t>COST</t>
  </si>
  <si>
    <t>BL</t>
  </si>
  <si>
    <t>RL</t>
  </si>
  <si>
    <t>RC</t>
  </si>
  <si>
    <t>RCM</t>
  </si>
  <si>
    <t>TOTAL</t>
  </si>
  <si>
    <t>CASH FLOW</t>
  </si>
  <si>
    <t>July 1 St Week</t>
  </si>
  <si>
    <t>July 2 nd Week</t>
  </si>
  <si>
    <t>-</t>
  </si>
  <si>
    <t>July 3 Rd Week</t>
  </si>
  <si>
    <t>July 4 th Week</t>
  </si>
  <si>
    <t>August 1 st Week</t>
  </si>
  <si>
    <t>August 2nd Week</t>
  </si>
  <si>
    <t>August 3rd Week</t>
  </si>
  <si>
    <t>Total</t>
  </si>
  <si>
    <t>QUOTATION TO GV SURYA NARAYANA SHARMA</t>
  </si>
  <si>
    <t>Biswajith Das</t>
  </si>
  <si>
    <t>HDFC14887937C0B6</t>
  </si>
  <si>
    <t>HDFC9FB24D340457</t>
  </si>
  <si>
    <t>K Yashodha</t>
  </si>
  <si>
    <t>Iragala Krishna</t>
  </si>
  <si>
    <t>Windows &amp; Frames</t>
  </si>
  <si>
    <t>Shaik Pacha Hussain</t>
  </si>
  <si>
    <t>Hdfc</t>
  </si>
  <si>
    <t>HDFC77C245FB221</t>
  </si>
  <si>
    <t>Gandikota Raju</t>
  </si>
  <si>
    <t>HDFCFCEB4F137FDB</t>
  </si>
  <si>
    <t>SS INFRA</t>
  </si>
  <si>
    <t>Bharathi Rmc Bhongir</t>
  </si>
  <si>
    <t>Salary Advance</t>
  </si>
  <si>
    <t>Gorrela Suresh Kumar</t>
  </si>
  <si>
    <t>Ummidi Ramana</t>
  </si>
  <si>
    <t>HDFC1C7668163726</t>
  </si>
  <si>
    <t>Begari Yadagiri</t>
  </si>
  <si>
    <t>Benificiary Payment</t>
  </si>
  <si>
    <t>Manne Lakshmi</t>
  </si>
  <si>
    <t>Kandelli Sirisha</t>
  </si>
  <si>
    <t>HDFCEFE14CDC816</t>
  </si>
  <si>
    <t>Arugonda Infra Tech PVT Limited</t>
  </si>
  <si>
    <t xml:space="preserve">Ultraa AAC  Blocks </t>
  </si>
  <si>
    <t>Vemnath Reddy</t>
  </si>
  <si>
    <t>Mountain ACCOUNT</t>
  </si>
  <si>
    <t>Sliders</t>
  </si>
  <si>
    <t>Green Concrete products</t>
  </si>
  <si>
    <t>Nagunoori Ravindar</t>
  </si>
  <si>
    <t>Lingala Abhilash</t>
  </si>
  <si>
    <t>Manoj Reddy</t>
  </si>
  <si>
    <t>Robo Sand</t>
  </si>
  <si>
    <t>Vemula Dileep</t>
  </si>
  <si>
    <t>Mandapalli Madhuri</t>
  </si>
  <si>
    <t>HDFCE76C99CF53C1</t>
  </si>
  <si>
    <t>HDFC0E238F768F62</t>
  </si>
  <si>
    <t>HDFC3AA59B2B9326</t>
  </si>
  <si>
    <t>HDFC6CD051F11F14</t>
  </si>
  <si>
    <t>Prasad Phonepe</t>
  </si>
  <si>
    <t>3 Hammers</t>
  </si>
  <si>
    <t>Kosigi</t>
  </si>
  <si>
    <t>Narayanpet</t>
  </si>
  <si>
    <t>Tools</t>
  </si>
  <si>
    <t>Prasad Sirigirisetty</t>
  </si>
  <si>
    <t>Janagaon</t>
  </si>
  <si>
    <t>tool</t>
  </si>
  <si>
    <t>HUB</t>
  </si>
  <si>
    <t>Signet Sreemavi Apartmrnt</t>
  </si>
  <si>
    <t>ROOM Rent</t>
  </si>
  <si>
    <t>Tractor Diesel</t>
  </si>
  <si>
    <t>Electric Material</t>
  </si>
  <si>
    <t>Nadikuda</t>
  </si>
  <si>
    <t>Site Electrical Items</t>
  </si>
  <si>
    <t>Tractor  Diesel</t>
  </si>
  <si>
    <t>Kamareddy</t>
  </si>
  <si>
    <t>Mou Team Ramana</t>
  </si>
  <si>
    <t>Sudhakar Reddy Hotel Expenses</t>
  </si>
  <si>
    <t>Murthy Auger Diesel 7040</t>
  </si>
  <si>
    <t>Diesel For AUGER</t>
  </si>
  <si>
    <t xml:space="preserve">SUPErvisor's Room Rent </t>
  </si>
  <si>
    <t>RAIPOLE</t>
  </si>
  <si>
    <t>50 KG</t>
  </si>
  <si>
    <t>Cutting Machine And Blades</t>
  </si>
  <si>
    <t>Labour Room Rent</t>
  </si>
  <si>
    <t>Siddipet rural</t>
  </si>
  <si>
    <t>Tractor Puncture</t>
  </si>
  <si>
    <t>Vehicle Maintainance</t>
  </si>
  <si>
    <t>NAILS</t>
  </si>
  <si>
    <t>Nails</t>
  </si>
  <si>
    <t>Tractor Rent</t>
  </si>
  <si>
    <t>SUIT PIPE</t>
  </si>
  <si>
    <t>RC Vibrators</t>
  </si>
  <si>
    <t>taapilu</t>
  </si>
  <si>
    <t>Weldinh Machine And Pressure</t>
  </si>
  <si>
    <t>25 KGS</t>
  </si>
  <si>
    <t>Hotel ROOM  SUDHAKARA REDDY</t>
  </si>
  <si>
    <t>hitech Machinary Purchase</t>
  </si>
  <si>
    <t>Sudhakar Reddy  Flat Advance</t>
  </si>
  <si>
    <t>3 Tons Iron 12 MM</t>
  </si>
  <si>
    <t>Iron Purchased</t>
  </si>
  <si>
    <t>Electricity Bill feb</t>
  </si>
  <si>
    <t>ELECTRICITY</t>
  </si>
  <si>
    <t>Runners</t>
  </si>
  <si>
    <t>Runners By Pavan</t>
  </si>
  <si>
    <t>Shuttering Making Shivam Chauhan</t>
  </si>
  <si>
    <t>Carpenter</t>
  </si>
  <si>
    <t>3 Tractors Diesel</t>
  </si>
  <si>
    <t>black oil</t>
  </si>
  <si>
    <t>Palakurthi</t>
  </si>
  <si>
    <t>Black Oil</t>
  </si>
  <si>
    <t>Water Can</t>
  </si>
  <si>
    <t>RC Covering Tapes</t>
  </si>
  <si>
    <t>nadikuda Tools</t>
  </si>
  <si>
    <t>Water Can &amp; Bucket</t>
  </si>
  <si>
    <t>Hammers 1</t>
  </si>
  <si>
    <t xml:space="preserve">Hammers 2 </t>
  </si>
  <si>
    <t>10 Litres</t>
  </si>
  <si>
    <t>Labour Tools</t>
  </si>
  <si>
    <t>4 Litres</t>
  </si>
  <si>
    <t>Wood Cutting Machine blade</t>
  </si>
  <si>
    <t>Rajampet Rmc Expesense</t>
  </si>
  <si>
    <t>RMC BETA</t>
  </si>
  <si>
    <t>Rmc Beta</t>
  </si>
  <si>
    <t>Mulugu RMC Beta</t>
  </si>
  <si>
    <t>mulug</t>
  </si>
  <si>
    <t>Raghavapur Room Rent</t>
  </si>
  <si>
    <t>Parvathagiri</t>
  </si>
  <si>
    <t>Rmc Beta And Cement</t>
  </si>
  <si>
    <t>Waste Oil</t>
  </si>
  <si>
    <t>Supervisor's Room Rent 2 Months</t>
  </si>
  <si>
    <t>Bhongir</t>
  </si>
  <si>
    <t>RMC Beta</t>
  </si>
  <si>
    <t>3 House Auger Holes</t>
  </si>
  <si>
    <t>Wood Cutting Machine</t>
  </si>
  <si>
    <t>Chandravancha Runners</t>
  </si>
  <si>
    <t>7040 murthy Auger</t>
  </si>
  <si>
    <t>Iron &amp; Wood Cutting Blades</t>
  </si>
  <si>
    <t xml:space="preserve">AVS Reddy Auger </t>
  </si>
  <si>
    <t>Cutting Blade</t>
  </si>
  <si>
    <t>3* 10 *4*210</t>
  </si>
  <si>
    <t>2.5 *10 * 4 *200</t>
  </si>
  <si>
    <t>2 *10 *60 *200</t>
  </si>
  <si>
    <t>50 kg</t>
  </si>
  <si>
    <t>8 mm 4 Bundels</t>
  </si>
  <si>
    <t>Tolls amount</t>
  </si>
  <si>
    <t>AVS REDDY New Auger Diesel</t>
  </si>
  <si>
    <t>Binding Wire &amp; Nails</t>
  </si>
  <si>
    <t>Nails puurchased</t>
  </si>
  <si>
    <t>Drums &amp; Water Pipe</t>
  </si>
  <si>
    <t>Agreements Courier to Hanamkonda</t>
  </si>
  <si>
    <t>Transport</t>
  </si>
  <si>
    <t>MOU XEROXA</t>
  </si>
  <si>
    <t>stationary</t>
  </si>
  <si>
    <t>Tools For Bl Team</t>
  </si>
  <si>
    <t>Dharmasagar</t>
  </si>
  <si>
    <t>RL Team Tools</t>
  </si>
  <si>
    <t>Car Driver Ticket</t>
  </si>
  <si>
    <t>Travel</t>
  </si>
  <si>
    <t>Hub</t>
  </si>
  <si>
    <t xml:space="preserve">80 Bags </t>
  </si>
  <si>
    <t>Cement</t>
  </si>
  <si>
    <t>RMC BETA AND reGISTERS</t>
  </si>
  <si>
    <t>Binding Wire ,Nails</t>
  </si>
  <si>
    <t>Hanmakonda Supervisors room rent</t>
  </si>
  <si>
    <t>Nail</t>
  </si>
  <si>
    <t>20 Feet SUIT piPE</t>
  </si>
  <si>
    <t>Binding Wire Nails</t>
  </si>
  <si>
    <t>Naisl</t>
  </si>
  <si>
    <t>bet</t>
  </si>
  <si>
    <t>Cement Bags For pump</t>
  </si>
  <si>
    <t>Siddipet To Narayana Pet TraveL expenses For MOU'S Dimpu</t>
  </si>
  <si>
    <t>Binding Wires,Hammers,Blades</t>
  </si>
  <si>
    <t>Centering Sheets Unloading</t>
  </si>
  <si>
    <t>Narsapur</t>
  </si>
  <si>
    <t>Medak</t>
  </si>
  <si>
    <t>471 Bags Cement Unload Charges</t>
  </si>
  <si>
    <t>5 *300</t>
  </si>
  <si>
    <t>Tarpa</t>
  </si>
  <si>
    <t>SAND Booking amoun</t>
  </si>
  <si>
    <t xml:space="preserve">Sand </t>
  </si>
  <si>
    <t>Sand Booking Amount</t>
  </si>
  <si>
    <t>Prasanna Bus Tickets</t>
  </si>
  <si>
    <t>Showreddy House Rent</t>
  </si>
  <si>
    <t xml:space="preserve">Ajax Diesel </t>
  </si>
  <si>
    <t>Eicher</t>
  </si>
  <si>
    <t>Venkatarao Auger Vehicle</t>
  </si>
  <si>
    <t xml:space="preserve">Kamareddy </t>
  </si>
  <si>
    <t>Room Expesens</t>
  </si>
  <si>
    <t>Food</t>
  </si>
  <si>
    <t>Aggregate Beta</t>
  </si>
  <si>
    <t>Room Maitainance</t>
  </si>
  <si>
    <t>Iron Kata</t>
  </si>
  <si>
    <t>10 RMC AND Pump Beta</t>
  </si>
  <si>
    <t>Hydraulic Pipe</t>
  </si>
  <si>
    <t>1 Cement Bag</t>
  </si>
  <si>
    <t>7 *300 For Jcb and Tractor Opting Driver</t>
  </si>
  <si>
    <t>Diesel CAN</t>
  </si>
  <si>
    <t>Comp Team Tools Warangal</t>
  </si>
  <si>
    <t>7489 Tractor Diesel</t>
  </si>
  <si>
    <t>2.5 kgs</t>
  </si>
  <si>
    <t>Nagireddypet</t>
  </si>
  <si>
    <t>12 mm  Agrregate</t>
  </si>
  <si>
    <t>Aggregate</t>
  </si>
  <si>
    <t>Vehicel Rent 1 Day</t>
  </si>
  <si>
    <t>4615 Tractor Diesel</t>
  </si>
  <si>
    <t>Labour Accomdation Electrical Material</t>
  </si>
  <si>
    <t>25 KGS WIRE</t>
  </si>
  <si>
    <t>Sand Booking Amount 5 Beneficiaries</t>
  </si>
  <si>
    <t>8093 Tractor Diesel</t>
  </si>
  <si>
    <t>steel loading</t>
  </si>
  <si>
    <t>For PUMP</t>
  </si>
  <si>
    <t>5 litres</t>
  </si>
  <si>
    <t>10 Bags * 290</t>
  </si>
  <si>
    <t>wardhannapet</t>
  </si>
  <si>
    <t>12 MM aggreggate 4 tons</t>
  </si>
  <si>
    <t>Tools For RL Team</t>
  </si>
  <si>
    <t>Binding Wire &amp; Blades</t>
  </si>
  <si>
    <t>Site ELECTRICAl Items</t>
  </si>
  <si>
    <t>Site - Electrical</t>
  </si>
  <si>
    <t>1.5  Ton Iron &amp; 10 kgs Binding Wire</t>
  </si>
  <si>
    <t>12 mm 1 Trip</t>
  </si>
  <si>
    <t>Cement For Model House</t>
  </si>
  <si>
    <t>Narsampet</t>
  </si>
  <si>
    <t>Model House Expenses</t>
  </si>
  <si>
    <t>1 Trip Sand For Model House</t>
  </si>
  <si>
    <t>Narendra Expesnes</t>
  </si>
  <si>
    <t>10 Kg Nails</t>
  </si>
  <si>
    <t>5 Tractors Sand For Banswada Mandal</t>
  </si>
  <si>
    <t>Runners For Plywood</t>
  </si>
  <si>
    <t>Tools &amp; Machines Purchased For Hanamkonda</t>
  </si>
  <si>
    <t>For LABOUR</t>
  </si>
  <si>
    <t>2.5 INChs Nails AT bbANSWADA</t>
  </si>
  <si>
    <t xml:space="preserve">Centering Wood Unloading </t>
  </si>
  <si>
    <t>Nirmith Kendram to Doggondi Transport</t>
  </si>
  <si>
    <t>Duggondi</t>
  </si>
  <si>
    <t>Wetmix For Duggondi Model House</t>
  </si>
  <si>
    <t>Hir Singh</t>
  </si>
  <si>
    <t>Sand  1 Trip For Duggondi Model House</t>
  </si>
  <si>
    <t>50 bags * 260</t>
  </si>
  <si>
    <t>3 Days Tractor Driver</t>
  </si>
  <si>
    <t>Opting Driver</t>
  </si>
  <si>
    <t>Food For Ajax  5 Days</t>
  </si>
  <si>
    <t>4 Trip Sand</t>
  </si>
  <si>
    <t>6 Trips Back Filling</t>
  </si>
  <si>
    <t>Sangem</t>
  </si>
  <si>
    <t>Hanamkonda To Wardhannapet Labour Shifting</t>
  </si>
  <si>
    <t xml:space="preserve">8 Bags Cement AND 1 Trip SAND </t>
  </si>
  <si>
    <t>MOU Prints</t>
  </si>
  <si>
    <t xml:space="preserve">Bl Teams Expesnes </t>
  </si>
  <si>
    <t>Kothagudem</t>
  </si>
  <si>
    <t>Lingampet Labour Room Rent</t>
  </si>
  <si>
    <t>Vizag To Warangal Shuttering Sheets</t>
  </si>
  <si>
    <t>hanamkonda To Palakurthy Transport Chemical</t>
  </si>
  <si>
    <t>Bricks Unloading Nekkonda Model House</t>
  </si>
  <si>
    <t>Nekkonda</t>
  </si>
  <si>
    <t>Sand  1 Trip For Nekkonda Model House</t>
  </si>
  <si>
    <t>18 BAGS *270   +100</t>
  </si>
  <si>
    <t>Shuttering Loading</t>
  </si>
  <si>
    <t>9 RmC And 7 Pump</t>
  </si>
  <si>
    <t>18 Rmc AND 12 Pump Beta</t>
  </si>
  <si>
    <t>14 Rmc and 11 Pump beTA</t>
  </si>
  <si>
    <t>Plasting Sand 29.630 * 1450</t>
  </si>
  <si>
    <t>1001 Car Diesel</t>
  </si>
  <si>
    <t>Gunupati Naresh account Sudhakara Sir Monthly</t>
  </si>
  <si>
    <t>Sudhakar Reddy</t>
  </si>
  <si>
    <t>BLACK Oil AND Other Expesne</t>
  </si>
  <si>
    <t>1 FEET SHEETS LOADING</t>
  </si>
  <si>
    <t>Labour Shifting</t>
  </si>
  <si>
    <t>cement for pumos</t>
  </si>
  <si>
    <t>Binding Wire 25 kg and Nails 10 kg</t>
  </si>
  <si>
    <t>April ROOM Rent</t>
  </si>
  <si>
    <t>rmc bet</t>
  </si>
  <si>
    <t>05-03-2026 to 18-03-2026 Diesel Payments</t>
  </si>
  <si>
    <t>10 Days * 2000</t>
  </si>
  <si>
    <t>M Sand 1 Trip</t>
  </si>
  <si>
    <t>Aggregate 2 Trips</t>
  </si>
  <si>
    <t>Cutting BladesPurchases</t>
  </si>
  <si>
    <t>Ramareddy</t>
  </si>
  <si>
    <t>30.80  Tons * 1350</t>
  </si>
  <si>
    <t>Kamepalli</t>
  </si>
  <si>
    <t>Khammam</t>
  </si>
  <si>
    <t>Shuttering Makingg</t>
  </si>
  <si>
    <t>hub</t>
  </si>
  <si>
    <t>Electricity Bill March,April -2026</t>
  </si>
  <si>
    <t>Sri Lakshmi Narasimha</t>
  </si>
  <si>
    <t>7346 Tractor Diesel</t>
  </si>
  <si>
    <t>2614 Tractor Diesel</t>
  </si>
  <si>
    <t>SI</t>
  </si>
  <si>
    <t>Labour</t>
  </si>
  <si>
    <t>Gas Expenses ForFlat</t>
  </si>
  <si>
    <t>Iron loading  &amp; Transport</t>
  </si>
  <si>
    <t>Mulug</t>
  </si>
  <si>
    <t>10mm  816*59.70</t>
  </si>
  <si>
    <t>12 mm 1470*59.50</t>
  </si>
  <si>
    <t>Travel Expense to Dimpu For Cash Handovering</t>
  </si>
  <si>
    <t>50 kg Binding Wire</t>
  </si>
  <si>
    <t>8 MM 2000*61.50</t>
  </si>
  <si>
    <t>10 MM 1184*59.70</t>
  </si>
  <si>
    <t>12 MM 530KG  * 59.5</t>
  </si>
  <si>
    <t>murthy</t>
  </si>
  <si>
    <t>SLIDRES</t>
  </si>
  <si>
    <t>8 MM 3065KG*58</t>
  </si>
  <si>
    <t xml:space="preserve">Loading &amp; Unloading </t>
  </si>
  <si>
    <t>Siddipet Rural</t>
  </si>
  <si>
    <t>500 kggs 8 mm</t>
  </si>
  <si>
    <t>Cement 100 Bags *265</t>
  </si>
  <si>
    <t>8 MM 846 KGS</t>
  </si>
  <si>
    <t>Cement Bags 100*260</t>
  </si>
  <si>
    <t>AP 39 UQ 7044 Eicher Diesel</t>
  </si>
  <si>
    <t>Vamsi Tractor 1290 rupess Per Day</t>
  </si>
  <si>
    <t>Mou Team Room Rent</t>
  </si>
  <si>
    <t>medak</t>
  </si>
  <si>
    <t>DIESEL</t>
  </si>
  <si>
    <t>For Pottel To Suresh</t>
  </si>
  <si>
    <t>Resort</t>
  </si>
  <si>
    <t>Wifi Bill may</t>
  </si>
  <si>
    <t>Room Maintainance for Siddipet Room</t>
  </si>
  <si>
    <t>Food Ingredients</t>
  </si>
  <si>
    <t>Resort Rent</t>
  </si>
  <si>
    <t>Resort Expenses</t>
  </si>
  <si>
    <t>Banoth Vasantha NRGS Payment</t>
  </si>
  <si>
    <t>murthy auger vehcile diesel</t>
  </si>
  <si>
    <t>Lingampet TO Birkoor Tractor Shifting</t>
  </si>
  <si>
    <t>12 MM 23.460 * 780  + M Sand 23.695 * 820</t>
  </si>
  <si>
    <t>M Sand 2 Trips And 12 MM 2 Trips</t>
  </si>
  <si>
    <t>Nirmith Kendram M sand 2 Trips</t>
  </si>
  <si>
    <t>Vizag To Warangal Trains For Rajesh and Sir</t>
  </si>
  <si>
    <t>Steel Purchsed</t>
  </si>
  <si>
    <t>1 Day Tractor Rent</t>
  </si>
  <si>
    <t>Thoguta</t>
  </si>
  <si>
    <t>45 Windows And Door Frames Making At Nirmith Kendhram</t>
  </si>
  <si>
    <t>Unloading And Loading</t>
  </si>
  <si>
    <t>8 MM 679.900</t>
  </si>
  <si>
    <t>Cement Bags 50*280</t>
  </si>
  <si>
    <t>Dimpu Travelling Expesen For Gatkesar,Siddipet,Rajahmundry</t>
  </si>
  <si>
    <t>Doors And windows Fitting Charges For Model House</t>
  </si>
  <si>
    <t>Model House Door Fitting And Windows Fitting Material</t>
  </si>
  <si>
    <t>Atmakur</t>
  </si>
  <si>
    <t>10 LITRES</t>
  </si>
  <si>
    <t>LabouR Food</t>
  </si>
  <si>
    <t>Labour tools</t>
  </si>
  <si>
    <t>Mou Team Company Sim Recharge</t>
  </si>
  <si>
    <t>siddipet</t>
  </si>
  <si>
    <t>NAIls</t>
  </si>
  <si>
    <t xml:space="preserve">material loading </t>
  </si>
  <si>
    <t xml:space="preserve">4  Suit Pipes purchase </t>
  </si>
  <si>
    <t>Tractor Driver Food AND Daily Expenses</t>
  </si>
  <si>
    <t>BINDING WIRE 50 KG</t>
  </si>
  <si>
    <t>Room ExPESNES By Siva Reddy</t>
  </si>
  <si>
    <t>Plywood sheets Making</t>
  </si>
  <si>
    <t>Iron loading</t>
  </si>
  <si>
    <t>10 MM 504 KG</t>
  </si>
  <si>
    <t>12 MM 735 KG</t>
  </si>
  <si>
    <t xml:space="preserve">Tarpalin Purchased </t>
  </si>
  <si>
    <t>Mou Team Xerox</t>
  </si>
  <si>
    <t>Stationary</t>
  </si>
  <si>
    <t>Suit Pipes 2 Lingampet &amp; Rajampet</t>
  </si>
  <si>
    <t>Wood Runners</t>
  </si>
  <si>
    <t>0913 Eicher VehicLE Rent</t>
  </si>
  <si>
    <t>SHIVAM Chauhan Carpenter</t>
  </si>
  <si>
    <t>Drone Video Shoot</t>
  </si>
  <si>
    <t>Driver Food</t>
  </si>
  <si>
    <t xml:space="preserve">Tractor Driver </t>
  </si>
  <si>
    <t>Vehicle Rent Auto For Shifting to Hanamkonda</t>
  </si>
  <si>
    <t>2 Cement Bags For Pump</t>
  </si>
  <si>
    <t>black Oil 2 Litres</t>
  </si>
  <si>
    <t>Binding Wire 11 ksgs</t>
  </si>
  <si>
    <t>Labour Expesnes And Shifting Expenses</t>
  </si>
  <si>
    <t>4 Rmc &amp;  4 Pump Beta</t>
  </si>
  <si>
    <t>26 Rmc Vehicles &amp; 13 Pump &amp; 6 Cement Bags</t>
  </si>
  <si>
    <t>Chandravancha 4 Sites * 2300</t>
  </si>
  <si>
    <t>Led Lights For Nirmith Kendhram</t>
  </si>
  <si>
    <t>Cutting Blade Big</t>
  </si>
  <si>
    <t xml:space="preserve">Nails And Other Tools Purchased </t>
  </si>
  <si>
    <t>Nais Purchased 1 Box</t>
  </si>
  <si>
    <t>Advance For Plywood Runners Reff - Murthy</t>
  </si>
  <si>
    <t>Electrial Pipes &amp; Slab Liquid For RC Team</t>
  </si>
  <si>
    <t>Black Oil 10 Litres</t>
  </si>
  <si>
    <t>Valigonda Windows &amp; Door Frames + Transport</t>
  </si>
  <si>
    <t>Binding Wire &amp; Tapis , Tapes</t>
  </si>
  <si>
    <t>Sudhakar Reddy Sir 15-03-2026 to 19-03-2026 Hotel Room Rent</t>
  </si>
  <si>
    <t xml:space="preserve">50 kgs Binding Wire Purchased </t>
  </si>
  <si>
    <t>35 Litres *35/-</t>
  </si>
  <si>
    <t>Soot Pipe 10 inches 20 feet</t>
  </si>
  <si>
    <t>Drum,Diesel Can</t>
  </si>
  <si>
    <t>BL Team Tools Purchased By Vishnu</t>
  </si>
  <si>
    <t>Rod ukku&amp; Driver Payment</t>
  </si>
  <si>
    <t>Hotel Room or Surya</t>
  </si>
  <si>
    <t>Advance By Prasad</t>
  </si>
  <si>
    <t>Ramana V</t>
  </si>
  <si>
    <t>MOU TEAM</t>
  </si>
  <si>
    <t>RL Team Tools Purchase By Govindha</t>
  </si>
  <si>
    <t>Binding Wire 30 KGS,nails &amp; etc</t>
  </si>
  <si>
    <t>Hanamkonda To Palakurthy Tractor Diesel</t>
  </si>
  <si>
    <t>15 Bl's RMC &amp; Pump Beta</t>
  </si>
  <si>
    <t>Beta</t>
  </si>
  <si>
    <t>Tools Purchased</t>
  </si>
  <si>
    <t>Iron Purchased By Anil</t>
  </si>
  <si>
    <t>12-02-2026 TO 11-03-2026</t>
  </si>
  <si>
    <t>John Deere VishnuTractor ENGAGE PAYMENT</t>
  </si>
  <si>
    <t>1002 Vishnu Tractor ENGAGE PAYMENT</t>
  </si>
  <si>
    <t>Thurkapally</t>
  </si>
  <si>
    <t>Hanumanth Tractor Advance</t>
  </si>
  <si>
    <t>nails</t>
  </si>
  <si>
    <t>Prasanna Bus Ticket</t>
  </si>
  <si>
    <t>Eicher DIESEL</t>
  </si>
  <si>
    <t>Auger Vehicle Murthy</t>
  </si>
  <si>
    <t>Cement 5</t>
  </si>
  <si>
    <t>Tarigoppula</t>
  </si>
  <si>
    <t>Venkatesh Salary - Feb 2026</t>
  </si>
  <si>
    <t>Staff Salaries</t>
  </si>
  <si>
    <t>Nails,Bindingwire,Cutting Machines And Etc</t>
  </si>
  <si>
    <t>Tractor PAYMENT</t>
  </si>
  <si>
    <t>JCB Diesel</t>
  </si>
  <si>
    <t>Cutting Machines And Other Tools Purchases</t>
  </si>
  <si>
    <t>Cement &amp; Iron Loading</t>
  </si>
  <si>
    <t>hotel Expenses For Sudhakar Reddy Sir</t>
  </si>
  <si>
    <t>Hanamkonda Local Tractor Diesel</t>
  </si>
  <si>
    <t>Sliders For 10 Houses</t>
  </si>
  <si>
    <t>Welding Machine</t>
  </si>
  <si>
    <t>Compressor  And Other toolsq,</t>
  </si>
  <si>
    <t>1 Door Frame For Wardhannapet</t>
  </si>
  <si>
    <t>Nails Gun Machine</t>
  </si>
  <si>
    <t>Completion Team Tools</t>
  </si>
  <si>
    <t>Auger Vehicle Diesel Murthy</t>
  </si>
  <si>
    <t>half inch Pipes Purchased by Sarandeep</t>
  </si>
  <si>
    <t>Half Inch Pipes</t>
  </si>
  <si>
    <t>Nails For Plywood Hanamkonda</t>
  </si>
  <si>
    <t>Hanamkonda Supervisors Room Rent</t>
  </si>
  <si>
    <t>Auger Vehicle AVS Reddy</t>
  </si>
  <si>
    <t>Carpenter Charges For Plywood Shuttering</t>
  </si>
  <si>
    <t>Gajam Badhalu &amp; other Tools</t>
  </si>
  <si>
    <t>Varndhannapet</t>
  </si>
  <si>
    <t>Johndeere Tractor Diesel</t>
  </si>
  <si>
    <t>Local Tractor Diesel</t>
  </si>
  <si>
    <t>Eicher Vehcile Diesel</t>
  </si>
  <si>
    <t>Rope For Tractor</t>
  </si>
  <si>
    <t>Sai Tractor Driver Salary ADVANCE</t>
  </si>
  <si>
    <t>Advance For OFFICE</t>
  </si>
  <si>
    <t>Office</t>
  </si>
  <si>
    <t>Supervisors Room Rent Advance</t>
  </si>
  <si>
    <t>1 feet 66 Sheets &amp; 2 feet 7 sheets</t>
  </si>
  <si>
    <t>Water Pipe 30 Meters</t>
  </si>
  <si>
    <t>SITE - Maintainance</t>
  </si>
  <si>
    <t>14 Boxes Nails Purchased</t>
  </si>
  <si>
    <t>Binding Wire 30 KGS</t>
  </si>
  <si>
    <t>Auger Diesel Murthy</t>
  </si>
  <si>
    <t>NAILS  19 KGS</t>
  </si>
  <si>
    <t>Plywood sheets 46 * 150</t>
  </si>
  <si>
    <t>Tent For Plywood Working</t>
  </si>
  <si>
    <t>Tent</t>
  </si>
  <si>
    <t>Iron Purchased By Hari</t>
  </si>
  <si>
    <t xml:space="preserve">Trasula abbai </t>
  </si>
  <si>
    <t>Murthy Purchased Items</t>
  </si>
  <si>
    <t xml:space="preserve">Site </t>
  </si>
  <si>
    <t>Nails &amp; Cover Blocks</t>
  </si>
  <si>
    <t>Urban</t>
  </si>
  <si>
    <t>Kotak</t>
  </si>
  <si>
    <t>15-02-2026 to 28-02-2026 RMC Beta</t>
  </si>
  <si>
    <t>Hethvika Enterprises</t>
  </si>
  <si>
    <t>2 Tractors Diesel Each - 3000/-</t>
  </si>
  <si>
    <t>Nails ,Cutting Blades &amp; ect</t>
  </si>
  <si>
    <t>Wood &amp; Shhuttering Sheets Unloading</t>
  </si>
  <si>
    <t>Unloading</t>
  </si>
  <si>
    <t>Vizag to hanamkonda Bikes</t>
  </si>
  <si>
    <t>Labour Material &amp; Site Tools</t>
  </si>
  <si>
    <t>Devices &amp; Login ID'S</t>
  </si>
  <si>
    <t>Mou Team</t>
  </si>
  <si>
    <t>Eicher Vehile Advance</t>
  </si>
  <si>
    <t>20 Tons Iron Unloading At Hanamkonda</t>
  </si>
  <si>
    <t>Power Bill Kyathampalli</t>
  </si>
  <si>
    <t>Power Bill</t>
  </si>
  <si>
    <t>Motor Repair</t>
  </si>
  <si>
    <t>Vardhannapet</t>
  </si>
  <si>
    <t>4 Tractor Drivers Food Payment 16-02-2026 To 28-02-2026</t>
  </si>
  <si>
    <t>Dharmasagar Diesel &amp; Rmc Expenses &amp; Tools Purchased</t>
  </si>
  <si>
    <t>Sand Amount To HMC Infra</t>
  </si>
  <si>
    <t>sand</t>
  </si>
  <si>
    <t>Flat Power Bill</t>
  </si>
  <si>
    <t>Chandravancha Site Electrical Items</t>
  </si>
  <si>
    <t xml:space="preserve">80 Sliders * 1060 </t>
  </si>
  <si>
    <t>Right Angle</t>
  </si>
  <si>
    <t>15 mtrs tape</t>
  </si>
  <si>
    <t>Sponge</t>
  </si>
  <si>
    <t>Bucket For Nut Bolts</t>
  </si>
  <si>
    <t>4 *100</t>
  </si>
  <si>
    <t>12 * 50 Black oil</t>
  </si>
  <si>
    <t>RMC BETA &amp; PUMP BETA</t>
  </si>
  <si>
    <t>Wood Runners 6 feet 150 pcs,4 feet 50 pcs</t>
  </si>
  <si>
    <t>WOOD</t>
  </si>
  <si>
    <t xml:space="preserve">SuiT PIPE Transport </t>
  </si>
  <si>
    <t xml:space="preserve">SUIT PIPE </t>
  </si>
  <si>
    <t>Tractor Advance   Tractor engaged</t>
  </si>
  <si>
    <t>Sliders For 5 Houses</t>
  </si>
  <si>
    <t>New Tractor Diesel</t>
  </si>
  <si>
    <t>275 Chemical Bags Unloading</t>
  </si>
  <si>
    <t>AP 39 CT 7040 AUGER VEHICLE  , Murthy , Reff - Venkatarao</t>
  </si>
  <si>
    <t>Cheelasagar Tractor Diesel</t>
  </si>
  <si>
    <t>Tarpalin Purchased 30*30  Size 2 qty</t>
  </si>
  <si>
    <t>BL Team Tools Purchased By somesh</t>
  </si>
  <si>
    <t>3 Inch Nails Purchased</t>
  </si>
  <si>
    <t>Hari purchased Materials</t>
  </si>
  <si>
    <t>Eicher tolls</t>
  </si>
  <si>
    <t>EICHER VEHCLE DIESEL</t>
  </si>
  <si>
    <t>half inch Pipes Purchased by Sarandeep 20*40</t>
  </si>
  <si>
    <t>Katona making Charges for 2</t>
  </si>
  <si>
    <t>Gaddaparalu Purchased</t>
  </si>
  <si>
    <t>AP 40 KF 2837 Tractor Diesel</t>
  </si>
  <si>
    <t>Nails Purchased Turkapally Reff Sarandeep</t>
  </si>
  <si>
    <t>Wood Cutting Blades</t>
  </si>
  <si>
    <t>Ramavaram To Hanamkonda Shuttering Sheets Transport Eicher Van Rent</t>
  </si>
  <si>
    <t>AP 39 CT 7040 AUGER VEHICLE  , Murthy , Reff - Sarandeep</t>
  </si>
  <si>
    <t>RC Team Tools Purchase At Palakurthy</t>
  </si>
  <si>
    <t>AP 40 KE 2834 Tractor Diesel</t>
  </si>
  <si>
    <t>2 Tractors Diesel Each - 2000/-</t>
  </si>
  <si>
    <t>Turkapally Tractor Diesel</t>
  </si>
  <si>
    <t>Binding Wire &amp; Cutting Blades</t>
  </si>
  <si>
    <t>Axis Savings</t>
  </si>
  <si>
    <t>Nakka Prasad Eicher Van Diesel</t>
  </si>
  <si>
    <t>Door Frames Purchased By Hari</t>
  </si>
  <si>
    <t>Door Frames</t>
  </si>
  <si>
    <t>SBI</t>
  </si>
  <si>
    <t>AP 39 WB 2967 Tractor Diesel</t>
  </si>
  <si>
    <t>1 Bag Cment Purchased</t>
  </si>
  <si>
    <t>Room Tools</t>
  </si>
  <si>
    <t>3*520 Pardhas Purchased</t>
  </si>
  <si>
    <t>Door Frames Purchased By Pavan</t>
  </si>
  <si>
    <t>TS 30 T 5684 Tractor Diesel  Reff - Sarandeep</t>
  </si>
  <si>
    <t>2673 Tractor Diesel</t>
  </si>
  <si>
    <t>Vizag To Hanamkonda Shuttering shifting Transport</t>
  </si>
  <si>
    <t>Tractor Advance   Tractor engaged from 04-02-2026</t>
  </si>
  <si>
    <t>2 units with  tractors</t>
  </si>
  <si>
    <t>5 KG NAILS PURCHASED</t>
  </si>
  <si>
    <t>Nirmith Kendram RMC</t>
  </si>
  <si>
    <t xml:space="preserve">10 Bags Purchased </t>
  </si>
  <si>
    <t>Siddipet Room material Purchased By Dimpu</t>
  </si>
  <si>
    <t>Sand</t>
  </si>
  <si>
    <t>Wood Transport Amount From Bengaluru To Hanamkonda</t>
  </si>
  <si>
    <t>Staff</t>
  </si>
  <si>
    <t>Salaries</t>
  </si>
  <si>
    <t>Wood Purchased By Murthy</t>
  </si>
  <si>
    <t>Sudhakar Supervisor</t>
  </si>
  <si>
    <t>Anil Salary Jan-2026</t>
  </si>
  <si>
    <t>Half inch Pipes Purchased by Pavan 43 pipes</t>
  </si>
  <si>
    <t>Hotel Expenses For Bank Team</t>
  </si>
  <si>
    <t>Steel Purchased Balance Amount</t>
  </si>
  <si>
    <t>3 BHK ROOM ADVANCE</t>
  </si>
  <si>
    <t>20 Litres Waste Oil Purchased By Pavan</t>
  </si>
  <si>
    <t>20 Bags Purchased By Pavan 20*300</t>
  </si>
  <si>
    <t>8832 Tractor Diesel</t>
  </si>
  <si>
    <t>Venkata Rao Salary - Jan -2026</t>
  </si>
  <si>
    <t>Naidu  Salary  &amp; Food Bill</t>
  </si>
  <si>
    <t>G Suresh Jan Month Sal -</t>
  </si>
  <si>
    <t>Hari Salary  &amp; Expenses Jan -2026</t>
  </si>
  <si>
    <t>Narendra Salary  &amp; Expenses Jan-2026</t>
  </si>
  <si>
    <t>Trinadh Salary&amp; Food , Jan -2026</t>
  </si>
  <si>
    <t>Govindh Salary &amp; Food  ,Jan -2026</t>
  </si>
  <si>
    <t>Sai Srinu Salary &amp; Expenses , Jan -2026</t>
  </si>
  <si>
    <t xml:space="preserve">Somesh  Salary &amp; Food Jan-2026 </t>
  </si>
  <si>
    <t>8 MM Iron 3  Tons</t>
  </si>
  <si>
    <t>Rohith &amp; Team</t>
  </si>
  <si>
    <t>INDUSIND</t>
  </si>
  <si>
    <t>AVS REDDY GARIKI ICHINA AMOUNT FOR WINDOWS &amp; FRAME TEAM</t>
  </si>
  <si>
    <t>Tractor Grease</t>
  </si>
  <si>
    <t>Sudhakar Reddy Sir Hotel room Payment Siddipet 16/02/2026 To 17/02/2026</t>
  </si>
  <si>
    <t>AP 39 WB 2967 Company Tractor Maintainance Servicing Done 17-02-2026</t>
  </si>
  <si>
    <t>TG 06 CT 3835 Diesel For hanamkonda to Valigonda Shifting</t>
  </si>
  <si>
    <t>16-02-2026 Diesel  Reff -Srihari</t>
  </si>
  <si>
    <t>SBI   1280/- Transaction</t>
  </si>
  <si>
    <t>2 Rmc &amp; 1 Pump Beta</t>
  </si>
  <si>
    <t>Ch  Srikanth Jan Month Salary</t>
  </si>
  <si>
    <t>G Nagaraju Jan Mont Salary</t>
  </si>
  <si>
    <t>G Suresh Jan Month Sal - Advance</t>
  </si>
  <si>
    <t>Rope For Tractor Reff - Anil</t>
  </si>
  <si>
    <t>Bank Team 5*6000- 30000/- Sent To Dimpu Srinivas</t>
  </si>
  <si>
    <t>Hotel Expenses For Bank Team 13 &amp; 14 Room Rent</t>
  </si>
  <si>
    <t>Sudhakar reddy sir Acoomdation 09-02-2026 TO 14-02-2026</t>
  </si>
  <si>
    <t>09-02-2026 Tractor Adoc Rent</t>
  </si>
  <si>
    <t>Vasalamarri Site Tools</t>
  </si>
  <si>
    <t>Mandal</t>
  </si>
  <si>
    <t>DIST</t>
  </si>
  <si>
    <t>Code</t>
  </si>
  <si>
    <t>Payment By</t>
  </si>
  <si>
    <t>EXPENSES_DETAILS</t>
  </si>
  <si>
    <t>EESHA INFRA GLOBAL PRIVATE LIMITED</t>
  </si>
  <si>
    <t>Vehicle-Maintance</t>
  </si>
  <si>
    <t>Room Rent</t>
  </si>
  <si>
    <t>Driver Opting</t>
  </si>
  <si>
    <t>Notary Expenses</t>
  </si>
  <si>
    <t>Iron Purchase</t>
  </si>
  <si>
    <t>RC Tools</t>
  </si>
  <si>
    <t>Bricks</t>
  </si>
  <si>
    <t xml:space="preserve">Tolls </t>
  </si>
  <si>
    <t>Maintainance</t>
  </si>
  <si>
    <t>Hub Expenses</t>
  </si>
  <si>
    <t>Tolls</t>
  </si>
  <si>
    <t>Malyadri</t>
  </si>
  <si>
    <t>Plywood</t>
  </si>
  <si>
    <t xml:space="preserve">Plywood Sheets Purchased  </t>
  </si>
  <si>
    <t>Patel Plywood</t>
  </si>
  <si>
    <t>Supervisor's Salary For Jan-2026</t>
  </si>
  <si>
    <t>Vizag To Warangal Car Diesel</t>
  </si>
  <si>
    <t>Supervisor's Salary For Feb-2026</t>
  </si>
  <si>
    <t>Office Expenses</t>
  </si>
  <si>
    <t>Printer &amp; Paper Bundles</t>
  </si>
  <si>
    <t xml:space="preserve">Vehicles Rents  April-2026 </t>
  </si>
  <si>
    <t>Supervisor's Salaries    April-2026</t>
  </si>
  <si>
    <t>Supervisor's Salaries   May- 2026</t>
  </si>
  <si>
    <t xml:space="preserve">Vehicles Rents  May-2026 </t>
  </si>
  <si>
    <t>Iron Purchase 20 Tons</t>
  </si>
  <si>
    <t>May-2026 Electricity Bill Nirmith Kendhram</t>
  </si>
  <si>
    <t>Supervisor's Salaries    March-2026</t>
  </si>
  <si>
    <t xml:space="preserve">Vehicles Rents  March-2026 </t>
  </si>
  <si>
    <t>Ramakrishna Tractors EMI Purpose</t>
  </si>
  <si>
    <t>Binding wire</t>
  </si>
  <si>
    <t>Palakurthy</t>
  </si>
  <si>
    <t>DOMAKONDA</t>
  </si>
  <si>
    <t>Banglore</t>
  </si>
  <si>
    <t>Bhiknoor</t>
  </si>
  <si>
    <t>Elkurthy</t>
  </si>
  <si>
    <t>Kulcharam</t>
  </si>
  <si>
    <t>Damera</t>
  </si>
  <si>
    <t>Geesukonda</t>
  </si>
  <si>
    <t>kamareddy Rular</t>
  </si>
  <si>
    <t>Bheemadevarapalli</t>
  </si>
  <si>
    <t>kulcharam</t>
  </si>
  <si>
    <t>kamepalli</t>
  </si>
  <si>
    <t>kowdapalli</t>
  </si>
  <si>
    <t>machareddy</t>
  </si>
  <si>
    <t>mulugu</t>
  </si>
  <si>
    <t>Kothaguda</t>
  </si>
  <si>
    <t>Machareddy</t>
  </si>
  <si>
    <t>Hanwada</t>
  </si>
  <si>
    <t>SIDDIPET</t>
  </si>
  <si>
    <t>Fuel - Auger Vehicle - G.Venkat Rao</t>
  </si>
  <si>
    <t>Fuel - Tractor Vehicle -   G. Nagaraju</t>
  </si>
  <si>
    <t xml:space="preserve">Fuel for Local Vehicel - </t>
  </si>
  <si>
    <t xml:space="preserve">Shifting for Centing Sheets - Chandravancha to Medak </t>
  </si>
  <si>
    <t>Handumakonda  - Airline Nails</t>
  </si>
  <si>
    <t>Handumakonda  - Cleam for Hose</t>
  </si>
  <si>
    <t>Fuel - Pedala bhanu Prasad</t>
  </si>
  <si>
    <t xml:space="preserve">Centring - Nails - P sharan Deep </t>
  </si>
  <si>
    <t>Fuel For Auger Vehicle - No AP5315AC</t>
  </si>
  <si>
    <t>steel shiffiting Birkur to Veerpur  trip charges</t>
  </si>
  <si>
    <t>Rl Team work metirial and Tent rope bundel purchage</t>
  </si>
  <si>
    <t>Rc lebour work for rent vehicle,day Rent,deisel</t>
  </si>
  <si>
    <t>2*10  nails purchase</t>
  </si>
  <si>
    <t>Ajax Driver food and trip charges</t>
  </si>
  <si>
    <t>4" Nails purchase</t>
  </si>
  <si>
    <t>Sand request Application  and Zerox payment</t>
  </si>
  <si>
    <t>RMC Trip Charges</t>
  </si>
  <si>
    <t>Brick,labour,2,"3" inche nailBags-2-Advance Payment</t>
  </si>
  <si>
    <t>Sand  Balance payment</t>
  </si>
  <si>
    <t>Augur vehical Deisel payment</t>
  </si>
  <si>
    <t>Tools (Cement Badda) payments</t>
  </si>
  <si>
    <t>centring work purchase</t>
  </si>
  <si>
    <t>tools Purchase</t>
  </si>
  <si>
    <t>TS03EE471</t>
  </si>
  <si>
    <t>Brick,labour,2,"3" inche nailBags-2-Balance  Payment</t>
  </si>
  <si>
    <t>Ajax Deisel Purchage</t>
  </si>
  <si>
    <t>Line Doors and Water Joint</t>
  </si>
  <si>
    <t>mesurement Tape and chemical plates</t>
  </si>
  <si>
    <t>AP40KF2834 Tracter Puncher payment</t>
  </si>
  <si>
    <t>3 RMC Trip Charges</t>
  </si>
  <si>
    <t>AP40KF2834 Tracter Puncher  canvasing payment</t>
  </si>
  <si>
    <t>AP40KF2843 Tharigoppula to birkoor deisel payment</t>
  </si>
  <si>
    <t>TS24T8355 LOCAL TRACTOR  DAY RENT</t>
  </si>
  <si>
    <t>Tools purchase for Hanumakonda Site</t>
  </si>
  <si>
    <t>Iron transport chages in Nirmithkendr</t>
  </si>
  <si>
    <t>Tent chagers for hanumakonda Nirmithkendr</t>
  </si>
  <si>
    <t>concreate tape and 8 mm Die purchase in urban</t>
  </si>
  <si>
    <t>Electrical Pipes and 8mm rod,cutting Balades for RC work</t>
  </si>
  <si>
    <t>AP39J1001 Deisel purchage</t>
  </si>
  <si>
    <t>Slab pupose purchage</t>
  </si>
  <si>
    <t>RMC Beta  chages+food Expences</t>
  </si>
  <si>
    <t>Binding wire -50kg Purchase</t>
  </si>
  <si>
    <t>AP535AC AVS Reddy Augur Vehical diesel payment</t>
  </si>
  <si>
    <t>Tractor Deisel Payment</t>
  </si>
  <si>
    <t>TS06ER8668 Ajax  Diesel payment</t>
  </si>
  <si>
    <t>TS25C1579 Tractor Diesel payment</t>
  </si>
  <si>
    <t>supervisors food expences</t>
  </si>
  <si>
    <t>TS17T6540 Tractor Diesel payment</t>
  </si>
  <si>
    <t>RMC Trip charges (batta)</t>
  </si>
  <si>
    <t>Mud oil-10lts*40 purchased</t>
  </si>
  <si>
    <t>Binding wire purchase</t>
  </si>
  <si>
    <t>AP04KW7346 Domakonda Tractor deisel purched</t>
  </si>
  <si>
    <t>sub metirials(dakaralu+chelagaparalu)</t>
  </si>
  <si>
    <t>sub metirials(thappies+l dharam)</t>
  </si>
  <si>
    <t>TS06ER8668 Ajax Vehicle Deisel Payment</t>
  </si>
  <si>
    <t xml:space="preserve">AP5315AC AVS Reddy Augur vehicle deisel payment </t>
  </si>
  <si>
    <t>10*290 Cement Bags purchased for keythanapalli RL works</t>
  </si>
  <si>
    <t>AP40KF2843 TRACTOR DEISEL PAYMENT</t>
  </si>
  <si>
    <t>TS27D8093 TRACTOR DEISEL PAYMENT</t>
  </si>
  <si>
    <t>Prabhu car Driver Advance</t>
  </si>
  <si>
    <t>APJJ1001 VEHICLE DEISEL PAYMENT</t>
  </si>
  <si>
    <t>VENKAT RAO AUGUR VEHICAL DEISEL PAYMENT</t>
  </si>
  <si>
    <t xml:space="preserve">RMC TRIP CHARGES </t>
  </si>
  <si>
    <t>RC Work Meterials (katoni-2,8mm liver-1)  payment</t>
  </si>
  <si>
    <t>MEDAK TO DOMAKONDA  LABOUR SHIFITING AUTO RENT</t>
  </si>
  <si>
    <t xml:space="preserve">ELLANDU LABOUR ACCOMODITATION FANS PURCHASED </t>
  </si>
  <si>
    <t xml:space="preserve">BALAJI WOOD WORKS 16 CENTRING PLY WORK PAYMENT </t>
  </si>
  <si>
    <t>AP5315AC AVS REDDY AUGUR VEHICLE DEISEL PAYMENT</t>
  </si>
  <si>
    <t>House Rent payment  in Tharigoppula  by chennuboiyana sreekanth</t>
  </si>
  <si>
    <t>JCB Rent for Ajacs (TS06ER8668) Stuck Problem  solved</t>
  </si>
  <si>
    <t>Venkat Rao Augur vehicle deisel payment</t>
  </si>
  <si>
    <t>welding Metrials purchased</t>
  </si>
  <si>
    <t>RL Contruction stands and side Boxes Rent purpose Date on 19-04-2026</t>
  </si>
  <si>
    <t xml:space="preserve">TS06ER8668 Ajax Vehicle Deisel payment </t>
  </si>
  <si>
    <t>RMC Trip charges</t>
  </si>
  <si>
    <t>Ellandu Metrial shiffing labour  charges</t>
  </si>
  <si>
    <t>Valigonda room rent payment</t>
  </si>
  <si>
    <t>Nails-10kg purchased by budda suresh</t>
  </si>
  <si>
    <t>Sand payment by G venkat rao at sagyam</t>
  </si>
  <si>
    <t>Cement 50 bags purchased by venkat rao</t>
  </si>
  <si>
    <t>waste oil-15lts purchased by G Gowri naidu</t>
  </si>
  <si>
    <t>House Rent payment  in Tharigoppula  by gangapatla kishore</t>
  </si>
  <si>
    <t>mud oil-30lts  purchased by Gangapatla Kishore</t>
  </si>
  <si>
    <t>Welding rod purchased by AVS Reddy at nirmithkendr</t>
  </si>
  <si>
    <t>TS17T6540 tarctor Deidel payment bybudda suresh</t>
  </si>
  <si>
    <t>TS06ER8668 Ajax Deisel payment by k srinivasulu Reddy</t>
  </si>
  <si>
    <t xml:space="preserve"> Mou Douments proffisinal courriar service charges by prasanna</t>
  </si>
  <si>
    <t>Electric line man charges by g suresh in nirmithkendr date</t>
  </si>
  <si>
    <t>Hanumakonda urbun Room Rent  payment by G Suresh</t>
  </si>
  <si>
    <t>rmc trip charges and Rl work Stands rent payment by G Suresh</t>
  </si>
  <si>
    <t>RL TOOLS Purched by kabitha mondal Through AVS reddy</t>
  </si>
  <si>
    <t xml:space="preserve">AP39SA5465 TRACTOR Desiel(for labour transport purpose) payment by manikanta </t>
  </si>
  <si>
    <t>Bodagutta Site Rl Work metrials purchased by Sri Rama Murthy</t>
  </si>
  <si>
    <t>AP5315AC Augur vehicle Desiel payment by hanumanthu</t>
  </si>
  <si>
    <t>AP39DC3351  Tractor Deisel Payment By Hanumanthu</t>
  </si>
  <si>
    <t>Aughuring bullets LR(Transport Charges) By u manikanta</t>
  </si>
  <si>
    <t>Nails and Cutting plates purched by Budda Suresh</t>
  </si>
  <si>
    <t>venkatrao augur vehicle  and local tractor-AP39AJ4615 Deisel payment by vishnuvardhan</t>
  </si>
  <si>
    <t>TG037439 TRACTOR Deisel Payment By nanada kishore</t>
  </si>
  <si>
    <t>TS06ER8668 Deisel Payment by korupolu Siva</t>
  </si>
  <si>
    <t>Sangem mandal model house washroom Meterials purchased by G venkat rao</t>
  </si>
  <si>
    <t>Sand For Sangam Mandal model house  construction Purpose payment by G venkat rao</t>
  </si>
  <si>
    <t>15m current Wire Tester,iron Cutters-5 purchased By manikanta</t>
  </si>
  <si>
    <t>RMC Trip Charges By Budda Suresh</t>
  </si>
  <si>
    <t>AP5315AC Augur Vehicle Deisel payment By Hanumanth</t>
  </si>
  <si>
    <t>TS17T6540 Nagireddipet tractor Deisel Payment By Budda sure</t>
  </si>
  <si>
    <t>Room rent for ellandu by Manikanta</t>
  </si>
  <si>
    <t>Sand payment by g venkat rao for  Lintels&amp; windows prams</t>
  </si>
  <si>
    <t>wood Cutting Mechine problem repair charges by K Srivasulu Reddy</t>
  </si>
  <si>
    <t>21/2" Nails purchesed by K Srinivasulu</t>
  </si>
  <si>
    <t>Cement Bages-2 purchased By d Vishnuvardhan Reddy</t>
  </si>
  <si>
    <t>BL Working labour meterial Purchased by p pavan kumar</t>
  </si>
  <si>
    <t>10inches pipe RMC Shoot purchased by by D vishnuvardhan reddy</t>
  </si>
  <si>
    <t>stands,side Boxes Rent purpose Payment By k govindu for RL Works</t>
  </si>
  <si>
    <t>Binding wire Purchased By G Nagaraju for Bl Works</t>
  </si>
  <si>
    <t>Hammer,Big 1p,small 1p Purchsed by D vishnu Vardhan Reddy</t>
  </si>
  <si>
    <t>TS06ER8668 Ajax vehicle Deisel payment By K srinivasulu reddy</t>
  </si>
  <si>
    <t>MOU's proffisinal courier  charges by prasanna</t>
  </si>
  <si>
    <t xml:space="preserve">1 feet bl completed payment paid to pawar Eswaramma by AVS Reddy </t>
  </si>
  <si>
    <t>AP39DU3351 Desiel payment by  U Manikanta at yelladu</t>
  </si>
  <si>
    <t>AP5315AC Augur vehical Desiel payment by Hanumanth</t>
  </si>
  <si>
    <t>Ajax Driver Food Expenses  payment by K Srinivasulu Reddy</t>
  </si>
  <si>
    <t>Local Tractor Driver Daily labour payment by K Srinivasulu Reddy</t>
  </si>
  <si>
    <t>Yellandu Bl work meterial purchased by U Manikanta</t>
  </si>
  <si>
    <t>20 feet pvc pump shoot for BL  work purchased by U Manikanta</t>
  </si>
  <si>
    <t>AP40KF2843 Deisel Payment by K Srinivasulu Reddy</t>
  </si>
  <si>
    <t>TS06ER8668 Ajax Vehicle Deisel payment By K Srivasulu Reddy in Banswada</t>
  </si>
  <si>
    <t>TS28TA0709 Tranport charges For Runners and pump shoot transport from Yellandu to kamepalli</t>
  </si>
  <si>
    <t>8 MM Dog purchased by Gangapatla Kishore FOR RL work in Theegaram</t>
  </si>
  <si>
    <t>AP39DC3351 Tractor Deisel Payment Nandakishore</t>
  </si>
  <si>
    <t>labour tiffen charges payment By chennuboyina Sreekanth</t>
  </si>
  <si>
    <t>20lits plastic can purchased by g nagaraju for desiel purchase purpose</t>
  </si>
  <si>
    <t>Binding wire for bl work  purchased by G Nagaraju at parvathagiri</t>
  </si>
  <si>
    <t>12mm agreegate chips purchased by  gangapatla kishore</t>
  </si>
  <si>
    <t>TS17T6540 Local Troctor  deisel payment by pavan kumar at Nagireddipet</t>
  </si>
  <si>
    <t>Rajampet room rent by K Srinivasulu reddy</t>
  </si>
  <si>
    <t>Rmc  trip charges by pitta neelaiah</t>
  </si>
  <si>
    <t>To made 2 beneficiary notaries by laywer in warangal court</t>
  </si>
  <si>
    <t xml:space="preserve">paints purchased by Avs Reddy for Narasannapet Model House </t>
  </si>
  <si>
    <t>Rmc  trip charges&amp; pump Charges by pitta neelaiah</t>
  </si>
  <si>
    <t>AP39SA5465 Tractor deisel payment by U Manikanta at yellandu</t>
  </si>
  <si>
    <t xml:space="preserve">om sai welding works-hanumakonda payment by AVS reddy for litchaes welding-8pices </t>
  </si>
  <si>
    <t>AP39JJ1001 Car Deisel payment by AVS Reddy</t>
  </si>
  <si>
    <t>waste oil-10 lits purched by ch sreekanth for centring sheets</t>
  </si>
  <si>
    <t>Rajampet Room Rent balance amount paid by k srinivasulu Reddy</t>
  </si>
  <si>
    <t>Banswada sand payment by K Srivasulu reddy</t>
  </si>
  <si>
    <t>2.5 inchess nails purchased by  chennubiona srikanth</t>
  </si>
  <si>
    <t>centring,steel Unloading charges by padala bhanu parasad at Bhiknoor</t>
  </si>
  <si>
    <t>Bansuwada local Tractor Driver Day charge payment By  K Srinivasulu Reddy</t>
  </si>
  <si>
    <t>Ajax Driver food Expences payment by K Srinivasulu Reddy</t>
  </si>
  <si>
    <t>Rmc Trip &amp; labour shifting and diver food expenses payment by  G Suresh</t>
  </si>
  <si>
    <t>march and april room Rent payment by g gowri naidu at lingampet</t>
  </si>
  <si>
    <t>venkat Rao Augur vehicle Diesel Payment By p pavan kumar</t>
  </si>
  <si>
    <t>15 cement Bags and auto Charges by Baddi Somesh for Atmakur Model House</t>
  </si>
  <si>
    <t>50 cement  bags Purchased By sure krishna reddy</t>
  </si>
  <si>
    <t>TS27T6494  TractorDeisel Payment By kishore at PalaKurthy</t>
  </si>
  <si>
    <t>one sponge,two Big Sweepers Purchased By Baddi Somesh</t>
  </si>
  <si>
    <t>Sand payment By  Baddi Somesh For Atmakur model house</t>
  </si>
  <si>
    <t>TS28B9289 Tractor Deisel Payment By  U Manikanta at Yellandu</t>
  </si>
  <si>
    <t>Narasampeta Model House painting Labour payment by G Nagaraju</t>
  </si>
  <si>
    <t>Duggondi Model House paintings purchased by AVS Reddy</t>
  </si>
  <si>
    <t>Auto Charges by Sure Krishna Reddy For purchased metirals  Arriving Nirmithkendra</t>
  </si>
  <si>
    <t>House Rent in Kamareddy Payment By Sudhakar Reddy</t>
  </si>
  <si>
    <t>TS17T6540 Tractor Deisel Payment By P Pavankumar for Nagireddipet</t>
  </si>
  <si>
    <t>Labour shiffing yellandu to Kamareddy and Tiffen Expenses payment by gorella Suresh</t>
  </si>
  <si>
    <t>Vendor Ramakrishna  Tractor Deisel Payment By CH Sreekanth</t>
  </si>
  <si>
    <t>30kg Binding Wire,Nails purchased By P Pavan kumar</t>
  </si>
  <si>
    <t>Sand Meterial purchased by s prasad at valigonda</t>
  </si>
  <si>
    <t>Binding Wire and Nails purchased by Ch Sreekanth at Domakonda</t>
  </si>
  <si>
    <t>Binding Wire and Nails purchased by AVS Reddy for kamareddy BLwork at Domakonda</t>
  </si>
  <si>
    <t>AP39DC3351 Tractor Deisel Payment by  U Manikanta  at Kamepalli</t>
  </si>
  <si>
    <t>Steel Shifting  and Expenses payment By korupolu Siva at Bikhnoor</t>
  </si>
  <si>
    <t>Cutting blades puyrchased by pitta Neelaiah</t>
  </si>
  <si>
    <t>AP40JW7532 Tractor Deisel payment By Sure krishna Reddy</t>
  </si>
  <si>
    <t>TG037489  Tractor Deisel Payment By surte krishna reddy</t>
  </si>
  <si>
    <t>wood Cutting blades for  BL purpose purchased by Manikanta at kamepally</t>
  </si>
  <si>
    <t>3 inches nails purched by D Vishnu vardhan reddy</t>
  </si>
  <si>
    <t>Sand payment by K Govindhu at Keythampalli</t>
  </si>
  <si>
    <t>Painting Meterials payment by G Nagaraju  for Wardhanopet Model house painting Purpose</t>
  </si>
  <si>
    <t>waste oil  purchased by padala Bhanu prasad</t>
  </si>
  <si>
    <t>Indiramma Indllu Tractors fexi printing payment by AVS Reddy</t>
  </si>
  <si>
    <t xml:space="preserve">Wardhapet  painting  labours food Expenses by G nagaraju </t>
  </si>
  <si>
    <t xml:space="preserve">5 cement Bags  and Auto charges Payment By Baddi somesh for atmakur Model House </t>
  </si>
  <si>
    <t>wardhanpet model house painting labours payment by g nagaraju</t>
  </si>
  <si>
    <t>TS17T6540 Tractor Deisel payment By G Gowri naidu at Nagireddipet</t>
  </si>
  <si>
    <t>centring shifting birkur to warngal and labour loading charges payment by korupolu Siva</t>
  </si>
  <si>
    <t>RMC trip charges and pump charges payment by Bablu</t>
  </si>
  <si>
    <t>RMC Trip charges &amp; Driver Betas,Meterial Purchases By Y Srihari at Narasapur</t>
  </si>
  <si>
    <t>RMC Trip charges &amp; 2-Cement Bgas purchased By G Nagaraju at parvathagiri date on:02-04-2026</t>
  </si>
  <si>
    <t>5 Cement Bags purchased By G kishore at Palakurthy mdl</t>
  </si>
  <si>
    <t>News paper 18kg Purched by G Suresh at hanumakonda</t>
  </si>
  <si>
    <t>20mm Agreegate Purchased By K srinivasulu Reddy at Banswada Date on:28-04-2026</t>
  </si>
  <si>
    <t>2&amp;4 inches Nails -3kg purchased by R Sriramamurthy</t>
  </si>
  <si>
    <t>Painting metirials purchased By R sriramamurthy for narasmpet model house</t>
  </si>
  <si>
    <t>Auto Charges paid by Sri Rama Murthy For paints Shifted  Hanumakonda to wardhanpet date on:02-05-2026</t>
  </si>
  <si>
    <t>paints purchased byAVS Reddy  for Duggondi Model House Date on:04-05-2026</t>
  </si>
  <si>
    <t xml:space="preserve"> Meterial unloding charges for labour &amp; Room lock purchased by Budda Suresh </t>
  </si>
  <si>
    <t>RMC Trip charges payment By pitta Neelaiah</t>
  </si>
  <si>
    <t>40MM Agreegate Payment By Budda Suresh</t>
  </si>
  <si>
    <t>Cutting Blades Purchased By Pitta Neelaiah</t>
  </si>
  <si>
    <t>Binding Wire-50kg  Purchased By P Padala Bhanu Prasad</t>
  </si>
  <si>
    <t>Cement Bags-50 purchased by Sure Krishna Reddy at Hanumakonda for Nirmithkendr</t>
  </si>
  <si>
    <t>Indiramma indllu Flexi Printing(shanthi Ads) Blance  charges By G suresh at Hanumakonda</t>
  </si>
  <si>
    <t>2.5,3 inches Nials purchased By Modi naidu at Elekurthy</t>
  </si>
  <si>
    <t>RL AND RC Meterial and Cement bags Purchased By  G Kishore at Palakurthy</t>
  </si>
  <si>
    <t>40mm agreegate payment by K Govindu at  keythampalli (vi) Dharmasagar(Mdl)</t>
  </si>
  <si>
    <t>40mm agreegate payment by Budda Suresh at sheelasagar,mulugu</t>
  </si>
  <si>
    <t>RMC trip Charges,meterial shifting,labour shifing,labour medical bill Expences By P Pavan kumar</t>
  </si>
  <si>
    <t>RL Work Meterials purchased by S prasad at avligonda</t>
  </si>
  <si>
    <t>AP39JJ1001 Deisel payment By AVS Reddy at Hanumakonda</t>
  </si>
  <si>
    <t>RMC Trip Charges,wasteoil,sponge payment By G Gowri Naidu at Nagireddipet</t>
  </si>
  <si>
    <t>stationery Purchased By N Malyadri reddy at Hanumakonda</t>
  </si>
  <si>
    <t>10mm Chips,M sand  payment by Budda Suresh for Sheelasagar</t>
  </si>
  <si>
    <t>RMC Trip Charges  payment By Ch Sreekanth at Domakonda</t>
  </si>
  <si>
    <t>12 mm Agreegate payment By S Prasad at valigonda</t>
  </si>
  <si>
    <t>RMC Trip chages Payment By Pitta neelaiah</t>
  </si>
  <si>
    <t>40mm agreegate payment by K Govindu For Keytham palli</t>
  </si>
  <si>
    <t>AP40JW7532 Tractor Deisel Payment By Budda Suresh at sheela sagar</t>
  </si>
  <si>
    <t>Cutting Mechine Repair Charges Payment By ch Sreekanth</t>
  </si>
  <si>
    <t>Paininting Brushes Purchased Bby G venkat rao at Duggonda</t>
  </si>
  <si>
    <t>office rigestes and acount books purchased by N Malyadri reddy at Hanumakonda</t>
  </si>
  <si>
    <t>Duggoni model House painter advance payment &amp; food Expences</t>
  </si>
  <si>
    <t>4 inche nails-50kg Purchased by G Suresh for RC Centring</t>
  </si>
  <si>
    <t>Nekkonda Model house 2- door Freams ,1- ventilitor purchased by G Suresah</t>
  </si>
  <si>
    <t>Nekkonda Model house Sand Payment by G Venkat Rao</t>
  </si>
  <si>
    <t>220lits-2, 250lits Durms  purchesed By g gowi Naidu at Ramareddy</t>
  </si>
  <si>
    <t>Doggoni painter payment By G Venkat Rao</t>
  </si>
  <si>
    <t>RMC Trip Charges By Ch Sreekanth at domakonda</t>
  </si>
  <si>
    <t>Sangam model House Painting Meterials Purchased by Venkat rao</t>
  </si>
  <si>
    <t>AP23AJ4615 Tractor Deisel Payment By terra srihari at narasapur mdl</t>
  </si>
  <si>
    <t>AP40KF2843 Tractor Diesel Payment By padala Bhanu prasad at Bhiknoor</t>
  </si>
  <si>
    <t>AP40KW7346 tractor Deisel Payment by Ch Sreekanth at domakonda</t>
  </si>
  <si>
    <t>AP39WQ0186 Wood karra Lorry freight payment by R Sriramamurthy at Nirmithkendr,Hanumakonda</t>
  </si>
  <si>
    <t>AP39WQ0186 Wood Unloading mamullu  by R Sriramamurthy at Nirmithkendr,Hanumakonda</t>
  </si>
  <si>
    <t>nirmithkendr to duggondi,nirmithkendr to sangam paints auto charges,concreat tape -4 purched by sri ram murthy</t>
  </si>
  <si>
    <t>3500 chemical Bags Unloding labour Charges payment by Budda Suresh</t>
  </si>
  <si>
    <t>RMC Trip charges payment By Ch Sreekanth at  Domakonda</t>
  </si>
  <si>
    <t>40mm agreegate payment by budda sureh at vasalamarry</t>
  </si>
  <si>
    <t>AP39WQ0186 Wood Karra unloding charges for labours payment by sure Krieshna Reddy date on:07-05-2026</t>
  </si>
  <si>
    <t>nails-15kg,Binding Wire-25kg,purchased by G  Gowri Naidu at Ramareddi</t>
  </si>
  <si>
    <t>BL work Metirial purchased by  Y Srihari at kulcharam</t>
  </si>
  <si>
    <t>sangam model house labour advanced Payment by R srirama murthy</t>
  </si>
  <si>
    <t>paints purched by R sriramamurthy for Atmaklur Model house</t>
  </si>
  <si>
    <t>RMC  Trip Charges ,Labour Food Expenses payment by Yarra Sri Hari</t>
  </si>
  <si>
    <t>2.5 inches -5kg nails purched by Ch Sreekanth at domakonda</t>
  </si>
  <si>
    <t xml:space="preserve">paints meterial shiffed Sangam to Atmakur Auto Charges payment by K bablu  </t>
  </si>
  <si>
    <t>40mm  agreegate  payment by Budda Suresh</t>
  </si>
  <si>
    <t>plastring meterial purchased by Sure Krishna Reddy for ward no.33</t>
  </si>
  <si>
    <t>RMC Trip Charges By K Srinivasulu Reddy at rajampet</t>
  </si>
  <si>
    <t>AP40KF2837 Daily Tractor  Driver Payment By  K Srinivasulu Reddy at Rajampet</t>
  </si>
  <si>
    <t>Sengem model House Expenses By R Srirama murthy</t>
  </si>
  <si>
    <t>BL Work Metirials  payment By Sure Krishna reddy For Nirmithkendr,Hanumakonda</t>
  </si>
  <si>
    <t xml:space="preserve">RMC Trip Charges By padala bhanu prasad at bhiknoor &amp; Anthampalli Date:06-05-206 To 08-05-2026 </t>
  </si>
  <si>
    <t>Cement bricks Purchased By AVS Reddy for nekkonda model house</t>
  </si>
  <si>
    <t>TG037489 Tractor Deisel Paymeny by sure Krishna reddy at Hanumakonda</t>
  </si>
  <si>
    <t xml:space="preserve">waste oil-20lits,auto charges  payment by sure krishna reddy </t>
  </si>
  <si>
    <t>RMC Trip charges By Ch sreekanth at someswar,Domakonda mdl</t>
  </si>
  <si>
    <t>Cement Bags-2,Binding Wire,Nails purchased by Ch Sreekanth at Domakonda</t>
  </si>
  <si>
    <t>Nails-7.5kg purchased by G Gowri Naidu at Ramareddipet</t>
  </si>
  <si>
    <t>Binding Wire-25kg,nails,power backs purchased by Sure krishna reddy</t>
  </si>
  <si>
    <t>vinjamur to hanumakonda Shettaring sheets Van Fright By R sriramamurthy</t>
  </si>
  <si>
    <t>Hanumakonda Shettring Charges Unloading Charges By Sure krishna Reddy</t>
  </si>
  <si>
    <t>RMC Trip Charges ,Ramareddy mdl Room Rent Advanced amount paid by G Gowri Naidu</t>
  </si>
  <si>
    <t>40mm Mixing Agreegate puirchased by K Govindu for keythampalli</t>
  </si>
  <si>
    <t>RMC Trrip charges and Pump Charges payment by Ch Sreekanth at ingupalli,Domakonda</t>
  </si>
  <si>
    <t>Poly tarapaulin purchased by Y srihari at Narasapur for centring Sheets Protection Purpose</t>
  </si>
  <si>
    <t>TS23B5215 Tractor Deisel Payment By korupolu Siva At ramareddi mdl</t>
  </si>
  <si>
    <t>AP5315AC AUGUR Vehical (AVS Reddy) Deisel Payment by Sure Krishna Reddy at Hanumakonda</t>
  </si>
  <si>
    <t>Cement Bgas -100 purchased By Sure Krishna Reddy at Hanumakonda for Nirmithkendr</t>
  </si>
  <si>
    <t>40 mm Agreegate Payment By Budda Prasad at vasalamarri</t>
  </si>
  <si>
    <t>Cutting Mechine Repair Charges payment by Ch sreekanth At Domakonda</t>
  </si>
  <si>
    <t>waste oil-20lits Purchased By karanam modinaidu at parakala</t>
  </si>
  <si>
    <t xml:space="preserve">AP39DC3351 Tractor Deisel payment By U Manikanta </t>
  </si>
  <si>
    <t>AP40KW7346 Tractor Deisel Payment by N Nandha kishore</t>
  </si>
  <si>
    <t xml:space="preserve">RMCTrip&amp; pump Charges By Bablu  at Palakurthy </t>
  </si>
  <si>
    <t>12 mm Agreegate chip Purchased By S Prasad at valigonda Date on:06-05-2026</t>
  </si>
  <si>
    <t>40mm Agreegate Purchased by Ganesh for vasalamarri  Through Budda Suresh</t>
  </si>
  <si>
    <t>APJW7532 Tractor Deisel Payment  by Ganesh at Vasalamarri Through Budda Suresh</t>
  </si>
  <si>
    <t>rmc trip charges by ch Sreekanth in linuampally at Domakonda</t>
  </si>
  <si>
    <t>10mm Agreegate purched  by Ganesh,payment Through Budda suresh</t>
  </si>
  <si>
    <t>Rmc Trip &amp; pump Charges By Ch Sreekanth At Domakonda</t>
  </si>
  <si>
    <t>TS27T6494 Tractor Deisel Payment By G kishore For palakurthy mdl</t>
  </si>
  <si>
    <t>Nails-2.5kg,Binding Wire -25kg tape-03 purchased by Ch Sreekanth</t>
  </si>
  <si>
    <t>Lingampet Room Advance Payment By G gowri Naidu for Labour</t>
  </si>
  <si>
    <t>Cuting Blades purchased By U Manikanta at kamepalli</t>
  </si>
  <si>
    <t>rmc trip charges by ch Sreekanth in Sitarampally at Domakonda</t>
  </si>
  <si>
    <t>12 mm Agreegate chip Purchased By S Prasad at valigonda</t>
  </si>
  <si>
    <t>TG037489  Tractor Deisel Payment By Sure Krishna Reddy at Hanumakonda</t>
  </si>
  <si>
    <t>10 mm Agreegate  &amp; M sand purchased by Ganesh,payment througu Budda Suresh at Vasalamarri</t>
  </si>
  <si>
    <t>8 mm Steel Bundel Purchased By Sure krishna Reddy at Hanumakonda</t>
  </si>
  <si>
    <t>Binding wire Purchaed By G Nagaraju at Parvathagiri</t>
  </si>
  <si>
    <t>RL Team Work metirial purchased by G Gowri  naidu at lingumpet purchased by G Gowri Naidu</t>
  </si>
  <si>
    <t>Cement Bag purchased by simhachalam at oorukonda</t>
  </si>
  <si>
    <t>TS17T66540 Tractor Deisel payment by G Gowri Naidu at Lingumpet</t>
  </si>
  <si>
    <t>RMC Trip Charges  By  K modi naidu at nadikuda</t>
  </si>
  <si>
    <t>Tools purchesd By AVS Reddy at nirmithkenram,Hanumakonda</t>
  </si>
  <si>
    <t>Cement Bgas -10 Purchased By S Prasd  at valigonda</t>
  </si>
  <si>
    <t>Cutting Mechine and tools Purched by G Gowrinaidu in Lingumpet</t>
  </si>
  <si>
    <t>rl meterial purchased by suram prasad reddy at valigonda Date:13-05-2026</t>
  </si>
  <si>
    <t>U bends,Tape,Gum Bottels Purchased By Sure Krishna Reddy For Nirmithkendr  Hanumakonda</t>
  </si>
  <si>
    <t>Waste oil-10lits Purchased By Sure Krishna Reddy  for Nirmithkendr,Hanumakonda</t>
  </si>
  <si>
    <t>400mm agreegate purched by Ganesh,Payment By Budda Suresh</t>
  </si>
  <si>
    <t>Waste oil-20lits Purchased By K Bablu at Gesukonda</t>
  </si>
  <si>
    <t>RMC Trip Charges,Waste Oil Purchased by G nagaraju At Parvathagiri Dateon:10,12,13-05-2026</t>
  </si>
  <si>
    <t>Electricity Bill Payment BY N Malyadri reddy at Hanumakonda</t>
  </si>
  <si>
    <t>Rl Team Work meterial purchased by Gangapatla kishore at palakurthy</t>
  </si>
  <si>
    <t>AP40JW7532 TractorDeisel Payment by  ganesh for  Nagulapalli Thanda</t>
  </si>
  <si>
    <t>AP5315AC Augur Vehicle Deisel Payment by Hanumanth at Nadikuda</t>
  </si>
  <si>
    <t>10mm Agreegate and M sand Purchased by  Ganesh payment  Budda Suresh</t>
  </si>
  <si>
    <t>13 Cement Bags purchased by S Prasad at valigonda</t>
  </si>
  <si>
    <t>Welding roads Sets Payment By AVS Reddy</t>
  </si>
  <si>
    <t>Electrical Tools Purchased By Sure Krishna Reddy at Hanumakonda</t>
  </si>
  <si>
    <t>Yellow rope Purchased By Y Krishna reddy at kulaharam</t>
  </si>
  <si>
    <t>labour Room Rent payment By konireddy Srinivasulu Reddy at Rajampet</t>
  </si>
  <si>
    <t>Venkat rao auguring Deisel Payment by  P Pavankumar at Bhiknoor</t>
  </si>
  <si>
    <t>RMC Trip charges &amp; Pump Charges payment By simhasalam at Oorukonda Dtae on:13-05-2026</t>
  </si>
  <si>
    <t>Iron Unloading Charges,RMC Trip Charges payment By AVS Reddy At Domakonda</t>
  </si>
  <si>
    <t>200kg News Paper Purchased  Sure Krishna Reddy for Nirmithkendra,lentals Purpose</t>
  </si>
  <si>
    <t>TS30B7694 Tractor Deisel Payment By S prasad At Valigonda</t>
  </si>
  <si>
    <t>Sand labour Payment By G Gowri Naidu At Lingumpet</t>
  </si>
  <si>
    <t>steel purchsed by sure krishna reddy at hanumakonda for nirmith kendra</t>
  </si>
  <si>
    <t>Butter Milk for labour,Purchased By  K Modi naidu</t>
  </si>
  <si>
    <t>12 mm Agreegate Purchased By RL works Date on:15-05-2026</t>
  </si>
  <si>
    <t>200 Bags Cement Purchased by Suram Prasad reddy at Valigonda</t>
  </si>
  <si>
    <t>Bricks Labour Unloading charges&amp;labour Food Expenses payment By S Prasad</t>
  </si>
  <si>
    <t>AP40KW7346 Tractor Deisel Payment By N Nandha kieshore at Domakonda</t>
  </si>
  <si>
    <t>Nails-10kg &amp; Glouses Purchased By  Y Srihari at Kulcharam</t>
  </si>
  <si>
    <t>Rmc Trip Charges  by Ch Sreekanth At Kyasmpalli Thanda,Kamareddy rular</t>
  </si>
  <si>
    <t>TS27T6494 Tractor Deisel Payment By  G Kishore</t>
  </si>
  <si>
    <t>40mm Agreegate Mixing Payment By k govind At Kyathampalli</t>
  </si>
  <si>
    <t>2 Rmc  Trip Charges By Ch Sreekanth At kyasampalli,kamareddy rular</t>
  </si>
  <si>
    <t>40 mm Agreegate Mixing Payment By K Govindu at Keythampalli</t>
  </si>
  <si>
    <t>Waste oil Purchased By Sure Krishna Reddy at Hanumakonda</t>
  </si>
  <si>
    <t>BL Work Meterial Purchased By korupolu Siva at Ramareddy</t>
  </si>
  <si>
    <t>Power Backs,Switch Boards Payment ch Sreekanth at Domakonda</t>
  </si>
  <si>
    <t>Site Expences BY Nagaraju at parvathagiri</t>
  </si>
  <si>
    <t>100 cement bags purchasd by sure krishna reddy at hanumakonda for nirmith kendram</t>
  </si>
  <si>
    <t>AP39JJ1001 CAR Service Charges by S Prasad</t>
  </si>
  <si>
    <t>butter milk and food Expenses for labour  payment By karanam Modi Naidu at nadikuda</t>
  </si>
  <si>
    <t>RMC Trip and Pump Charges and 3 Cement Bags payment By modi naidu at nadikuda</t>
  </si>
  <si>
    <t>Cutting Blades and &amp; binding Wire Purchased By Ch Sreekanth purchased By Ch Sreekanth At Domakonda</t>
  </si>
  <si>
    <t>Cement Bages-5 purchased By K Govindh at Keythampalli</t>
  </si>
  <si>
    <t>Binding Wire-50kg purchased By ponnubiana Pavan Kumar</t>
  </si>
  <si>
    <t>RMC Trip and Pump Charges payment by Nandakishore</t>
  </si>
  <si>
    <t>site expences Payment By korupolu Siva at Ramareddy mdl</t>
  </si>
  <si>
    <t>12mm agreegate Purchased by suram prasad reddy at valigonda</t>
  </si>
  <si>
    <t>Electrician Charges by korupolusiva at Ramareddy  date on:16-05-2026</t>
  </si>
  <si>
    <t>RMC Trip Charges by Simhachalam At oorukonda Date on:16-05-2026</t>
  </si>
  <si>
    <t>Waste oil-6lits,purchased by simhachalam at oorukonda Date on:15-05-2026</t>
  </si>
  <si>
    <t>curd for labours payment by simhachalam at oorukonda15-05-2026</t>
  </si>
  <si>
    <t>Site Expenses By sure krishna reddy at nirmithkendra,Hanumakonda date:02-05-2026 to 05-05-2026</t>
  </si>
  <si>
    <t>RL Works Electrical meterials purchased BY Suram prasad at valigonda date:16-05-2026</t>
  </si>
  <si>
    <t>TS17T6540 Tractor Deisel Payment By Ggowri Naidu at Lingumpet</t>
  </si>
  <si>
    <t>AP40KW7346 Tractor Deisel Payment By N Nandakishore at Domakonda</t>
  </si>
  <si>
    <t>RL Works Electrical meterials purchsed by Shameer(Sure KrishnaReddy) at Bheemdevarapalli</t>
  </si>
  <si>
    <t>Sand Purchased for 13pbs payment by G Gowri Naidu At Lingumpet mdl Date Between 12-05-2026 to 16-05-2026,five loads</t>
  </si>
  <si>
    <t>Cement Bricks Purchased for Nekkonda Model House Payment By AVS Reddy Date:10-05-2026 to11-05-2026</t>
  </si>
  <si>
    <t>AP39DC3351 Tractor Deisekl Payment By U Manikanta For Metirial Shifting and Labour Shifting</t>
  </si>
  <si>
    <t>For N prasad Dcm Vehical Advance Payment by S Prasad</t>
  </si>
  <si>
    <t>Xerox Cpopies By Suryateja From Siddipet</t>
  </si>
  <si>
    <t>TS27T6494 Tractor Diesel Payment BY  K Venkatesh By k venkateswar Rao at Theegaram</t>
  </si>
  <si>
    <t>TS39T0898 Tractor Deisel Payment By Suram Prasad Reddy at Valigonda</t>
  </si>
  <si>
    <t>1ft PB RL work purpose Meterials Purchased By k Srinivasulu Reddy at Banswada</t>
  </si>
  <si>
    <t>Brick Unloading Charges by k narendra at Birkoor</t>
  </si>
  <si>
    <t>2.5 inches Nails,tapes Purchased By N Nandakishore</t>
  </si>
  <si>
    <t>4615 Tractor Deisel Payment By  G venkat Rao at Rangampet</t>
  </si>
  <si>
    <t>Brick Unloading labours Snackes Payment By Baddi somesh</t>
  </si>
  <si>
    <t>Brick Unloading Labour Payment By Baddi Somesh AT ward no:2 Warangal Urban</t>
  </si>
  <si>
    <t>Dust Purchased BY K Govindu at Picharaa</t>
  </si>
  <si>
    <t>RL Work Blades -9 BY K Venkateswarao At Tharigoppula</t>
  </si>
  <si>
    <t>Cement Bags-30, gamelas-08,Hamali charges payment BY k srinivasulu Reddy at Banswada</t>
  </si>
  <si>
    <t>100kg Binding Wire purchased by G Suresh at Hanumakonda</t>
  </si>
  <si>
    <t>Electrical purchased by Kurumpu Venkateswar rao at palkurthy,theegaram vi</t>
  </si>
  <si>
    <t>Nails Purchased by kurumpu Vekateswarlurao at Teegaram</t>
  </si>
  <si>
    <t>Chemical Bags Shiffting Nirmithkendram to tarigoppula,advanced fuel payment by G Suresh from Hanumakonda</t>
  </si>
  <si>
    <t>Waste oil Purchased by Baddi Somesh Date:19-05-2026</t>
  </si>
  <si>
    <t>AP40KW7346 Tractor Deisel Payment By nanda kishore at Domakonda</t>
  </si>
  <si>
    <t>AP531AC Augur Vehicle Deisel payment by sai for Enugallu,parvathagiri</t>
  </si>
  <si>
    <t>Bricks Unloading labour Charges by Kottana Narenrda at birkoor</t>
  </si>
  <si>
    <t>Labour room advenced payment by Budda Suresh at CheelaSagar Date:20-05-2026</t>
  </si>
  <si>
    <t>Labour room advenced payment by Budda Suresh at Pichara Date:18-05-2026</t>
  </si>
  <si>
    <t>TS17T6540 Tractor  Deisel Payment By G Gowrinaidu at Lingumpet</t>
  </si>
  <si>
    <t>TS39T0898 TRACTOR Deisel payment by suram prasad at valigonda</t>
  </si>
  <si>
    <t>kanakaiah mess- Non veg curries</t>
  </si>
  <si>
    <t>TG037489 Tractor Deisel Payment By sure krishna reddy</t>
  </si>
  <si>
    <t>RMC Trip charges by nanda kishore at peddamallareddy</t>
  </si>
  <si>
    <t>AP40JW7532  Tractor Deisel Payment by Budda Suresh at Cheelasagar</t>
  </si>
  <si>
    <t>Cement bags purchased by Budda Suresh at Cheela Sagar</t>
  </si>
  <si>
    <t>3 Buckets Purchased by Budda Suresh for CheelaSagar</t>
  </si>
  <si>
    <t>RMC Trip Charges Payment By simhachalam At oorugonda</t>
  </si>
  <si>
    <t>Electricals purchased by konireddy Srinivasulu Reddy at Birkoor</t>
  </si>
  <si>
    <t>JCB Deisel payment by Sai at Hanumakonda for Nirmithkendra</t>
  </si>
  <si>
    <t>30-Cement Bags Purchased by konireddy Srinivasulu Reddy at Banswada</t>
  </si>
  <si>
    <t>Brick 2nd Unloading labour Charges and Sand Loading Chares by K Narendra</t>
  </si>
  <si>
    <t>2-senams Purchased by K Narendra at Banswada for Birkoor 1ft BLWork</t>
  </si>
  <si>
    <t>WaterCAns-2 Purchased By k govindu  at peecharaa for Rl Labour Team</t>
  </si>
  <si>
    <t>AP40KW7346 Tractor Deisel Payment by Nandakishore at Domakonda</t>
  </si>
  <si>
    <t>Nails Purchased By y Srihari at Kulcharam</t>
  </si>
  <si>
    <t>RL Work Meterial purchased by Sammer through AVS Reddy at Beemdevapalli</t>
  </si>
  <si>
    <t>TS17T9640 Tractor Deisel Payment BY Nanda kishore At Domakonda date:21-05-2026</t>
  </si>
  <si>
    <t>Venkatrao Augur Vehicle Deisel Payment By Hanumanthu At Bhiknoor</t>
  </si>
  <si>
    <t>TS17T6540 Deisel Payment By K srinivasulu Reddy at lingumpet</t>
  </si>
  <si>
    <t>12 mm Chips Payment By  K Govind</t>
  </si>
  <si>
    <t>RL Work meterials Purchasedd by Konireddy Srinivasulu Reddy At Lingumpet</t>
  </si>
  <si>
    <t>TG271336 Deisel Patment By Sure Krishna Reddy At Hanumakonda</t>
  </si>
  <si>
    <t>AP5315AC Augur Vehical Deisel Payment By Sai in Nadikuda</t>
  </si>
  <si>
    <t>Steel Purchased by AVS Reddy through Budda Suresh</t>
  </si>
  <si>
    <t>Chemical Mixer machine  Purchased By Avs Reddy for RL Team</t>
  </si>
  <si>
    <t>Rice Bag Purchased By AVS Reddy For Hanumakonda Office</t>
  </si>
  <si>
    <t>12 mm Chips Payment By  K Govind at picharaa</t>
  </si>
  <si>
    <t>shifted Chemical Bags  transport charges balance payment by sriramamurthy</t>
  </si>
  <si>
    <t>6 inches Bricks Shifting keythampalli to Bheemdevarapalli by g sursh</t>
  </si>
  <si>
    <t>cook -rajitha -3 days work Payment by n malyadri</t>
  </si>
  <si>
    <t>all site rl work meterials payment by AVS Reddy at Hanumakonda</t>
  </si>
  <si>
    <t>rmc trip charges by g Nagaraju at pavathagiri</t>
  </si>
  <si>
    <t>Auto charges for labour shifting kalleda to Enugallu payment by G NAGARAJU Date:22-05-2026</t>
  </si>
  <si>
    <t xml:space="preserve">Binding wire-10kg Purchesed By  manikanta at yellandu </t>
  </si>
  <si>
    <t>AP23AJ4615 Tractor Deisel Payment by Shri hari at Kulcharam</t>
  </si>
  <si>
    <t>AP39DC3351 Tractor Deisel Payment By Manikanta at yellandu</t>
  </si>
  <si>
    <t>RL Work meterial purchased by konireddy Srinivasulu Reddy</t>
  </si>
  <si>
    <t>New Augur Vehical Tractor Deeisel Payment By Angireddy Durga Prasad</t>
  </si>
  <si>
    <t>Rmc trip and pump charges payment by p pavan kumar  at bhiknoor</t>
  </si>
  <si>
    <t>m sand,10mm agreegate payment by a durgaprasad at rayapol</t>
  </si>
  <si>
    <t>Rmc trip and pump charges and labour chiken payment by p pavan kumar  at bhiknoor</t>
  </si>
  <si>
    <t>Cement Bags-35  Purchased by K Narendra at Banswada</t>
  </si>
  <si>
    <t>Dust purchased by K Govind at Picharaa</t>
  </si>
  <si>
    <t>Bl work Meterial Purchased by N Nanda kishore at Domakonda</t>
  </si>
  <si>
    <t>Dust purchased by Angi reddy Durgaprasad at roypole</t>
  </si>
  <si>
    <t>Rmc trip charges by g Nagaraju at pavathagiri</t>
  </si>
  <si>
    <t>AP40KW7346 Tractor deisel payment by N Nanadakishore ay Domakonda</t>
  </si>
  <si>
    <t>M Sand purchased by Angireddy Durga Prasad at raypole</t>
  </si>
  <si>
    <t>10 mm purchsed by A Durga prasad at Raypole</t>
  </si>
  <si>
    <t>TS39T0898 Tractor Deisel Payment by Suram prasad Reddy</t>
  </si>
  <si>
    <t>50 Cement Bags purchased by Sure Krishna Reddy</t>
  </si>
  <si>
    <t>Chemical Bags Unloading labour Charges  by N Nanada kishore at Domakonda</t>
  </si>
  <si>
    <t>Chemical Bags Unloading Driver Charges  by N Nanada kishore at Domakonda</t>
  </si>
  <si>
    <t>12 mm agreegate payment by u manikanta at kamepalli</t>
  </si>
  <si>
    <t>AP39TS7316 vehicle Transport Charges for Agreegate payment By U manikanta</t>
  </si>
  <si>
    <t>AP39TS7316 vehicle Driver beta  By U manikanta</t>
  </si>
  <si>
    <t>Chemical bags lorry Driver Extra Charges by N Nandakishore At Domakonda</t>
  </si>
  <si>
    <t>RL Work  Meterials Purchased by K Srinivasulu Reddy at Lingampet</t>
  </si>
  <si>
    <t>Rmc Trip and pump Charges and cement bag purchased by karanam modi naidu</t>
  </si>
  <si>
    <t>Labour room Needs Purchased by y srihari at kowdapalli</t>
  </si>
  <si>
    <t>Chemical bags(350*6) Unloading and loading Payment k srinivasulu reddy at lingumpet</t>
  </si>
  <si>
    <t>lental shifting(hanumakonda to Cheelasagar)Transport advance payment by AVS Reddy</t>
  </si>
  <si>
    <t>100 cement bags purchased by u manikanta at yellandu</t>
  </si>
  <si>
    <t>Tractor Driver food Expenses Charges By K Srinivasulu Reddy at Birkoor,Between 14-05-2026 to 21-05-2026</t>
  </si>
  <si>
    <t>Rmc Trip and Pump Charges  by  N Nandakishore at Domakonda</t>
  </si>
  <si>
    <t>TS30B7694 Tractor Deisel Payment By P Vinay yadav at Valigonda</t>
  </si>
  <si>
    <t>Rmc Trip charges by G Nagaraju at Enugallu</t>
  </si>
  <si>
    <t>10mm Agreegate payment By Angireddy Durga Prasad at Raypole</t>
  </si>
  <si>
    <t>Made for RL Work iron stands payment by Eswar rao Though AVS Reddy</t>
  </si>
  <si>
    <t>M Sand purched by Angireddy Durga Prasad at Roypole</t>
  </si>
  <si>
    <t>Lintals Shiffting Hanumakonda to yellandu transport Charges Through AVS Reddy</t>
  </si>
  <si>
    <t>lintals Shiffting Hanumakonda to CheelaSagar transport Charges balance payment  Through AVS Reddy</t>
  </si>
  <si>
    <t>Rl Work team Meterials Payment By K Srinivasulu Reddy at Kamareddy</t>
  </si>
  <si>
    <t>TS17T6540  Tractor Deisel Payment By K Srinivasulu Reddy</t>
  </si>
  <si>
    <t>Rl Work Stands Purchased  By K Srinivasulu Reddy at Kamareddy</t>
  </si>
  <si>
    <t>Rl Work Stands Purchased  By K Srinivasulu Reddy at Kamareddy- (Threads)</t>
  </si>
  <si>
    <t>site Expenses Payment By Y Srihari at Kulcharam,Date:11-05-2026 to 24-05-2026</t>
  </si>
  <si>
    <t>Brick Unloading Charges Payment By U Manikanta at Yellandu</t>
  </si>
  <si>
    <t>6 pretty blades puirchased by Budda Suresh</t>
  </si>
  <si>
    <t>Dornakal Site visits transport charges and food Expenses,payment By U Manikanta</t>
  </si>
  <si>
    <t>site expences and rmc trip charges by baddisomesh Date:22-05-2026 to 23-05-2026</t>
  </si>
  <si>
    <t>Bathroom ventilations windows-6 purchased by budda suresh at CheelaSagar</t>
  </si>
  <si>
    <t>AP23AJ4615 Tractor Deisel Payment By Y Srihari at Kowdapally</t>
  </si>
  <si>
    <t>TG27T1336 Tracotr Deisel payment by Sure KrishnaReddy at Domakonda</t>
  </si>
  <si>
    <t>M Sand purchased by Angireddy prasad at rayapole</t>
  </si>
  <si>
    <t>RC Work metirials purchased by Sriramulu for Theegaram</t>
  </si>
  <si>
    <t>RMC and  Pump Charges  by bablu  at geesukonda date between 16-05-2026 to 24-05-2026</t>
  </si>
  <si>
    <t>New Tractor Deisel Payment By Angireddy Durga Prasad at Rayapole mdl</t>
  </si>
  <si>
    <t>RL Work Meterials Purchased by Sure Krishna Reddy at Nirmithkenram</t>
  </si>
  <si>
    <t>RL Work Meterials Purchased by Angireddy DurgaPrasad at Rayapole through Sriramamurthy</t>
  </si>
  <si>
    <t>10 mm Agreegate purchased by Angireddy Durgaprasad at rayapole</t>
  </si>
  <si>
    <t>12 mm agreegate purchased by p vinay at valigonda</t>
  </si>
  <si>
    <t>labour food Expenses for Atmakur model house by b somesh</t>
  </si>
  <si>
    <t>2-thapies purchased by Driver Mallikarjuna at mallikharjuna</t>
  </si>
  <si>
    <t>10mm Amount parched by angireddy durga prasad at rayapole</t>
  </si>
  <si>
    <t>2-cement bags purchased by driver mallikharjuna through g nagaraju at parvathagiri for rmc work</t>
  </si>
  <si>
    <t>m-sand,chips purchasded by K Govindu at picharaa</t>
  </si>
  <si>
    <t>Nails purchased by korupolu siva at ramareddy</t>
  </si>
  <si>
    <t>Rmc Trip Charges by Ch sreekanth  at rajampet</t>
  </si>
  <si>
    <t>50-Cement bags purchased by Sure KrishnaReddy at Hanumakonda for Bheemdevarapalli,Date:26-05-2026</t>
  </si>
  <si>
    <t>Sand Payment By AVS Reddy at nirmithkendra,Hanumakonda</t>
  </si>
  <si>
    <t>TS30B7694 Tractor Deisel Payment By P Vinay Yadavat Valigonda</t>
  </si>
  <si>
    <t>M Sand purchased by K Srinivasula reddy at Lingumpet</t>
  </si>
  <si>
    <t>Binding Wire-3kg,news paper-100/- Purchased by Konireddy Srinivasulu Reddy</t>
  </si>
  <si>
    <t>Rmc trip and pump charges payment by G Nagaraju at parvathagiri and waste oil-20lits purchased Date:26-05-2026</t>
  </si>
  <si>
    <t xml:space="preserve">TS17T6540 Tractor Deisel Payment by k srivasulu reddy at Lingumpet </t>
  </si>
  <si>
    <t>RL Metierals purchased by konireddy Srivasulu reddy payment lingumpet</t>
  </si>
  <si>
    <t>bl work meterial payment by y srihari at kowdapalli</t>
  </si>
  <si>
    <t>AP40JW7532 Tractor Deisel Payment By konireddy Srinivasulu Reddy</t>
  </si>
  <si>
    <t>New Tractor deisel payment by angireddy Durgaprasad at rayapole</t>
  </si>
  <si>
    <t>bl work meterial payment by ch sreekanth for rajampet</t>
  </si>
  <si>
    <t>cutting blades purchesed by y srihari at kowdapalli</t>
  </si>
  <si>
    <t>M Sand purchased by p vinay yadav at valigonda</t>
  </si>
  <si>
    <t>AP39DC3351 Tractor Deisel payment by u manikanta at kamepalli</t>
  </si>
  <si>
    <t>10mm agreegate chips purchesed by konireddy srinivasulu reddy for linugampet</t>
  </si>
  <si>
    <t>AP40JW7532 Tractor Deisel Payment By konireddy Srinivasulu Reddy at lingumpet</t>
  </si>
  <si>
    <t>Bl work meterial payment by sure krishnareddy for nadikuda</t>
  </si>
  <si>
    <t>venkat rao auguring vehicle deisel payment by padala bhanu prasad  at machareddy</t>
  </si>
  <si>
    <t>site Expenses by korupolu Siva At ramareddy mdl date between 19-05-2026 to 24-0-2026</t>
  </si>
  <si>
    <t>cement bags-20 purchased by angireddy durgaprasd at rayapole</t>
  </si>
  <si>
    <t>TS30B7697 Tractor Deisel payment by p vinay yadav at valigonda</t>
  </si>
  <si>
    <t>Rl work Meterial purchased by konireddy srinivasulu reddy at lingumpet</t>
  </si>
  <si>
    <t>12 mm Chips purchased by k govind for picharaa rl work</t>
  </si>
  <si>
    <t>M sand purchased by p vinay yadav at valigonda</t>
  </si>
  <si>
    <t>Waste oil Purchased by Setti Suiresh</t>
  </si>
  <si>
    <t>Chemical bags-275 unloding charges payment by manikanta</t>
  </si>
  <si>
    <t>Robo sand  payment throgh AVS Reddy at Nirmith Kendra ,hanumakonda</t>
  </si>
  <si>
    <t>painter labour payment by AVS Reddy for Atmakur Model House</t>
  </si>
  <si>
    <t>10mm Agrigate payment by angireddy Durga Prasd at Rayapole</t>
  </si>
  <si>
    <t>AP5315AC Augur Vehical Deisel Payment By Driver Sai at Enugallu</t>
  </si>
  <si>
    <t>Tractor tier puncher Repair Charges at Yellandu</t>
  </si>
  <si>
    <t>Cutting Blades purchased by p pavan kumar at Bhiknoor</t>
  </si>
  <si>
    <t>Medak Brick loading Trip Charges Payment By dcm prasad Through Sudhakar Reddy at medak brick plant</t>
  </si>
  <si>
    <t>Site Expenses by U ManikantaAt yellandu</t>
  </si>
  <si>
    <t>Cement Bags-75 purchased by Sure KrishnaReddy(50 bags-Hanumakonda,25 bags-keythampalli) at hanumakonda</t>
  </si>
  <si>
    <t>steel purchased by budda suresh at mulugu</t>
  </si>
  <si>
    <t>cement bags-30 purchased by k narendra at Banswada</t>
  </si>
  <si>
    <t>RL work Meterial purchased by angireddy durgaprasad at rayapole</t>
  </si>
  <si>
    <t>TS28TA2611 Tractor Deisel payment by U Manikanta at Yellandu</t>
  </si>
  <si>
    <t>bl work meterials purchased by Sure Krishna reddy at hanumakonda</t>
  </si>
  <si>
    <t>cement bags-20 bags purchased by buuda suresh,hamali charges and Auto Charges paid</t>
  </si>
  <si>
    <t>3pc 2ft cement bricks cutting saws payment by G Gowri naidu at lingumpet</t>
  </si>
  <si>
    <t>powermatic mixing mechine and jaala kattalu purchased by angireddy Durgaprasad at raypole</t>
  </si>
  <si>
    <t>Centring sheets and runners loading labour charges payment by Ch sreekanth at domakonda  to hanumakonda nirmithkendr</t>
  </si>
  <si>
    <t>runners purchased by g venkat rao at kowdapalli</t>
  </si>
  <si>
    <t>12mm chips payment by p vinay at valigonda</t>
  </si>
  <si>
    <t>Cement bags-20 bags purchased by angireddy Durgaprasad at rayapole</t>
  </si>
  <si>
    <t>Bank Account forms Zerox copies payment by Technical Team nagaiah</t>
  </si>
  <si>
    <t>Venkatrao augur vehical Deisel payment payment by padala bhanu prasad</t>
  </si>
  <si>
    <t>TS17T6540 Tractor Deisel Payment by G gowri naidu at lingumpet</t>
  </si>
  <si>
    <t>Cutting mechine,Cutting Blades purchased by U manikanta at kamepalli</t>
  </si>
  <si>
    <t>12mm agreegate chips payments by  K Govindu at peechara</t>
  </si>
  <si>
    <t>TS27T6494 tractor Deisel payment by Madhushudhan Driver through G Kishore at theegaram</t>
  </si>
  <si>
    <t>Cement bags purchased by konireddy srinivasulu reddy at Banswada</t>
  </si>
  <si>
    <t>Binding wire-5kg,Thapi purchsed by G Gowri naidu at Lingumpet</t>
  </si>
  <si>
    <t>Extension box and wire purchsed by ghandi at kotthaguda</t>
  </si>
  <si>
    <t>Electrical metirial for labour room purchased by budda suresh at vasalamarri</t>
  </si>
  <si>
    <t>30 cement bags purchased by Budda Suresh at vasalamarry</t>
  </si>
  <si>
    <t>Electrical tools Purchased by Ghandi at kothaguda for labour</t>
  </si>
  <si>
    <t>8 inches Bricks purchased by konireddy srinivasulu reddy at Banswada</t>
  </si>
  <si>
    <t>Bl Work rings bending rod metirial and welding payment by ghandi at yellandu</t>
  </si>
  <si>
    <t>logistic charges payment by Sure krishnareddy at Hanumakonda</t>
  </si>
  <si>
    <t>Wate oil-10 lits purchased by Sure Krishna Reddy at Hanumakonda</t>
  </si>
  <si>
    <t>Electrical Wire,tepe,cutter payment by Budda Suresh at Vasalamarry</t>
  </si>
  <si>
    <t>Iron cutting mechine purchased by AVS Reddy at hanumakonda</t>
  </si>
  <si>
    <t>Bl work metirial purchased by korupolu siva at Ramareddy,date:29-05-2026</t>
  </si>
  <si>
    <t>50 cement bags purchased by sure krishna reddy at hanumakonda for nirmithkendram</t>
  </si>
  <si>
    <t>sand payment by AVS Reddy at Nirmithkenr,Hanumakonda</t>
  </si>
  <si>
    <t>Bl work meterial payment by G Venkat rao at kowdapalli</t>
  </si>
  <si>
    <t>12mm agreegate Payment By Driver Sameer  Through AVS reddy at Bheemdevarapalli</t>
  </si>
  <si>
    <t>Venkat augur Vehicle Deisel Payment by ch Sreekanth at rajampet</t>
  </si>
  <si>
    <t>Room rent 18-04-2026 to18-05-2026 payment by Konireddy Srinivasulu Reddy at rajampet</t>
  </si>
  <si>
    <t>TS17T6540 Tractor Deisel payment by G Gowri naidu at linumpet,Vehicle shifting to Domakonda Purpose</t>
  </si>
  <si>
    <t>12 mm,m sand purchased by G Gowri naidu at lingumpet for rl work</t>
  </si>
  <si>
    <t>TG037489 Tractor Deisel Payment by Driver Sameer Through AVS Reddy at Bheemdevarapalli</t>
  </si>
  <si>
    <t>AP5315AC Augur Vehicle Deisel Payment by Hanumanth at nadikuda</t>
  </si>
  <si>
    <t>New Tractor Deisel payment by angireddy Durga prasad at rayapole</t>
  </si>
  <si>
    <t>AP23AJ4615 Tractor Deisel Payment by G Venkat rao at Kowdapalli</t>
  </si>
  <si>
    <t>Binding Wire-25kg Purchased by D vishnu vardhan reddy at kowdapalli</t>
  </si>
  <si>
    <t>rmc trip charges payment by Nandakishore at rajampeta</t>
  </si>
  <si>
    <t>lentals,windows,poles Unloading labour Charges payment by G gowri naidu at lingumpet</t>
  </si>
  <si>
    <t>rmc trip charges,labour Charges Payment by D Vishnuvardhanreddy at Kowdapalli</t>
  </si>
  <si>
    <t>bl and rl meterials purchased by u manikanta at yellandu</t>
  </si>
  <si>
    <t>8 mm steel purchased by Budda Suresh  for vasalamarri,m thurakapalli for rl work</t>
  </si>
  <si>
    <t>m sand purchased by konireddy srinivasulu reddy at rajampet</t>
  </si>
  <si>
    <t>AP40KW7346  Tractor Deisel payment  By N Nandakishore at rajampeta</t>
  </si>
  <si>
    <t>Cement bags purchased by D Vishnuvardhan reddy at kowdapalli</t>
  </si>
  <si>
    <t>4-sabbal,Binding Wire purchased by Sure krishna reddy at Hanumakonda</t>
  </si>
  <si>
    <t>m sand purchased by konireddy srinivasulu reddy at rajampeta</t>
  </si>
  <si>
    <t>TS30TA5073 Tractor Deisel payment by Ganesh at Vasalamarri</t>
  </si>
  <si>
    <t>12 mm chip Purchased by G gowri naidu at lingumpet</t>
  </si>
  <si>
    <t>RMC trip charges and pump charges payment by D Vishnuvardhan reddy at kowdapalli</t>
  </si>
  <si>
    <t>Rl work meterials Purchased by g ganesh at vasalamarry</t>
  </si>
  <si>
    <t>m sand purchased by konireddy Srinivasulu reddy at rajampeta</t>
  </si>
  <si>
    <t>Saw purchased by Ganesh at Vasalamarri</t>
  </si>
  <si>
    <t>robosand purchased by  G Nagaraju at parvathagiri</t>
  </si>
  <si>
    <t>12 mm chip Purchased by G Nagaraju at parvathagiri</t>
  </si>
  <si>
    <t>Cutting wheels Purchased by korupolu Siva at ramareddy</t>
  </si>
  <si>
    <t>RMC trip charges by  p pavan kumar at bhiknoor</t>
  </si>
  <si>
    <t>rmc trip charges by Ch Sreekanth at rajampet</t>
  </si>
  <si>
    <t>40 cement bags purchased by konireddy Srinivasulu reddy at Rajampet</t>
  </si>
  <si>
    <t>bl work meterial purchased by setti suresh at nadikuda</t>
  </si>
  <si>
    <t>TS39T0898 Tractor Deisel payment by Suram Prasad Reddy at valigonda</t>
  </si>
  <si>
    <t>RC Work meterials purchased by Sriramulu at Theegaram</t>
  </si>
  <si>
    <t>30 bags Cement purchased by G Nagaraju at parvathagiri</t>
  </si>
  <si>
    <t>site expences payment by baddi somesh at Atmakur</t>
  </si>
  <si>
    <t>House rent in kamareddy  payment by Sudhakar reddy</t>
  </si>
  <si>
    <t>threads,nails purchased by g Ganesh at vasalamarri</t>
  </si>
  <si>
    <t>Site Expenses payment by korupolu siva at ramareddy Date:25th to 31st may 2026</t>
  </si>
  <si>
    <t>Site Expenses payment by u manikanta at kamepalli,date:28th to31st may 2026</t>
  </si>
  <si>
    <t>TS30B7694 Tractor Deisel payment by p vinay Through s prasad at valigonda,Date:30-05-2026</t>
  </si>
  <si>
    <t>2 buckets purchased by Suram Parasad reddy forRL Chemical mixing purpose,Date:28-05-2026</t>
  </si>
  <si>
    <t>Nails-10kg purchased by ch sreekanth at domakonda</t>
  </si>
  <si>
    <t>Bl Work meterials Purchased by G Venkat rao Kowdapalli</t>
  </si>
  <si>
    <t>AP40JW7532 Tractor Deisel Payment by konireddy Srinivasulu Reddy at domakonda</t>
  </si>
  <si>
    <t>Fast tag Recharge by N Prasad DCM Driver</t>
  </si>
  <si>
    <t>Robo sand Purchage By G Nagaraju at parvathagiri</t>
  </si>
  <si>
    <t>RL labour Materials Purchased by Sriramamurthy at enugallu</t>
  </si>
  <si>
    <t>Electrical things purchased by payment by k govindhu at parvathagiri</t>
  </si>
  <si>
    <t>100 cement bags purchased by sure krishna reddy at hanumakonda for nirmith kendram</t>
  </si>
  <si>
    <t>BL work meterial payment by G Venkat rao at kowdapalli</t>
  </si>
  <si>
    <t>BL work meterial payment by Ghandi at kothaguda</t>
  </si>
  <si>
    <t>Robo Sand purchaed by g nagaraju at parvathagiri</t>
  </si>
  <si>
    <t>TG27T1336 Tractor deisel payment by setty suresh at nadikuda</t>
  </si>
  <si>
    <t>8 mm Steel,cement bags purchased by Budda Suresh at Cheelasagar</t>
  </si>
  <si>
    <t>Binding Wire,30mm water pipe purchased by sure krishnareddy at nirmithkendra,hanumakonda</t>
  </si>
  <si>
    <t>Cement  purchased by Sriramamurthy for Nekkonda Model House at nekkonda</t>
  </si>
  <si>
    <t>Cement bags -10 purchased by G nagaraju at parvathagiri</t>
  </si>
  <si>
    <t>Nails-10kg purchased by korupolu Siva at Machareddy</t>
  </si>
  <si>
    <t>bucket,jug purchased by sriramamurthy  for nekkonda model house</t>
  </si>
  <si>
    <t>paara purchased by R Sriramamurthy for nekkonda model house</t>
  </si>
  <si>
    <t>AP39UQ7044 AVSReddy dcm vehicle deisel payment by AVS Reddy</t>
  </si>
  <si>
    <t>New tractor Deisel payment by Angireddy Durgaprasad at Rayapole</t>
  </si>
  <si>
    <t>Cement bags purchased by konireddy sriinivasulu reddy at domakonda</t>
  </si>
  <si>
    <t>cement bnags-7 purchased by setti suresh at nadikuda</t>
  </si>
  <si>
    <t>AP5315AC Augur vehicle Deisel Payment by Hanumanth at parvathagiri</t>
  </si>
  <si>
    <t>water level pipe purhsed by G nagaraju at parvathagiri</t>
  </si>
  <si>
    <t>Binding wire purchased by padala bhanu prasad at Bhiknoor</t>
  </si>
  <si>
    <t>Steel cement purchased by A Durgasprasad at rayapole</t>
  </si>
  <si>
    <t>iron cutting blades,window mess purchased by Sure krishna reddy purchased by Sure Krishna Reddy,Date:03-05-2026</t>
  </si>
  <si>
    <t>Dust purchased by Sameer at Bheemdevarapalli  through g suresh Date:03-06-2026</t>
  </si>
  <si>
    <t>TS17T6540 Tractor Deisel Payment by G Gowri Naidu at Lingumpet</t>
  </si>
  <si>
    <t>Venkat rao augur vehicle Deisel payment By N Nandakishore at Bhiknoor</t>
  </si>
  <si>
    <t>TS27T6494 Tractor Deisel Payment by Sure Krishna reddy for keythampalli rl work at hanumakonda</t>
  </si>
  <si>
    <t>rl meterial(sutti,Gundu) payment by g ganesh at Cheelasagar</t>
  </si>
  <si>
    <t>TG26A8030,TG26A5029 Tractores rent,labour shifing auto three tips  charges payment by Gandhi at kothaguda</t>
  </si>
  <si>
    <t>TS30TA5073 Tractor Deisel Payment by G ganesh at basalamarri</t>
  </si>
  <si>
    <t>New Room rent Advanced payment by p pavan kumar at mahaboob nagar</t>
  </si>
  <si>
    <t>1.5 day working local tractor Deisel payment by Setti Suresh at Nadikuda</t>
  </si>
  <si>
    <t>m sand purchased by budda suresh at cheelasagar</t>
  </si>
  <si>
    <t>site expences payment by r sriramamurthyfor all sites</t>
  </si>
  <si>
    <t>m sand purchased by angireddy Durga prasad at rayapole</t>
  </si>
  <si>
    <t>current pole wire damaged charges at nadikuda by setti suresh</t>
  </si>
  <si>
    <t>Labour room accommidation purpose electrical needs purchased by g suresh at hanumakonda</t>
  </si>
  <si>
    <t>Chintagattu plastring work meterials payment by Sure Krishna Reddy at hanumakonda</t>
  </si>
  <si>
    <t>Binding Wire-25kg  purchased by Sure Krishna Reddy at hanumakonda</t>
  </si>
  <si>
    <t>TG27T1336 Tractor Deisel Payment by Setti Suresh at nadikuda</t>
  </si>
  <si>
    <t>AP40JW7532 Tractor deisel payment by konireddy Srinivasulu reddy at Domakonda</t>
  </si>
  <si>
    <t>rl work meterial purchased by konireddy srinivasulu reddy at domakonda</t>
  </si>
  <si>
    <t>Cement bags-20,rl work meterails purchased by konireddy Srinivasulu reddy at Domakonda</t>
  </si>
  <si>
    <t>10inches shoot pipe  for rmc purchased by vishnu vardhan reddy at Kowdapalli</t>
  </si>
  <si>
    <t>m sand purchased by konireddy Srinivasulu reddy at Domalkonda</t>
  </si>
  <si>
    <t>wood cutting mechine,blades purchased by D Vishnuvardhan reddy at kowdapalli</t>
  </si>
  <si>
    <t>rl meterials payment by p vinay kumar at Doulthabad</t>
  </si>
  <si>
    <t>30pics threads purchased by kottena Narendra at lingumpet</t>
  </si>
  <si>
    <t>Pistha House Room rent payment by Sudhakar reddy at hanumakonda</t>
  </si>
  <si>
    <t>RMc Trip Charges payment by padala bhanu prasad at Bhiknoor,Date:02-06-2026</t>
  </si>
  <si>
    <t>Threds-20kg purchased by N Nandakishore at Rajampet</t>
  </si>
  <si>
    <t>bl work  labour room purpose meterials purchased by bablu at sangam</t>
  </si>
  <si>
    <t>rl work meterial payment by konireddy Srinivasulu reddy at  domakonda</t>
  </si>
  <si>
    <t>rl work meterial(woven bamboos) purchased by konireddy Srinivasulu reddy at Domakonda date:03-06-2026</t>
  </si>
  <si>
    <t>Labour electrical charges payment through Gandhi at yellandu</t>
  </si>
  <si>
    <t>12mm Agreegate purchased by konireddy Srinivasulu reddy at Domakonda</t>
  </si>
  <si>
    <t>Electrical wireand Switch boards Purchased by Budda Suresh at Mulugu</t>
  </si>
  <si>
    <t>rl meterials purchased by p vinay at doulthabad</t>
  </si>
  <si>
    <t>RL meterials purchased by konireddy Srinivasulu Reddy at Domakonda</t>
  </si>
  <si>
    <t>Brick cutting Saws purchased by konireddy Srinivasulu Reddy at Domakonda</t>
  </si>
  <si>
    <t>Bricks Unloading labour Charges payment by p vinay yadav for raypole</t>
  </si>
  <si>
    <t>Cement,steel,rl meterials purchased by p vinay yadav at Doulthabad</t>
  </si>
  <si>
    <t>AP23AJ4615 TRACTOR Deisel payment by Bhaskar at kowdapalli</t>
  </si>
  <si>
    <t>Cement bags,chemical plates purchased by konireddy srinivasulu reddy at Domakonda</t>
  </si>
  <si>
    <t>Tadikalu purchased by konireddy Srinivasulu reddy at domakonda</t>
  </si>
  <si>
    <t>AVS Reddy New Augur Vehical Deisel Payment by Sai at Shapur</t>
  </si>
  <si>
    <t>6 mm chips purchased by g nagaraju at parvathagiri</t>
  </si>
  <si>
    <t>New Tractor Deisel Payment by angireddy Duegaprassad at rayapole</t>
  </si>
  <si>
    <t>AP40JW7532 Tractor deisel payment by Konireddy Srinivasulu reddy at Domakonda</t>
  </si>
  <si>
    <t>Waste oil purchased by Sure krishna reddy at Hanumakonda,Date:05-06-2026</t>
  </si>
  <si>
    <t>Venkat rao Augur vehicle Deisel payment by Ch Sreekanth at Rajampeta</t>
  </si>
  <si>
    <t>m sand purchased by konireddy srinivasulu reddy at Domakonda</t>
  </si>
  <si>
    <t>Transport labour Charges siddipet rural 20 members by Dimpi Srivas at siddipet</t>
  </si>
  <si>
    <t>3 inches nails purchased by y srihari at kowdapalli</t>
  </si>
  <si>
    <t>12mm agreegate purchased by konireddy srinivasulu reddy at Domakonda</t>
  </si>
  <si>
    <t>Murthy labour room rent by dimpi srivas at siddipet</t>
  </si>
  <si>
    <t>Water pipes purchased by Krishna reedy labours by p uday reddy at siddipet</t>
  </si>
  <si>
    <t>Table fan purchased for krishnareddy labours payment by p udayreddy at siddipet</t>
  </si>
  <si>
    <t>TS30TA5073 Tractore deisel payment by g ganesh at vasalamarri</t>
  </si>
  <si>
    <t>Cement bags purchased by konireddy Srinivasulu reddy at Domakonda</t>
  </si>
  <si>
    <t>Water needs for labour for 20days purchsed by G Ganesh at vasalamarri</t>
  </si>
  <si>
    <t>rmc trip and pump Charges Cement bags purchased by G Nagaraju at ward-17,47,parvathagiri(30-05-2026)</t>
  </si>
  <si>
    <t>Bl work meterials Purchased By Venkatrao at Kowdapalli</t>
  </si>
  <si>
    <t>rl work meterials purchased by Sure Srikanth Reddy at Keythampalli</t>
  </si>
  <si>
    <t>12mm agreegate purchased by konireddy srinivasulu at Domakonda</t>
  </si>
  <si>
    <t>Nails and iron cutting blades purchased by budda suresh at cheelasagar</t>
  </si>
  <si>
    <t>Electricals purchased by rc labour payment by k govindhu at keythampalli</t>
  </si>
  <si>
    <t>RMC trip charges payment by CH sreekanth at rajampeta Date:06-06-2026</t>
  </si>
  <si>
    <t>TS17T6540 Tractor Deisel payment by k narendra at lingumpet</t>
  </si>
  <si>
    <t xml:space="preserve">6mm chips purchased by G Nagaraju at parvathagiri </t>
  </si>
  <si>
    <t>RMC Trip charges payment by Baddi somesh at Atmakur mdl</t>
  </si>
  <si>
    <t>RMC trip charges payment by bablu date:25th to 1st june</t>
  </si>
  <si>
    <t>site expenses by Bhaskar at Kowdapalli</t>
  </si>
  <si>
    <t>Electricals purchased by Sure Krishna reddy at Hanumakonda</t>
  </si>
  <si>
    <t>site expences charges payment by korupolu siva at machareddy date:2 to 6th 2026</t>
  </si>
  <si>
    <t>binding wire-25kg,nails purchased  and labour shifing charges   payment by korupolu siva at machareddy date:2 to 6th 2026</t>
  </si>
  <si>
    <t>mahaboob nagar lodge expences payment by p pavan kumar at mahaboob nagar date:04-06-2026</t>
  </si>
  <si>
    <t>Cement bags-30  purchased by  g nagaraju at parvathagiri</t>
  </si>
  <si>
    <t>Water drums purchased by setti suresh through AVS Reddy at parakala</t>
  </si>
  <si>
    <t>iron bending rod and nails opurchased by k govind at keythanpalli</t>
  </si>
  <si>
    <t>venkat rao augur vehicle deisel payment by n nandhakishore at ramareddy</t>
  </si>
  <si>
    <t>m sand purchased by angireddy durgaprasd at rayapole</t>
  </si>
  <si>
    <t>rl work meterials payment by y srihari  at kowdap[alli</t>
  </si>
  <si>
    <t>rl meterial purchased by p vinay at douthabad</t>
  </si>
  <si>
    <t>binding wire-15kg purchased by padala bhanu prasad at bhiknoor</t>
  </si>
  <si>
    <t>AP40JW7532 Tractor deisel payment by Ch Sreekanth at rajampeta</t>
  </si>
  <si>
    <t>BL meterial,Electricals,cutting blades purchased by Sure krishna reddy at hanumakonda</t>
  </si>
  <si>
    <t>rl work meterirals auto charges payment by baddi somesh at siddipet</t>
  </si>
  <si>
    <t>Nails-5kg purchased by ch Sreekanth at rajampet</t>
  </si>
  <si>
    <t>TG25C1529 Tractor Deisel payment by k govindu at Keytghampalli</t>
  </si>
  <si>
    <t>AP40KW7346 Tractor deisel payment by konireddy Srinivasulu reddy at Domakonda</t>
  </si>
  <si>
    <t>Robo Sand purchased by Y Srihari at Kowdapalli</t>
  </si>
  <si>
    <t>bl work meterials purchased by G Venkat rao at Kowdapalli</t>
  </si>
  <si>
    <t>40mm agreegate purchased by k govindu at keythampalli</t>
  </si>
  <si>
    <t>Electrical Purchased by Budda Suresh at Cheelasaghar</t>
  </si>
  <si>
    <t>robo sand pruchased by G nagaraju at parvathagiri</t>
  </si>
  <si>
    <t>Nails,Ventilators purchased by Konireddy Srinivasulu for domakonda</t>
  </si>
  <si>
    <t>Electricals purchased by Konireddy Srinivasulu Reddy at Domakonda For AVS Reddy rl labour</t>
  </si>
  <si>
    <t>Brick Tractor Loading Unloading labour payment by Site Expences Payment by manikankanta at kamepalli</t>
  </si>
  <si>
    <t>water expences for two months (april-may 2026) payment by Sure Krishna reddy at nirmithkendra,hanumakonda</t>
  </si>
  <si>
    <t>Cement bags purchased by konireddy Sreenivasulu reddy at Domakonda</t>
  </si>
  <si>
    <t>Binding wire,Grainder purchased by Sure Krishn a reddy at Hanumakonda for Nirmithkendra</t>
  </si>
  <si>
    <t>Water Drum purchased by k govind at keythanapalali</t>
  </si>
  <si>
    <t>AP39DC3351 Tractor Deisel payment by u manikanta at Kamepalli</t>
  </si>
  <si>
    <t>Cement bags purchaseed by Angireddy durgaprasad at rayapole</t>
  </si>
  <si>
    <t>rl meterials purchased by R Sriramamurthy at hanumakonda  for rl stands</t>
  </si>
  <si>
    <t>Dust purchased by Sameer at bheemdevarapalle</t>
  </si>
  <si>
    <t>12mm Agreegate purchased by konireddy Srinivasulu reddy at domakonda</t>
  </si>
  <si>
    <t>40mm agreegate purchased by k govindu at Keythampalli date:08-06-2026</t>
  </si>
  <si>
    <t>rc work meterials purchased by k govindu at keythampalli</t>
  </si>
  <si>
    <t>Threds puyrchased by G Nagaraju at parvathagiri for rl work</t>
  </si>
  <si>
    <t>RMC TRIP CHARGES PAYMENT BY Ch srrekanth at rajampeta</t>
  </si>
  <si>
    <t>m sand purchased by Baddi somesh at siddipet</t>
  </si>
  <si>
    <t>msand,dust shifting vehicle payment and Chemical bags room payment by baddi somesh at siddipet</t>
  </si>
  <si>
    <t>labour shifting hanumakonda to tharigoppula payment by Sriramamurthy</t>
  </si>
  <si>
    <t>rl meterials purchased by R Sriramamurthy at hanumakonda</t>
  </si>
  <si>
    <t>Cement bags -20 purchased by konireddy srinivasulu reddy at Domakonda</t>
  </si>
  <si>
    <t>TS05UD9131 Tractor Deisel payment by S prasad at valigonda</t>
  </si>
  <si>
    <t>Cutting blades,nails purchased by budda suresh at kokkanda</t>
  </si>
  <si>
    <t>rl work meterials purchased by Sure krishnareddy at hanumakonda</t>
  </si>
  <si>
    <t>TS17T6540 Tractor Deisel Payment by kottena Surendra at lingumpet</t>
  </si>
  <si>
    <t>10mm chips payment by y shri hari at narasapur</t>
  </si>
  <si>
    <t>New tractor Deisel, payment by angireddy durga prasad at ralopole</t>
  </si>
  <si>
    <t>robo sand purchased by s prasad at valigonda</t>
  </si>
  <si>
    <t>10mm agreegate transport charges payment by y srihari at narasapur</t>
  </si>
  <si>
    <t>Binding wire,nails,iron cutting blades purchased by N Nandakishore at ramareddy</t>
  </si>
  <si>
    <t>40mm agreegate mixing payment by k govindu ay peddapendyala</t>
  </si>
  <si>
    <t>chemical bags-690 unloding labour charges payment by d vishnuvardhanreddy at narasapur</t>
  </si>
  <si>
    <t>TG037489 Tractor Deisel payment by sameer at bheemdevarapalli</t>
  </si>
  <si>
    <t>labour shifiting auto charges payment by ghandhi at kamepalli date:06-06-2026,07-06-2026</t>
  </si>
  <si>
    <t>rmc trip and pump charges and cement bag purched  payment by  g venkat rao at kulcharam</t>
  </si>
  <si>
    <t>robo sand purchased by prasad at valigonda</t>
  </si>
  <si>
    <t>msand purchased by D vishnu varsdhan reddy at narasapur</t>
  </si>
  <si>
    <t>robo sand  tractor trasport payment by D vishnu vardhan rddy at narasapur</t>
  </si>
  <si>
    <t>Cement,Steel purchased by Angireddy Durgaprasad at rayapole</t>
  </si>
  <si>
    <t>TS27T6494 tractor Deisel payment by Driver madhushudan reddy at theegram</t>
  </si>
  <si>
    <t>mous xerox payment by uday at siddipet</t>
  </si>
  <si>
    <t>rl work meterial purchased by baddi somesh at siddipet</t>
  </si>
  <si>
    <t>rmc trip charges payment by nanada kishore at ramareddy</t>
  </si>
  <si>
    <t>40mm agreegate mixing payment by k govindu at peddapendyala date:10-06-2026</t>
  </si>
  <si>
    <t>venkat rao augur vehicle deisel payment by padalabhanu prasad at bhiknoor</t>
  </si>
  <si>
    <t>room rent advance(4000/-),room rent (4000/-) for two months(may,june-2026) payment by kottena narendra at lingumpet</t>
  </si>
  <si>
    <t xml:space="preserve">rmc trip and pump charges and cement bag purchased payment  by g nagaraju at parvathagiri at parvathagiri Date:08-06-2026 </t>
  </si>
  <si>
    <t>TS24A4224 Tractor Deisel payment by G nagaraju at parvathagiri</t>
  </si>
  <si>
    <t>wood cutting blades purchased by byudda suresh at kokkonda</t>
  </si>
  <si>
    <t>nirmithkendra site work payment by Sure Krishna reddy at hanumakonda,date:08-06-2026</t>
  </si>
  <si>
    <t>AP40KW7346 Tractor Deisel payment by konireddy srinivasulu reddy at Domakonda</t>
  </si>
  <si>
    <t>cement,steel meterials payment by Angireddy Durga prasad at rayapole</t>
  </si>
  <si>
    <t>Cement bags-10 purchased by konireddy srinivasulu reddy at domakonda</t>
  </si>
  <si>
    <t>Nails purchased by Bhaskar at Kowdapalli</t>
  </si>
  <si>
    <t>Binding wire-25kg  purchased by  g gowri naidu at thoguta</t>
  </si>
  <si>
    <t>Dust,6mm chips purchased by  G Nagaraju at parvathagiri</t>
  </si>
  <si>
    <t>cement bags-19 purchased by G nagaraju at parvathagiri</t>
  </si>
  <si>
    <t>supervisiors new room rent  payment by baddi somesh at pullur,siddipet</t>
  </si>
  <si>
    <t>labour unloding charges  payment by baddi somesh at pullur,siddipet</t>
  </si>
  <si>
    <t>bl work meterials payment by gandikota raju thourgh g gowri naidu at thoguta  mdl</t>
  </si>
  <si>
    <t>New local Tractor Deisel payment by Angireddy Durgaprasad at rayapole,Siddipet</t>
  </si>
  <si>
    <t>Centring shifting in keythampalli blocks loading shifting keythampalli to peechara payment by k govindu date:05-06-2026</t>
  </si>
  <si>
    <t>Cement,steel purchased by angireddy durgaprasad at rayapole</t>
  </si>
  <si>
    <t>paralu,ventilators purchased by k govindu date:06-06-2026</t>
  </si>
  <si>
    <t>Resort advance payment by dimpu srivas at hanumakonda</t>
  </si>
  <si>
    <t>Cement bags -10 purchased by y srihari at narasapur for rl work</t>
  </si>
  <si>
    <t>TS35T2387 Tractor Deisel payment by y shrihari at narasapur</t>
  </si>
  <si>
    <t>Chemical mixing Buckets -4 purchased by y srihari at Narasapur</t>
  </si>
  <si>
    <t xml:space="preserve">rl work meterials purchased by y shrihari at narasapur </t>
  </si>
  <si>
    <t>AP40JW7532 Tractor deisel p[ayment by ch Sreekanth at rajampet</t>
  </si>
  <si>
    <t>Tolgate charges payment by dimpi Srivas at Hanumakonda</t>
  </si>
  <si>
    <t>Dust purchased by G Nagaraju at parvathagiri dt:12-06-2026</t>
  </si>
  <si>
    <t>Cement bags purchased by g nagaraju at parvathagiri dt:12-06-2026</t>
  </si>
  <si>
    <t>Tadikalu purchased by somesh at pullur</t>
  </si>
  <si>
    <t>waste oil -20 lits purchased by setti suresh at parkala</t>
  </si>
  <si>
    <t>cement steel purchased byAngireddy durgaprasad at rayapole</t>
  </si>
  <si>
    <t>runners purchased by bhaskar at kowdapalli for bl work</t>
  </si>
  <si>
    <t>TS21T6869 Tractor deisel payment by Baddi somesh at pullur</t>
  </si>
  <si>
    <t>rl work meterials purchased by g nagaraju at parvathagiri dt:13-06-2026</t>
  </si>
  <si>
    <t>steel,cutting blades ,rmc trip charges paymeny by bhaskar at kowdapalli</t>
  </si>
  <si>
    <t>site expenses payment by p vinay at doulthabad</t>
  </si>
  <si>
    <t>Cement bags-5 purchased by konireddy srinivasulu reddy at domakonda dt:12-06-2026</t>
  </si>
  <si>
    <t>Cement bags-10 purchased by konireddy serinivasulu reddy at Domakonda</t>
  </si>
  <si>
    <t>Rc work  meterials payment by AVS reddy at Hanumakonda</t>
  </si>
  <si>
    <t>room advance payment by p vinay yadav at douthabad</t>
  </si>
  <si>
    <t>AP5315AC Augur vehicle deisel payment by hanumanth at sangem</t>
  </si>
  <si>
    <t>tarpalin purchased by konireddy srinivasulu reddy at Domakonda through AVSReddy</t>
  </si>
  <si>
    <t>Robo sand purchased by surekrishna reddy  thougu G suresh at hanumakonda</t>
  </si>
  <si>
    <t>Cement-10kg sunnam-0.5kg  purchased by Sure krishna reddy at Krishna reddy at hanumakonda dt:09-06-2026</t>
  </si>
  <si>
    <t>Biryani packets -34 for supervisiors for nirmal forms resort</t>
  </si>
  <si>
    <t>fish-20kg purchased by g suresh at hanumakonda</t>
  </si>
  <si>
    <t>rmc trip and pump charges payment by G suresh at Hanumakonda dt:01-06-2026 to 07-06-2026</t>
  </si>
  <si>
    <t>nirmal forms resort party needs purchased by sure krishna reddy at Hanumakonda</t>
  </si>
  <si>
    <t>New tractor deisel payment by angireddy durga prasad at Rayapole</t>
  </si>
  <si>
    <t>TS24A4224 Tractor deisel payment by g nagaraju at parvathagiri</t>
  </si>
  <si>
    <t>bl work meterials purchased by G Gowri naidu at thoguta</t>
  </si>
  <si>
    <t>TG26A8030 LOCAL TRACTOR DAY PAYMENT BY GHANDI AT MAHABOOBABAD</t>
  </si>
  <si>
    <t>auto expenses by labour drop and pickup charges payment by ghandhi at mahaboobabad,dt:13-06-2026</t>
  </si>
  <si>
    <t>TS24A2442 Tractor deisel payment by g nagaraju at parvathagiri</t>
  </si>
  <si>
    <t>binding wire-10kg purchased by ganddi at kothaguda</t>
  </si>
  <si>
    <t>AP40KW7346 Tractor Deisel payment by p vinay yadav at doulthabad</t>
  </si>
  <si>
    <t>TS17T6540 Tractor deisel payment by k narendra at lingumpet</t>
  </si>
  <si>
    <t>AP40JW7532 Tractor deisel payment by ch sreekanth at rajampet</t>
  </si>
  <si>
    <t>Cement bags -30 purchased by g nagaraju parvathagiri</t>
  </si>
  <si>
    <t>TS30TA5073 TRACTOR DEISEL PAYMENT BY G GANESH AT VASALAMARRI</t>
  </si>
  <si>
    <t>rmc trip and pump charges,cement bag purchased by padala bhanu prasad at bhiknoor dt:06-06-2026 to13-06-2026</t>
  </si>
  <si>
    <t>AP39UL1233 vehicle(runners) advance payment for deisel payment  througu sri rsmamurthy for nirmithkendra,hanumakonda</t>
  </si>
  <si>
    <t>VENKAT RAO AGUR VEHICLE DEISEL PAYMENT BY KORUPOLU SIVA AT BHIKNOOR</t>
  </si>
  <si>
    <t>local tractor day rent payment by budda suresh at mulugu</t>
  </si>
  <si>
    <t>steel cement purchased by purchased p vinay at Doulthabad</t>
  </si>
  <si>
    <t>rmc trip and pump charges payment by budda suresh at mulugu</t>
  </si>
  <si>
    <t>supervisior room rent payment by budda suresh  for the month of may2026 at cheelasagar mulugu</t>
  </si>
  <si>
    <t>Nails purchased bybhaskat at kowdapalli</t>
  </si>
  <si>
    <t>rmc shoot pipe purchased and auto charges payment by G Gowri naidu at thoguta</t>
  </si>
  <si>
    <t>new tractor deisel payment by angireddy durgaprasad at rayapole</t>
  </si>
  <si>
    <t>rc work meterial purchaseed by suram prasad reddy at valigonda dt:13-06-2026</t>
  </si>
  <si>
    <t>Nirmal forms resort expenses payment by dimpi Srinivas at madikonda kaazipet</t>
  </si>
  <si>
    <t>cement bags-15 purchased by konireddy srinivasulu reddy at domakonda</t>
  </si>
  <si>
    <t>m sand purchased by knireddy srivasulu reddy at Domakonda</t>
  </si>
  <si>
    <t>rmc trip charges and pump charges payment by setti suresh at nadikuda dt:28-05-2026 to 03-06-2026</t>
  </si>
  <si>
    <t>steel cement purchased by g ganesh at m thurakapalli</t>
  </si>
  <si>
    <t>msand purchased  by d vishnu vardhan reddy at narasapur</t>
  </si>
  <si>
    <t>m sand purchased by g nagaraju at parvathagiri</t>
  </si>
  <si>
    <t>rmc trip charges payment by krishna at warangal urban</t>
  </si>
  <si>
    <t>binding wire -25kg purchaseed by sure krishna reddy at hanumakonda</t>
  </si>
  <si>
    <t>mous xerox payment by technical team nagaiah at hanumakonda</t>
  </si>
  <si>
    <t>RL meterials purchased by baddi somesh  at pullur</t>
  </si>
  <si>
    <t>12 mm dust purchased by G nagaraju at parvathagiri</t>
  </si>
  <si>
    <t>TS27T6494 TRACTOR DEISEL PAYMENT BY MADHUSUDHAN AT THEEGARAM</t>
  </si>
  <si>
    <t>AP39UL1233 VEHICLE (RUNNERS) BALANCE PAYMENT BY R Sriramamurthy at hanumakonda</t>
  </si>
  <si>
    <t>AP39UL1233 VEHICLE (RUNNERS) UNLODING LABOUR CHARGES PAYMENT BY Sure krishna reddy through Sri rama murthy</t>
  </si>
  <si>
    <t>steel,cement purchsed by k narendra at banswada for rl work</t>
  </si>
  <si>
    <t>steel cement purchased by k narendra at banswada for birkoor rl work</t>
  </si>
  <si>
    <t>supervisiors room rent payment by suram prasad reddy at valigonda for the month of may2026</t>
  </si>
  <si>
    <t>dust purcased by suram prasad reddy at valigonda,date:11-06-2026</t>
  </si>
  <si>
    <t>rmc trip charges payment by ch sreekanth at rajampeta date:12-06-2026 to16-06-2026</t>
  </si>
  <si>
    <t>2 thapies,water pipe purchased by ch sreekanth at rajampet date:15-06-2026 to 16-06-2026</t>
  </si>
  <si>
    <t>for mahaboobabad DPR and Meterial register boks purchased by gandhi at kothaguda</t>
  </si>
  <si>
    <t>Local Tractor Driver day charges payment by budda suresh at cheela sagar</t>
  </si>
  <si>
    <t>rmc trip charges payment by G Gowri naidu at thoguta dt:16-06-2026</t>
  </si>
  <si>
    <t>Water drums rented payment by Angireddy durgaprasad at rayapole dt:08-06-2026 to 16-06-2026</t>
  </si>
  <si>
    <t>labour shifting auto charges payment through angireddy durga prasad at rayapole dt:08-06-2026 to15-06-2026</t>
  </si>
  <si>
    <t>labour room rent payment by angireddy durga prasad at rayapole dt:07-06-2026 to 16-06-2026</t>
  </si>
  <si>
    <t>putting mechine,fan,therad purchased by Syre krishna reddy at hanumakonda</t>
  </si>
  <si>
    <t>paper plates and glass and 2 egg trayes purchsed by g suresh for nirmal forms resort function</t>
  </si>
  <si>
    <t>rc work meterial payment by k govindu at dt:15-06-2026</t>
  </si>
  <si>
    <t>electrical board,four tapes purchased by k govindu  for rc work dt:13-06-2026</t>
  </si>
  <si>
    <t>Cement bags -15 purchased by konireddy srinivasulu reddy at domakonda</t>
  </si>
  <si>
    <t>Bheemdevapalli rl team bricks shifting labour charges payment by g suresh dt:25-05-2026 to 06-06-2026</t>
  </si>
  <si>
    <t>binding wire -25kg purchased by padala bhanuprasad at bhiknoor</t>
  </si>
  <si>
    <t>AP5315AC AUGUR VEHICLE Deisel payment by Hanumanyh at mahaboob nagar</t>
  </si>
  <si>
    <t>AP40KW7346 Tractor deisel payment by p vinay yadav at doulthabad for tractor service doultabad to siddipet</t>
  </si>
  <si>
    <t>urban site expenses payment by g suresh at hanumakonda for the month of march2026 expenses</t>
  </si>
  <si>
    <t>nails,iron cutting blades purchased by budda suresh</t>
  </si>
  <si>
    <t>birkoor to veerpur cement and iron tranport charges and 10 mm chips unloding driver beta payment by k narendra at birkoor</t>
  </si>
  <si>
    <t>AP39JJ1001 CAR DEISEL PAYMENT BY DIMPU SRIVAS FOR TRAVEL BHEEMDEVARAPALLI</t>
  </si>
  <si>
    <t>AP39UD4103 VEHICLE(RUNNERS) PAYMENT PAID THOUGH R SRIRAMAMURTHY AT HANUMAKONDA</t>
  </si>
  <si>
    <t>TG037489 Tractor deisel payment by Deisel payment by Sammer at Bheemdevarapalli</t>
  </si>
  <si>
    <t>12mm Agreegate purchased by konreddy srinivasulu reddy at Domakonda</t>
  </si>
  <si>
    <t>12mm Agreegate purchased by murali  krishna baddi somesh at siddipet</t>
  </si>
  <si>
    <t>12 mm dust payment by G nagaraju at parvathagiri</t>
  </si>
  <si>
    <t>rc work meterial payment by k govindu at  keythampalli</t>
  </si>
  <si>
    <t>dr.fixit oil for rc work purchased by Sre krishna reddy at hanumakonda</t>
  </si>
  <si>
    <t>100 cement bags purchased by purchased by sure krishna reddy at hanumakonda for nirmithkendra</t>
  </si>
  <si>
    <t>rc meterial purchased by p vinay yadav at doulthabad</t>
  </si>
  <si>
    <t>Cement bags purchased by g nagaraju at parvathagiri</t>
  </si>
  <si>
    <t>Tharpal pattas -3 purchased by konireddy srinivasulu reddy dt:17-06-2026</t>
  </si>
  <si>
    <t>TS30TA5073 TRACTOR DEISEL PAYMENT BY GANESH AT VASALAMARRY</t>
  </si>
  <si>
    <t>Tractor pins,thapies,mesure tapes purchesd by k narendra at birkoor</t>
  </si>
  <si>
    <t>mous xerox payment by uday at mbnr</t>
  </si>
  <si>
    <t>AP07CD7869 Royal travelling expenses payment by p uday siddipet to mahabbob nagar</t>
  </si>
  <si>
    <t>Loacal Tractor day rent and deisel and driver day amount payment by k narendra at birkoor</t>
  </si>
  <si>
    <t>TS36T7860 RUNNERS VEHICEL ADVANCED PAYMENT FOR DEISEL PAYMENT THROUGH R SRIRAMAMURTHY AT NIRMITHKENDR</t>
  </si>
  <si>
    <t>TS21TT6869 TRACTOR DEISEL PAYMENT BY BADDI SOMESH AT PULLUR,SIDDIPET</t>
  </si>
  <si>
    <t>Cement bags -15 cement jalies purchased by konireddy srinivasulu reddy at Domakonda</t>
  </si>
  <si>
    <t>rmc trip charges payment by N nandakishore at rajampet</t>
  </si>
  <si>
    <t>TS36T7860 RUNNERS VEHICLE BALANCE PAYMENT THROUGH R SRIRAMAMURTHY AT NIRMITHKENDRA HANUMAKONDA</t>
  </si>
  <si>
    <t>Dust,12mm chips payment by muralikrishna at pullur,siddipet</t>
  </si>
  <si>
    <t>Electricles for rc work payment by k govindu at keythanapalli</t>
  </si>
  <si>
    <t>rmc trip and pump charges payment by k govindhu at keythapalli dt:18-06-2026</t>
  </si>
  <si>
    <t>rc work labour food expences payment by suram prasad reddy at valigonda dt:17-06-2026 to18-06-2026</t>
  </si>
  <si>
    <t>rmc trip charges ,Steel cutting mechine blades purchased by bhaskar at kowdapalli dt:14-06-2026 to 17-06-2026</t>
  </si>
  <si>
    <t>Centring work for rc meterials purchased by k govindu at keythampalli</t>
  </si>
  <si>
    <t>binding wire-25kg purchased by k govindhu through Sure krishna reddy at hanumakonda</t>
  </si>
  <si>
    <t>local tractor rent for two days in thoguta for bl labour shifting and meterial shifing purpose</t>
  </si>
  <si>
    <t xml:space="preserve">Cement bags -4 purchased by k govindu ay keythampalli for rc work pump cleaning </t>
  </si>
  <si>
    <t>AP40JW7532 Tractor Deisel payment by padala bhanu prasad at Bhiknoor</t>
  </si>
  <si>
    <t>Rrl work meterials purchased by p vinay at Doulthabad</t>
  </si>
  <si>
    <t>bathroom jalies purchased by kottena narendra at biknoor</t>
  </si>
  <si>
    <t>rc work meterial purchased by suram prasad  reddy at valigonda through sriramamurthy</t>
  </si>
  <si>
    <t>50 cement bags purchased by kottena narendra at banswada for birkur rl work</t>
  </si>
  <si>
    <t>rmc trip charges and pump charges payment by padala bhanu prasad at bhiknoor 16-06-2026 to 18-06-2026</t>
  </si>
  <si>
    <t>jalies-7 purchased by p  vinay yadav at doulthabad</t>
  </si>
  <si>
    <t>AP39UQ7044 DCM Vehicle Deisel payment BY Dega vamsi at hanumakonda</t>
  </si>
  <si>
    <t>m sand purchased by konireddy srinivasulu reddy at domakonda</t>
  </si>
  <si>
    <t>Thread purchased by kurumapu venkateswar rao at hanumakonda</t>
  </si>
  <si>
    <t>AP23AJ4615 Tractor Deisel payment Bhaskar for kowdapalli</t>
  </si>
  <si>
    <t>Electcrical purchsed by p vinay yadav at Doulthabad</t>
  </si>
  <si>
    <t>TS35T2387 Tracoter deisel payment by  bhaskar at kowdapalli</t>
  </si>
  <si>
    <t>Cement bags-15 purchased by konireddy srinivasulu reddy at Domakonda</t>
  </si>
  <si>
    <t>nails-10kg purchasewd by budda suresh at kokkonda mulugu</t>
  </si>
  <si>
    <t>40 mm agreegate mixing payment by k govindu at pichara</t>
  </si>
  <si>
    <t>12 mm agreegate purchased by konireddy srinivasulu reddy at domakonda</t>
  </si>
  <si>
    <t>12 mm dust purchased by g nagaraju at parvathagiri</t>
  </si>
  <si>
    <t>steel cement-30  purchased by p vinay yadav at Doulthabad</t>
  </si>
  <si>
    <t>keythampalli site expenses payment by AVS Reddy dt:17-06-2026</t>
  </si>
  <si>
    <t>iron,chemical bags,labour hospital bill,weiging bill charges payment by AVS Reddy</t>
  </si>
  <si>
    <t>site meterials labour charges payment Through AVS Reddy at nirmithkendra hanumakonda date:17-06-2026</t>
  </si>
  <si>
    <t>centring sheets work labour charges payment by Suram prasad reddy at valigonda date:18-06-2026</t>
  </si>
  <si>
    <t>TS17A3949 Tractor deisel payment by koriupolu siva at lingampet</t>
  </si>
  <si>
    <t>AP40JW7532 Tractor deisel payment by konireddy srinivasulu reddy at Domakonda</t>
  </si>
  <si>
    <t>m sand purchsed by korupolu siva at lingumpet</t>
  </si>
  <si>
    <t>TS30TA5073 Tractor deisel payment by g ganesh at vasalamarry</t>
  </si>
  <si>
    <t>local tractor driver day payment and food expenses by k narendra dt:19-06-2026 to 20-06-2026</t>
  </si>
  <si>
    <t>rajampet meterial room advance rent payment by n nanda kishore at rajampeta</t>
  </si>
  <si>
    <t>TS24A4224 Tractor Deisel payment by g nagaraju  at parvathagiri</t>
  </si>
  <si>
    <t>lacal tractor deisel payment by budda suresh Date on 17-06-2026 to 20-06-2026</t>
  </si>
  <si>
    <t>iron cutting mechine purchased by k Srinivasulu reddy at kamareddy for Domakonda rl work</t>
  </si>
  <si>
    <t>AP5315AC Augur vehical desiel payment by hanumanth at mahaboobnagar</t>
  </si>
  <si>
    <t>12 mm agreegate purchased by konireddy srinivasulu reddy at Domakonda</t>
  </si>
  <si>
    <t xml:space="preserve">12 mm agreegate purchased By korupolu siva at lingampet rl work </t>
  </si>
  <si>
    <t>Cement bags -30 purchased by G nagaraju at parvathagiri</t>
  </si>
  <si>
    <t>tharpalins,greennet purchased by pavan kumar at mahaboob nagar</t>
  </si>
  <si>
    <t>rl work meterial purchased by kottena narendra at birkoor</t>
  </si>
  <si>
    <t>local tractor engage one day amount payment by p vinay at Doulthabad dt:18-06-2026</t>
  </si>
  <si>
    <t>AP40KW7346 Tractor deisel payments by p vinay yadav at Doulthabad</t>
  </si>
  <si>
    <t>Electricals for bl labour(kamareddy to mbnr) purchaed by d vishnu vardhan reddy at mbnr</t>
  </si>
  <si>
    <t>rmc trip charges payment by simhachalam at warangal urban</t>
  </si>
  <si>
    <t>lingumpet labour room rent payment by korupolu siva at for the monthof 12-05-2026 to 12-06-2026</t>
  </si>
  <si>
    <t>rmc trip charges and waste oil purchased by korupolu siva at ramareddy date between 08-06-2026 to15-06-2026</t>
  </si>
  <si>
    <t>nails-10kg purchased by korupolu siva  at ramareddy date:08-06-2026 and14-06-2026</t>
  </si>
  <si>
    <t>Cement bags -30 rl materials purchased by konnireddy srinivasula reddy at Domakonda</t>
  </si>
  <si>
    <t>RC work Materials purchased by sure krishna reddy at Hnumakonda</t>
  </si>
  <si>
    <t>Msand Purchased by konnireddy srinivasula reddy at domakonda</t>
  </si>
  <si>
    <t>AP30CD3038 Tractor Diesel payment by andireddy Durga Prasad at raypole</t>
  </si>
  <si>
    <t>Electricity bill Payment by N Malyadri Reddy At Hanumakonda</t>
  </si>
  <si>
    <t>narsapur labour room rent electricity bill payment by Bhaskar For the month of may to june 2026</t>
  </si>
  <si>
    <t>12mm aggregate purchased by konireddy srinivasula reddy at domakonda</t>
  </si>
  <si>
    <t>Hammer,Nails purchased by by R Srirama Murthy at Bodagutta</t>
  </si>
  <si>
    <t>Water drums purchased by vishnu vardhan reddy at MBNR</t>
  </si>
  <si>
    <t>RC work Materials purchased by suram prasad reddy at valigonda</t>
  </si>
  <si>
    <t>12mm dust purchased by g nagaraju at parvathagiri</t>
  </si>
  <si>
    <t>Hotel room booking advance payment by sai through sudakar reddy sir at MBNR</t>
  </si>
  <si>
    <t>Wood cutting blades 5pcs payment by vishnu vardhan reddy at MBNR</t>
  </si>
  <si>
    <t>Waste oil and oil can purchased by vishnu vardhan reddy at MBNR</t>
  </si>
  <si>
    <t>Nails, tapes purchased by vishnu vardhan reddy at mbnr</t>
  </si>
  <si>
    <t>RC sliders holes in work shop payment by R Sriramamurthy at hanumakonda</t>
  </si>
  <si>
    <t>4 Houses sabjas made labour payment by konireddy srinivasula reddy at domakonda, Date; 08-06-2026</t>
  </si>
  <si>
    <t>AP40JW7532 Tractor Deisel payment by konireddy Srinivasulu reddy at Domakonda</t>
  </si>
  <si>
    <t>iron cutting mechines-2,wood cutting mechines-2 purchased by g suresh for nirmithkendr at hanumakonda</t>
  </si>
  <si>
    <t>Dummy Door frames and window Frames meterials purchased by R Sriramamurthy at hanumakonda for Nirmithkendram</t>
  </si>
  <si>
    <t>BL centring labour charges payment by bhaskar at Kowdapalli Date:22-06-2026</t>
  </si>
  <si>
    <t>Tractor deisel payment by kotttena narendra at biknoor</t>
  </si>
  <si>
    <t>msand-2,12mm agreegate purchesed by konireddy srinivasulu reddy at Domakonda</t>
  </si>
  <si>
    <t>TG037489 Tractor deisel payment by sameer at bheemdevarapalli</t>
  </si>
  <si>
    <t>rmc trip and pump charges payment,cement bag purchased by simhasalam at sangam dt:22-06-2026</t>
  </si>
  <si>
    <t>4.0 Sq current wire,Dual Switchboard, 3pCurrent tape, Screwdriver, Current Cuttingblade purchsed by d vishnuvardhan at mbnr</t>
  </si>
  <si>
    <t>windows gum purchased by Sure krishna reddy at hanumakonda</t>
  </si>
  <si>
    <t>rmc trip and pump charges payment by simhachalam at sangam</t>
  </si>
  <si>
    <t>rl work stands welding work for two stands payment by k narendra at lingumpet</t>
  </si>
  <si>
    <t>rmc trip charges payment by bablu at shapur through setti suresh phonepay dt:08-06-2026 to 12-06-2026</t>
  </si>
  <si>
    <t>RL metrial payment by konireddy srinivasulu reddy at Domakonda</t>
  </si>
  <si>
    <t xml:space="preserve">Electrical  tools and rl meterial purchased by k narendrapurchased by </t>
  </si>
  <si>
    <t>TS24A4224 TRACTIOR DEISEL PAYMENT BY G NAGARAJU AT PARVATHAGIRI</t>
  </si>
  <si>
    <t>Wardhanpet model house door fiting meterials payment by dega vamsi at wardhanpet</t>
  </si>
  <si>
    <t>Cement Bags-10 purchased by G ganesh at M Thurakapally</t>
  </si>
  <si>
    <t>m sand purchased by korupolu siva at lingumpet</t>
  </si>
  <si>
    <t>12 mm Dust payment by G nagaraju at parvathagiri</t>
  </si>
  <si>
    <t>AP03CD3038 Tractor deisel payment by p vinay yadav  at doulthabad</t>
  </si>
  <si>
    <t>AP39DC3351 Tractor deisel payment by Gandhi at yellandu</t>
  </si>
  <si>
    <t>rc work meterials payment by suram prasad reddy at valigonda date:20-06-2026</t>
  </si>
  <si>
    <t>Site expenses charges payment by baddi somesh at pullur,siddipet</t>
  </si>
  <si>
    <t>tarpalin purchased by k narendra at birkoor</t>
  </si>
  <si>
    <t>bathroom jalies purchased by k narendra at birkoor</t>
  </si>
  <si>
    <t>supervisiors new room rent advance payment by AVS Reddy at haunwada,MBNR</t>
  </si>
  <si>
    <t>Eesha infra visiting cards print advance payment by dimpi srivas at hanumakonda</t>
  </si>
  <si>
    <t>meterials and labour shifting charges payment by sai kothaguda MBNR</t>
  </si>
  <si>
    <t>Hotel room advance payment booking by sai trohgh sai at Sudhakar reddy sir</t>
  </si>
  <si>
    <t>meterials and labour shifting auto charges payment by sai at kothaguda date:17-06-2026,18-06-2026</t>
  </si>
  <si>
    <t>Cement bags-10 Binding Wire -1kg purchased by Konireddy Srinivasulu reddy at Domakonda</t>
  </si>
  <si>
    <t>TS17T6540 Tractor Deisel payment by Korupolu Siva at lingumpet</t>
  </si>
  <si>
    <t>40mm agreegate mixing payment by k govindu at peechara</t>
  </si>
  <si>
    <t>Cement bags-50 Purchased by kottena Narendra at birkoor for rl work</t>
  </si>
  <si>
    <t>Cement bags -100 purchased by Sure Krishna reddy at Hanumakonda for Nirmith kendram Date:25-06-2026</t>
  </si>
  <si>
    <t>local tractor day rent payment by Gowri Naidu at thouguta Date:21-06-2026,22-06-2026</t>
  </si>
  <si>
    <t>rl work meterial purchased by Konireddy Srinivasulu Reddy at Domakonda</t>
  </si>
  <si>
    <t>TS27T6494 Tractor Deisel Payment by Madhusudhan at theegaram</t>
  </si>
  <si>
    <t>40 mm agreegate mixingpurchased by K Govindu at peecharaa</t>
  </si>
  <si>
    <t>rmc trip charges and m thurakappali labour room rent payment by budda sureshdate:20,21,22-06-2026</t>
  </si>
  <si>
    <t>AP40KF2837 Tractor tyres repair payment by K narendra at Birkoor</t>
  </si>
  <si>
    <t>TS36TA1981 Tractor deisel payment by kurmpu venkateswarlu at tharigoppula</t>
  </si>
  <si>
    <t>10 mm purchased by bhaskar at kowdapalli</t>
  </si>
  <si>
    <t>Cement bags-25 purchased by G Nagaraju at parvathagiri</t>
  </si>
  <si>
    <t>RC WORK METERIALS PAYMENT BY maDHUSUDHAN AT THEEGARAM</t>
  </si>
  <si>
    <t>AP40KW 7346 TRACTOR DEISEL PAYMENT BY G GOWRI NAIDU AT THOGUTA</t>
  </si>
  <si>
    <t>Mous xerox payment by Surya teja at siddipet</t>
  </si>
  <si>
    <t>23-11-2025 TO 07-12-2025</t>
  </si>
  <si>
    <t>12/01/2026-22/01/2026</t>
  </si>
  <si>
    <t>venkatarao</t>
  </si>
  <si>
    <t>Anil</t>
  </si>
  <si>
    <t>Site-Expenses</t>
  </si>
  <si>
    <t>TRANSPORT</t>
  </si>
  <si>
    <t>Labour Maintainance</t>
  </si>
  <si>
    <t>SUPERVISOR EXPESNES</t>
  </si>
  <si>
    <t>Site-Electrical</t>
  </si>
  <si>
    <t>Electricals</t>
  </si>
  <si>
    <t>Shifting</t>
  </si>
  <si>
    <t>Diesel for Auger</t>
  </si>
  <si>
    <t xml:space="preserve">Diesel </t>
  </si>
  <si>
    <t>Expense</t>
  </si>
  <si>
    <t xml:space="preserve">Material </t>
  </si>
  <si>
    <t xml:space="preserve">Miscelleneous </t>
  </si>
  <si>
    <t>Hardware</t>
  </si>
  <si>
    <t xml:space="preserve">Labour </t>
  </si>
  <si>
    <t>JCB</t>
  </si>
  <si>
    <t xml:space="preserve">Augering </t>
  </si>
  <si>
    <t>AnanthSagar</t>
  </si>
  <si>
    <t>Pooja Items</t>
  </si>
  <si>
    <t>Centering Transport</t>
  </si>
  <si>
    <t>On THE way Expenses</t>
  </si>
  <si>
    <t>centering Unload</t>
  </si>
  <si>
    <t>Runners Unloading</t>
  </si>
  <si>
    <t>Runners Extra Payment</t>
  </si>
  <si>
    <t>Meals</t>
  </si>
  <si>
    <t>utilities</t>
  </si>
  <si>
    <t>Room RENT</t>
  </si>
  <si>
    <t>KIRANA</t>
  </si>
  <si>
    <t>MEKULU</t>
  </si>
  <si>
    <t>SAI SRINU EXPENSES</t>
  </si>
  <si>
    <t>THARPA</t>
  </si>
  <si>
    <t>BLACK OIL</t>
  </si>
  <si>
    <t>BOARD AND WIRE</t>
  </si>
  <si>
    <t>CENTERNING SHIFTING</t>
  </si>
  <si>
    <t>MEKULU &amp; BINDING WIRE</t>
  </si>
  <si>
    <t>WOODEN POLES</t>
  </si>
  <si>
    <t>COVER BLOCKS &amp; TAPE</t>
  </si>
  <si>
    <t>PLYWOOD 2 SHEETS</t>
  </si>
  <si>
    <t>GAMELALU</t>
  </si>
  <si>
    <t>WOOD RUNNERS</t>
  </si>
  <si>
    <t>3 DAYS TRACTOR</t>
  </si>
  <si>
    <t>Dhanunjay labour</t>
  </si>
  <si>
    <t>2 cement bags</t>
  </si>
  <si>
    <t>Bikes Transport</t>
  </si>
  <si>
    <t xml:space="preserve">RMC BETA </t>
  </si>
  <si>
    <t>CONCRETE DAY</t>
  </si>
  <si>
    <t>SITE EXPENSES</t>
  </si>
  <si>
    <t>ELECTRICAL LABOUR</t>
  </si>
  <si>
    <t>WOOD CUTTING BLADE</t>
  </si>
  <si>
    <t>TRACTOR ADVANCE</t>
  </si>
  <si>
    <t>PLYWOOD &amp; TRANSPORT</t>
  </si>
  <si>
    <t>MEKULU 1 BAG</t>
  </si>
  <si>
    <t>MOTOR &amp; STEEL CUTTING BLADE</t>
  </si>
  <si>
    <t>HAMMERS</t>
  </si>
  <si>
    <t>PLYWOOD &amp; COVER BLOCKS</t>
  </si>
  <si>
    <t>WOODEN POLES TRANSPORT</t>
  </si>
  <si>
    <t>Steel Extra Weight Amount</t>
  </si>
  <si>
    <t>Labour Food &amp; Transport</t>
  </si>
  <si>
    <t>TRACTOR payments</t>
  </si>
  <si>
    <t xml:space="preserve">Tractor </t>
  </si>
  <si>
    <t xml:space="preserve">Site Rinners </t>
  </si>
  <si>
    <t>Cutting blade</t>
  </si>
  <si>
    <t>Mekulu</t>
  </si>
  <si>
    <t>Wooden poles</t>
  </si>
  <si>
    <t>Tractor Payments</t>
  </si>
  <si>
    <t>Centering shifting</t>
  </si>
  <si>
    <t>Tiffin</t>
  </si>
  <si>
    <t>Water Bill</t>
  </si>
  <si>
    <t>Site Levelling</t>
  </si>
  <si>
    <t>Electricals 2 fan,bulb lamp</t>
  </si>
  <si>
    <t>Motar and Instalation</t>
  </si>
  <si>
    <t>Bathroom works</t>
  </si>
  <si>
    <t>Runners 600x120</t>
  </si>
  <si>
    <t>Plastic pipe</t>
  </si>
  <si>
    <t>Runners Loading and unloadin</t>
  </si>
  <si>
    <t xml:space="preserve">Runners Transport </t>
  </si>
  <si>
    <t xml:space="preserve">Room Advance </t>
  </si>
  <si>
    <t>Room Expense</t>
  </si>
  <si>
    <t xml:space="preserve">Centring transport </t>
  </si>
  <si>
    <t>Cutting Material</t>
  </si>
  <si>
    <t>tractor diesel</t>
  </si>
  <si>
    <t>JCB rent</t>
  </si>
  <si>
    <t>Plastic Sut pipe</t>
  </si>
  <si>
    <t>Palakurthy to Valigonda AT diesel</t>
  </si>
  <si>
    <t>Centring Shifting</t>
  </si>
  <si>
    <t>labour Food &amp; Transport</t>
  </si>
  <si>
    <t>Tractor Rent 4 days</t>
  </si>
  <si>
    <t>Nut and bolt</t>
  </si>
  <si>
    <t>Sai SRINU EXPENSES</t>
  </si>
  <si>
    <t>Ring Renches</t>
  </si>
  <si>
    <t>Electrical Pipe</t>
  </si>
  <si>
    <t>wooden centring holes and auger belts</t>
  </si>
  <si>
    <t>wooden poles</t>
  </si>
  <si>
    <t xml:space="preserve">Tractor diesel </t>
  </si>
  <si>
    <t>Vibrator rent RMC</t>
  </si>
  <si>
    <t>Tractor Diesel 2</t>
  </si>
  <si>
    <t xml:space="preserve">Plywood and transport </t>
  </si>
  <si>
    <t>Screw Machine</t>
  </si>
  <si>
    <t>Tractor driver food</t>
  </si>
  <si>
    <t>Site cleaning JCB</t>
  </si>
  <si>
    <t>Plastic Suit pipe</t>
  </si>
  <si>
    <t>Labour Transport</t>
  </si>
  <si>
    <t>Diesel for tractor</t>
  </si>
  <si>
    <t>NEW YEAR EXPENSE</t>
  </si>
  <si>
    <t>Ward 53 officer</t>
  </si>
  <si>
    <t>Runner Transport</t>
  </si>
  <si>
    <t>RMC pump and cement 2</t>
  </si>
  <si>
    <t xml:space="preserve">Mekulu nd RMC BETA </t>
  </si>
  <si>
    <t>RMC BETA and Vibrator</t>
  </si>
  <si>
    <t>Cements Bag 4x320</t>
  </si>
  <si>
    <t>Makelu and power tools</t>
  </si>
  <si>
    <t>Power Board</t>
  </si>
  <si>
    <t>Site Vibrator</t>
  </si>
  <si>
    <t>mekulu</t>
  </si>
  <si>
    <t>Steel 500kgs</t>
  </si>
  <si>
    <t>Aadhi Sir Car Repair</t>
  </si>
  <si>
    <t xml:space="preserve">RMC pump and cement </t>
  </si>
  <si>
    <t>MEkulu</t>
  </si>
  <si>
    <t>BlaCK OIL</t>
  </si>
  <si>
    <t>Sir Office Expense</t>
  </si>
  <si>
    <t>Labour transport</t>
  </si>
  <si>
    <t>RMC PUMP BETA</t>
  </si>
  <si>
    <t xml:space="preserve">Hardware Old balance </t>
  </si>
  <si>
    <t>Steel 12 mm,8mm</t>
  </si>
  <si>
    <t>Steel Transport</t>
  </si>
  <si>
    <t>Steel GA PIPEs</t>
  </si>
  <si>
    <t xml:space="preserve">Nails and Dia </t>
  </si>
  <si>
    <t>Room Rent Advance</t>
  </si>
  <si>
    <t>GasStove and cylinder</t>
  </si>
  <si>
    <t>10 inch pipe Transport</t>
  </si>
  <si>
    <t>REFRACK MATERIAL LT Diesel</t>
  </si>
  <si>
    <t xml:space="preserve">nuts and bolts </t>
  </si>
  <si>
    <t>PD office sweets and Shawl</t>
  </si>
  <si>
    <t>Centring ractor diesel</t>
  </si>
  <si>
    <t>cutting wheel and spanners</t>
  </si>
  <si>
    <t>Centering tractor diesel</t>
  </si>
  <si>
    <t>Augering diesel</t>
  </si>
  <si>
    <t>Material shifting tractor</t>
  </si>
  <si>
    <t>Material Tractor Diesel</t>
  </si>
  <si>
    <t xml:space="preserve">Diesel for Auger </t>
  </si>
  <si>
    <t>VIzag to WL Bike Transport</t>
  </si>
  <si>
    <t xml:space="preserve">Diesel for tractor shifting </t>
  </si>
  <si>
    <t>nuts and bolts 2000 nos INC Transport</t>
  </si>
  <si>
    <t xml:space="preserve">Bulbs and Switches </t>
  </si>
  <si>
    <t xml:space="preserve">Bed transport Vskp to KZP </t>
  </si>
  <si>
    <t>Materail tractor shifting diesel</t>
  </si>
  <si>
    <t xml:space="preserve">JCB rent &amp; 7 hrs </t>
  </si>
  <si>
    <t>Cables, Pipes, mcbs etc</t>
  </si>
  <si>
    <t>Rope, POles, Karralu</t>
  </si>
  <si>
    <t>Diesel for shifting tractor</t>
  </si>
  <si>
    <t>PLY WOOD UNLDING</t>
  </si>
  <si>
    <t>Hardware items</t>
  </si>
  <si>
    <t xml:space="preserve">CCTV ,PURCHASE </t>
  </si>
  <si>
    <t>HARDWARE MACHINE INC TRANSPORT</t>
  </si>
  <si>
    <t>SWITCHES, BOARDS</t>
  </si>
  <si>
    <t xml:space="preserve">cable,mcb,drill bits </t>
  </si>
  <si>
    <t xml:space="preserve">Sai srinu bike Transport </t>
  </si>
  <si>
    <t xml:space="preserve">Sand 32 tons </t>
  </si>
  <si>
    <t xml:space="preserve">Platform labour Transport </t>
  </si>
  <si>
    <t xml:space="preserve">M Sand 2 loads </t>
  </si>
  <si>
    <t>nails, binding wire pipe, hammer etc</t>
  </si>
  <si>
    <t xml:space="preserve">Hardware Shifting </t>
  </si>
  <si>
    <t>Diesel for trctor</t>
  </si>
  <si>
    <t xml:space="preserve">pavan hardware purchase </t>
  </si>
  <si>
    <t>GAmela, Parelu</t>
  </si>
  <si>
    <t xml:space="preserve">Platform RMC </t>
  </si>
  <si>
    <t xml:space="preserve">20*300 cement bags </t>
  </si>
  <si>
    <t xml:space="preserve">cctv sIM </t>
  </si>
  <si>
    <t>Valigonda to Hanumakonda Cenetring transport</t>
  </si>
  <si>
    <t xml:space="preserve">Bled Cutting Labour </t>
  </si>
  <si>
    <t xml:space="preserve">Washroom cleaning </t>
  </si>
  <si>
    <t xml:space="preserve">Platform labour payment </t>
  </si>
  <si>
    <t>Platfrom RMC</t>
  </si>
  <si>
    <t>Mesh, Brooms</t>
  </si>
  <si>
    <t>3 trips Wet Mix</t>
  </si>
  <si>
    <t xml:space="preserve">Tractor repair , welding </t>
  </si>
  <si>
    <t xml:space="preserve">Nails,Water can,pavada, cable </t>
  </si>
  <si>
    <t xml:space="preserve">katar, cutting blade,tester etc </t>
  </si>
  <si>
    <t xml:space="preserve">Diesel for tractor </t>
  </si>
  <si>
    <t xml:space="preserve">12mm iron </t>
  </si>
  <si>
    <t xml:space="preserve">Wood and drill Machine repair </t>
  </si>
  <si>
    <t xml:space="preserve">JCB cleaning </t>
  </si>
  <si>
    <t>Sand gW :7630</t>
  </si>
  <si>
    <t>Steel, thalam billalu, stand pipes INCL transport</t>
  </si>
  <si>
    <t xml:space="preserve">Spanz 2 sets </t>
  </si>
  <si>
    <t>Cement bags 20*300</t>
  </si>
  <si>
    <t>Cement bags 06*300</t>
  </si>
  <si>
    <t>Tapes, HAmmer, Bucket, Jugs etc</t>
  </si>
  <si>
    <t>3mm and 2mm nut bolt, Gunapalu</t>
  </si>
  <si>
    <t>Nagaraju and thrinadh train tckts</t>
  </si>
  <si>
    <t>Diesel for Augering full tank</t>
  </si>
  <si>
    <t>Cement 20*300 incl transport</t>
  </si>
  <si>
    <t>Machine drill and etc</t>
  </si>
  <si>
    <t>Engine Oil 40*50</t>
  </si>
  <si>
    <t>15m Tape 2</t>
  </si>
  <si>
    <t xml:space="preserve">Steel Unloading </t>
  </si>
  <si>
    <t xml:space="preserve">Dorababu Diesel </t>
  </si>
  <si>
    <t xml:space="preserve">Sai Srinu Drill Machine and Blades </t>
  </si>
  <si>
    <t xml:space="preserve">Washroom Reapir and blads, auto </t>
  </si>
  <si>
    <t>Car Transport Diesel</t>
  </si>
  <si>
    <t xml:space="preserve">Balaji Tools, Welding Rods </t>
  </si>
  <si>
    <t xml:space="preserve">VSKP TO KZP TRANSPORT WITH PACKING </t>
  </si>
  <si>
    <t xml:space="preserve"> Unloading and transport to hub</t>
  </si>
  <si>
    <t>Paint, rollers, stand spanz</t>
  </si>
  <si>
    <t xml:space="preserve">Tractor 10mm metal </t>
  </si>
  <si>
    <t>Lorry 10mm Metal</t>
  </si>
  <si>
    <t>Cement bags 40*300 + Transport</t>
  </si>
  <si>
    <t xml:space="preserve">USage JCB </t>
  </si>
  <si>
    <t xml:space="preserve">Newpaper, diesel, engine oil </t>
  </si>
  <si>
    <t xml:space="preserve">Gamela 15 line doors 15 </t>
  </si>
  <si>
    <t>cement bags 2</t>
  </si>
  <si>
    <t xml:space="preserve">Labour Rc card, Gamela </t>
  </si>
  <si>
    <t>Sand GW:7890</t>
  </si>
  <si>
    <t>12mm 1 Bundle + Weighment</t>
  </si>
  <si>
    <t>Hole Passlu 3.5 lag</t>
  </si>
  <si>
    <t xml:space="preserve">Lappankati, saws </t>
  </si>
  <si>
    <t>Diesel 2 tractors</t>
  </si>
  <si>
    <t xml:space="preserve">nuts and Bolts </t>
  </si>
  <si>
    <t>Current permission, fitting, service</t>
  </si>
  <si>
    <t>Door frames unload charges</t>
  </si>
  <si>
    <t xml:space="preserve">Doorframes, windows, jalis </t>
  </si>
  <si>
    <t>rapam,rappanpetti,Saw</t>
  </si>
  <si>
    <t>Transport for above</t>
  </si>
  <si>
    <t>Tap,mufer,dogs,mulamattam</t>
  </si>
  <si>
    <t xml:space="preserve">Labour room rent </t>
  </si>
  <si>
    <t>hanmkonda to  palakurthy</t>
  </si>
  <si>
    <t>SS MAchines 4</t>
  </si>
  <si>
    <t>16 flatbit,14 cutting wheels 40</t>
  </si>
  <si>
    <t>2400W Vibrator,SS drill</t>
  </si>
  <si>
    <t>Rings, Taapi Steel</t>
  </si>
  <si>
    <t>Clam H/W</t>
  </si>
  <si>
    <t xml:space="preserve">SSmixer,Editop,Mixer dca 2 </t>
  </si>
  <si>
    <t>MCPBL4,TCTSS20</t>
  </si>
  <si>
    <t>Nuts,Bolts,Vachers</t>
  </si>
  <si>
    <t>Tap 15mtr</t>
  </si>
  <si>
    <t>Diesel for augering</t>
  </si>
  <si>
    <t xml:space="preserve">Steel 8mm </t>
  </si>
  <si>
    <t>Theegaram to valigonda plywood transport</t>
  </si>
  <si>
    <t>Small Cutting machine</t>
  </si>
  <si>
    <t xml:space="preserve">12mm Chips oad </t>
  </si>
  <si>
    <t>20m wire,lights,regulators</t>
  </si>
  <si>
    <t>Diesel for Tractor</t>
  </si>
  <si>
    <t xml:space="preserve">Saw,10 Bleds </t>
  </si>
  <si>
    <t xml:space="preserve">RMc beta, Nuts Bolts </t>
  </si>
  <si>
    <t>Meku,RepairCM,RMC Lbr</t>
  </si>
  <si>
    <t xml:space="preserve">Diesel Full Tank </t>
  </si>
  <si>
    <t xml:space="preserve">Weldings, electricals </t>
  </si>
  <si>
    <t>Water Labour</t>
  </si>
  <si>
    <t xml:space="preserve">Materail Diesel </t>
  </si>
  <si>
    <t>Gamela,Doors</t>
  </si>
  <si>
    <t>Fans 3</t>
  </si>
  <si>
    <t>Billalu,clamps,pipes lots etc incl transport</t>
  </si>
  <si>
    <t>Iron rekulu shed  12mm 10mm</t>
  </si>
  <si>
    <t>RMC,bucket,engine,gloves etc</t>
  </si>
  <si>
    <t xml:space="preserve">Cement 10bags </t>
  </si>
  <si>
    <t xml:space="preserve">Driver food 2wks,RmC beta </t>
  </si>
  <si>
    <t>Electrical pipes,Spanner</t>
  </si>
  <si>
    <t xml:space="preserve">Door Frames 6 </t>
  </si>
  <si>
    <t>50L,Can and Basket</t>
  </si>
  <si>
    <t xml:space="preserve">Cutting player,tester,Drill Bit </t>
  </si>
  <si>
    <t xml:space="preserve">ReAugering </t>
  </si>
  <si>
    <t>half inch pipes</t>
  </si>
  <si>
    <t>Pipes, covering box,Transport</t>
  </si>
  <si>
    <t>Wood,Fibershet,etc,Store Pp</t>
  </si>
  <si>
    <t xml:space="preserve">Shed Pp, electricals </t>
  </si>
  <si>
    <t>8mmdog and whole Bit</t>
  </si>
  <si>
    <t>Sand gw; 32.360</t>
  </si>
  <si>
    <t>DriverBeta,kata</t>
  </si>
  <si>
    <t>FederBox,MCb,Coil wire</t>
  </si>
  <si>
    <t>Augering Amount</t>
  </si>
  <si>
    <t>Diesel hanumanth</t>
  </si>
  <si>
    <t>Shed pp,Switch bd etc</t>
  </si>
  <si>
    <t>Water Drums</t>
  </si>
  <si>
    <t>Wood Cutting Labour Payment</t>
  </si>
  <si>
    <t>Diesel For Tractor</t>
  </si>
  <si>
    <t xml:space="preserve">PVC, M Tapes </t>
  </si>
  <si>
    <t>Diesel Tractor</t>
  </si>
  <si>
    <t>Cement, Drill,Tukam Gundi</t>
  </si>
  <si>
    <t xml:space="preserve">Diesel Tractor </t>
  </si>
  <si>
    <t>Sand Unloading,rent Tractor ,kata</t>
  </si>
  <si>
    <t>Hanmkonda to Siddipet DCM</t>
  </si>
  <si>
    <t xml:space="preserve">8mm Steel </t>
  </si>
  <si>
    <t>Spanners</t>
  </si>
  <si>
    <t>Nuts,Bolts,Vachers 1000 NOS each</t>
  </si>
  <si>
    <t>Shed Purpose,Para,Gamela etc</t>
  </si>
  <si>
    <t>Drill machine, 16mm bits,Sb</t>
  </si>
  <si>
    <t>12mm 8mm digs,Level pipe,NailsPb, etc</t>
  </si>
  <si>
    <t>Cement Bags 47*280</t>
  </si>
  <si>
    <t>Tractor diesel</t>
  </si>
  <si>
    <t>Molds Transport</t>
  </si>
  <si>
    <t>Pipes,Tapi,Gloves,Covering Box</t>
  </si>
  <si>
    <t>PxC,DrillBit,Scale,spaner</t>
  </si>
  <si>
    <t>Vizag To Palakurthy</t>
  </si>
  <si>
    <t>TRACTOR</t>
  </si>
  <si>
    <t>Hari &amp; Venkatarao</t>
  </si>
  <si>
    <t>Valigonda to hanumakonda</t>
  </si>
  <si>
    <t>Vizag to telangana</t>
  </si>
  <si>
    <t>Hanmakonda to palkurthy</t>
  </si>
  <si>
    <t xml:space="preserve">Full diesel spends from 12.01 to 22.01 </t>
  </si>
  <si>
    <t>Rachakonda venkatamma, and Gangarapu Ilaiah</t>
  </si>
  <si>
    <t xml:space="preserve">Material from Ramavaram Site to Wl inclusive auto from Ramavarm to Vizag station </t>
  </si>
  <si>
    <t>AP40KF2834,AP40DC0089</t>
  </si>
  <si>
    <t>05/02 to 10/02</t>
  </si>
  <si>
    <t>Drill Machine, drill Bit, Spanners,Scale,30bit slot,etc</t>
  </si>
  <si>
    <t>Chennarao Pet</t>
  </si>
  <si>
    <t>WET MIX 2 trips  For Gudikunta Thanda</t>
  </si>
  <si>
    <t>Kyathamapalle</t>
  </si>
  <si>
    <t>Mehaboobabad</t>
  </si>
  <si>
    <t>NagireddyPet</t>
  </si>
  <si>
    <t>Velair</t>
  </si>
  <si>
    <t>Parakal</t>
  </si>
  <si>
    <t>Mehaboob Nagar</t>
  </si>
  <si>
    <t>Comp Tools</t>
  </si>
  <si>
    <t>runners</t>
  </si>
  <si>
    <t>Kowdipalli</t>
  </si>
  <si>
    <t>3 Inch Nails  2.5 Kg</t>
  </si>
  <si>
    <t>Lock</t>
  </si>
  <si>
    <t xml:space="preserve">10 Bags * 260 </t>
  </si>
  <si>
    <t>Cement Bag For Pump</t>
  </si>
  <si>
    <t>1 Vehiclle</t>
  </si>
  <si>
    <t>2 Vehicle</t>
  </si>
  <si>
    <t>2 Vehicle  1 Pump</t>
  </si>
  <si>
    <t>SMI 2026-27/006</t>
  </si>
  <si>
    <t>Turkapally</t>
  </si>
  <si>
    <t>Doultabad &amp; Rural</t>
  </si>
  <si>
    <t>SMI 2026-27/007</t>
  </si>
  <si>
    <t>SMI 2026-27/008</t>
  </si>
  <si>
    <t>SMI 2026-27/009</t>
  </si>
  <si>
    <t>SMI 2026-27/010</t>
  </si>
  <si>
    <t>Doulthabad</t>
  </si>
  <si>
    <t>Madipalle</t>
  </si>
  <si>
    <t>Raghavapur</t>
  </si>
  <si>
    <t>VT-GEN-2627-204</t>
  </si>
  <si>
    <t>VT-GEN-2627-205</t>
  </si>
  <si>
    <t>VT-GEN-2627-210</t>
  </si>
  <si>
    <t>VT-GEN-2627-211</t>
  </si>
  <si>
    <t>VT-GEN-2627-216</t>
  </si>
  <si>
    <t>VT-GEN-2627-217</t>
  </si>
  <si>
    <t>VT-GEN-2627-239</t>
  </si>
  <si>
    <t>VT-GEN-2627-238</t>
  </si>
  <si>
    <t>VT-GEN-2627-237</t>
  </si>
  <si>
    <t>VT-GEN-2627-236</t>
  </si>
  <si>
    <t>VT-GEN-2627-234</t>
  </si>
  <si>
    <t>VT-GEN-2627-233</t>
  </si>
  <si>
    <t>VT-GEN-2627-232</t>
  </si>
  <si>
    <t>VT-GEN-2627-226</t>
  </si>
  <si>
    <t>VT-GEN-2627-224</t>
  </si>
  <si>
    <t>VT-GEN-2627-223</t>
  </si>
  <si>
    <t>VT-GEN-2627-243</t>
  </si>
  <si>
    <t>VT-GEN-2627-244</t>
  </si>
  <si>
    <t>616/26-27</t>
  </si>
  <si>
    <t>614/26-27</t>
  </si>
  <si>
    <t>603/26-27</t>
  </si>
  <si>
    <t>602/26-27</t>
  </si>
  <si>
    <t>549/26-27</t>
  </si>
  <si>
    <t>503/26-27</t>
  </si>
  <si>
    <t>500/26-27</t>
  </si>
  <si>
    <t>496/26-27</t>
  </si>
  <si>
    <t>490/26-27</t>
  </si>
  <si>
    <t>472/26-27</t>
  </si>
  <si>
    <t>Rajkamal Steel</t>
  </si>
  <si>
    <t>BY CASH Prasad</t>
  </si>
  <si>
    <t>Prime Brick</t>
  </si>
  <si>
    <t>Transport Extra</t>
  </si>
  <si>
    <t>Terili Santu</t>
  </si>
  <si>
    <t>Sree Engineers RMC</t>
  </si>
  <si>
    <t>HDFC410E36D7574B</t>
  </si>
  <si>
    <t>HDFC9DB429A117A9</t>
  </si>
  <si>
    <t>HDFC161B471A1C14</t>
  </si>
  <si>
    <t>Iron</t>
  </si>
  <si>
    <t>RL Work Iron 8 mm</t>
  </si>
  <si>
    <t>RL Work  Cement</t>
  </si>
  <si>
    <t>RL Work  Cement / iron</t>
  </si>
  <si>
    <t>12 mm Iron</t>
  </si>
  <si>
    <t>12 mm</t>
  </si>
  <si>
    <t>10 mm iron</t>
  </si>
  <si>
    <t>RMC</t>
  </si>
  <si>
    <t>Manugonda</t>
  </si>
  <si>
    <t>SRI VEDA INFRA</t>
  </si>
  <si>
    <t>kachapur</t>
  </si>
  <si>
    <t>Sanjana RMC Kamareddy</t>
  </si>
  <si>
    <t>Sanjana RMC</t>
  </si>
  <si>
    <t>Varikole</t>
  </si>
  <si>
    <t>Kysampally thanda</t>
  </si>
  <si>
    <t>Oorugonda</t>
  </si>
  <si>
    <t>Bheemadevarapally</t>
  </si>
  <si>
    <t>Bhimadevarapally</t>
  </si>
  <si>
    <t>TS 06 UA 1980</t>
  </si>
  <si>
    <t>Sanjana RMC MEDAK</t>
  </si>
  <si>
    <t>Amber pet Pump</t>
  </si>
  <si>
    <t>TS 12 UC 0813</t>
  </si>
  <si>
    <t>Peda mallareddy</t>
  </si>
  <si>
    <t>Vangapahad</t>
  </si>
  <si>
    <t>ECO CARE Building materials</t>
  </si>
  <si>
    <t>PRIME AAC BLOCKS</t>
  </si>
  <si>
    <t>AP 39 UB 6490</t>
  </si>
  <si>
    <t>Nandhini RMC</t>
  </si>
  <si>
    <t>TG17T0558</t>
  </si>
  <si>
    <t>TS 12 U 9813</t>
  </si>
  <si>
    <t>TS 12 UD 7163</t>
  </si>
  <si>
    <t>Deshai Thanda</t>
  </si>
  <si>
    <t>AP29V6006</t>
  </si>
  <si>
    <t>Infra Market</t>
  </si>
  <si>
    <t>Mothe</t>
  </si>
  <si>
    <t>Sai Manikanta Infra Iron</t>
  </si>
  <si>
    <t>SAI MANIKANTA INFRA</t>
  </si>
  <si>
    <t>Steel</t>
  </si>
  <si>
    <t>IRON Transport</t>
  </si>
  <si>
    <t>2025-26/371</t>
  </si>
  <si>
    <t>Veerapur  12MM</t>
  </si>
  <si>
    <t>Veerapur  10MM</t>
  </si>
  <si>
    <t>Bharathi RMC Infra</t>
  </si>
  <si>
    <t>Pullur</t>
  </si>
  <si>
    <t>SAI VANI SIDDIPET</t>
  </si>
  <si>
    <t>Sai Vani RMC PVT LTD.</t>
  </si>
  <si>
    <t>AP 15 TB 9917</t>
  </si>
  <si>
    <t>Kotha Radhy Shyam Gajwel</t>
  </si>
  <si>
    <t>Sri Venkateswara RMC</t>
  </si>
  <si>
    <t>AP 28 TE 7917</t>
  </si>
  <si>
    <t>Wardhannapeta</t>
  </si>
  <si>
    <t>TG 36 T 3111</t>
  </si>
  <si>
    <t>Ramaram</t>
  </si>
  <si>
    <t>TS 36 T 5326</t>
  </si>
  <si>
    <t>TS 36 T 5324</t>
  </si>
  <si>
    <t>Banda Charlapally</t>
  </si>
  <si>
    <t>TS 15 UB 4230</t>
  </si>
  <si>
    <t>AP 03 Y 0525</t>
  </si>
  <si>
    <t>Vemulakonda</t>
  </si>
  <si>
    <t>Vakiti Vijay Kumar (Bhongir)</t>
  </si>
  <si>
    <t>Arrur</t>
  </si>
  <si>
    <t>Dasi Reddy Gudem</t>
  </si>
  <si>
    <t>Bussapur</t>
  </si>
  <si>
    <t>AP 15 TB 9918</t>
  </si>
  <si>
    <t>Varkatpalle</t>
  </si>
  <si>
    <t>TG 08 U 2111</t>
  </si>
  <si>
    <t>Puligilla</t>
  </si>
  <si>
    <t>Wet Mix</t>
  </si>
  <si>
    <t>Vasudeva Stone Crusher</t>
  </si>
  <si>
    <t>Jagan Reddy</t>
  </si>
  <si>
    <t>TS 07 UE 6774</t>
  </si>
  <si>
    <t>Kothapalli</t>
  </si>
  <si>
    <t>Gollapalle</t>
  </si>
  <si>
    <t>Arepally</t>
  </si>
  <si>
    <t>Chandravancha</t>
  </si>
  <si>
    <t>Laxmi Narasimha RMC</t>
  </si>
  <si>
    <t>Irkode</t>
  </si>
  <si>
    <t>Real rock Plant Kukkadam</t>
  </si>
  <si>
    <t>Real Rock AAC LLP</t>
  </si>
  <si>
    <t>TS 05 UF 6596</t>
  </si>
  <si>
    <t>AP 27 TT 0243</t>
  </si>
  <si>
    <t>TS 05 UF 6604</t>
  </si>
  <si>
    <t>AP 39 UB 6487</t>
  </si>
  <si>
    <t>Bodagutta</t>
  </si>
  <si>
    <t>TS 29 TB 8015</t>
  </si>
  <si>
    <t>TS 29 TB 8021</t>
  </si>
  <si>
    <t>Seripally Bandaram</t>
  </si>
  <si>
    <t>Konaipally</t>
  </si>
  <si>
    <t>MSAND</t>
  </si>
  <si>
    <t>Venkata Sri Stone Crusher</t>
  </si>
  <si>
    <t>Srikanth Reddy</t>
  </si>
  <si>
    <t>TS 03 UC 8771</t>
  </si>
  <si>
    <t>TS 15 UC 9459</t>
  </si>
  <si>
    <t>sitarampalle</t>
  </si>
  <si>
    <t>10MM</t>
  </si>
  <si>
    <t>Adhija Stone Crusher</t>
  </si>
  <si>
    <t>Rampur</t>
  </si>
  <si>
    <t>Warangal Muncipal Corporation</t>
  </si>
  <si>
    <t>Pagidipalli</t>
  </si>
  <si>
    <t>Sangameswara</t>
  </si>
  <si>
    <t>Sompally</t>
  </si>
  <si>
    <t>Lingarajpalle</t>
  </si>
  <si>
    <t>TS 05 UF 9086</t>
  </si>
  <si>
    <t>Chemical Bags</t>
  </si>
  <si>
    <t>Sai manikanta Infra Cement</t>
  </si>
  <si>
    <t>Solipuram</t>
  </si>
  <si>
    <t>Abdulla Nagar</t>
  </si>
  <si>
    <t>Theegaram</t>
  </si>
  <si>
    <t>Waddepally</t>
  </si>
  <si>
    <t>Laparthy</t>
  </si>
  <si>
    <t>Munupally</t>
  </si>
  <si>
    <t>Ursugutta</t>
  </si>
  <si>
    <t>Vachya Thanda</t>
  </si>
  <si>
    <t>Palivelpula</t>
  </si>
  <si>
    <t>Mucherla</t>
  </si>
  <si>
    <t>Kothapeta</t>
  </si>
  <si>
    <t>Gollapalli Petrol Bunk</t>
  </si>
  <si>
    <t>Sainagar (Dabbal)</t>
  </si>
  <si>
    <t>Chennaram Wardhannapeta</t>
  </si>
  <si>
    <t>Kazipet</t>
  </si>
  <si>
    <t>Deshaipet</t>
  </si>
  <si>
    <t>Jakkaloddi Kareemabad</t>
  </si>
  <si>
    <t>Jakkaloddi Kareemadab</t>
  </si>
  <si>
    <t>Vochaya Thanda</t>
  </si>
  <si>
    <t>Jesyanayak Thanda</t>
  </si>
  <si>
    <t>Kareemabad</t>
  </si>
  <si>
    <t>100 Feet Road</t>
  </si>
  <si>
    <t>Shyampet</t>
  </si>
  <si>
    <t>Peechara</t>
  </si>
  <si>
    <t>L.B Nagar</t>
  </si>
  <si>
    <t>L.B.Nagar</t>
  </si>
  <si>
    <t>Chinthagattu</t>
  </si>
  <si>
    <t>Dharvepally</t>
  </si>
  <si>
    <t>Veleru</t>
  </si>
  <si>
    <t>Gudur</t>
  </si>
  <si>
    <t>Hnk</t>
  </si>
  <si>
    <t>Kyathampally</t>
  </si>
  <si>
    <t>Kothapally</t>
  </si>
  <si>
    <t>Katrial</t>
  </si>
  <si>
    <t>Naim Nagar</t>
  </si>
  <si>
    <t>Ellandu</t>
  </si>
  <si>
    <t>Lashkar Singaram HNK</t>
  </si>
  <si>
    <t>Sammaiah Nagar</t>
  </si>
  <si>
    <t>Dammannapeta</t>
  </si>
  <si>
    <t>Gatlanarsingapur</t>
  </si>
  <si>
    <t>Kyathampalli</t>
  </si>
  <si>
    <t>Rapakapally</t>
  </si>
  <si>
    <t>Indira Nagar</t>
  </si>
  <si>
    <t>Janakipuram</t>
  </si>
  <si>
    <t>Indra Nagar</t>
  </si>
  <si>
    <t>Thatikayala</t>
  </si>
  <si>
    <t>Madipalli</t>
  </si>
  <si>
    <t>Anantha Sagar</t>
  </si>
  <si>
    <t>Hasanparthy</t>
  </si>
  <si>
    <t>Gopalpur</t>
  </si>
  <si>
    <t>Pegadapalli</t>
  </si>
  <si>
    <t>Veeramalla Vinodh</t>
  </si>
  <si>
    <t>20MM</t>
  </si>
  <si>
    <t>Veerapoor</t>
  </si>
  <si>
    <t>Banswada stone crusher</t>
  </si>
  <si>
    <t>Srinivasa Stone Crusher</t>
  </si>
  <si>
    <t>AP31T4668</t>
  </si>
  <si>
    <t>SAI MANIKANTA BRICKS</t>
  </si>
  <si>
    <t>Tractor</t>
  </si>
  <si>
    <t>SHETPALLI SANGAREDDY</t>
  </si>
  <si>
    <t>LINGAMPET</t>
  </si>
  <si>
    <t>TS 08 UK 6016</t>
  </si>
  <si>
    <t>18-03-</t>
  </si>
  <si>
    <t>AP22X1308</t>
  </si>
  <si>
    <t>Sitarampally</t>
  </si>
  <si>
    <t>AAC 8*8*24</t>
  </si>
  <si>
    <t>Kondapur</t>
  </si>
  <si>
    <t>Jagadamba Thanda</t>
  </si>
  <si>
    <t>PERUMALLA</t>
  </si>
  <si>
    <t>6mm</t>
  </si>
  <si>
    <t>Dust</t>
  </si>
  <si>
    <t>40MM</t>
  </si>
  <si>
    <t>Vendor Bill Details</t>
  </si>
  <si>
    <t>Net Value</t>
  </si>
  <si>
    <t>TDS@1%</t>
  </si>
  <si>
    <t>M.CUBE</t>
  </si>
  <si>
    <t xml:space="preserve">Units </t>
  </si>
  <si>
    <t>Village</t>
  </si>
  <si>
    <t>Material Purchase Party Details</t>
  </si>
  <si>
    <t>Vendor_Name</t>
  </si>
  <si>
    <t>Vehicle No</t>
  </si>
  <si>
    <t>Trip Sheet No</t>
  </si>
  <si>
    <t>Month</t>
  </si>
  <si>
    <t>MATERIAL  PURCHASE DETAILS</t>
  </si>
  <si>
    <t>August 4 Th Week</t>
  </si>
  <si>
    <t>Sep 1 st Week</t>
  </si>
  <si>
    <t>Sep 2nd Week</t>
  </si>
  <si>
    <t>Sep 3rd Week</t>
  </si>
  <si>
    <t>QUOTATION TO GAURAV  SIR</t>
  </si>
  <si>
    <t>Kamepally</t>
  </si>
  <si>
    <t>JM/049/26-27</t>
  </si>
  <si>
    <t>MEDAK</t>
  </si>
  <si>
    <t>KOWDIPALLY</t>
  </si>
  <si>
    <t>JMDIN002978/2627</t>
  </si>
  <si>
    <t>Hanmakonda</t>
  </si>
  <si>
    <t>BY CASH  Golden Rock Cards</t>
  </si>
  <si>
    <t>Dimpu</t>
  </si>
  <si>
    <t>TS12UC9813</t>
  </si>
  <si>
    <t>TG36T1093</t>
  </si>
  <si>
    <t>TS36TA5406</t>
  </si>
  <si>
    <t>TS12UD7163</t>
  </si>
  <si>
    <t>AP29TB4494</t>
  </si>
  <si>
    <t>2460/25-26</t>
  </si>
  <si>
    <t>2461/25-26</t>
  </si>
  <si>
    <t>722/26-27</t>
  </si>
  <si>
    <t>718/26-27</t>
  </si>
  <si>
    <t>716/26-27</t>
  </si>
  <si>
    <t>707/26-27</t>
  </si>
  <si>
    <t>687/26-27</t>
  </si>
  <si>
    <t>672/26-27</t>
  </si>
  <si>
    <t>671/26-27</t>
  </si>
  <si>
    <t>661/26-27</t>
  </si>
  <si>
    <t>656/26-27</t>
  </si>
  <si>
    <t>Material Supplier</t>
  </si>
  <si>
    <t>Rajkamal Steel Traders</t>
  </si>
  <si>
    <t>SS GOLD Sridhar</t>
  </si>
  <si>
    <t>Dhanunjay Rao Suvvada</t>
  </si>
  <si>
    <t>HDFCD1908CE69B73</t>
  </si>
  <si>
    <t>HDFCB9C534961226</t>
  </si>
  <si>
    <t>Rapaka Lakshmi</t>
  </si>
  <si>
    <t>BL Payment Reversal</t>
  </si>
  <si>
    <t>Astonic ICICI</t>
  </si>
  <si>
    <t>Mamatha</t>
  </si>
  <si>
    <t>HDFCH01110416463</t>
  </si>
  <si>
    <t>HDFC9320E0856C40</t>
  </si>
  <si>
    <t>Sree Lakshmi Narasimha Cement Agencies</t>
  </si>
  <si>
    <t>MBNR Steel</t>
  </si>
  <si>
    <t>Shaik Subhani</t>
  </si>
  <si>
    <t>HDFCAA8D3BCB1B61</t>
  </si>
  <si>
    <t>HDFC6C8B83F578D7</t>
  </si>
  <si>
    <t>HDFCA898F72B34E1</t>
  </si>
  <si>
    <t>HDFCF54F2E4DA0AB</t>
  </si>
  <si>
    <t>SHEIK VALI</t>
  </si>
  <si>
    <t>8MM 3.155 Kgs</t>
  </si>
  <si>
    <t>MBNR</t>
  </si>
  <si>
    <t>Iron Moulds</t>
  </si>
  <si>
    <t xml:space="preserve">ICICI Cards </t>
  </si>
  <si>
    <t>ICICI</t>
  </si>
  <si>
    <t>ICICI EESHA INFRA</t>
  </si>
  <si>
    <t>12 MM</t>
  </si>
  <si>
    <t>Msand</t>
  </si>
  <si>
    <t>12MM</t>
  </si>
  <si>
    <t>Row Labels</t>
  </si>
  <si>
    <t>(blank)</t>
  </si>
  <si>
    <t>Grand Total</t>
  </si>
  <si>
    <t>Column Labels</t>
  </si>
  <si>
    <t>Sum of Amount</t>
  </si>
  <si>
    <t>Macha Reddy</t>
  </si>
  <si>
    <t>Electrical work pipes, boxes, Lbends purchased by k govindu for picharaa Rc work</t>
  </si>
  <si>
    <t>Sudhakar Pipes</t>
  </si>
  <si>
    <t>D-Box</t>
  </si>
  <si>
    <t>L Bends</t>
  </si>
  <si>
    <t>Cover Box</t>
  </si>
  <si>
    <t>TS24A4224 TRACTOR DEISEL PAYMENT BY G NAGARAJU AT WARDHANPET</t>
  </si>
  <si>
    <t>Water pipe purchased bablu at sangem</t>
  </si>
  <si>
    <t>RC WORK MATERIALS PURCHASED BY DEGA VAMSI AT WARD NO 47 FOR RC WORK</t>
  </si>
  <si>
    <t>sand purchased by setti suresh at parkal for rl work</t>
  </si>
  <si>
    <t>Soot pipe purchased by m sai. At monr for bl rmc</t>
  </si>
  <si>
    <t>Wardhanpet</t>
  </si>
  <si>
    <t>Water Pipe</t>
  </si>
  <si>
    <t>20mtr</t>
  </si>
  <si>
    <t>Pipes</t>
  </si>
  <si>
    <t>Bend pipes</t>
  </si>
  <si>
    <t>10 No</t>
  </si>
  <si>
    <t>8 No</t>
  </si>
  <si>
    <t>5.2 MT</t>
  </si>
  <si>
    <t>3M Tape</t>
  </si>
  <si>
    <t>Electric Tape</t>
  </si>
  <si>
    <t>Blade</t>
  </si>
  <si>
    <t>Taphi</t>
  </si>
  <si>
    <t>Small Tapi</t>
  </si>
  <si>
    <t>Cesing Pipe</t>
  </si>
  <si>
    <t>TS21T6869 TRACTOR DEISEL PAYMENT BY BADDI SOMESH AT SIDDIPET RUL</t>
  </si>
  <si>
    <t>10mm chips purchased by boggu Vijay Kumar at Narasapuram for rl work</t>
  </si>
  <si>
    <t>10mm chips purchased by setti suresh for parkal rl work</t>
  </si>
  <si>
    <t>advance amount paid for door frames, nujiveedu payment through AVS REDDY</t>
  </si>
  <si>
    <t>Saws-2,hand gloves-2sets purchased by korupolu siva at nagireddypet for ri work</t>
  </si>
  <si>
    <t>Electricals, gum bottle purchased by dega vamsi at hanumakonda</t>
  </si>
  <si>
    <t>AP 39 DC 3351 TRACTOR DEISEL PAYMENT BY U MANIKANTA AT KAMEPALLI for RL WORK</t>
  </si>
  <si>
    <t>RI materials purchased by padala bhanuprasad at bhiknoor for rl work</t>
  </si>
  <si>
    <t>chemical bags store room rent-2000/-(10-06-2026 to 10-07-2026) 1 month payment by baddi somesh at pullur</t>
  </si>
  <si>
    <t>Supervisor room rent (13-06-2026 to 13-07-2026) 1 month payment by baddi somesh at pullur</t>
  </si>
  <si>
    <t>2.5 inch</t>
  </si>
  <si>
    <t>Nails  3 inch</t>
  </si>
  <si>
    <t>Binding Wire</t>
  </si>
  <si>
    <t>5Kg</t>
  </si>
  <si>
    <t>Door frames</t>
  </si>
  <si>
    <t>Saws</t>
  </si>
  <si>
    <t>Hand gloves</t>
  </si>
  <si>
    <t>Scewdriver</t>
  </si>
  <si>
    <t>Gum bottle</t>
  </si>
  <si>
    <t>Labour Charges</t>
  </si>
  <si>
    <t>Aluminium pattalu</t>
  </si>
  <si>
    <t>Gameenaalu</t>
  </si>
  <si>
    <t>Steel cutting Machine</t>
  </si>
  <si>
    <t>Water level Pipe</t>
  </si>
  <si>
    <t>Line doors</t>
  </si>
  <si>
    <t>5 Mtr Tape</t>
  </si>
  <si>
    <t>mou's xerox payment by Surya Teja at siddipet</t>
  </si>
  <si>
    <t>Legal xerox</t>
  </si>
  <si>
    <t>A4 xerox</t>
  </si>
  <si>
    <t>Sand for Turkapally 35.850 Tons Sand</t>
  </si>
  <si>
    <t>RL Tools</t>
  </si>
  <si>
    <t xml:space="preserve">msand </t>
  </si>
  <si>
    <t>AP40KW7346 TRACTOR DEISEL PAYMENT BY P VINAY YADAV AT DOULTHABAD</t>
  </si>
  <si>
    <t>M Sand purchased by Boggu Vijay at narasapur for rl work</t>
  </si>
  <si>
    <t>AP39TN7863 New TRACTOR DEISEL PAYMENT BY M CHENNAREDDY AT HANWADA, MBNR</t>
  </si>
  <si>
    <t>Steel purchased by k narendra</t>
  </si>
  <si>
    <t>Cement purchased by k narendra</t>
  </si>
  <si>
    <t>Electrical work boxes purchased by k govindu for picharaa Rc work</t>
  </si>
  <si>
    <t>Electrical work Lbends purchased by k govindu for picharaa Rc work</t>
  </si>
  <si>
    <t>Cover box purchased by krishna at hanumakonda</t>
  </si>
  <si>
    <t>sponge purchased by krishna at hanumakonda</t>
  </si>
  <si>
    <t>12mm purchased by m chennareddy at hanwada, monr for rl work</t>
  </si>
  <si>
    <t>msand purchased by m chennareddy at hanwada, monr for rl work</t>
  </si>
  <si>
    <t>bl and rITools purchased by dega vamsi at hanumakonda for nirmithkendram (3M Tape)</t>
  </si>
  <si>
    <t>bl and rITools purchased by dega vamsi at hanumakonda for nirmithkendram (Electric Tape)</t>
  </si>
  <si>
    <t>bl and rITools purchased by dega vamsi at hanumakonda for nirmithkendram (Blade)</t>
  </si>
  <si>
    <t>bl and rITools purchased by dega vamsi at hanumakonda for nirmithkendram (Thapi)</t>
  </si>
  <si>
    <t>bl and rITools purchased by dega vamsi at hanumakonda for nirmithkendram (Small Thapi)</t>
  </si>
  <si>
    <t>Rc work Nailes 3 inch Kyathapally by k govindu at peechara</t>
  </si>
  <si>
    <t>Rc work Nails 2.5 inches Kyathapally by k govindu at peechara</t>
  </si>
  <si>
    <t>Rc work Bindingwire _1 Kyathapally by k govindu at peechara</t>
  </si>
  <si>
    <t>12mm purchased by m chennareddy at hanwada,mbnr for rl work</t>
  </si>
  <si>
    <t>msand purchased by m chennareddy at hanwada,mbnr for rl work</t>
  </si>
  <si>
    <t>Auto Charges</t>
  </si>
  <si>
    <t>AP39UQ7044 DCM VECHICAL DEISEL PAYMENT BY SIMHASALAM THROUGH AVS REDDY FOR LENTALS SHIFTED HANUMAKONDA TO MBNR</t>
  </si>
  <si>
    <t>AP23AJ4615 TRACTOR DEISEL PAYMENT BY BOGGU VIJAY AT NARASAPUR</t>
  </si>
  <si>
    <t>RMC TRIP AND PUMP CHARGES PAYMENT BY K GOVINDU AT PEECHARAA FOR RC WORK DT:11-07-2026 &amp; 13-07-2026</t>
  </si>
  <si>
    <t>Driver RMC &amp; Pump</t>
  </si>
  <si>
    <t>msand, agreegate one trip PAYMENT BY KONIREDDY SRINIVASULU AT MACHAREDDY FOR RL WORK</t>
  </si>
  <si>
    <t>AAC BLOCKS SHIFTING LABOUR CHARGES 420*2</t>
  </si>
  <si>
    <t>AAC BLOCKS SHIFTING LABOUR CHARGES 500*2</t>
  </si>
  <si>
    <t>Cement bags -8 purchased by k govindu at khathampalli for ro work dt:11-07-2026 to 14-07-2026</t>
  </si>
  <si>
    <t>covering boxes purchased by k govindu at khathampalli for ro work dt:11-07-2026 to 14-07-2026</t>
  </si>
  <si>
    <t>Covering boxes</t>
  </si>
  <si>
    <t>TS17A3949 TRACTOR DEISEL PAYMENT MUPPANA VAMSI AT LINGUMPET</t>
  </si>
  <si>
    <t>AP23AJ4615 TRACTOR DEISEL PAYMENT BY BOGGU VIJAY KUMAR AT NARASAPUR</t>
  </si>
  <si>
    <t>Cement bags-10 purchased by padala bhanu parasad at bhiknoor for rl work</t>
  </si>
  <si>
    <t>waste oil-06 lits purchased by G Ganesh at vasalamarri for rc work</t>
  </si>
  <si>
    <t>TS27T6494 TRACTOR DEISEL PAYMENT BY MADHUSUDHAN AT THEEGARAM TO HANUMAKONDA for MATERIAL SHIFTING PURPOSE</t>
  </si>
  <si>
    <t>Technical Team Room Rent</t>
  </si>
  <si>
    <t xml:space="preserve">12mm </t>
  </si>
  <si>
    <t>msand for RL Work at Kamepalli Site</t>
  </si>
  <si>
    <t>2.5 inches nails purchased by murali krishna at pamulaparthy</t>
  </si>
  <si>
    <t>Nails 2.5 inch</t>
  </si>
  <si>
    <t>pamulaparthy</t>
  </si>
  <si>
    <t>2.5kg</t>
  </si>
  <si>
    <t>Motor stater repair charges</t>
  </si>
  <si>
    <t>Other Expenses</t>
  </si>
  <si>
    <t>TSO3EQ7244 LOCAL TRACTOR DIESEL PAYMENT BY K GOVINDU AT PEECHAARA FOR ONE DAY ONLY</t>
  </si>
  <si>
    <t>Cement-30 bags, rl materials purchased by konireddy srinivasulu reddy at machareddy for rl work</t>
  </si>
  <si>
    <t>Cement-30 bags, rl materials purchased by konireddy srinivasulu reddy at machareddy for rl work 260*30</t>
  </si>
  <si>
    <t>Thread Packet</t>
  </si>
  <si>
    <t>Thapi</t>
  </si>
  <si>
    <t>Tape</t>
  </si>
  <si>
    <t>AP40KF2837 TRACTOR LOCAL DRIVER PAYMENTS BY KOTTENA NARENDRA BY BIRKOOR dt:05-07-2026 to 12-07-2026</t>
  </si>
  <si>
    <t>8 mm Steel (500kg) PURCHASED by padala bhanuprasad at bhiknoor for rl work</t>
  </si>
  <si>
    <t>Sand and aggregate Loading charges 2*500</t>
  </si>
  <si>
    <t>msand Loading Charges for 1 trip</t>
  </si>
  <si>
    <t>AP39UU1989 ashok Layland vehicle deisel payment by p Mahesh through avs reddy hanumakonda to siddipet</t>
  </si>
  <si>
    <t>8MM STEEL(628Kg) PURCHASED BY KORUPROLU SIVA AT NAGIREDDYPET FOR RL WORK.</t>
  </si>
  <si>
    <t>8MM</t>
  </si>
  <si>
    <t>Hamali Purchased</t>
  </si>
  <si>
    <t>10KG Nails</t>
  </si>
  <si>
    <t>Msand for Nagireddypet (600F)</t>
  </si>
  <si>
    <t>DOORS AND WINDOWS FITTING METERIAL PURCHASED BY DEGA VAMSI AT WARD NO:53</t>
  </si>
  <si>
    <t>Cement purchase at Lingampet</t>
  </si>
  <si>
    <t>M sand purchased by Vijay at narsapur for rl work</t>
  </si>
  <si>
    <t>AP23AJ4615 TRACTOR DEISEL PAYMENT BY B VIJAY AT NARASAPUR</t>
  </si>
  <si>
    <t>Opting</t>
  </si>
  <si>
    <t>Venkat Rao AUGUR VEHICLE DEISEL PAYMENT BY muralikrishna at pamulaparthy to rayapole</t>
  </si>
  <si>
    <t>Concrete tape box purchased by g ganesh at vasalamarri for rc work</t>
  </si>
  <si>
    <t>RI tools, electricals purchased by M Chennareddy at hanwada, Mbnr for RI labour, vendor Srirammurthi</t>
  </si>
  <si>
    <t>Vizag</t>
  </si>
  <si>
    <t>Markook</t>
  </si>
  <si>
    <t>Auto charges (UP AND DOWN) payment by suram prasad reddy at valigonda.DT:14-07-20261.VALIGONDA TO M THURAKAPALLI2.M THURAKAPALLI TO VALIGONDA</t>
  </si>
  <si>
    <t>electric board:2electric wire:1 bandle tape:1 purchased by padala bhanuprasad at bhiknoor for rl work</t>
  </si>
  <si>
    <t>chemical mixer 'rampaluPurchased by bhanuprasad at bhiknoor for rl work</t>
  </si>
  <si>
    <t>doulthabad room rent payment by p vinay for the month of June 2026</t>
  </si>
  <si>
    <t>Home needs purchased by sai through Sudhakar reddy sir mbnr</t>
  </si>
  <si>
    <t>AP39W1989 ASHOK Layland vehicle deisel payment by p Mahesh at hanumakonda to Anantapur for windows transport</t>
  </si>
  <si>
    <t>JCB DEISEL PAYMENT BY SURE KRISHNA REDDY AT HANUMAKONDA</t>
  </si>
  <si>
    <t>Steel Stands,jalies rent advance amount payment by padala bhanu prasad at bhiknoor for RL work</t>
  </si>
  <si>
    <t>RMC TRIP AND PUMP CHARGES PAYMENT BY KRISHNA for Bodagutta RC WORK.DT:15-07-2026</t>
  </si>
  <si>
    <t>AP03CD3038 TRACTOR DEISEL PAYMENT BY P VINAY AT DOULTHABAD</t>
  </si>
  <si>
    <t>AP40KW7346 TRACTOR DEISEL PAYMENT BY P VINAY AT DOULTHABAD DT:15-07-2026</t>
  </si>
  <si>
    <t>Hamali</t>
  </si>
  <si>
    <t>Cement-20  PURCHASED BY D VISHNU VARDHAN REDDY AT HANWADA, MBNR</t>
  </si>
  <si>
    <t>Hamali PURCHASED BY D VISHNU VARDHAN REDDY AT HANWADA, MBNR</t>
  </si>
  <si>
    <t>Binding Wire PURCHASED BY D VISHNU VARDHAN REDDY AT HANWADA, MBNR</t>
  </si>
  <si>
    <t>supervisor room rent paid to vamsikrishna garu payment through k narendra at birkoor,Date: 15-06-2026 to 15-07-2026</t>
  </si>
  <si>
    <t>KAZIPET</t>
  </si>
  <si>
    <t>RI work materials purchased by Suram prasad reddy at valigonda for Dhananjay rl labour</t>
  </si>
  <si>
    <t>TS17A3949 TRACTOR DEISEL PAYMENT BY MUPPANA VAMSI AT LINGUMPET</t>
  </si>
  <si>
    <t>AP40KW7346 TRACTOR DEISEL PAYMENT BY ANGIREDDY DURGAPRASAD AT Rayapole</t>
  </si>
  <si>
    <t>Tools, electricals purchased by sure krishnareddy at Hanumakonda Dt:14-07-2026,16-07-2026</t>
  </si>
  <si>
    <t>UPVC WINDOW FRAMES-57 LOADING CHARGES PAYMENT THROUGH AVS Reddy at Ananthapur district,AP</t>
  </si>
  <si>
    <t>Cement bags-20 purchased by g nagaraju at wardhanpet for rl work</t>
  </si>
  <si>
    <t>Wardhanapet</t>
  </si>
  <si>
    <t>Cement bags-15 purchased by padala bhanu prasad at bhiknoor for rl work</t>
  </si>
  <si>
    <t>TS35T4755 Vehicle DEISEL PAYMENT BY P VINAY AT DOULTHABAD TO VALIGONDA FOR CHEMICAL BAGS-40SHIFTED,THOS ADVANCE PAYMENT.</t>
  </si>
  <si>
    <t>TS35T4755 Vehicle DEISEL Chemical Bags Unloading in VALIGONDA, Balance PAYMENT Through SURAM PRASAD At VALIGONDA</t>
  </si>
  <si>
    <t>AP39W1989 ASHOK Layland vehicle deisel payment by p Mahesh at Gooty,Anantapur(DT),AP  For Shifting UPVC WINDOW FRAMES-57 From Anantapur to Warangal</t>
  </si>
  <si>
    <t>Cement Bags 20 purchased by Vinay at Doultabad, Siddipet</t>
  </si>
  <si>
    <t>Hamali purchased by Vinay at Doultabad, Siddipet</t>
  </si>
  <si>
    <t>LINGUMPET chemical bags godown rent payment through muppana vamsi at LINGUMPET for Three months rent,April 18th to July18th.2026</t>
  </si>
  <si>
    <t>AP39GV6576 Tractor Diesel Payment by U Manikanta At Yellandu</t>
  </si>
  <si>
    <t>AP39FC8269 GURUSWAMY TRACTOR'S LOCAL DRIVER DAY PAYMENT THROUGH SURAM PRASAD AT VALIGONDA NOTE:THIS AMOUNT DETUCT FROM VENDOR GURU SWAMY</t>
  </si>
  <si>
    <t>rl work materials purchased by u manikanta at yellandu for vender Guru Swamy rl labour</t>
  </si>
  <si>
    <t>AP39DC3351 TRACTOR DEISEL PAYMENT BY U MANIKANTA AT YELLANDU</t>
  </si>
  <si>
    <t>12MM,Msand Purchased by g nagaraju at wardhanpet</t>
  </si>
  <si>
    <t>TS07EN5839 TRACTOR DEISEL PAYMENT BY GANESH AT VASALAMARRI</t>
  </si>
  <si>
    <t>Msand purchased by padala bhanuprasad at bhiknoor for rl work</t>
  </si>
  <si>
    <t>AP3515AC AUGUR VEHICLE DEISEL PAYMENT BY HANUMANTH AT HANWADA, MBNR</t>
  </si>
  <si>
    <t>Hamali Purchased purchased by g ganesh at vasalamarri for rc work</t>
  </si>
  <si>
    <t>C.Blocks rc work materials purchased by g ganesh at vasalamarri for rc work</t>
  </si>
  <si>
    <t>C.Blocks</t>
  </si>
  <si>
    <t>Cement bags-12 purchased by g ganesh at vasalamarri for rc work</t>
  </si>
  <si>
    <t>5l Liquid purchased by g ganesh at vasalamarri for rc work</t>
  </si>
  <si>
    <t>RC Material</t>
  </si>
  <si>
    <t>12mm purchased by padala bhanu prasad at bhiknoor for rl work</t>
  </si>
  <si>
    <t>welding rods purchased by setti suresh at hanumakonda for rl stand welding purpose</t>
  </si>
  <si>
    <t>9*2 patta purchased by suram prasad reddy at valigonda</t>
  </si>
  <si>
    <t>Cement bags-10 purchased by suram prasad reddy at valigonda</t>
  </si>
  <si>
    <t>welding rods</t>
  </si>
  <si>
    <t>Fastag Recharge Payment done by A Venkata Siva Reddy</t>
  </si>
  <si>
    <t>rl stands,jalies advance rent amount paid through suram prasad reddy at valigonda</t>
  </si>
  <si>
    <t>RL Stands, Jalies</t>
  </si>
  <si>
    <t>TSA4224 Tractor deisel payment by G Nagaraju at wardhanpet</t>
  </si>
  <si>
    <t>12mm purchased through muppana vamsi at lingampet</t>
  </si>
  <si>
    <t>supervisor room rent for the month of April-2026 payment through b Vijay at narasapur</t>
  </si>
  <si>
    <t>AP39FC8298 GURUSWAMY TRACTOR'S LOCAL DRIVER DAY PAYMENT THROUGH SURAM PRASAD AT VALIGONDA NOTE:THIS AMOUNT DETUCT FROM VENDOR GURU SWAMY</t>
  </si>
  <si>
    <t>Labour food expenses payment through suram prasad reddy at valigonda</t>
  </si>
  <si>
    <t>waste oil-15 lits payment through suram prasad reddy at valigonda</t>
  </si>
  <si>
    <t>TS35T2387 TRACTOR DEISEL PAYMENT BY BHASKAR AT RAILAPUR</t>
  </si>
  <si>
    <t>Brick cutting Saw's Blade 600 Mm 15 Blades</t>
  </si>
  <si>
    <t>Kowdipally</t>
  </si>
  <si>
    <t>8MM STEEL-135KG PAYMENT THROUGH P VINAY AT DOULTHABAD</t>
  </si>
  <si>
    <t>HAMALI PAYMENT THROUGH P VINAY AT DOULTHABAD</t>
  </si>
  <si>
    <t>CEMENT-10 BAGS PAYMENT THROUGH P VINAY AT DOULTHABAD</t>
  </si>
  <si>
    <t>TS27A2997 TRACTOR DEISEL PAYMENT BY DRIVER SAMEER THROUGH G SURESH AT HASANPARTHY</t>
  </si>
  <si>
    <t>Thread purchased by nanda kishore at rayapole for centring sheets, bheems support</t>
  </si>
  <si>
    <t>Cement bags-20 purchased by koruprolu siva at nagireddypet for rl work Dt:17-07-2026</t>
  </si>
  <si>
    <t>Saw's Blade</t>
  </si>
  <si>
    <t xml:space="preserve">Power Bill Paid By Malyadri For Sreemavi Infra pvt ltd </t>
  </si>
  <si>
    <t>Concrete tape, covering boxes purchased by Krishna at Hanumakonda</t>
  </si>
  <si>
    <t>Concrete tape, covering boxes</t>
  </si>
  <si>
    <t>ROBO Sand purchased by Setti Suresh for parkal Rl Work</t>
  </si>
  <si>
    <t>Supervisor room rent for the month of may-2026 payment through b Vijay at Narasapur</t>
  </si>
  <si>
    <t>RMC TRIP charges payment by baddi somesh at siddipet rural (10-07-2026 to 18-07-2026) and nails purchased dt:17-7-2026</t>
  </si>
  <si>
    <t>ADEHSIVE BAGS</t>
  </si>
  <si>
    <t>M sand purchased by padala bhanuprasad at bhiknoor</t>
  </si>
  <si>
    <t>TS27T6494 TRACTOR DEISEL PAYMENT BY MADHUSUDHAN AT THEEGARAM TO HANUMAKONDA</t>
  </si>
  <si>
    <t>ELECTRICALS PURCHASED BY DEGA VAMSI AT HANUMAKONDA FOR BODAGUTTA(WARDNO:47) RC WORK</t>
  </si>
  <si>
    <t>M sand purchased by B Vijay at narasapur for RL WORK</t>
  </si>
  <si>
    <t>Balance Steel, centring shifted teegaram to Hanumakonda to M THURAKAPALLI Labour payment through AVS REDDY Dt:19-07-2026</t>
  </si>
  <si>
    <t>AP39GV6576 TRACTOR DEISEL PAYMENT BY SAI AT YELLANDU</t>
  </si>
  <si>
    <t>12 mm chips purchased bypadala bhanuprasad at bhiknoor for rl work</t>
  </si>
  <si>
    <t>Rl, Rc  Labour auto charges payment through suram prasad reddy at valigonda</t>
  </si>
  <si>
    <t>ventilators- 5 purchased by konireddy srinivasulu reddy at machareddy</t>
  </si>
  <si>
    <t>AAC BLOCKS SHIFTING LABOUR CHARGES PAYMENT BY KONIREDDY SRINIVASULU REDDY AT MACHAREDDY Dt:18-07-2026</t>
  </si>
  <si>
    <t>sand for windows purchased through AVS REDDY AT HANUMAKONDA FOR NIRMITHKENDRAM</t>
  </si>
  <si>
    <t>AP40KF2837 TRACTOR LOCAL DRIVERPAYMENTS BY KOTTENA NARENDRA BY BIRKOOR dt:13-07-2026 to 19-07-2026</t>
  </si>
  <si>
    <t>BL WORK MATERIALS PURCHASED BY BADDI SOMESH AT SIDDIPET FOR BL WORK</t>
  </si>
  <si>
    <t>Narapur labour room rent, payment by b vijay at Narasapur for the month of June to July 2026note:600/- Detuct for motor stater repair charges paid 14/7/2026</t>
  </si>
  <si>
    <t>Moter Stater repair charges payment by b Vijay at narasapur for Labour room water purpose, NOTE:this amount detact from narasapur Labour room owner</t>
  </si>
  <si>
    <t>Supervisor room rent for the month of june-2026 payment through b Vijay at Narasapur</t>
  </si>
  <si>
    <t>AP39W1989 ASHOK LAYLAND DEISEL PAYMENT BY BHARAT (BITTU) THROUGH G SURESH at hanumakonda</t>
  </si>
  <si>
    <t>Rajampeta room rent (19-05-3026 to 19-06-2026) payment by Chennuboina Sreekanth at rajampeta</t>
  </si>
  <si>
    <t>AP1989 Ashok Layland Diesel Pyment by P Mahesh through AVS Reddy at Hanumakonda</t>
  </si>
  <si>
    <t>6mm chips purchased by setti suresh at Kowkuda, nadikuda mal</t>
  </si>
  <si>
    <t>Bl Materials</t>
  </si>
  <si>
    <t>6MM Chips</t>
  </si>
  <si>
    <t>Ventilators</t>
  </si>
  <si>
    <t>AP40KW7346 TRACTOR Payment by Durga Prasad At Rayapole</t>
  </si>
  <si>
    <t>AP39W1989 ASHOK LAYLAND DEISEL PAYMENT Through P Mahesh At Hanamkonda</t>
  </si>
  <si>
    <t>TS17A3949 Tractor deisel payment by Muppana Vamsi at lingampet</t>
  </si>
  <si>
    <t>5 mt Tape Purchased by dega vamsi at chinnaraopet</t>
  </si>
  <si>
    <t>Thaapies-2 Purchased by dega vamsi at chinnaraopet</t>
  </si>
  <si>
    <t>chinnaraopet</t>
  </si>
  <si>
    <t>Masonx</t>
  </si>
  <si>
    <t>Cement Bags-40 Purchased By Vijay at Narasapur</t>
  </si>
  <si>
    <t>Cement Bags-20 Purchased By korupolu Siva At Nagireddypet For RL Work</t>
  </si>
  <si>
    <t>AP39DC3351  Tractor Deisel Payment By Sai At Kamepalli</t>
  </si>
  <si>
    <t>RMC trip charges and pump charges payment by Bablu At Sangem for BL RMC</t>
  </si>
  <si>
    <t>Water pipe Bundle 4.25KG purchased by Dega Vamsi at Chinnaraopet for model house Floor Filling Purpose</t>
  </si>
  <si>
    <t>Water Pipe Bundle</t>
  </si>
  <si>
    <t>4.25 Kg</t>
  </si>
  <si>
    <t>RL stands making purpose materials Purchased by Sure Krishna Reddy at Hanumakonda For Nirmithakendram For RL Work</t>
  </si>
  <si>
    <t>Doors fitting charges payment through G suresh at ward no:53 for part of rl work</t>
  </si>
  <si>
    <t>Doors</t>
  </si>
  <si>
    <t>Windows Fitting charges payment through G suresh at ward no:53 for part of rl work</t>
  </si>
  <si>
    <t>Windows</t>
  </si>
  <si>
    <t>shed purpose Stands</t>
  </si>
  <si>
    <t>supervisor room rent payment by suram prasad reddy at valigonda Dt:03-06-2026 to 03-07-2026</t>
  </si>
  <si>
    <t>Nails and iron cutting blades purchased by budda suresh at District - Siddipet Mandal-Markook Village -Pamuluparthy for bl work</t>
  </si>
  <si>
    <t>Venkat Rao AUGUR VEHICLE DEISEL PAYMENT BYNNANDA kishore at rayapole</t>
  </si>
  <si>
    <t>RC Labour auto charges payment through suram prasad reddy at valigonda 20-07-2026</t>
  </si>
  <si>
    <t>rmc trip charges payment by angireddy durga Prasad at rayapole</t>
  </si>
  <si>
    <t>AP39TN7863 TRACTOR DEISEL PAYMENT BY M CHENNAREDDY AT HANWADA,MBNR</t>
  </si>
  <si>
    <t>AP03CD3038 TRACTOR DEISEL PAYMENT BY P VINAY YADAV AT DOULTHABAD</t>
  </si>
  <si>
    <t>Waste oil -5 lits purchased by bablu at sangem</t>
  </si>
  <si>
    <t>m sand purchased through muppana vamsi at lingumpet</t>
  </si>
  <si>
    <t>RC Labour auto charges payment through suram prasad reddy at valigonda 21-07-2026 for shifted valigonda to m thurakapally</t>
  </si>
  <si>
    <t>RC Labour auto charges payment through suram prasad reddy at valigonda 21-07-2026</t>
  </si>
  <si>
    <t>6 mm chips, robo sand purchased by setti suresh for varikolu</t>
  </si>
  <si>
    <t>8mm Steel purchased by muppana vamsi at LINGUMPET for rl works</t>
  </si>
  <si>
    <t>Doors and door fitting materials purchased by sure krishna reddy at nirmithkendram, hanumakonda for new rooms in nirmithkendram</t>
  </si>
  <si>
    <t>kowdapalli to rayapole Iron shifting Labour charges payment by N Nandakishore at kowdapalli</t>
  </si>
  <si>
    <t>50 bags cement purchased by sure krishna reddy for nirmithkendr hanumakonda dt:19-07-2026</t>
  </si>
  <si>
    <t>AP40KW7346 TRACTOR DEISEL PAYMENT BY NANDU AT RAIPOLE</t>
  </si>
  <si>
    <t>12 mm purchased by m chennareddy at hanwada monr</t>
  </si>
  <si>
    <t>msand purchased by m chennareddy at hanwada monr</t>
  </si>
  <si>
    <t>Hamali purchased by muppana vamsi at LINGUMPET for rl works</t>
  </si>
  <si>
    <t>12MM,10MM  Steel Bundles</t>
  </si>
  <si>
    <t>12MM Steel</t>
  </si>
  <si>
    <t>12MM Steel purchase Siddipet Rural by somesh</t>
  </si>
  <si>
    <t>8MM Steel purchase Siddipet Rural by somesh</t>
  </si>
  <si>
    <t>8MM Steel</t>
  </si>
  <si>
    <t>Hamali purchased Siddipet Rural by somesh</t>
  </si>
  <si>
    <t>12 mm agreegate purchased by m chennareddy at hanwada, monr</t>
  </si>
  <si>
    <t>Cement bags-20 purchased by setti suresh for varikolu rl work</t>
  </si>
  <si>
    <t>Iron scraping collected by Labours through sure krishna reddy in nirmithkendram Dt:17-07-2026</t>
  </si>
  <si>
    <t>Iron Scraf</t>
  </si>
  <si>
    <t>Tractor Payment Turkapally June-2026</t>
  </si>
  <si>
    <t>aggregate Purchase at Ramareddy</t>
  </si>
  <si>
    <t>8mm Steel purchased by angireddy durga Prasad at rayapole for bl work</t>
  </si>
  <si>
    <t>Hamali purchased by angireddy durga Prasad at rayapole for bl work</t>
  </si>
  <si>
    <t>AP40KW7346 TRACTOR DEISEL PAYMENT BY N NANDU AT RAYAPOLE</t>
  </si>
  <si>
    <t>broom(cheepura katta) -1, water tanker-1 paid by dega vamsi for chennarampet model house.dt:21-07-20266inches pvc Gatti paid by dega vamsi dt:15-07-2026</t>
  </si>
  <si>
    <t>TS03EQ7244 LOCAL TRACTOR RENT PAYMENT THROUGH K GOVINDU AT KHATHAMPALLI FOR RC WORK Dt:15-07-2026</t>
  </si>
  <si>
    <t xml:space="preserve">Centering Unloading </t>
  </si>
  <si>
    <t xml:space="preserve">Materials and welding items for Shed in Hanumakonda INCL Unloading </t>
  </si>
  <si>
    <t xml:space="preserve">Plywood 2000 SHEETS Unloading </t>
  </si>
  <si>
    <t>LINGAMPET TO RAMAREDDY MDL PLAYWOOD SITE Unloading AND 3 RMC TRIP CHARGES</t>
  </si>
  <si>
    <t>Chemical Bags Unloading Steel Unloading,food expenses  payment by suram Prasd Reddy</t>
  </si>
  <si>
    <t>chemical Bags Unloading charges by Sure Krishna Reddy</t>
  </si>
  <si>
    <t>Brick Unloading and Sand loading payment by K Narendra at Birkoor Date:21-05-2026</t>
  </si>
  <si>
    <t>brick Unloading and sand loading charges by k Narendra</t>
  </si>
  <si>
    <t>site Meterials Unloading and loading charges payment by AVS Reddy at nirmithkendra,hanumakonda</t>
  </si>
  <si>
    <t>Brick Unloading,sand loading labour payment by K Narendra at Birkoor,Date:23-06-2026,24-05-2026(sand)</t>
  </si>
  <si>
    <t>Brick Unloading labour payment by K Narendra at Birkoor,24-05-2026</t>
  </si>
  <si>
    <t>supervisiors room rent and bricks Unloading labour expenses payment by G Suresh at Hanumakonda</t>
  </si>
  <si>
    <t>Brick Unloading and Sand Loading Charges payment by K Narendra at Birkoor,Banswada</t>
  </si>
  <si>
    <t>brick Unloading labour charges and food expences by g suresh at Hanumakonda</t>
  </si>
  <si>
    <t>lentals Unloading labour charges by Nanda Kishore at Domakonda</t>
  </si>
  <si>
    <t>Brick Unloading,sand loading labour Charges payment by konireddy Srinivasulu reddy at banswadadate:28th,29th may2026</t>
  </si>
  <si>
    <t>Brick Unloading and shifting labour charges payment by g Suresh at Hanumakonda,Date:31-05-2026</t>
  </si>
  <si>
    <t>TS08UK6016 steel-13tonnes Unloading labour Charges at kowdapalli</t>
  </si>
  <si>
    <t>brick unloding,sand loading,Unloading,iron loading Unloading labour charges payment by g gowri naidu at lingumpet</t>
  </si>
  <si>
    <t>loading ,Unloading charges payment by Sure krishna reddy in nirmithkendra,at hanumakonda</t>
  </si>
  <si>
    <t>Chemical bagfs (275) Unloading charges payment by Sure Krishna reddy at Nirmith kendra Hanumakonda</t>
  </si>
  <si>
    <t>Brick Unloading labour payment by Angireddy durgaprasad at rayapole</t>
  </si>
  <si>
    <t>Site Expenses(brick loading and Unloading) labour charegs  by konireddy Srinivasulureddy at Domakonda</t>
  </si>
  <si>
    <t>Chemical bags-275 Unloading labour charges payment by p vinay yadav at Doulthabad</t>
  </si>
  <si>
    <t>Brick Unloading labour charges payment by D vishnu vardhan reddy at Narapur</t>
  </si>
  <si>
    <t>Bricks Unloading labour charges payment by angireddy Durga prasad at kothpalli,rayapole Dt:11-06-2026</t>
  </si>
  <si>
    <t>bricks Unloading labour beta and iron cutting blades payment by g kishore</t>
  </si>
  <si>
    <t>bricks Unloading driver batta payment by kurumpu venkateswarlu at tharigoppula dt:19-05-2026 to 27-05-2026</t>
  </si>
  <si>
    <t>Brick Unloading labour charges payment by g nagaraju at parvathagiri</t>
  </si>
  <si>
    <t>Chemical bags Unloading ,loading chareges  payment by p vinay yadav at doulthabad</t>
  </si>
  <si>
    <t>Chemical bags loding and Unloading labaour charges payment by p vinay yadav at doulthabad .shifted to rayapole to doulthabad</t>
  </si>
  <si>
    <t>Warangal brick shifted labour loading,Unloading charges payment by g suresh hanumakonda</t>
  </si>
  <si>
    <t>Brick Unloading labour charges payment by d vishnu vardhan reddy at narasapur</t>
  </si>
  <si>
    <t>aac blocks loading and Unloading labour charges payment by konireddy srinivasulu reddy at Domakonda</t>
  </si>
  <si>
    <t>1)iron shifting Domakonda to Doultha Unloading labour Charges</t>
  </si>
  <si>
    <t>8 inches bricks Unloading labour charges payment by  G nagaraju at parvathagiri</t>
  </si>
  <si>
    <t>site meterials payment Unloading labour charges payment by AVS Reddy at nirmithkendra,hanumakonda</t>
  </si>
  <si>
    <t>Site Unloading charges payment by Sure krishna reddy  through AVS Reddy at nirmithkendr hanumakonda</t>
  </si>
  <si>
    <t>Chemical bags -540 Unloading labour charges payment by k  narendra at birkoor date:19-06-2026</t>
  </si>
  <si>
    <t>AAC blocks Unloading labour chagers payment  by K Narendra at birkoor Date:21-06-2026</t>
  </si>
  <si>
    <t>brick Unloading saws(rampalu) purchased by korupolu siva at kamareddy for rl work in lingumpet</t>
  </si>
  <si>
    <t>lentals-25 houses,chemical bags-690 Unloading labour charges payment by konireddy srinivasulu reddy at Domakonda</t>
  </si>
  <si>
    <t>Chemical bags -150 Unloading(19-06-2026),6 inches bricks-1000 Unloading (20-06-2026) labour chages paymentksrinivasulureddy</t>
  </si>
  <si>
    <t>urban rent payment,Bricks Unloading labour brekfast  payment by g suresh at nirmithkendra,hanumakonda</t>
  </si>
  <si>
    <t>Blocks fix(chemical bags)shifting Unloading charges payment by angireddy Durgaprasad at rayapole,</t>
  </si>
  <si>
    <t>AP39TQ2799 settaring support karra Unloading vehicle freight payment through R Sriramamurthy at Hanumakonda nirmithkendram</t>
  </si>
  <si>
    <t>AP39TQ2799 settaring support karra Unloading tips payment sure krishna reddy through R Sriramamurthy at Hanumakonda nirmithkendram</t>
  </si>
  <si>
    <t>Bricks Loading and Unloading charges 1950*2</t>
  </si>
  <si>
    <t>Brick Unloading labour charges payment by d vishnu Vardhan reddy at hanwada, monr. date:17-7-2026</t>
  </si>
  <si>
    <t>AAC blocks (1100*2) Unloading labour chagers payment  by K Narendra at birkoor Date:21-06-2026</t>
  </si>
  <si>
    <t>chemical bags-690 Unloading Labour charges payment by D Vishnuvardhanreddy at hanwada, monr</t>
  </si>
  <si>
    <t>sand, agreegate, Bricks loading and Unloading Labour. Labour charges payment by u manikanta att yellandu, kamepalli sites</t>
  </si>
  <si>
    <t>windows-57(from ananthapur) Unloading Labour charges through sure krishna reddy in nirmithkendram Dt:17-07-2026</t>
  </si>
  <si>
    <t>Chemical bags-275 Unloading Labour charges payment by simhasalam at Nirmithkendram, Hanumakonda Dt:04-07-2026</t>
  </si>
  <si>
    <t>Chemiacal Bags</t>
  </si>
  <si>
    <t>50 bags cement purchased by sure krishna reddy for nirmithkendr hanumakonda dt:21-07-2026</t>
  </si>
  <si>
    <t>ADVANCED PAYMENT FOR IRON STANDS AND JALIES FOR RL WORK BY WELDER ESWAR RAO THORUGH AVS REDDY</t>
  </si>
  <si>
    <t>AP39W1989 ASHOK LAYLAND DEISEL PAYMENT BY P Mahesh at hanumakonda</t>
  </si>
  <si>
    <t>rajampeta metirals room rent payment by K SRINIVASULU reddy at rajampeta.dt:21-06-2026 to 21-07-2026.</t>
  </si>
  <si>
    <t>cutting blades purchased by suram prasad reddy at valigonda, dt:21-07-2026</t>
  </si>
  <si>
    <t>Cement bags-5</t>
  </si>
  <si>
    <t>Cutting Blades</t>
  </si>
  <si>
    <t>Iron Stands &amp; Jalies</t>
  </si>
  <si>
    <t>nails(2.5,4)purchased by suram prasad reddy at valigonda, dt:21-07-2026</t>
  </si>
  <si>
    <t>20KG</t>
  </si>
  <si>
    <t>AP40KF2834 TRACTOR LOCAL DRIVER DAY PAYMENT AND FOOD EXPENSES BY KORUPROLU SIVA AT NAGIREDDYPET</t>
  </si>
  <si>
    <t>Bricks shifting (lingumpet to nagireddipet) Labour charges payment by korupolu siva at nagireddypet</t>
  </si>
  <si>
    <t>chemical bags shifting (lingumpet to nagireddipet) Labour charges payment by korupolu siva at nagireddypet</t>
  </si>
  <si>
    <t>8 inch Bricks</t>
  </si>
  <si>
    <t>TS07EN5839 TRACTOR DEISEL PAYMENT G GANESH AT RAMSETTIPALLE,M THURAKAPALLI</t>
  </si>
  <si>
    <t>VENTRAO AURING VEHICLE DEISEL PAYMENT BY NNANDU AT RAYAPOLE</t>
  </si>
  <si>
    <t>three hammer welding charges payment by krishna at hanumakonda</t>
  </si>
  <si>
    <t>m sand purchased by m chenna reddy at hanwada, monr</t>
  </si>
  <si>
    <t>Cement bags-20 purchased by muppana vamsi at nagireddypet for lingumpet rl work</t>
  </si>
  <si>
    <t>Chennaraopet model house plumbing material purchased by p mahesh at chennarao pet</t>
  </si>
  <si>
    <t>chennaraopet</t>
  </si>
  <si>
    <t>8mm Purchased by K Srinivasulu reddy at machareddy for RL Work</t>
  </si>
  <si>
    <t>TS27A2997 TRACTOR DEISEL PAYMENT BY DRIVER SAMEER THROUGH Sure Krishna Reddy At Hanumakonda</t>
  </si>
  <si>
    <t>RC Work Materials Purchased by Krishna At Hanumakonda</t>
  </si>
  <si>
    <t>10mm aggrgate of 3490 kg for rajipet</t>
  </si>
  <si>
    <t>desile emergency tractor payment</t>
  </si>
  <si>
    <t>CEMENT BAGS-50 PURCHASED BY SURE KRISHNA REDDY AT HANUMAKONDA.</t>
  </si>
  <si>
    <t>AP39GV6576 TRACTOR DEISEL PAYMENT BY U MANIKANTA at kamepalli rl and rc work</t>
  </si>
  <si>
    <t>AP39DC3351 Tractor Deisel Payment by  U Manikanta  at Kamepalli For RL&amp;RC Work Purpose</t>
  </si>
  <si>
    <t>Cement Purchased at Ramareddy</t>
  </si>
  <si>
    <t xml:space="preserve"> Steel  purchase at  Ramareddy</t>
  </si>
  <si>
    <t>Hamali Purchased at Ramareddy</t>
  </si>
  <si>
    <t>Bathroom Jaalies-30pcs Purchased by k narendra at Kamareddy For RL works</t>
  </si>
  <si>
    <t xml:space="preserve">msand  </t>
  </si>
  <si>
    <t>Cement bags-20,plastic cover, hamali charges payment through konireddy srinivasulu Reddy at domakonda Dt:30-06-2026</t>
  </si>
  <si>
    <t>waste oil-lits purchased by simhasalam at hanumakonda</t>
  </si>
  <si>
    <t>TS07EN5839 TRACTOR DEISEL PAYMENT BY PRASAD VALIGONDA DT:30-06-2026</t>
  </si>
  <si>
    <t>Cement bags-5, clover box purchased through k govindu at kyathampalli,Dt:28-06-2026</t>
  </si>
  <si>
    <t>electricals purchased through koruprolu Siva at nagireddipet dt:28-06-2026</t>
  </si>
  <si>
    <t>Electicals</t>
  </si>
  <si>
    <t>sangam model house doors fitting charges payment through R Sriramamurthy.DATE:30-06-2026</t>
  </si>
  <si>
    <t>sangam model house  windows fitting charges payment through R Sriramamurthy.DATE:30-06-2026</t>
  </si>
  <si>
    <t>4L</t>
  </si>
  <si>
    <t>m sand purchased through korupolu siva at lingampet dt:30-06-3026</t>
  </si>
  <si>
    <t>electrician charges payment by korupolu siva for nagireddypet</t>
  </si>
  <si>
    <t>Rc work metirals purchased through suram prasad reddy at valigonda dt:27-06-2026</t>
  </si>
  <si>
    <t>3 inch</t>
  </si>
  <si>
    <t>Nails purchased through suram prasad reddy at valigonda for re work DATE:30-06-2026</t>
  </si>
  <si>
    <t>binding wire-25kg purchased through suram prasad reddy at valigonda for re work DATE:30-06-2026</t>
  </si>
  <si>
    <t>25Kg</t>
  </si>
  <si>
    <t>Cement bags-10 purchased by korupolu siva at lingampet</t>
  </si>
  <si>
    <t>Cement bags-25 purchased through bhaskar at kowdapalli for rl work</t>
  </si>
  <si>
    <t>Nekkonda model house rc centring meterials purchased through Dega vamsi at</t>
  </si>
  <si>
    <t>TS24A4224 TRACTOR DEISEL PAYMENT BY M VAMSI AT PARVATHAGIRI</t>
  </si>
  <si>
    <t>Steel binding wire purchased by sure krishnareddy at hanumakonda date:30-06-2026</t>
  </si>
  <si>
    <t>Ceiling Fan purchased by P VINAY YADAV AT DOULTHABAD</t>
  </si>
  <si>
    <t>Chinna pattalu purchased by p Vinay yadav at doulthabad</t>
  </si>
  <si>
    <t>Wood poles unloading labour charges payment by G GANEH THROUGH BUDDA SURESH AT VASALAMARRY</t>
  </si>
  <si>
    <t>RMC TRIP AND PUMP CHARGES PAYMENT BY SETTI SURESH Date between 16-06-2026 TO 29-06-2026</t>
  </si>
  <si>
    <t>Cement-30 bags, steel purchased by p Vinay yadav at Doulthabad</t>
  </si>
  <si>
    <t>Room Expenses</t>
  </si>
  <si>
    <t>Siddpet Rural</t>
  </si>
  <si>
    <t>2.5 Nails</t>
  </si>
  <si>
    <t>10Kg</t>
  </si>
  <si>
    <t>Nails-10kg purchased by VISHNU VARDHANREDDY at hanwada ,MBNR</t>
  </si>
  <si>
    <t>Hamer purchased by VISHNU VARDHANREDDY at hanwada ,MBNR</t>
  </si>
  <si>
    <t>Hammer</t>
  </si>
  <si>
    <t>1Pc</t>
  </si>
  <si>
    <t>msand purchased by Murali krishna at siddipet</t>
  </si>
  <si>
    <t>12mm purchased by Murali krishna at siddipet</t>
  </si>
  <si>
    <t>steel purchased by p Vinay yadav at Doulthabad</t>
  </si>
  <si>
    <t>Bricks unloading charges payment by D VISHNU VARDHAN REDDY AT HANWADA,MBNR dt:23-07-2026</t>
  </si>
  <si>
    <t>Cement bags-16 purchased by m chennareddy at hanwada, monr</t>
  </si>
  <si>
    <t>AP39TN7863 TRACTOR DEISEL PAYMENT BY M CHENNAREDDY AT HANWADA MBNR</t>
  </si>
  <si>
    <t>AP39W1989 ASHOK LAYLAND DEISEL PAYMENT BY P MAHESHREDDY AT HANUMAKONDA</t>
  </si>
  <si>
    <t>Cement bags-20 purchased by koruprolu siva at nagireddypet. For rl work</t>
  </si>
  <si>
    <t>Gampas, Iron cutting wheels purchased by koruprolu siva at nagireddypet</t>
  </si>
  <si>
    <t>Waste oil purchased by krishna for somidi, kazipet rl work purpose</t>
  </si>
  <si>
    <t>Wood cutting blades purchased by krishna at hanumakonda for rc work</t>
  </si>
  <si>
    <t>Runners Transport Advance from Jaggampet to Hanamkonda</t>
  </si>
  <si>
    <t>Thirupathi Steel</t>
  </si>
  <si>
    <t>RI materials (rl stands, tadikalu) rent amount for 7days payment by padala bhuanu at bhiknoor</t>
  </si>
  <si>
    <t>chemical mixer rampal purchased balance amount payment by bhanuprasad at bhiknoor for rl wor dt:15-07-2026.</t>
  </si>
  <si>
    <t>sand loading and unloading (patalingala to ponnekekal) charges  by gandhi at kamepalli 28-06-20</t>
  </si>
  <si>
    <t>and scrappers purchase for rl purchased by gandhi at kamepalli 28-06-20</t>
  </si>
  <si>
    <t>Scrapers</t>
  </si>
  <si>
    <t>4Pcs</t>
  </si>
  <si>
    <t>APO3CD3038 TRACTOR DEISEL PAYMENT BY P VINAY YADAV AT DOULTHABAD DATE:30-06-2026</t>
  </si>
  <si>
    <t>12 MM AGREEGATE - 4TRIPS PURCHASED BY KONIREDDY SRINIVASULU REDDY AT DOMAKONDA</t>
  </si>
  <si>
    <t>MSAND-4 TRIPS PURCHASED BY KONIREDDY SRINIVASULU REDDY AT DOMAKONDA</t>
  </si>
  <si>
    <t>TS17A3949 TRACTOR DEISEL PAYMENT BY KORUPOLU SIVA AT LINGAMPET mdl</t>
  </si>
  <si>
    <t>Cement bags-6 purchased by M vamsi at parvathagiri</t>
  </si>
  <si>
    <t>AP40JW7532 TRACTOR DEISEL PAYMENT BY D VISHNU VARDHAN REDDY AT HANWADA, MBNR</t>
  </si>
  <si>
    <t>TS24A4224 TRACTOR DEISEL PAYMENT BY muppana vamsi at parvathagiri date:29-06-2026</t>
  </si>
  <si>
    <t>Sangem Model House carpenter Food expenses and Doors fitting material purchased by dega vamsi at Sangem DATE:30-06-2026</t>
  </si>
  <si>
    <t>8MM Steel purchased at Birkoor</t>
  </si>
  <si>
    <t>kowdapalli to DOULTHABAD labour shifting auto charges payment by bhaskar</t>
  </si>
  <si>
    <t>nails -10 kg purchased by budda suresh at cheela sagar</t>
  </si>
  <si>
    <t>waste oil-35 lits purchased by surekrishna reddy at hanumakonda for Keythanapalli-25lits, Hanumakonda-10lits dt:01-07-2026</t>
  </si>
  <si>
    <t>BL MATERIALS PURCHASED BY BADDI SOMESH AT SIDDIPET RUL</t>
  </si>
  <si>
    <t>m sand purchased by bhaskar at kowdapalli for rl work</t>
  </si>
  <si>
    <t>10 mm purchased by bhaskar at kowdapalli for rl work</t>
  </si>
  <si>
    <t>Wood runners purchase advance payment by R Sriramamurthy FOR NIRMITHKENDR, HANUMAKONDA</t>
  </si>
  <si>
    <t>all sites in urban brick shifting labour charges payment THROUGH G SURESH at Hanumakonda dt:30-06-2026</t>
  </si>
  <si>
    <t>centring sheets shifted, AAC Blocks shifted labour charges payment by konireddy srinivasulu Reddy at domakonda date:30th,1st,, 2nd July 2026</t>
  </si>
  <si>
    <t>Cement bags-4 purchased by k govindu at keythanapalli Dt:01-07-2026</t>
  </si>
  <si>
    <t>Wood cutting machine repair charges payment by D VISHNU VARDHAN REDDY AT HANWADA, MBNR</t>
  </si>
  <si>
    <t>Iron cutting blades -5,taapies-2,Hammers-2 payment by p pavan kumar at monr</t>
  </si>
  <si>
    <t>TS24A4224 TRACTOR DEISEL PAYMENT BY m vamsi at parvathagiri</t>
  </si>
  <si>
    <t>Cement bags-2 purchased by D VISHNU VARDHAN REDDY AT HANWADA, MBNR</t>
  </si>
  <si>
    <t>Cement bags-100 purchased by sure krishnareddy at hanumakonda for nirmithkendr date:02-07-2026</t>
  </si>
  <si>
    <t>Cement 12 bags and 5meter tape purchased by konireddy srinivasulu Reddy at domakonda</t>
  </si>
  <si>
    <t>12MM Iron purchase for siddipet Rural by somesh</t>
  </si>
  <si>
    <t>10MM Iron purchase for siddipet Rural by somesh</t>
  </si>
  <si>
    <t>RMC trip &amp; Pump charges payment by krishna at bodagutta for ward no:48, ward no:49 DT:24-07-2026</t>
  </si>
  <si>
    <t>Cement bags-05 purchased by krishna at indira nagar for Indira Nagar Ward No:48 rc work</t>
  </si>
  <si>
    <t>L Bends and Junction Boxes Purchsaed by krishna For Indira Nagar Ward No:48 RC Work DT:23-07-2026</t>
  </si>
  <si>
    <t>Biriyani packets-7 Purchased by Krishna For Bodagutta RC Labour in RC Work</t>
  </si>
  <si>
    <t>Kowdipally Tractor payment June-2026</t>
  </si>
  <si>
    <t>7346 Tractor Diesel Raipole</t>
  </si>
  <si>
    <t>M sand 3 Units Vehicle for Rajampet</t>
  </si>
  <si>
    <t>Mulugu</t>
  </si>
  <si>
    <t>RMC Trip charges Payment by bablu at sangem DT:24-07-2026</t>
  </si>
  <si>
    <t>Cement-10 bags purchased by k siva at nagireddipet.</t>
  </si>
  <si>
    <t>Cement bags-15,5mm tape, purchased by konireddy srinivasulu Reddy at domakonda</t>
  </si>
  <si>
    <t>AP31A4615 TRACTOR DEISEL PAYMENT BY BHASKAR AT NARASAPUR</t>
  </si>
  <si>
    <t>RI work materials purchased by gandhi at yellandu for dhanjay labour</t>
  </si>
  <si>
    <t>rc work materials unloading labour charges payment THROUGH G GANESH AT VASALAMARRY</t>
  </si>
  <si>
    <t>Rc work materials purchased by suram prasad reddy at valigonda</t>
  </si>
  <si>
    <t>Tools purchased through sure krishna reddy AT HANUMAKONDA FOR NIRMITHKENDR</t>
  </si>
  <si>
    <t>Drinking water bill for the month of july-2026 payment through sure krishna reddy at nirmithkendr, hanumakonda</t>
  </si>
  <si>
    <t>Local tractor driver day payment by budda suresh at nekkonda, mulugu Date:30th june,1st and 2nd July 2026</t>
  </si>
  <si>
    <t>AP40KW7346 TRACTOR DEISEL PAYMENT BY G GOWRI NAIDU AT THOGUTA</t>
  </si>
  <si>
    <t>rl work support tools purchased by muralikrishna at siddipet Dt:03-07-2026</t>
  </si>
  <si>
    <t>APO3CD3038 TRACTOR DEISEL PAYMENT BY P VINAY AT DOULTHABAD</t>
  </si>
  <si>
    <t>RI materials tools purchased by kurumapu venkateswarrao at tarigoppula</t>
  </si>
  <si>
    <t>rl work materials purchased by manikanta yellandu for DHANUNJAY labour</t>
  </si>
  <si>
    <t>Tarpaulin purchased by m vamsi at lingampet</t>
  </si>
  <si>
    <t>Cement bags purchased by muppana vamsi at lingampet</t>
  </si>
  <si>
    <t>electricals purchased by bablu at sangem</t>
  </si>
  <si>
    <t xml:space="preserve">Pump-3 charges Payment by angireddy durga prasad At Rayapole Dt:24-07-2026 </t>
  </si>
  <si>
    <t xml:space="preserve">RMC Trip--3 Payment by angireddy durga prasad At Rayapole Dt:24-07-2026 </t>
  </si>
  <si>
    <t>Tarp</t>
  </si>
  <si>
    <t>AP03CD3038 Tractor Diesel Payment By P Vinay At Doulthabad</t>
  </si>
  <si>
    <t>rmc trip-2 payment by bhaskar at kowdapalli and narasapur</t>
  </si>
  <si>
    <t>Pump-2 charges payment by bhaskar at kowdapalli and narasapur</t>
  </si>
  <si>
    <t>Purchased 2 cement bags  For Pump payment by bhaskar at kowdapalli and narasapur</t>
  </si>
  <si>
    <t>Purchased 5 cement bags  For Narsapur RL Labour by bhaskar at kowdapalli and narasapur</t>
  </si>
  <si>
    <t>Purchased ventilators-30 by bhaskar at kowdapalli and narasapur</t>
  </si>
  <si>
    <t>Buckets-3 FOR Chemical mixing purchased by bharat(Tractor driver) at hanumakonda for atmakur rl work</t>
  </si>
  <si>
    <t>BINDING WIRE-35 KG PURCHASED BY G GANESH AT M THURAKAPALLI MDL</t>
  </si>
  <si>
    <t>Fine sand purchased by sure krishna reddy at hanumakonda for nirmithkendram Dt:24-07-2026</t>
  </si>
  <si>
    <t>BRICK UNLOADING LABOUR CHARGES PAYMENT BY G NAGARAJU AT WARDHANPET DT:23-07-2026</t>
  </si>
  <si>
    <t>Brick-8 Inch</t>
  </si>
  <si>
    <t>Brick-6 Inch</t>
  </si>
  <si>
    <t>M sand purchased by boggu vijaykumar at narasapur</t>
  </si>
  <si>
    <t>Cement bags-10 purchased by konireddy srinivasulu reddy at rajampeta</t>
  </si>
  <si>
    <t>ventilator jaalies-10 purchased by konireddy srinivasulu reddy at rajampeta</t>
  </si>
  <si>
    <t>12 MM purchase at Rajampet</t>
  </si>
  <si>
    <t>TS27T6494 TRACTOR DEISEL PAYMENT BY MADHUSUDHAN AT HANUMAKONDA TO KEYTHAMPALLI</t>
  </si>
  <si>
    <t>msand purchased by n nandu at doulthabad</t>
  </si>
  <si>
    <t>8MM Steel Purchased by n nandu at doulthabad for RL Work</t>
  </si>
  <si>
    <t>Food Expenses Payment through p vinay at doulthabad</t>
  </si>
  <si>
    <t>Food Expenses</t>
  </si>
  <si>
    <t>Country Box</t>
  </si>
  <si>
    <t>Rc work material purchased by krishna at hanumakonda for somidi rc work</t>
  </si>
  <si>
    <t>Cocrete Tape</t>
  </si>
  <si>
    <t>Iron Cutting</t>
  </si>
  <si>
    <t>1.8 Pipes</t>
  </si>
  <si>
    <t>Bend</t>
  </si>
  <si>
    <t>DR Fix</t>
  </si>
  <si>
    <t>Junction Box</t>
  </si>
  <si>
    <t>Tapes</t>
  </si>
  <si>
    <t xml:space="preserve">Binding Wire </t>
  </si>
  <si>
    <t>Sand, agreegate, Brick loading and unloading labour charges and labour tiffen expenses payment by u manikanta at yellandu, kamepallidt:21-07-20 to 25-07-2026</t>
  </si>
  <si>
    <t>urban room rent(june22nd to july22) 2026 payment by G suresh at Hanumakonda rea Dt:24-07-2026and Auto charges(Warangal railway station to Nirmithkendram) -300</t>
  </si>
  <si>
    <t>AP39UQ7044 FASTAG Recharge Payment By Driver Mallikarjuna Through AVS Reddy</t>
  </si>
  <si>
    <t>Cement bags-30 purchased by setti suresh at parkal</t>
  </si>
  <si>
    <t>RI stands, tadikalu rent balance payment by padala bhanu prasad at bhiknoor</t>
  </si>
  <si>
    <t>Cement bags Purchased by Krishna at somidi RMC Work</t>
  </si>
  <si>
    <t>20 Cement Bags nagireddypet</t>
  </si>
  <si>
    <t>Tarpaulin purchase at Hanamkonda</t>
  </si>
  <si>
    <t>7489 Tractor Diesel Hanamkonda</t>
  </si>
  <si>
    <t>3351 Tractor Diesel Kamepally</t>
  </si>
  <si>
    <t>4224 Tractor Diesel Hanamkonda</t>
  </si>
  <si>
    <t>Tools purchased at Lingampet</t>
  </si>
  <si>
    <t>AP39GV6576 Diesel at Yellandu</t>
  </si>
  <si>
    <t>100 Cement bags purchased by sure Krishna reddy at hanumakonda for nirmithkendram</t>
  </si>
  <si>
    <t>Yellandu Stands Rent advance</t>
  </si>
  <si>
    <t>AP03CD3038 Tractor Diesel at Doultabad</t>
  </si>
  <si>
    <t>Turkapally RC tools</t>
  </si>
  <si>
    <t xml:space="preserve">Travelling Expenses </t>
  </si>
  <si>
    <t>Flight ticket booked For Aadi Narayana Anipireddy From Vizag to Hyderabad</t>
  </si>
  <si>
    <t>AP40KE7346 TRACTOR DEISEL PAYMENT BY ANGIREDDY DURGAPRASAD AT THOGUTAA</t>
  </si>
  <si>
    <t>Cement bag-1 PURCHASED BY angireddy durga Prasad at thoguta for rmc</t>
  </si>
  <si>
    <t>Materials and Tools PURCHASED BY krishna through suram Prasad reddy at valigonda dt:04-07-2026</t>
  </si>
  <si>
    <t>kowdapally room rent for the month of june-2026 payment through bhaskar at kowdapalli</t>
  </si>
  <si>
    <t>AP31AJ4615 TRACTOR DEISEL PAYMENT BY BHASKAR AT NARSAPUR DT:06-07-2026</t>
  </si>
  <si>
    <t>RL meterials and tools purchased by konireddy srinivasulu reddy at domkonda for 05th, 6th,07th July 2026</t>
  </si>
  <si>
    <t>RMC TRIP AND PUMP CHARGES PAYMENT BY KRISHNA AT VALIGONDA DT:5TH,6TH JULY 2026</t>
  </si>
  <si>
    <t>Valigonda to vasalamarri labour shifted auto charges payment by krishna at valigonda Dt:06-07-2026</t>
  </si>
  <si>
    <t>50 Cement Bags Purchased at Siddipet rural</t>
  </si>
  <si>
    <t>12 mm agreegate purchased by muppana vampire for ligament rl work</t>
  </si>
  <si>
    <t>TS35T2387 TRACTOR DEISEL PAYMENT BY BHASKAR AT RILAPUR</t>
  </si>
  <si>
    <t>RMC TRIP AND PUMP CHARGES PAYMENT BY BABLU AT SANGEM DT:02-07-2026</t>
  </si>
  <si>
    <t>m sand purchased by D Vishnu Vardhan reddy at mbnr</t>
  </si>
  <si>
    <t>AP40KF2837 TRACTOR LOCAL DRIVER PAYMENTS BY KOTTENA NARENDRA BY BIRKOOR</t>
  </si>
  <si>
    <t>pullur Village rl Labour room rent(05-06-26 to 05-07-2026) and labour power bill payment by baddi somesh at pullur</t>
  </si>
  <si>
    <t>rmc trip and pump charges, Brick shifting, Cement bags-50 Labour unloading payment by baddi somesh at pullur Dt: 04-07-2026.</t>
  </si>
  <si>
    <t>steel purchase at Siddipet Rural</t>
  </si>
  <si>
    <t>rl work materials purchased by dega vamsi at Hanumakonda for avs reddy labour</t>
  </si>
  <si>
    <t>20-cement bags purchased by koruprolu siva at nagireddypet Dt:01-07-2026</t>
  </si>
  <si>
    <t>rmc trip and pump charges payment by angireddy durga Prasad through p vinay at thoguta dt:5th,7th.july 2026</t>
  </si>
  <si>
    <t>lingam peta rl work cement bags 10  10 mm iron single chalkii payment by muppana vamsi for lingumpet</t>
  </si>
  <si>
    <t>10 mm iron single chalkii payment by muppana vamsi for lingumpet</t>
  </si>
  <si>
    <t>Iron 10MM Single Chalkii</t>
  </si>
  <si>
    <t>12 mm and Dust purchase Wardhannapet By nagaraju</t>
  </si>
  <si>
    <t>TS17T6540 TRACTOR DEISEL PAYMENT BY MUPPANA VAMSI THROUGH DIMPI SRIVAS. FOR LINGUMPET Dt:05-07-2026.</t>
  </si>
  <si>
    <t>TS17T6540 LOCAL TRACTOR DEISEL PAYMENT BYG GANESH AT VASALAMARRI</t>
  </si>
  <si>
    <t>Cement bags, covering boxes purchased by k govindu at kaythampallidt:07-07-2026</t>
  </si>
  <si>
    <t>AP39CT7040 AUGUR DEISEL PAYMENT BY NANDA KISHORE AT Siddipet rural</t>
  </si>
  <si>
    <t>TS21T6869 TRACTOR DEISEL PAYMENT BY NANDA KISHORE AT SIDDIPET RURAL</t>
  </si>
  <si>
    <t>RL work materials purchased by muppana vamsi at LINGUMPET</t>
  </si>
  <si>
    <t>AP40T1195 TRACTOR LOCAL DRIVER PAYMENT BY BUDDA SURESH AT KOKKNDA, MULUGU Date:03-07-2026 to 07-07-2026</t>
  </si>
  <si>
    <t>Centring sheets loading Labour charges cash paid by muppana vamsi at yellareddyguda to Hanumakonda nirmithkendram shifted.Date:04-07-2026</t>
  </si>
  <si>
    <t>Nails purchased by 2.5 inches, 3 inches purchased by Murali krishna at siddipet rural</t>
  </si>
  <si>
    <t>supervisor site expenses charges payment by korupolu siva at nagireddy dt:29-07-2026 to 06-07-2026</t>
  </si>
  <si>
    <t>12mm agreegate purchased by m chennareddy for RL WORK hanwada,MBNR.</t>
  </si>
  <si>
    <t>Water pipe purchased by G venkat Rao at hanwada, mbnr</t>
  </si>
  <si>
    <t>Cement-20 purchased by korupolu siva at nagireddypet</t>
  </si>
  <si>
    <t>TS24A4224 TRACTOR DEISEL PAYMENT BY SIMHASALAM AT HANUMAKONDA</t>
  </si>
  <si>
    <t>AP40KE7346 tractor deisel payment by p vinay at doulthabad</t>
  </si>
  <si>
    <t>Darmasagar</t>
  </si>
  <si>
    <t>m sand purchased by konireddy srinivasulu reddy at peda malla reddy</t>
  </si>
  <si>
    <t>Steel, Cement-30 purchased by p vinay at doulthabad</t>
  </si>
  <si>
    <t>12 mm purchased by muralikrishna at siddipet rural</t>
  </si>
  <si>
    <t>m sand purchased by muralikrishna at siddipet rural</t>
  </si>
  <si>
    <t>AP39W1989 ASHOK LAYLAND PAYMENT THROUGH AVS REDDY at lingampet</t>
  </si>
  <si>
    <t>AP39FC8269 TRACTOR DEISEL PAYMENT BY SURAM PRASAD REDDY AT VALIGONDA TO M THURAKAPALLY</t>
  </si>
  <si>
    <t>TSO3UB7558 TRACTOR DEISEL PAYMENT BY SIMHASALAM AT HANUMAKONDA</t>
  </si>
  <si>
    <t>Cement bagas-100 purchased by G Suresh at Hanumakonda</t>
  </si>
  <si>
    <t>AP40JW7532 TRACTOR DEISEL PAYMENT BY D VISHNU VARDHAN REDDY AT MBNR</t>
  </si>
  <si>
    <t>RL WORK MATERIALS PURCHASED BY DEGA VAMSI AT WARD NO47</t>
  </si>
  <si>
    <t>TS27A2997 TRACTOR DEISEL PAYMENT BY SAMEER THROUGH G SURESH AT HASANPARTHY</t>
  </si>
  <si>
    <t>Rc work materials purchased by G SURESH AT BODAGUTTA</t>
  </si>
  <si>
    <t>30-Cement bags purchased by B Vijay kumar Narasapuram, rajpet</t>
  </si>
  <si>
    <t>RL work materials purchased by sai for kamepalli-yellandu,rajashekar labour</t>
  </si>
  <si>
    <t>Sand purchased by Kottena Narendra AT BIRKOOR FOR BIRKOOR SARPANCH</t>
  </si>
  <si>
    <t>Cement bags -50 purchased by kottena Narendra for birkoor</t>
  </si>
  <si>
    <t>8MM Steel purchased at hanumakonda</t>
  </si>
  <si>
    <t>RI materials and tools purchased by sai for kamepalle, yellandu</t>
  </si>
  <si>
    <t>Iron cutting mechine, cutting wheels purchased by sai at kamepalli</t>
  </si>
  <si>
    <t>AP23AJ4615 TRACTOR DEISEL PAYMENT BY B VIJAY KUMAR AT Narasapur</t>
  </si>
  <si>
    <t>Water drums rent for one month for krishnareddy labour's payment by baddi somesh through dimpi srivas, dt:05-06-2026 to 05-07-2026</t>
  </si>
  <si>
    <t>RMC TRIP AND PUMP CHARGES PAYMENT BY K GOVINDU AT PEDAPENDYALA DT:07-07-2026</t>
  </si>
  <si>
    <t>Labour shifted auto charges payment by g nagaraju through sriramamurthy, AVS REDDY AT WARDHANPET</t>
  </si>
  <si>
    <t>24*30 tarpaulins-5,threads-3 purchased by padala bhanuprasad at bhiknoor for krishnareddy rl labour</t>
  </si>
  <si>
    <t>Tube light purchased by m sai at monr for Labour room</t>
  </si>
  <si>
    <t>Cement bags-17 purchased by konireddy srinivasulu reddy at domkonda</t>
  </si>
  <si>
    <t>AAC BLOCKS SHIFTING LABOUR PAYMENT BY KONIREDDY SRINIVASULU REDDY AT DOMKONDA</t>
  </si>
  <si>
    <t>kysampalli thanda to domkonda Labour auto payment by konireddy srinivasulu reddy at domkonda dt:08-07-2026</t>
  </si>
  <si>
    <t>rmc trip charges and pump charges payment by g suresh at ward no:47</t>
  </si>
  <si>
    <t>Water pipe, electrical Wire and board purchased by padala bhanuprasad at bhiknoor for krishnareddy rilabour</t>
  </si>
  <si>
    <t>rl work materials purchased by koruprolu siva at nagireddypet dt:03-07-2026,06-07-2026</t>
  </si>
  <si>
    <t>Tractor strucked in mud removed by jcb and payment charges by G suresh at ward no-03</t>
  </si>
  <si>
    <t>AP39W1989 ASHOK LEYLAND DEISEL PAYMENT BY AVS REDDY FOR RUNNERS AND WINDOW FRAMES TRANSPORTATION</t>
  </si>
  <si>
    <t>Tube Light</t>
  </si>
  <si>
    <t>WB</t>
  </si>
  <si>
    <t>Weighbridge</t>
  </si>
  <si>
    <t>30.450 Ton</t>
  </si>
  <si>
    <t>Wood cutting machine purchased by krishna at hanumakonda for for somidi rc work</t>
  </si>
  <si>
    <t>3 inches nails purchased by m sai Kumar at hanwada, monr</t>
  </si>
  <si>
    <t>AP39UQ7044 DCM VECHICAL DEISEL PAYMENT BY K MALLIKHARJUNA THROUGH AVS REDDY AT HANUMAKONDA</t>
  </si>
  <si>
    <t>raypole Supervisior room rent payment by angireddy durga prasad at rayapol, Date between23-07-2026 to 22-07-2026</t>
  </si>
  <si>
    <t>AP03CD3038 TRACTOR DEISEL PAYMENT BY NANDA KISHORE THROUGH P VINAY AT DOULTHABAD</t>
  </si>
  <si>
    <t>TS27A2997 TRACTOR DEISEL PAYMENT BY SAMEER AT MADIKONDA</t>
  </si>
  <si>
    <t>CEMENT BAGS-20 PURCHASED BY KURUMAPU VENKATESWARLU AT THARIGOPPULA FOR RL WORK</t>
  </si>
  <si>
    <t>m sand purchased by boggu vijay Kumar for narasapur rl work</t>
  </si>
  <si>
    <t>rl stands,jalies rent balance payment by suram prasad reddy at valigonda rl work</t>
  </si>
  <si>
    <t>Saw blade purchased by bhaskar at kowdapalli</t>
  </si>
  <si>
    <t>msand,12 mm purchased by baddisomesh at siddipet rural rl work</t>
  </si>
  <si>
    <t>50 bags cement purchased by sure krishna reddy for nirmithkendr hanumakonda dt:27-07-2026</t>
  </si>
  <si>
    <t>Cement bags-6, covering boxes purchased by k govindu at khathampalli dt:16-07-2026,25-07-2026</t>
  </si>
  <si>
    <t>RMC TRIP AND PUMP CHARGES FOR RC WORK PAYMENT BY K GOVINDU AT PICHAARA Dt:25-07-2026</t>
  </si>
  <si>
    <t>waste oil-6 lits Purchased by k govindu at khathampalli for picharaa rc work</t>
  </si>
  <si>
    <t>AP40KF2837 TRACTOR LOCAL DRIVER PAYMENTS BY KOTTANA NARENDRA AT BIRKOOR DT:20-07-2026 TO DT:26-07-2026</t>
  </si>
  <si>
    <t>Robo Sand and,8mm chips purchased by setti suresh at puligilla, nadikuda mdl</t>
  </si>
  <si>
    <t>AP39UQ7044 DCM VECHICAL FASTTAG RECHARGE PAYMENT BY K MALLIKHARJUNA THROUGH AVS REDDY</t>
  </si>
  <si>
    <t>Rayapole</t>
  </si>
  <si>
    <t>Madikonda</t>
  </si>
  <si>
    <t>AAC BLOCKS SHIFTING WORK LABOUR CHARGES PAYMENT -3000/- AT RAJAMPET SAND&amp;12MM SHIFTING LABOUR CHARGES PAYMENT-500/- BY KONIREDDY SRINIVASULU REDDY</t>
  </si>
  <si>
    <t>AP3515AC AUGUR VEHICLE DEISEL PAYMENT BY HANUMANTH ATHANWADA MBNR</t>
  </si>
  <si>
    <t>Bend rods for Decentring purpose maked charges payment by krishna through r sriramamurthy at hanumakonda</t>
  </si>
  <si>
    <t>new room rent for rlabour payment by muralikrishna, Bussapur vi,krishnareddy Labour, dt:10-07-2026</t>
  </si>
  <si>
    <t>6 jawlines purchased by p vinay through cash paid at doulthabad,Dt: 02-07-2026</t>
  </si>
  <si>
    <t>Cement bags -10 purchased by muppana vamsi at LINGUMPET</t>
  </si>
  <si>
    <t>m sand purchased by padala bhanuprasad at bhiknoor</t>
  </si>
  <si>
    <t>Cement 20 bags purchased by G Nagaraju for wardhanapet rl work</t>
  </si>
  <si>
    <t>Nails-2.5 inches-30 kg,3 inches-10 kg purchased by d vishnu vardhan reddy at mbnr</t>
  </si>
  <si>
    <t>jadcharla model house back filling jcb rent payment by gadela Venkatraman at jadcharla</t>
  </si>
  <si>
    <t>TS27T6494 TRACTOR DEISEL PAYMENT BY MADHUSHUDHAN AT PALAKURTHY</t>
  </si>
  <si>
    <t>Rc work materials and tools purchased by dega vamsi for somidi, Dhananjay labour</t>
  </si>
  <si>
    <t>Thread purchased by madhusudan at palakurthy</t>
  </si>
  <si>
    <t>BL WORK PVC SHOOT PIPE- 20FT PURCHASED BY BADDI SOMESH FOR PULLUR</t>
  </si>
  <si>
    <t>msand and 12 mm purchased by m chennareddy at hanwada, mbnr</t>
  </si>
  <si>
    <t>window frames, plastic gutka purchased by AVS Reddy at kaikaluru to nirmithkendram</t>
  </si>
  <si>
    <t>12MM CHIPS PURCHASED BY PADALA BHANUPRASAD AT BHIKNOOR</t>
  </si>
  <si>
    <t>Rc work tools purchased by dega vamsi at somidi for rc</t>
  </si>
  <si>
    <t>site expenses charges payment by konireddy srinivasulu reddy at domakonda</t>
  </si>
  <si>
    <t>DUST,12 MM PURCHASED BY M CHENNAREDDY AT HANWADA, MBNR</t>
  </si>
  <si>
    <t>Jadcherla</t>
  </si>
  <si>
    <t>40mm agreegate mixing purchased by k govindu for velair</t>
  </si>
  <si>
    <t>RC Tools Purchased for RL work at Kamepally</t>
  </si>
  <si>
    <t>pulla suguna,id:251691/2857532.Union bank,HASANPARTHY branch opening Amount 1000/- deposited through Nagaiah. paid to him the same amount</t>
  </si>
  <si>
    <t>Bank</t>
  </si>
  <si>
    <t>HASANPARTHY</t>
  </si>
  <si>
    <t>Black Oil Barrel Purchase at Vizag 210 litres</t>
  </si>
  <si>
    <t>210L</t>
  </si>
  <si>
    <t>Stationary and MOU's Zerox Payment by G Surya Teja at Siddipet</t>
  </si>
  <si>
    <t xml:space="preserve">Waste Oil-30 ltrs Purchased by sure Krishna Reddy at hanumakonda DT:02-07-2026-10 ltrs 10-07-2016-10 ltrs 16-07-2026-10 ltrs </t>
  </si>
  <si>
    <t>AP39GV6576 tractor deisel payment by manikanta at yellandu</t>
  </si>
  <si>
    <t>Rc work materials purchased by k bablu at nekkonda</t>
  </si>
  <si>
    <t>AP40KW7346 tractor desiel payment by p vinay at doulthabad</t>
  </si>
  <si>
    <t>Cement bags-20 purchased by k venkateswarlu at tarigoppula</t>
  </si>
  <si>
    <t>Rc work material purchased by k bablu at nekkonda</t>
  </si>
  <si>
    <t>Cement bags-20 purchased by muppana vamsi at LINGUMPET rI work</t>
  </si>
  <si>
    <t>Nails-20 kg purchased by krishna for bodagutta RC work</t>
  </si>
  <si>
    <t>Baadas-6 purchased by sai at yellandu</t>
  </si>
  <si>
    <t>TS17A3949 TRACTOR DEISEL PAYMENT BY MUPPANA VAMSI AT LINGAMPETA RL WORK</t>
  </si>
  <si>
    <t>12mm chips purchased by padala bhanu prasad at bhiknoor</t>
  </si>
  <si>
    <t>chemical bags -290 unloading Labour charges payment by muppana vamsi at lingumpet</t>
  </si>
  <si>
    <t>Steel 8mm purchased by koruprolu siva at nagireddypet</t>
  </si>
  <si>
    <t>12mm , MSand purchased by g nagaraju at wardhanpet</t>
  </si>
  <si>
    <t>m sand purchased by b Vijay at Narasapuram</t>
  </si>
  <si>
    <t>Cement bags-3 purchased by setti suresh at parkala</t>
  </si>
  <si>
    <t>Iron, wood cutting blades purchased by nandu at siddipet for bl work</t>
  </si>
  <si>
    <t>runners, sheets, chekkalu unloading Labour charges payment G Ganesh at vasalamarry</t>
  </si>
  <si>
    <t>12mm purchased by m chennareddy at hanwada ,Monr</t>
  </si>
  <si>
    <t>msand purchased by m chennareddy at hanwada ,Monr</t>
  </si>
  <si>
    <t>142 Kg</t>
  </si>
  <si>
    <t>12mm purchased by m chennareddy at hanwada monr</t>
  </si>
  <si>
    <t>m thurakapalli to valigonda murthy labour auto charges payment by suram prasad reddy at valigonda</t>
  </si>
  <si>
    <t>RL TOOLS PURCHASED BY PADALA BHANUPRASAD AT BHIKNOOR FOR RL WORK</t>
  </si>
  <si>
    <t>chemical mixer putti mechine purchased by n nagendra at RAMAREDDY</t>
  </si>
  <si>
    <t>TS27T6494 TRACTOR DEISEL PAYMENT BY DRIVER MADHUSUDPAN AT KAZIPET FIR CNNTRING SHIFTIED</t>
  </si>
  <si>
    <t>RL LABOUR PULIGILLA TO VALIGONDA AUTO CHARGES PAYMENT BY SURAM PRASAD REDDY AT VALIGONDA Dt:25-07-2026</t>
  </si>
  <si>
    <t>rmc trip charges payment by angireddy durga Prasad at rayapole dt:25-07-2026</t>
  </si>
  <si>
    <t>Putting blades purchased by boggu vijay Kumar at narasapur for rl work</t>
  </si>
  <si>
    <t>Cement bags-12 purchased by konireddy srinivasulu reddy at machareddy for for rl work</t>
  </si>
  <si>
    <t>12 mm purchased by m chennareddy at hanwada, monr</t>
  </si>
  <si>
    <t>msand purchased by m chennareddy at hanwada, monr</t>
  </si>
  <si>
    <t>Cement bags-10 purchased by konireddy srinivasulu reddy at machareddy</t>
  </si>
  <si>
    <t>waste oil-15 lits purchased by krishna for bogutta rc centring</t>
  </si>
  <si>
    <t>Labour room rent payment by setti suresh for rl labour, nadikuda</t>
  </si>
  <si>
    <t>RL WORK TOOLS PURCHASED BY MUPPANA VAMSI AT LINGUMPET FOR SRIRAMAMURTHY LABOUR</t>
  </si>
  <si>
    <t>nirmithkendram site materials loading and unloading charges payment Through AVS Reddy</t>
  </si>
  <si>
    <t>Electricals purchased by G Ganesh at vasalamarri for Murphy Labour</t>
  </si>
  <si>
    <t>Rmc trip and pump charges payment by bablu at sangem, bl and rc</t>
  </si>
  <si>
    <t>hammer,sanam purchased by g nagaraju at wardhanpet dt:11-07-2026</t>
  </si>
  <si>
    <t>VENKAT RAO AUGUR VEHICLE DEISEL PAYMENT BY BADDI SOMESH AT DOULTHABAB</t>
  </si>
  <si>
    <t>rmc trip and pump charges payment by setti suresh at parkal Dt:02-07-2026,07-07-5026,11-07-2026</t>
  </si>
  <si>
    <t>Concrete tape purchased by krishna for bodagutta rc work</t>
  </si>
  <si>
    <t>Brick unloading and shifted Labour payment charges THROUGH AVS REDDY at wardhanpet</t>
  </si>
  <si>
    <t>site expenses charges payment by u manikanta at yellandu dt:02-07-2026,03-07-2026</t>
  </si>
  <si>
    <t>site expenses charges payment by u manikanta at yellandu dt:04-07-2026,05-07-2026</t>
  </si>
  <si>
    <t>RI tools purchased, rl stand welding payment g nagaraju at wardhanpet dt:26-06-2026,27-06-2026,10-07-2026</t>
  </si>
  <si>
    <t>Airtel Broadband Payment by Malyadri</t>
  </si>
  <si>
    <t>Broadband</t>
  </si>
  <si>
    <t>Cement bags-16 purchased by koruprolu siva at nagireddypet</t>
  </si>
  <si>
    <t>Sand LODING AND shifted to beneficiary houses with JCB, PAYMENT CHARGES THROUGH G GANESH AT VASALAMARRI</t>
  </si>
  <si>
    <t>TS30TA5073 LOCAL TRACTOR DEISEL PAYMENT BY G GANESH AT VASALAMARRY</t>
  </si>
  <si>
    <t>8mm chips, robo sand payment by setti suresh at varikolu, nadikuda</t>
  </si>
  <si>
    <t>12 mm chips purchased by padala bhanu at bhiknoor for rl work</t>
  </si>
  <si>
    <t>TG25C1759 TRACTOR DEISEL PAYMENT BY K GOVINDU AT RAPAKUPALLI,DHARMASAGAR</t>
  </si>
  <si>
    <t>rmc pump and trip charges payment by krishna at somidi rc work</t>
  </si>
  <si>
    <t>Auto charges payment through g nagaraju for Labour shifting wardhanpet to monr via kazipet railway station</t>
  </si>
  <si>
    <t>TATA AC TRAVELING ONE DAY RENT FOR LABOUR SHIFTED FOR RL WORK WARDHANPET TO YELLANDU, RAMMAVARAM</t>
  </si>
  <si>
    <t>20MM aggregate unloaded</t>
  </si>
  <si>
    <t>Complishan work materials purchased by G Ganesh at m thurakapalli</t>
  </si>
  <si>
    <t>AAC Blockes, Centring unloading Labour charges payment by sure krishna reddy through G Suresh in nirmithkendram Dt:11-07-2026 to 23-07-2026</t>
  </si>
  <si>
    <t>Fine sand purchased by sure krishna reddy at hanumakonda for nirmithkendram Dt:27-07-2026</t>
  </si>
  <si>
    <t>26.32 Ton</t>
  </si>
  <si>
    <t>AP39UQ7044 DCM VECHICAL DEISEL PAYMENT BY K MALLIKHARJUNA THROUGH AVS REDDY</t>
  </si>
  <si>
    <t>Advance salary payment for ANGIREDDY DURGAPRASAD AT RAYAPOLE supervisor</t>
  </si>
  <si>
    <t>Cement bags-10 purchased by m chennareddy at hanwada, monr</t>
  </si>
  <si>
    <t>Msand purchased by m sai Kumar at hanwada, mbnr</t>
  </si>
  <si>
    <t>lingumpet to bhiknoor labour shifting auto charges payment by padala bhanu prasad at bhiknoor</t>
  </si>
  <si>
    <t>50 Bags Cement purchased by G Ganesh at Vasalamarry, M Turkapally Mandal For Completion Work</t>
  </si>
  <si>
    <t>Fine Sand Purchased by Sure Krishna Reddy at Hanumakonda For Nirmithakendram</t>
  </si>
  <si>
    <t>AAC BLOCKS-2050 UNLODING LABOUR CHARGES PAYMENT BY SETTI SURESH AT PARAKALA VILLAGE</t>
  </si>
  <si>
    <t>TS30L5059 TRACTOR DEISEL PAYMENT BY SURAM PRASAD REDDY AT VALIGONDA</t>
  </si>
  <si>
    <t>AP39W1989 ASHOK LAYLAND VEHICLE DEISEL PAYMENT BY HANUMANTH AT HANUMAKONDA TO ATMAKUR FOR CHEMICAL BAGS -64 SHIFTING</t>
  </si>
  <si>
    <t>Rc work materials purchased by suram prasad reddy at valigonda for murthy labour Dt:26-07-2026</t>
  </si>
  <si>
    <t>Tools purchased by G Ganesh at vasalamarry for Complishan work</t>
  </si>
  <si>
    <t>Cement bags-10, rl tools purchase by m chennareddy at hanwada monr for rl work</t>
  </si>
  <si>
    <t>Waste oil-5 lits purchased by m sai Kumar hanwada monr</t>
  </si>
  <si>
    <t>supervisors new room rent advance payment by m sai Kumar through AVS REDDY At Hanwada,MBNRDt:24-06-2026 to 24-07-2026</t>
  </si>
  <si>
    <t>Food expenses payment by suram prasad reddy through AVS REDDY AT VALIGONDA FOR GOVT STAFF AT DHABA, Dt:23-07-2026</t>
  </si>
  <si>
    <t>5 ltrs</t>
  </si>
  <si>
    <t>RI tools purchased by m chennareddy at hanwada monr for rl work</t>
  </si>
  <si>
    <t>AAC BRICKS UNLOADING LABOUR CHARGES PAYMENT BY SETTI SURESH at puligilla, Nadikuda mdl</t>
  </si>
  <si>
    <t>jedcharla model house Water curing labour payment by G Venkatraman at jedcharla, mbnr</t>
  </si>
  <si>
    <t>RI work materials purchased by sure krishna reddy at hanumakonda for parkal rl work</t>
  </si>
  <si>
    <t>Tools, materials purchased by sure krishna reddy at hanumakonda for Bl work, engallu, parvathagiri mdl Dt:26-07-2026</t>
  </si>
  <si>
    <t>Tools purchased by sure krishna reddy at hanumakonda for atmakur rl work Dt:23-07-2026</t>
  </si>
  <si>
    <t>6 mm Steel purchased by sure krishna reddy at hanumakonda for windows, Dt:22-07-2026</t>
  </si>
  <si>
    <t>brick unloading labour charges payment by kurumapu venkateswarlu at Tharigoppula,Dt:28-06-2026 to 24-07-2026</t>
  </si>
  <si>
    <t>Jedcherla</t>
  </si>
  <si>
    <t>6MM Steel</t>
  </si>
  <si>
    <t>Cement bags -4 purchased by k govindu at khathampalli for Darmasagar mdl rc work Dt:28-07-2026</t>
  </si>
  <si>
    <t>waste oil -6 lits Purchased, rmc trip charges payment by G nagaraju at parvathagiri</t>
  </si>
  <si>
    <t>Nirmitkendram to Wardhannapeta Lintels and Sajjas transport through AutoOn 23/07/2026. paid by G suresh at Hanumakonda</t>
  </si>
  <si>
    <t>15*18 Tharpal purchased for Cement bags payment by kurumapu venkateswarlu at tharigoppula dt:26-06-2026</t>
  </si>
  <si>
    <t>rc tools purchased by kurumapu venkateswarlu at tharigoppula Dt:03-07-2026</t>
  </si>
  <si>
    <t>All sites in urban brick shifting labour charges payment THROUGH G SURESH at Hanumakonda Dt:30-06-2026 to 17-7-2026</t>
  </si>
  <si>
    <t>TS07EN5839 TRACTOR DEISEL PAYMENT BY SURAM PRASAD REDDY AT VALIGONDA</t>
  </si>
  <si>
    <t>Labour Room ₹3000 &amp; Supervisor Room ₹3000 siddipet Rural</t>
  </si>
  <si>
    <t>Aluminum badda-2 purchased by sure krishna reddy at hanumakonda for plastering work</t>
  </si>
  <si>
    <t>Cement bags-30 purchased by setti suresh at parkal for rl work</t>
  </si>
  <si>
    <t>JCB DEISEL PAYMENT BY HANUMANTH AT HANUMAKONDA</t>
  </si>
  <si>
    <t>DEISEL purchased by sure krishna reddy at hanumakonda for lentals making purpose</t>
  </si>
  <si>
    <t>12mm,msand mix purchased by bharat (bittu) at nerukulla, atmakur mdl</t>
  </si>
  <si>
    <t>Parkal</t>
  </si>
  <si>
    <t>Cement bags-20 purchased by Boggu Vijay Kumar at narasapur</t>
  </si>
  <si>
    <t>Thaapies-2,switch board purchased by koruprolu siva at nagireddypet</t>
  </si>
  <si>
    <t>AP39UQ7044 DCM VECHICAL DEISEL PAYMENT BY K MALLIKHARJUNA AT MAHABOOBABAD TO VIZAG</t>
  </si>
  <si>
    <t>Rmc trip and pump charges payment by k govindu for raapakapalli rc work</t>
  </si>
  <si>
    <t>robo sand,8mm chips mix purchased by setti suresh at nadikuda mdl</t>
  </si>
  <si>
    <t>food expenses for rc Labour and rmc trip and pump charges payment by suram prasad reddy at valigonda for rc work dt:30-07-2026</t>
  </si>
  <si>
    <t>AP39UQ7044 DCM VECHICAL FAST TAG RECHARGE PAYMENT BY K MALLIKHARJUNA THROUGH AVS REDDY</t>
  </si>
  <si>
    <t>Cement-380  Purchased by RC Team at yellandu</t>
  </si>
  <si>
    <t>sand 20mm aggregate loading and unloading (10 trips) with JCB at kamepalli for re work payment through u manikanta</t>
  </si>
  <si>
    <t>Cement bags-25 purchased by padala bhanuprasad at bhiknoor</t>
  </si>
  <si>
    <t>Sand &amp; 20MM</t>
  </si>
  <si>
    <t>msand, 8MM Chips</t>
  </si>
  <si>
    <t>Nails purchased by boggu vijay Kumar at narasapur, medak</t>
  </si>
  <si>
    <t>TS27T6494 TRACTOR DEISEL PAYMENT BY MADHUSUDHAN AT HANUMAKONDA</t>
  </si>
  <si>
    <t>TOOLS PURCHASED BY PADALA BHANUPRASAD AT BHIKNOOR FOR RL WORK</t>
  </si>
  <si>
    <t>Cement bags-20 purchased by sure krishna reddy at bodagutta for Complishan work -15 bags and nirmithkendram windows work-05 bags</t>
  </si>
  <si>
    <t>Cement bags-10 purchased by bbharat (bittu) at neerukulla vi Atmakur mal</t>
  </si>
  <si>
    <t>12 mm agreegate purchased by budda suresh at kokkanda mulugu mal for rl work</t>
  </si>
  <si>
    <t>AP40KF2837 TRACTOR PUNCHER CHARGES AND LABOUR SHIFTING FOR WORK PLACE AUTO CHARGES PAYMENT K NARENDRA AT RAMAREDDY</t>
  </si>
  <si>
    <t>Miscellaneous expenses</t>
  </si>
  <si>
    <t>2.5 inch-5Kg, 4inch-3kg</t>
  </si>
  <si>
    <t>Cement purchased by p vinay Yadav at Doulthabad</t>
  </si>
  <si>
    <t>8mm Steel purchased by p vinay Yadav at Doulthabad</t>
  </si>
  <si>
    <t>12 mm, 10mm Steel, nails-20kg, binding wire-50kg purchased by muralikrishna, miridoddi mdl, siddipet dt for kasulabad vi bl work</t>
  </si>
  <si>
    <t>AP39UQ7044 DCM VECHICAL DEISEL PAYMENT BY K MALLIKHARJUNAWTHROUGH AVS REDDY AT ANAKAPALLY TO PENDURTHI SITE.</t>
  </si>
  <si>
    <t>TS27A2997 TRACTOR DEISEL PAYMENT SAMEER AT HANUMAKONDA</t>
  </si>
  <si>
    <t>Cement bags-10 purchased by AVS REDDY for jedcherla model house rl work</t>
  </si>
  <si>
    <t>M Sand purchased by Budda suresh at kokkanda mulugu mdl for rl work</t>
  </si>
  <si>
    <t>Mirdoddi</t>
  </si>
  <si>
    <t>DEISEL DRUM AND BUCKETS PURCHASED BY AVS REDDY FOR JADCHERLA MODEL HOUSE</t>
  </si>
  <si>
    <t>12MM, 10MM Steel, Nails, Binding Wire-50Kg</t>
  </si>
  <si>
    <t>Sand Payment Turkapally Mandal</t>
  </si>
  <si>
    <t>AP40KW7346 TRACTOR DEISEL PAYMENT BY ANGIREDDY DURGAPRASAD AT RAYAPOLE TO HANUMAKONDA FOR TRACTOR SHIFTING</t>
  </si>
  <si>
    <t>plug box, electrical Wire purchased by konireddy srinivasulu reddy at rajampeta for r labour room</t>
  </si>
  <si>
    <t>AP39DC3351 TRACTOR DEISEL PAYMENT BY U MANIKANTA AT KAMEPALLI</t>
  </si>
  <si>
    <t>electricals purchased by konireddy srinivasulu reddy at rajampeta for rl labour room</t>
  </si>
  <si>
    <t>10 mm Steel 147 kg Purchased by muralikrishna for MIRUDODDI MDL kasulabad vi BL WORK</t>
  </si>
  <si>
    <t>Cement bags Purchased by N Nandhu at Siddipet Rural For RL Work</t>
  </si>
  <si>
    <t>10MM Steel</t>
  </si>
  <si>
    <t>RMC TRIP CHARGES -600 AND WASTE OIL-4 LTRS PURCHASED BY BUDDA SURESH AT MURKOOKDt:18-07-2026 to 24-07-2026</t>
  </si>
  <si>
    <t>RI stands rent for one day payment by m chennareddy at hanwada, monr</t>
  </si>
  <si>
    <t>Nails purchased by krishna for shampet rc work</t>
  </si>
  <si>
    <t>Cement bags-10, hamali, auto charges payment by konireddy srinivasulu reddy at rajampet for rl work</t>
  </si>
  <si>
    <t>Kobbari thaalu -5 purchased by u manikanta at kamepalli rl work</t>
  </si>
  <si>
    <t>DI740111 NEW TRACTOR DEISEL PAYMENT BY M CHENNAREDDY AT HANWADA MBNR FOR RL WORK</t>
  </si>
  <si>
    <t>Venkatraman AUGUR VEHICLE DEISEL PAYMENT BY muralikrishna through angireddy durga Prasad at rayapole</t>
  </si>
  <si>
    <t>Nails-2.5inch</t>
  </si>
  <si>
    <t>Nails-3inch</t>
  </si>
  <si>
    <t>2Kg</t>
  </si>
  <si>
    <t>Nails Purchased by Dega vamsi For Shampet RC Work</t>
  </si>
  <si>
    <t>1Kg</t>
  </si>
  <si>
    <t>Nails-4inch</t>
  </si>
  <si>
    <t>AAC blocks unloading Labour charges payment by padala bhanu prasad at bhiknoor 31-01-2026,01-08-2026</t>
  </si>
  <si>
    <t>Cement bags-50 purchased by G Ganesh at vasalamarry for Complishan work</t>
  </si>
  <si>
    <t>Hamali purchased by G Ganesh at vasalamarry for Complishan work</t>
  </si>
  <si>
    <t>12 mm purchased by Budda suresh at kokkanda mulugu mdl for rl work</t>
  </si>
  <si>
    <t>Water durm purchased by padala bhanuprasad at bhiknoor for labour</t>
  </si>
  <si>
    <t>M sand purchased by boggu vijay Kumar at narasapur for rl work</t>
  </si>
  <si>
    <t>8MM Steel Purchased at valigonda</t>
  </si>
  <si>
    <t>msand,12 mm mix purchased by m chennareddy at hanwada monr for rl work</t>
  </si>
  <si>
    <t>50 Unit Dust,12MM</t>
  </si>
  <si>
    <t>Nagireddypet driver June month Expenses At Ramareddy</t>
  </si>
  <si>
    <t>Completion work materials purchased by krishna at bodagutta</t>
  </si>
  <si>
    <t>TS24A4224 TRACTOR DEISEL PAYMENT BY G NAGARAJU AT PARVATHAGIRI</t>
  </si>
  <si>
    <t>12mm chips purchased by k bablu for Elkurthy, geesukonda mal for rl work</t>
  </si>
  <si>
    <t>Tools purchased by padala bhanuprasad at bhiknoor for BL work</t>
  </si>
  <si>
    <t>Electrician charges and electricals purchased by padala bhanuprasad at bhiknoor dt:30-07-2026</t>
  </si>
  <si>
    <t>SUPERVISOR ROOM RENT ADVANCED PAYMENT BYK NARENDRA AT RAMAREDDY, Date on:22-07-2026</t>
  </si>
  <si>
    <t>BALANCE amount paid for door frames, nujiveedu payment through AVS REDDY Last paid:13-07-2026</t>
  </si>
  <si>
    <t>Electricals purchased by padala bhanuprasad at bhiknoor for rl labour</t>
  </si>
  <si>
    <t>Iron centring sheets unloading Labour charges payment by sure krishnareddy at nirmithkendram, Hanumakonda</t>
  </si>
  <si>
    <t>TS30L5095 TRACTOR DEISEL PAYMENT BY SURAM PRASAD REDDY AT VALIGONDA</t>
  </si>
  <si>
    <t>8mm chips, robosand purchased by setti suresh at parkal</t>
  </si>
  <si>
    <t>Cement bags-10 purchased by konireddy srinivasulu reddy at rajampeta for rl work</t>
  </si>
  <si>
    <t>Cement bags-20 purchased by setti suresh at parkal for rl work in parkal and varikolu</t>
  </si>
  <si>
    <t>Cement bags-10 purchased m chennareddy at Hanwada Mbnr Dt:02-08-2026</t>
  </si>
  <si>
    <t>Tools purchased by M chennareddy at hanwada mbnr for rl work Dt:02-08-2026</t>
  </si>
  <si>
    <t>M sand purchased by padala bhanuprasad bhanuprasad at bhiknoor</t>
  </si>
  <si>
    <t>Cement bags-100 PURCHASED BY SURE KRISHNA REDDY FOR BODAGUTTA COMPLISHAN WORK at Hanumakonda</t>
  </si>
  <si>
    <t>Cement bags-100 PURCHASED BY SURE KRISHNA REDDY FOR nirmithkendram AT HANUMAKONDA Dt:02-08-2026</t>
  </si>
  <si>
    <t>TS27T6494 TRACTOR DEISEL PAYMENT BY CH MADHUSUDHAN AT KAZIPET</t>
  </si>
  <si>
    <t>steel purchase at Hanamkonda For Windows and frames</t>
  </si>
  <si>
    <t>M sand purchased by padala bhanuprasad at bhiknoor for rl work</t>
  </si>
  <si>
    <t>Tools and meterial purchased by suram prasad reddy at valigonda for rc work Dt:30-07-2026</t>
  </si>
  <si>
    <t>AP39W1989 ashok Layland vehicle Deisel payment by bittu at atmakur mdl</t>
  </si>
  <si>
    <t>Coconut threads, 5mm tape purchased by b vijay Kumar at narasapur for rl work</t>
  </si>
  <si>
    <t>Aluminum badda purchased by krishna at bodagutta for Complishan work</t>
  </si>
  <si>
    <t>12 mm chips purchased by padala bhanuprasad at bhiknoor for rl work</t>
  </si>
  <si>
    <t>Msand purchased by k bablu at elkurthy vi geesukonda mal</t>
  </si>
  <si>
    <t>RL STANDS ADVANCE RENT AMOUNT PAYMENT BY KRISHNA FOR BODAGUTTA COMPLISHAN WORK</t>
  </si>
  <si>
    <t>Cement bags- 20 purchased by padala bhanuprasad at bhiknoor</t>
  </si>
  <si>
    <t>Cement Bags-15 PURCHASED BY muppana vamsi at LINGUMPET for rl work</t>
  </si>
  <si>
    <t>40 mm chips purchased by G Nagaraju at parvathagiri for rl work</t>
  </si>
  <si>
    <t>Tools Purchased By Krishna at bodagutta For Completion Work</t>
  </si>
  <si>
    <t>RI Tadikalu purchased by padala bhanuprasad at Bhiknoor</t>
  </si>
  <si>
    <t>TS07EN5839 TRACTOR DEISEL PAYMENT BY Suram prasad reddy at valigonda</t>
  </si>
  <si>
    <t>AP03CD3038 TRACTOR DEISEL PAYMENT BY ANGIREDDY DURGAPRASAD AT DOULTHABAD FOR LABOUR SHIFTING DOULTHABAD TO MULUGU</t>
  </si>
  <si>
    <t>Hanwada Beneficiary houses to bank auto charges payment through m chennareddy at hanwada, 3 member auto charges</t>
  </si>
  <si>
    <t>12mm chips, robo sand purchased by setti suresh for parkal rl work</t>
  </si>
  <si>
    <t>steel purchase siddipet Rural For BL</t>
  </si>
  <si>
    <t>Chemical mixing Buckets-3, water pipe purchased by budda suresh at kokkanda for rl labour</t>
  </si>
  <si>
    <t>Tharpal patta 18*24 purchased by budda suresh at mulugu for rl labour shelter</t>
  </si>
  <si>
    <t>10mm agreegate purchased by bhaskar at kowdapalli for rl work</t>
  </si>
  <si>
    <t>TOOLS PURCHASED BY BUDDA SURESH AT KOKKANDA MULUGU FOR BISWASJIT RL LABOUR</t>
  </si>
  <si>
    <t>Dachekpalli Beneficiary houses to bank auto charges payment through m chennareddy at mbnr,3 member auto charges</t>
  </si>
  <si>
    <t>12mm chips purchased by k bablu at elkurthy geesukonda mal</t>
  </si>
  <si>
    <t>TS27A2997 TRACTOR DEISEL PAYMENT BY SAMEER AT HANUMAKONDA</t>
  </si>
  <si>
    <t>Cement bags-50 purchased G GANESH AT VASALAMARRY</t>
  </si>
  <si>
    <t>Waste oil-20 lits purchased by sure krishna reddy at hanumakonda</t>
  </si>
  <si>
    <t>Kowdapalli</t>
  </si>
  <si>
    <t>Hamali charges siddipet Rural For BL</t>
  </si>
  <si>
    <t>Wardhanpet to kethampally Labour Shifting auto Charges Payment Through G nagaraju From wardhanpet</t>
  </si>
  <si>
    <t>Dr.Fix Oil Purchased by dega vamsi at kazipet For RC Work</t>
  </si>
  <si>
    <t>Load bearing test report</t>
  </si>
  <si>
    <t>Centering Amount From Vinhamur Mahesh</t>
  </si>
  <si>
    <t>Cement bags-04 purchased by m sai Kumar at rajapur monr</t>
  </si>
  <si>
    <t>TRACTOR DEISEL PAYMENT BY MUPPANA VAMSI AT LINGUMPET</t>
  </si>
  <si>
    <t>12 mm chips purchased by budda suresh at kokkanda mulugu</t>
  </si>
  <si>
    <t>AAC BLOCKS UNLOADING LABOUR CHARGES PAYMENT THROUGH SETTI SURESH AT NADIKUDA Dt:04-08-2026</t>
  </si>
  <si>
    <t>Supervisor room advance rent payment by padala bhanu prasad at bhiknoor Dt:05-08-2026</t>
  </si>
  <si>
    <t>AAC BLOCKS SHIFTING TO CUSTOMER HOUSES LABOUR CHARGES PAYMENT BY KONIREDDY SRINIVASULU REDDY AT RAJAMPETA Dt:31-07-2026 To 04-08-2026</t>
  </si>
  <si>
    <t>Electrical tools purchased by budda suresh for community hall pamulaparthy,murkoor mdl</t>
  </si>
  <si>
    <t>40mm chips purchased by G Nagaraju at wardhanpet</t>
  </si>
  <si>
    <t>monr bank to dhachpalli auto charges payment through m chennareddy at monr</t>
  </si>
  <si>
    <t>Labour room advance payment by padala bhanu prasad at Bhiknoor joining dt:04-08-2026</t>
  </si>
  <si>
    <t>Cement bags-04 purchased by k bablu at sangem mal For BL Work</t>
  </si>
  <si>
    <t>Hamali Charges</t>
  </si>
  <si>
    <t>8MM Steel purchase for BL Team At Bhiknoor, Kamareddy District</t>
  </si>
  <si>
    <t>10MM Steel purchase for BL Team At Bhiknoor, Kamareddy District</t>
  </si>
  <si>
    <t>12MM Steel purchase for BL Team At Bhiknoor, Kamareddy District</t>
  </si>
  <si>
    <t>Sand Payment to Raghusala Abhilash</t>
  </si>
  <si>
    <t>Electrical Tools</t>
  </si>
  <si>
    <t>Doors And Windows Fitting Material Purchased by dega vamsi Through R Sriramamurthy at Hanumakonda</t>
  </si>
  <si>
    <t>DI740111Tractor Diesel Payment by m chennareddy at Hanwada, mbnr</t>
  </si>
  <si>
    <t>Binding Wire Purchased by Konireddy Srinivasulu Reddy at Rajampet for RL Work</t>
  </si>
  <si>
    <t>Nails Purchased by Konireddy Srinivasulu Reddy at Rajampet for RL Work</t>
  </si>
  <si>
    <t>DI740111 TRACTOR DEISEL PAYMENT BY M CHENNAREDDY AT HANWADA MBNR</t>
  </si>
  <si>
    <t>Cement bags-100 PURCHASED BY SURE KRISHNA REDDY FOR nirmithkendram AT HANUMAKONDA Dt:04-08-2026</t>
  </si>
  <si>
    <t>Cement bags-35 purchased by padala bhanuprasad at bhiknoor</t>
  </si>
  <si>
    <t>Electricals purchased by G Ganesh at vasalamarry</t>
  </si>
  <si>
    <t>Saw (rampam) PURCHASED BY M CHENNAREDDY REDDY AT HANWADA MBNR</t>
  </si>
  <si>
    <t>MATERIAL PURCHASED BY N NANDU AT SIDDIPET RUL</t>
  </si>
  <si>
    <t>Cement bags-10 purchased by muppana vamsi at LINGAMPET rl work</t>
  </si>
  <si>
    <t>Carpenters traveling charges from Warangal to Vasalamari for Door Frame Works payment through AVS REDDY at hanumakonda</t>
  </si>
  <si>
    <t>AP39W1989 ASHOK LAYLAND DEISEL PAYMENT BY G Suresh at Hanumakonda</t>
  </si>
  <si>
    <t>RMC TRIP AND PUMP CHARGES PAYMENT BY K BABLU AT SANGEM</t>
  </si>
  <si>
    <t>M Sand purchased by padala bhanuprasad at bhiknoor for rl work</t>
  </si>
  <si>
    <t>Food expenses and Rmc and pump charges payment by suram prasad reddy valigondadt:05-08-2026</t>
  </si>
  <si>
    <t>12mm,msand mixing purchased by bharat for neerukulla, atmakur mal rl work</t>
  </si>
  <si>
    <t>VENKAT RAO AUGUR VEHICLE DEISEL PAYMENT BY MURALI KRISHNA AT KASULABAD</t>
  </si>
  <si>
    <t>TS03FD0833 TRACTOR DEISEL PAYMENT BY RAVI THROUGH AVS REDDY AT KYTHAMPALLI</t>
  </si>
  <si>
    <t>robo sand purchased by setti suresh at nadikuda mal kowkonda village</t>
  </si>
  <si>
    <t>12mm chips, robo sand purchased by setti suresh at parkal</t>
  </si>
  <si>
    <t>Waste oil-25 lits purchased by krishna for new shampet rc work</t>
  </si>
  <si>
    <t>Plumbing work materials purchased by R Sriramamurthy at vasalamarry</t>
  </si>
  <si>
    <t>Rmc trip charges payment by gajula nagaraju at parvathagiri Dt:01-08-2026, 06-08-2026</t>
  </si>
  <si>
    <t>TS27T6494 TRACTOR DEISEL PAYMENT BY MADHUSUDHAN FOR THEEGARAM RC WORK</t>
  </si>
  <si>
    <t>Rc work materials purchased by krishna at new shampet for rc work</t>
  </si>
  <si>
    <t>rmc trip and pump charges payment by krishna at Warangal urban for rc work dt:04-08-2026</t>
  </si>
  <si>
    <t>Bhongir to Vasalamari auto charges payment by G ganesh for transported plumbing materials</t>
  </si>
  <si>
    <t>AP30CD3038 TRACTOR DEISEL PAYMENT AT DOULTHABAD</t>
  </si>
  <si>
    <t>Steel cutter payment by m chennareddy at hanwada, monr</t>
  </si>
  <si>
    <t>line door payment by m chennareddy at hanwada, monr</t>
  </si>
  <si>
    <t>Cement bags-7 payment by m chennareddy at hanwada, monr</t>
  </si>
  <si>
    <t>Cement Bags-30 Purchased by Budda Suresh at Kokkanda, Mulugu</t>
  </si>
  <si>
    <t>Electricals and Electronics Payment by N Nandu through Sriramamurthy at Siddipet Rural for murthy RC Labour</t>
  </si>
  <si>
    <t>Electricals and Tools Purchased by Padala Bhanuprasad at Bhiknoor For RL Work</t>
  </si>
  <si>
    <t>AP39UT4256 Tractor Deisel Payment by Sure Krishna Reddy at Hanumakonda</t>
  </si>
  <si>
    <t>Materials Purchased by Padala Bhanuprasad at Bhiknoor For RL Work</t>
  </si>
  <si>
    <t>25 Liters Waste Oil Purchased By G Ganesh at Vasalamarry For RC Work</t>
  </si>
  <si>
    <t>DOORS, WINDOWS AND UNLOADING LABOUR CHARGES PAYMENT BY G GANESH AT VASALAMARRI FOR RL WORK</t>
  </si>
  <si>
    <t>DCM TRANSPORT CHARGE FROM YELLANDU TO HANAMKONDA CHEMICAL BAGS</t>
  </si>
  <si>
    <t>Dr.fix oil 40 lits, Covering boxes purchased by suram prasad reddy at valigonda Dt:05-08-2026 for RC work</t>
  </si>
  <si>
    <t>Covering boxes purchased by suram prasad reddy at valigonda Dt:06-08-2026 for RC work</t>
  </si>
  <si>
    <t>Dr.fix oil 5 lits purchased by suram prasad reddy at valigonda Dt:06-08-2026 for RC work</t>
  </si>
  <si>
    <t>Covering Box</t>
  </si>
  <si>
    <t>RL Stands Rent balance amount payment and transport charges by U Mainkanta through S Prasad at Yellandu</t>
  </si>
  <si>
    <t>8MM Steel Payment by Baddi Somesh at Pullur vialage Siddipet</t>
  </si>
  <si>
    <t>TS21T6869 TRACTOR DEISEL PAYMENT BY N NANDU AT SIDDIPET RUL</t>
  </si>
  <si>
    <t>Cement bags-50 purchased by G Ganesh at vasalamarry for Completion work</t>
  </si>
  <si>
    <t>RL Work Materials Purchased by D Vishnu Vardhan Reddy At Narsapur, Medak For Biswajit RL Labour</t>
  </si>
  <si>
    <t>Aluminium Badda</t>
  </si>
  <si>
    <t>Current Wire</t>
  </si>
  <si>
    <t>Water Leveling Pipe</t>
  </si>
  <si>
    <t>Paara</t>
  </si>
  <si>
    <t>Paara Handler</t>
  </si>
  <si>
    <t>5m Tape</t>
  </si>
  <si>
    <t>Line Door</t>
  </si>
  <si>
    <t>Leveling Gundu</t>
  </si>
  <si>
    <t>Leveling Gundu Thread</t>
  </si>
  <si>
    <t xml:space="preserve">Kutty Blade 6inch </t>
  </si>
  <si>
    <t>15m Tape</t>
  </si>
  <si>
    <t>Thaapi</t>
  </si>
  <si>
    <t>Bl work materials purchased by muralikrishna at kasulabad</t>
  </si>
  <si>
    <t>msand purchased by boggu vijay for kowdapalli RL work</t>
  </si>
  <si>
    <t>Electrical purchased by D vishnu vardhan reddy at naarsapur for rl labour</t>
  </si>
  <si>
    <t>10 MM CHIPS PURCHASED BY BOGGU VIJAY KUMAR FOR KOWDAPALLI RL WORK</t>
  </si>
  <si>
    <t>Cement bags-10 Purchased by Konireddy Srinivasulu reddy at rajampeta</t>
  </si>
  <si>
    <t>Site Expenses Paid to U Manikanta DT:26-07-26 To 06-08-26</t>
  </si>
  <si>
    <t>3 Boxes of Cover Blocks For RC Work at Kamepally</t>
  </si>
  <si>
    <t>Sand Vehicle Driver Beta</t>
  </si>
  <si>
    <t>Driver Beta For 20MM Aggregate at Kamepally, Tallagudam</t>
  </si>
  <si>
    <t>Labour Charges of 380 Cement Bags Payment</t>
  </si>
  <si>
    <t>msand Purchased by Srinivasulu Reddy at Rajampet</t>
  </si>
  <si>
    <t>12mm Chips Purchased by Padala Bhanuprasad at Bhiknoor For RL Work</t>
  </si>
  <si>
    <t xml:space="preserve">1 Trip charge of 20MM Aggregate  Loading Charges at benificiary:Chikkula Venkanna patalingala, kamepally For RC Work </t>
  </si>
  <si>
    <t xml:space="preserve">12MM Aggregate Loading at patalingala, Kamepally at the at benificiary:Chikkula Venkanna For RC Work </t>
  </si>
  <si>
    <t xml:space="preserve">300 Chemical Bags Loading at patalingala Kamepally Site. 3005 1500/- Online amount given to drive  and received liquid Cash and hand over to Labour </t>
  </si>
  <si>
    <t>Tools purchased by sure krishnareddy at hanumakonda for sangem mandal rl work Dt:01-08-2026</t>
  </si>
  <si>
    <t>Tools purchased by sure krishna reddy at hanumakonda for chinthagattu Completion work</t>
  </si>
  <si>
    <t>Tools purchased by sure krishnareddy at hanumakonda for bodagutta Completion work,Dt:31-07-2026</t>
  </si>
  <si>
    <t>Motor cable purchased by G nagaraju at wardhanpet</t>
  </si>
  <si>
    <t>TOOLS PURCHASED BY SURE KRISHNA REDDY AT HANUMAKONDA FOR CHINTHAGATTU COMPLETION WORK Dt:29-07-2026</t>
  </si>
  <si>
    <t>CHEMICALBAGS, AAC BLOCKS, CENTRING SHEETS UNLOADING LABOUR CHARGES PAYMENT BY SURE KRISHNA REDDY AT HANUMAKONDA</t>
  </si>
  <si>
    <t xml:space="preserve">8MM Steel Purchased at Kokkonda, Mulugu, Siddipet </t>
  </si>
  <si>
    <t>Cement bags-30 purchased by setti suresh at Parkal</t>
  </si>
  <si>
    <t>Paralu-3 purchased by dega vamsi at bodagutta Completion work</t>
  </si>
  <si>
    <t>12 MM CHIPS, MSAND PURCHASED BY HANUMANTH AT HANWADA MBNR</t>
  </si>
  <si>
    <t>Thappilu-3 purchased by G Nagaraju at wardhanpet</t>
  </si>
  <si>
    <t>Dozer charges for removing the tractor stuck in the mud. payment through padala bhanuprasad at bhiknoor. Note:Payment detect from vehicle:APJQ0377 Dt:7-8-26</t>
  </si>
  <si>
    <t>Paralu</t>
  </si>
  <si>
    <t>Steel purchase at Hanamkonda</t>
  </si>
  <si>
    <t>Thapilu</t>
  </si>
  <si>
    <t>Steel Purchased at Hanumakonda</t>
  </si>
  <si>
    <t>Rangapet</t>
  </si>
  <si>
    <t xml:space="preserve">AP40JW7532 Tractor Diesel Payment by G Venkatrao at Hanwada at mbnr </t>
  </si>
  <si>
    <t>12MM Chips Purchased By G Ganesh At Vasalamarri, M Turkapalli</t>
  </si>
  <si>
    <t>Wood Cutting machine purchased by sameer through sure krishnareddy at Hanumakonda</t>
  </si>
  <si>
    <t xml:space="preserve">Electricals Purchased by dega vamsi for bodagutta completion work </t>
  </si>
  <si>
    <t>Steel Purchase at Hanumakonda</t>
  </si>
  <si>
    <t xml:space="preserve">Waste oil-15ltr Purchased at Pullur, Siddipet Rural </t>
  </si>
  <si>
    <t>15ltr</t>
  </si>
  <si>
    <t xml:space="preserve">Waste oil-9 ltr Purchased at Pullur, Siddipet Rural </t>
  </si>
  <si>
    <t>9ltr</t>
  </si>
  <si>
    <t>Turkapally sand 34.4 Tons</t>
  </si>
  <si>
    <t>doorlines-4 purchased by b vijay at Narasapur</t>
  </si>
  <si>
    <t>Nails-6 kg purchased by G Nagaraju at wardhanpet</t>
  </si>
  <si>
    <t>robo sand purchased by setti suresh for parkal rl work</t>
  </si>
  <si>
    <t>Cement bags-10 purchased by boggu Vijay Kumar at kowdapalli</t>
  </si>
  <si>
    <t>34.4 Ton</t>
  </si>
  <si>
    <t>6Kg</t>
  </si>
  <si>
    <t>ONE DAY LOCAL TRACTOR (TSO3FB0833)PAYMENT THORUGH K GOVINDU AT KHATHAMPALLI</t>
  </si>
  <si>
    <t>AP39UT4256 TRACTOR DEISEL PAYMENT BY SAMEER THROUGH SURE KRISHNAREDDY AT HANUMAKONDA</t>
  </si>
  <si>
    <t>Cement bags-16 purchased by M CHENNAREDDY AT HANWADA MBNR FOR RL WORK Dt:08-08-2026</t>
  </si>
  <si>
    <t>rmc trip and water moter mechanic charges payment by g nagaraju at wardhanpet</t>
  </si>
  <si>
    <t>M SAND PURCHASED BY BUDDA SURESH AT KOKKANDA MULUGU</t>
  </si>
  <si>
    <t>Labour Payment</t>
  </si>
  <si>
    <t>Labour Payment to Guru Swamy at khathampalli</t>
  </si>
  <si>
    <t>Sand Loading with jcb charges payment by g ganesh at 09-08-2026</t>
  </si>
  <si>
    <t>Cement bags-50 purchased by sure krishna reddy at hanumakonda Dt:08-08-2026</t>
  </si>
  <si>
    <t>Cement bags-15 purchased by setti suresh at Parkal</t>
  </si>
  <si>
    <t>TS28L3949 TRACTOR DEISEL PAYMENT BY G NAGARAJU AT WARDHANPET</t>
  </si>
  <si>
    <t>food expenses payment by p pavan Kumar at jadcharla model house labour payment</t>
  </si>
  <si>
    <t>Waste oil purchased by D Vishnu Vardhan reddy at narasapur medak</t>
  </si>
  <si>
    <t>rmc trip and pump charges payment by krishna at shampet for rc work</t>
  </si>
  <si>
    <t>12 mm agreegate purchased by konireddy srinivasulu reddy at rajampeta Dt:09-08-2026</t>
  </si>
  <si>
    <t>AAC BLOCKS UNLOADING LABOUR CHARGESPAYMENT BY SETTI SURESH AT PARKAL DT:07-08-2026</t>
  </si>
  <si>
    <t>VENKAT RAO AUGUR VEHICLE DEISEL PAYMENT BY PADALA BHANUPRASAD AT BHIKNOOR</t>
  </si>
  <si>
    <t>Labour Food Expenses</t>
  </si>
  <si>
    <t>AAC blocks unloading labour charges payment by simhachalam at atmakur Dt:08-08-2026</t>
  </si>
  <si>
    <t>Nails-2.5 inch purchased by Gajula nagaraju at wardhanpet</t>
  </si>
  <si>
    <t>Nails-3 inch purchased by Gajula nagaraju at wardhanpet</t>
  </si>
  <si>
    <t>Nails-4 inch purchased by Gajula nagaraju at wardhanpet</t>
  </si>
  <si>
    <t>Nails-2.5 inch</t>
  </si>
  <si>
    <t>Nails-3 inch</t>
  </si>
  <si>
    <t>Nails-4 inch</t>
  </si>
  <si>
    <t>3Kg</t>
  </si>
  <si>
    <t>AP3515 AC AUGUR VEHICLE DEISEL PAYMENT BY HANUMANTH AT MBNR</t>
  </si>
  <si>
    <t>Paid for visiting cards</t>
  </si>
  <si>
    <t>TS27A2997 TRACTOR DEISEL PAYMENT BY DRIVER SAMEER AT HANUMAKONDA</t>
  </si>
  <si>
    <t>40mm chips purchased by gajula nagaraju for parvathagiri rl 3</t>
  </si>
  <si>
    <t>AP39DC3351 TRACTOR DEISEL PAYMENT BY U MANIKANTA AT KAMEPALLI FOR RL WORK</t>
  </si>
  <si>
    <t>AP40KF2834 TRACTOR LOCAL DRIVER DAY PAYMENT PAID TO KORUPROLU SIVA AT NAGIREDDYPET, TOTAL 11 DAYS,july23 to aug3rd 2026</t>
  </si>
  <si>
    <t>Bricks shifted Labour charges, auto charges payment by korupolu siva at nagireddypet Dt: 1,2-08-2026</t>
  </si>
  <si>
    <t>Visiting Cards</t>
  </si>
  <si>
    <t>AP39TN7863 TRACTOR DEISEL PAYMENT BY M SAI KUMAR,HANWADA, MBNR</t>
  </si>
  <si>
    <t>Cement bags-10 purchased by D vishnu vardhan reddy at narasapur</t>
  </si>
  <si>
    <t>AP39UT4256 TRACTOR DEISEL PAYMENT BY sure krishnareddy at hanumakonda</t>
  </si>
  <si>
    <t>Shoot pipe purchased padala bhanu prasad at Kamareddy for bhiknoor bl rmc work</t>
  </si>
  <si>
    <t>Nails purchased by padala bhanuprasad at bhiknoor</t>
  </si>
  <si>
    <t>12mm chips purchased by budda suresh at mulugu for rl work</t>
  </si>
  <si>
    <t>Cement bags-6 purchased by m chenna reddy at hanwada monr</t>
  </si>
  <si>
    <t>Hand gloves-3sets purchased by muralikrishna at miridoddi</t>
  </si>
  <si>
    <t>Cement bags-20 purchased by konireddy srinivasulu reddy at rajampeta for nadimithanda rl work</t>
  </si>
  <si>
    <t>Nails purchased by n nada kishore at siddipet rural for raipole rc work</t>
  </si>
  <si>
    <t>Nails, Wood cutting wheels purchased by P Vinay Yadav at siddipet rural</t>
  </si>
  <si>
    <t>10mm Steel purchased by AVS Reddy at Hanumakonda</t>
  </si>
  <si>
    <t>Dust purchased by k bablu at sangem</t>
  </si>
  <si>
    <t>12mm purchased by k bablu at sangem</t>
  </si>
  <si>
    <t>15Kg</t>
  </si>
  <si>
    <t>robo sand 12mm chips purchased by setti suresh at parkal</t>
  </si>
  <si>
    <t>AP40KW7346 TRACTOR DEISEL PAYMENT BY K BABLU geesukonda mdl</t>
  </si>
  <si>
    <t>Binding wire-25kg purchased by suram prasad reddy at valigonda dt:07-08-2026</t>
  </si>
  <si>
    <t>Nails-5kg purchased by m sai Kumar at hanwada mbnr</t>
  </si>
  <si>
    <t>Food expenses and Rmc and pump charges payment by suram prasad reddy valigondadt:06-08-2026</t>
  </si>
  <si>
    <t>msand purchased by boggu vijay Kumar at kowdapalli for rl wor</t>
  </si>
  <si>
    <t>Tools purchased by G nagaraju at wardhanpet for re work</t>
  </si>
  <si>
    <t>waste oil-22 lits purchased by G Nagaraju at wardhanpet</t>
  </si>
  <si>
    <t>8MM Steel Shifting (04-08-26), BL Extra Work (06-08-26) Labour Charges payment by Konireddy Srinivasulu reddy at Rajampeta</t>
  </si>
  <si>
    <t>Materials purchased by suram prasad reddy at valigonda for rc work Dt:08-08-2026</t>
  </si>
  <si>
    <t>22ltr</t>
  </si>
  <si>
    <t>Cement bags-50 purchased by G Ganesh at vasalamarri for Completion work</t>
  </si>
  <si>
    <t xml:space="preserve">Weigh bridge charge  </t>
  </si>
  <si>
    <t>Lentals Unloading, AAC Blocks Shifting, Drilling machine rent payment through konireddy Srinivasulu Reddy at Rajampeta</t>
  </si>
  <si>
    <t>AP40JW7532 TRACTOR DEISEL PAYMENT BY HANUMANTH AT HANWADA MBNR</t>
  </si>
  <si>
    <t>Thariguppala tractor payment</t>
  </si>
  <si>
    <t>food expenses for Labour shifting to vasalaarru by avs reddy at vasalamarri</t>
  </si>
  <si>
    <t>LABOUR SHIFTING WARNGAL TO VASALAMARRI CHARGES PAYMENT THROUGH AVS REDDY</t>
  </si>
  <si>
    <t>TS28L3049 TRACTOR DAY PAYMENT PAID THROUGH G NAGARAJU FOR TWO DAYS Dt: 10-08-2026,11-08-2026</t>
  </si>
  <si>
    <t>windows work wheels vehicle tools purchased by avs reddy at hanumakonda</t>
  </si>
  <si>
    <t>ROOM FANS REPAIR CHARGES FOR BODAGUTTA Centring LABOURS</t>
  </si>
  <si>
    <t>Mechanical tools purchased by Dega vamsi at bodagutta for fans fitting</t>
  </si>
  <si>
    <t>8MM Steel Purchased at Hanumakonda</t>
  </si>
  <si>
    <t>AP39UT4256 TRACTOR DEISEL PAYMENT BY SURE KRISHNA REDDY AT HANUMAKONDA</t>
  </si>
  <si>
    <t>Ventilators-3 purchased by budda suresh at kokkanda mulugu</t>
  </si>
  <si>
    <t>Tools purchased by simhasalam at neerukulla, atmakur</t>
  </si>
  <si>
    <t>Pdf file xerox colour prints-5sets by pavan Kumar at kamareddy</t>
  </si>
  <si>
    <t>Xerox</t>
  </si>
  <si>
    <t>Paints Purchased For Turkapally Model house Completion</t>
  </si>
  <si>
    <t>VENKATRAO AUGUR VEHICLE DEISELPAYMENT BY MURALI KRISHNA AT KASULABAD MIRUDODDI</t>
  </si>
  <si>
    <t>TS27A2997 TRACTOR DEISEL PAYMENT BY DEGA VAMSI AT HANUMAKONDA</t>
  </si>
  <si>
    <t>TS27A2997 TRACTOR DEISEL PAYMENT BY bittu at neerukulla atmakur</t>
  </si>
  <si>
    <t>TOOLS PURCHASED BY BUDDA SURESH AT KOKKANDA MULUGU</t>
  </si>
  <si>
    <t>Cement bags-03 purchased by simhasalam at neerukulla atmakur</t>
  </si>
  <si>
    <t>Centring karralu, Centring sheets unloading labour charges payment by angireddy durga Prasad at rayapole</t>
  </si>
  <si>
    <t>TS24A4224 TRACTOR DEISEL PAYMENT BY G NAGARAJU ATENUGALLU PARVATHAGIRI</t>
  </si>
  <si>
    <t>M sand purchased by budda suresh at kokkanda mulugu for rl work</t>
  </si>
  <si>
    <t>Sand loading with jcb charges payment by G GANESH AT VASALAMARRI Dt:12-08-2026</t>
  </si>
  <si>
    <t>paint meterials, tools, electrical Lbends purchased by payment by R Sriramamurthy at vasalamarri for painting work</t>
  </si>
  <si>
    <t>6 rl stands rent payment by bharat (bittu) at neerukulla atmakur Date between 26-07-2026 to 13-08-2026, 17 days rent</t>
  </si>
  <si>
    <t>Cement bags-15 purchased by setti suresh at parkal</t>
  </si>
  <si>
    <t>RC Materials purchased by sure krishna reddy at ward 53 for rc work</t>
  </si>
  <si>
    <t>Iron cutting blades-2 purchased by padala bhanuprasad at bhiknoor</t>
  </si>
  <si>
    <t>TS21T6869 TRACTOR DEISEL PAYMENT BY VINAY AT SIDDIPET RURAL</t>
  </si>
  <si>
    <t>chemical bags-29 shifting auto charges payment budda suresh at kokkanda namaste ,transport to doulthabad to kokkanda</t>
  </si>
  <si>
    <t>HOTEL RENT PAYMENT BY SUDHAKAR REDDY SIR AT KAMAREDDY</t>
  </si>
  <si>
    <t>Cement bags-50 purchased by k bablu at Hanumakonda for sangem rl work</t>
  </si>
  <si>
    <t>12 mm, m sand purchased by setti suresh at parkal for nadikuda rl work</t>
  </si>
  <si>
    <t>AP03CD3038 TRACTOR DEISEL PAYMENT BY MURALI KRISHNA AT KASULABAD, MIRUDODDI</t>
  </si>
  <si>
    <t>Cement bags-20 purchased by budda suresh at kokkanda mulugu for rl work</t>
  </si>
  <si>
    <t>RL MATERIALS PURCHASED BY K BABLU AT SANGEM, FOR RL WORK</t>
  </si>
  <si>
    <t>Hotel</t>
  </si>
  <si>
    <t>Steel-122kg purchased by koruprolu siva at ramareddy for rl work</t>
  </si>
  <si>
    <t>Cement bags-20 purchased by koruprolu siva at ramareddy for rl work</t>
  </si>
  <si>
    <t>122Kg</t>
  </si>
  <si>
    <t>12 mm purchased by setti suresh at parkal for nadikuda rl work</t>
  </si>
  <si>
    <t>Office Rent</t>
  </si>
  <si>
    <t>Office Rent Paid to Kommera Akhila</t>
  </si>
  <si>
    <t>Tools, materials, electricals purchased by sure krishnareddy at hanumakonda for Nirmithkendram Date between 06-08-2026 to 11-08-2026</t>
  </si>
  <si>
    <t>Welding rods payment by sure krishnareddy reddy at hanumakonda for rl stands</t>
  </si>
  <si>
    <t>STEEL PURCHASED BY SURE KRISHNA REDDY AT HANUMAKONDA DT:10.08.3026</t>
  </si>
  <si>
    <t>Dhamera</t>
  </si>
  <si>
    <t>AP37EF3377 RUNNERS VECHICAL ADVANCED PAYMENT BY R SRIRAMAMURTHY FOR DEISEL, TRANSPORT ,JAGGAMPETA TO HANUMAKONDA</t>
  </si>
  <si>
    <t>RL tools purchased by padala bhanuprasad at bhiknoor for rl work dt:13-08-2026</t>
  </si>
  <si>
    <t>Materials, tools purchased by sure krishna reddy at hanumakonda for avs reddy rc team</t>
  </si>
  <si>
    <t>Tools purchased by g nagaraju at parvathagiri BL Work</t>
  </si>
  <si>
    <t>TS28L3049 TRACTOR DAY PAYMENT PAID THROUGH G NAGARAJU FOR TWO DAYS Dt: 13-08-2026,14-08-2026</t>
  </si>
  <si>
    <t>Cement bags-03 purchased by g nagaraju at wardhanpet for rc work</t>
  </si>
  <si>
    <t>MOU's zerox payment by vijay at monr</t>
  </si>
  <si>
    <t>Doors &amp; Window Frames</t>
  </si>
  <si>
    <t>Door and Window Frames Purchased For Yellandu, Kothagudem Houses</t>
  </si>
  <si>
    <t>TS27T6494 TRACTOR DEISEL PAYMENT BY DRIVER MADHUSUDHAN AT PALAKURTHY</t>
  </si>
  <si>
    <t>Door and Window Frames Purchased For Kamepalli, Khammam Houses</t>
  </si>
  <si>
    <t>TS07EN5893 TRACTOR DEISEL PAYMENT BY ANGIREDDY DURGAPRASAD AT RAYAPOLE</t>
  </si>
  <si>
    <t>AP39UT4256 TRACTOR DEISEL PAYMENT BY HANUMANTH AT HANUMAKONDA</t>
  </si>
  <si>
    <t>Electricals purchased by sure krishna reddy at hanumakonda for nirmithkendram</t>
  </si>
  <si>
    <t>Labour new room rent Advance payment by budda suresh at kokknda, mulugu. Rent Date:04-08-2026 to 04-09-2026</t>
  </si>
  <si>
    <t>Labour shifting vasalamarri to raipole auto charges payment by G GANESH through R Sriramamurthy at vasalamarri</t>
  </si>
  <si>
    <t>food expenses payment by konireddy srinivasulu reddy at domkonda windows and doors frames unloading work through AVS REDDY Dt:13 to 14-08-2026</t>
  </si>
  <si>
    <t>windows and doors frames unloading work payment by konireddy srinivasulu reddy through AVS REDDY Dt:12-08-2026 to 14-08-2026</t>
  </si>
  <si>
    <t>Cement bags -03 purchased by d vishnu vardhan reddy at kowdapalli for rl work</t>
  </si>
  <si>
    <t>msand purchased by simhachalam at orrugonda, camera for rl work</t>
  </si>
  <si>
    <t>Cement bags-100 PURCHASED BY SURE KRISHNA REDDY AT HANUMAKONDA Date:10-08-2026</t>
  </si>
  <si>
    <t>AAC blocks unloading labour charges payment by simhachalam at oorugondla, damera Dt:14-08-2026</t>
  </si>
  <si>
    <t>12mm chips purchased by simhasalam at orrugonda, damera for rl work</t>
  </si>
  <si>
    <t>Wood cutting blades purchased by sure krishna reddy at hanumakonda for wardhanpet rl work</t>
  </si>
  <si>
    <t>AAC Blocks</t>
  </si>
  <si>
    <t>12MM PURCHASED BY BUDDA SURESH AT KOKKANDA MULUGU FOR RL WORK</t>
  </si>
  <si>
    <t>rc centring cleaning charges payment by d vishnu vardhan reddy at narasapur</t>
  </si>
  <si>
    <t>AP37EF3377 RUNNERS VECHICAL BALANCE PAYMENT BY R SRIRAMAMURTHY FOR DEISEL, TRANSPORT ,JAGGAMPETA TO HANUMAKONDA</t>
  </si>
  <si>
    <t>Bricks Unloading Labour Charges Payment by K Bablu at sangem 14-08-26, Vehicle :TG05T9699</t>
  </si>
  <si>
    <t>TS27T6494 TRACTOR DEISEL PAYMENT BY DRIVER MADHUSUDHAN AT BODAGUTTA</t>
  </si>
  <si>
    <t>AP39TN7863 TRACTOR DEISEL PAYMENT BY M sai Kumar at hanwada mbnr</t>
  </si>
  <si>
    <t>RC Materials purchased by p vinay yadav at siddipet rural for RC work</t>
  </si>
  <si>
    <t>Cement bags-2 PURCHASED BY KONIREDDY SRINIVASULU REDDY AT domkonda for windows frame fitting work</t>
  </si>
  <si>
    <t>TS17A3949 TRACTOR DEISEL PAYMENT BY M VAMSI AT LINGUMPET</t>
  </si>
  <si>
    <t>TS28L3049 TRACTOR DAY PAYMENT PAID THROUGH G NAGARAJU FOR TWO DAYS Dt: 14-08-2026, 15-08-2026</t>
  </si>
  <si>
    <t>Iron pipes purchased by AVS REDDY for rl stands making in nirmithkendram Dt:13-08-2026</t>
  </si>
  <si>
    <t>food expenses for brick unloading labours at demarera dt:15-08-2026</t>
  </si>
  <si>
    <t>Materials purchased by AVSReddy for sand jalies making in nirmithkendram</t>
  </si>
  <si>
    <t>AP39UT4256 TRACTOR DEISEL PAYMENT BY P VINAY YADAV AT SIDDIPET RURAL TO HANUMAKONDA</t>
  </si>
  <si>
    <t>TS30L5095 TRACTOR DEISEL PAYMENT BY SURAM PRADAS REDDY AT RAYAPOLE DT: 15-08-2026</t>
  </si>
  <si>
    <t>Cement bags-16 purchased by m sai Kumar at rangareddyguda rajapur for rl work</t>
  </si>
  <si>
    <t>RL Stand advance payment by m sai Kumar at rangareddy guda, rajapur</t>
  </si>
  <si>
    <t>vasalamarry site expenses payment by R Sriramamurthy at vasalamarri</t>
  </si>
  <si>
    <t>Electricals purchased by G nagaraju for re work at wardhanpet</t>
  </si>
  <si>
    <t>Iron cutting wheels purchased by m sai Kumar at rangareddyguda, rajapur for RL work</t>
  </si>
  <si>
    <t>AP22Y7039, AP28TE8375, AP29TA9133 DCM VEHICAL ADVANCE PAYMENT FOR VALIGONDA TO RAYAPOLE RC CENTRING SHIFTING PURPOSE PAYMENT BY SURAM PRASAD REDDY AT VALIGONDA</t>
  </si>
  <si>
    <t>RMC TRIP AND PUMP CHARGES PAYMENT BY DEGA VAMSI AT WARDHANPET RC WORK DT:13-08-2026</t>
  </si>
  <si>
    <t>Small tools purchased for window frames, nirmithkendram by Avs reddy Dt:13-08-2026</t>
  </si>
  <si>
    <t>Small items purchased, Auto charges payment by Avs reddy Dt:09-08-2026 to 14-08-2026</t>
  </si>
  <si>
    <t>Labour room advance rent payment by k bablu at katrapalli, sangem Dt:09-08-2026</t>
  </si>
  <si>
    <t>Rajapur</t>
  </si>
  <si>
    <t>Mehabubnagar</t>
  </si>
  <si>
    <t>Mehabubnagar Bnak To Dachekpally Village,Hanumakonda Village Auto Charges Payment by m chennareddy at mbnr</t>
  </si>
  <si>
    <t>12mm chips purchased by m sai Kumar at hanwada monr for RL work</t>
  </si>
  <si>
    <t>msand chips purchased by m sai Kumar at hanwada monr for RL work</t>
  </si>
  <si>
    <t>Current Pipe</t>
  </si>
  <si>
    <t>L Bundle</t>
  </si>
  <si>
    <t>J Box</t>
  </si>
  <si>
    <t>Labour Payment Paid by Aadi Sir to AVS Reddy</t>
  </si>
  <si>
    <t>Vibrator For Siddipet Rural RC Team</t>
  </si>
  <si>
    <t>2997 Tractor Diesel at Hanumakonda Hub</t>
  </si>
  <si>
    <t>Hanumakonda to Turkapally transport for carpenters</t>
  </si>
  <si>
    <t>5095 Tractor Diesel at Valigonda</t>
  </si>
  <si>
    <t>RL Team Tools at Mulug, Siddipet District.</t>
  </si>
  <si>
    <t>5839 Tractor Diesel Valigonda</t>
  </si>
  <si>
    <t>Cement Bag 50 at Turkapally Mandal, Bhongir</t>
  </si>
  <si>
    <t>20 Stick Files purchased at Hanumakonda</t>
  </si>
  <si>
    <t>Colour print sheets 300 and 10 hard Stick Files</t>
  </si>
  <si>
    <t>3949. Tractor Diesel At Wardhannapet</t>
  </si>
  <si>
    <t>tools purchase at Hanamkonda Hub Cutting blades</t>
  </si>
  <si>
    <t>10 Mm Aggregate For.Kulcharam , Medak</t>
  </si>
  <si>
    <t>Dust Aggregate For Kulcharam , Medak</t>
  </si>
  <si>
    <t>Transport to Siddipet to Kamareddy Eicher Vehicle outside</t>
  </si>
  <si>
    <t>Stick Files</t>
  </si>
  <si>
    <t xml:space="preserve">4256 Tractor Diesel at Hanumakonda </t>
  </si>
  <si>
    <t>3 DCM's Transport from Valigonda to rayapole for RC Centering</t>
  </si>
  <si>
    <t>Stationary Material for Kamareddy &amp; Siddipet</t>
  </si>
  <si>
    <t>3 Cement Bags For RC pump at Wardhanpet</t>
  </si>
  <si>
    <t>RMC  and Pump Beta at Wardhanpet</t>
  </si>
  <si>
    <t>25 Liters Waste Oil at Nirmithakendram, Hanumakonda</t>
  </si>
  <si>
    <t>Blacl Oil</t>
  </si>
  <si>
    <t>Diesel For Windows and Frames</t>
  </si>
  <si>
    <t>Site Maintainance items for nirmithakendram, Hanumakonda</t>
  </si>
  <si>
    <t>Kamareddy House advance For Sudhakar Sir</t>
  </si>
  <si>
    <t>Venkatarao auger vehicle diesel Ramareddy, kamareddy Dist</t>
  </si>
  <si>
    <t>10 kgs Nails Purchase Hanamkonda</t>
  </si>
  <si>
    <t>Brick cutting tools from Warangal</t>
  </si>
  <si>
    <t>Sliders Amount in Warangal</t>
  </si>
  <si>
    <t>10 Cement Bags Purchased at Rajampet, Kamareddy</t>
  </si>
  <si>
    <t>2.5 Inch Nails</t>
  </si>
  <si>
    <t>20 Bags cement ,Kulcharam, Medak</t>
  </si>
  <si>
    <t>Cover Blocks at Wardhannapet</t>
  </si>
  <si>
    <t>16,17,18 August Local Tractor Rent at Wardhannapet</t>
  </si>
  <si>
    <t>Paints For Completions at Hanamkonda</t>
  </si>
  <si>
    <t>Completion team tools at Hanamkonda</t>
  </si>
  <si>
    <t>RL Brick Tools At Nadikuda</t>
  </si>
  <si>
    <t>Model</t>
  </si>
  <si>
    <t>6494 Tractor Diesel at Hanumakonda</t>
  </si>
  <si>
    <t>2 Blade Sets Purchased by dega vamsi for Painting work</t>
  </si>
  <si>
    <t>3 Tons Dust for Wardhannapet</t>
  </si>
  <si>
    <t>50 kg Binding Wire Purchase at Ramareddy,Kamareddy</t>
  </si>
  <si>
    <t>500 kg's 8MM Steel Purchase at Damera</t>
  </si>
  <si>
    <t>60 Bags Cement Purchase at Damera</t>
  </si>
  <si>
    <t xml:space="preserve">7863 Tractor Diesel at Mehabubnagar </t>
  </si>
  <si>
    <t>Cement Bags 200 Payment by Aadi Sir at Hanumakonda</t>
  </si>
  <si>
    <t>535Kg 12MM Steel Purchased at Hanumakonda Payment by Aadi Sir at Hanumakonda</t>
  </si>
  <si>
    <t>1514Kg 8MM Steel Purchased at Hanumakonda Payment by Aadi Sir at Hanumakonda</t>
  </si>
  <si>
    <t>50Kg Binding Wire Purchased at Hanumakonda Payment by Aadi Sir at Hanumakonda</t>
  </si>
  <si>
    <t>12MMDust Mix Purchased at Damera</t>
  </si>
  <si>
    <t xml:space="preserve">Kamareddy Stay at Hotel For 2 Days </t>
  </si>
  <si>
    <t>Material Expenses</t>
  </si>
  <si>
    <t>RC centering  Poles Cash Payment by Aadi Sir</t>
  </si>
  <si>
    <t>RC Sliders Payment Reference By Shiva reddy Payment by Aadi Sir By Cash</t>
  </si>
  <si>
    <t>Cash Payment By Aadi Sir to Sunil Rao RMC, Hanumakonda</t>
  </si>
  <si>
    <t>5095 Tractor Diesel Raipole ,Siddipet</t>
  </si>
  <si>
    <t>3351 Tractor Diesel At Kamepally, Khammam</t>
  </si>
  <si>
    <t>6869 Tractor Diesel Siddipet Rural</t>
  </si>
  <si>
    <t>5.2Tons 40 Mm aggregate for Wardhannapet</t>
  </si>
  <si>
    <t>5.2 Tons 40 Mm aggregate For Wardhannapet</t>
  </si>
  <si>
    <t>50 kgs Binding Wire at Bibipet Mandal, Kamareddy</t>
  </si>
  <si>
    <t>Bibipet</t>
  </si>
  <si>
    <t>10 Bags cement At Rajampet, Kamareddy</t>
  </si>
  <si>
    <t>5.4 Tons 40 Mm For Wardhannapet</t>
  </si>
  <si>
    <t>Tools Purchased at Turkapally</t>
  </si>
  <si>
    <t>Completion team materials at Hanamkonda</t>
  </si>
  <si>
    <t>Tools purchased by nandu at rayapole for rc work</t>
  </si>
  <si>
    <t>Binding wire-25 kg purchased by n nandu at rayapole for rc work</t>
  </si>
  <si>
    <t>Tools purchased by pavan kumar at ramareddy for door fitting</t>
  </si>
  <si>
    <t>Cement bags-10 purchased by padala bhanuprasad at bhiknoor</t>
  </si>
  <si>
    <t>AAC BLOCKS SHIFTING(NEERKULLA TO OORUGONDA)LABOUR CHARGES PAYMENT BY SIMHACHALAM AT DAMERAA Dt:27-07-2026 to 13-08-2026</t>
  </si>
  <si>
    <t>Cement bags-30 purchased by G Ganesh at vasalamarry</t>
  </si>
  <si>
    <t>Food expenses payment by P Pavan kumar at ramareddy for rl labour, door fittings</t>
  </si>
  <si>
    <t>AP03CD0338 TRACTOR DEISEL PAYMENT BY N NANDU AT KASULABAD</t>
  </si>
  <si>
    <t>Tools purchased by d vishnu vardhan reddy at narasapur ,medak</t>
  </si>
  <si>
    <t>Jedcharla</t>
  </si>
  <si>
    <t>Tractor Reapair</t>
  </si>
  <si>
    <t>Prasad dcm vehicle fast tag recharge</t>
  </si>
  <si>
    <t>centring sheets shifted Labour charges payment by p pavan Kumar at raganna guidance in mbnr</t>
  </si>
  <si>
    <t>super visiorroom rent payment by suram prasad reddy at valigonda for 03-07-2026 to 03-08-2026</t>
  </si>
  <si>
    <t>Food expenses and Rmc and pump charges and waste oil-10 lits purchased payment by suram prasad reddy valigonda dt:09-08-2026. For RC work</t>
  </si>
  <si>
    <t>Supervisor room rent paid to Arun garu, Payment through budda suresh, at cheelasagar DT:13-08-3026</t>
  </si>
  <si>
    <t>Door frames and window frames fitting labour charges Payment by konireddy srinivasulu reddy at lingually vi domkonda mdl</t>
  </si>
  <si>
    <t>Cement bags- 05, gum, sanam purchased, hamli charges payment by konireddy srinivasulu reddy for door frames fittings purpose</t>
  </si>
  <si>
    <t>Labour charges payment konireddy srinivasulu reddy</t>
  </si>
  <si>
    <t>Nails purchased by p vinay Yadav at siddipet rul for rc work</t>
  </si>
  <si>
    <t>RC work roofing, clover blocks purchased by p vinay Yadav at siddipet rul for rc work</t>
  </si>
  <si>
    <t>TS28L3049 TRACTOR DAY PAYMENT PAID THROUGH G NAGARAJU FOR Three DAYS Dt:19-08-2026,20-08-2026,21-08-2026.</t>
  </si>
  <si>
    <t>Doulthabad room rent payment by p vinay for the month of July 2026</t>
  </si>
  <si>
    <t>For 3 Houses</t>
  </si>
  <si>
    <t>Supervisor &amp; BL,RL,RC Labour Room Rent Charges Payment by P Vinay at Siddipet Rural</t>
  </si>
  <si>
    <t>AP39UT4256 Tractor Diesel Payment by Setti Suresh at Nadikuda</t>
  </si>
  <si>
    <t>RMC Trip &amp; Pump Charges Payment by P Vinay Yadav at Siddipet Rural 10-08-26, 17-08-26, 18-08-26</t>
  </si>
  <si>
    <t>TS27A6990 TRACTOR DEISEL PAYMENT BY SURE KRISHNA REDDY AT HANUMAKONDA</t>
  </si>
  <si>
    <t>TS 27 T 6494 TRACTOR DEISEL PAYMENT BY HANUMANTH AT HANUMAKONDA</t>
  </si>
  <si>
    <t>AP40JW7532 TRACTOR DEISEL PAYMENT BY Y SRIHARI HANWADA MBNR</t>
  </si>
  <si>
    <t>2nd ri labour Advanced room rent at puligilla vi nadikuda mdl payment by setti suresh at nadikuda Dt:19-08-2026</t>
  </si>
  <si>
    <t>Materials, electricals purchased by krishna at pallevelupala rc work</t>
  </si>
  <si>
    <t>Binding wire-20kg purchased by krishna at hanumakonda</t>
  </si>
  <si>
    <t>supervisor room rent paid to vamsikrishna garu payment through k narendra at birkoor,Date: 15-07-2026 to 15-08-2026</t>
  </si>
  <si>
    <t>RL STANDS RENT (11 DAYS) PAYMENT BY SETTI SURESH AT NADIKUDA, DT:05-08-2026 TO 15-08-2026</t>
  </si>
  <si>
    <t>Sand loading with jcb charges payment by G GANESH AT VASALAMARRI Dt:21-08-2026</t>
  </si>
  <si>
    <t>pallevelupala</t>
  </si>
  <si>
    <t>Bhirkoor</t>
  </si>
  <si>
    <t>Cement bags-30 purchased by D vishnu vardhan reddy at kulcharam mdl rl work</t>
  </si>
  <si>
    <t>TSO3FE1340 TRACTOR DEISEL PAYMENT BY SETTI SURESH AT PARKAL VI dt:15-08-2026</t>
  </si>
  <si>
    <t>Rajampeta materials room rent payment by K SRINIVASULU reddy at rajampeta.dt:20-07-2026 to 20-08-2026.</t>
  </si>
  <si>
    <t>local tractor driver daily payment k bablu at sangem for two days Dt:14th,15th August 2026</t>
  </si>
  <si>
    <t>AAC BLOCKS SHIFTING AND DOORS FRAMES FITTING LABOUR CHARGES PAYMENT BY KONIREDDY SRINIVASULU REDDY.</t>
  </si>
  <si>
    <t>Iron cutting baleds, Wood cutting blades purchased by n nandu at bibipalle, kamareddy for bl work</t>
  </si>
  <si>
    <t>Cement bags-5 PURCHASED BY KONIREDDY SRINIVASULU REDDY AT domkonda for windows frame fitting work</t>
  </si>
  <si>
    <t>vasalamarri site houses painter charges payment by R SRIRAMAMURTHY AT VASALAMARRI</t>
  </si>
  <si>
    <t>M sand purchased by D Vishnu vardhanreddy at kulcharam rl work</t>
  </si>
  <si>
    <t>CEMENT BAGS-10 PURCHASED BY BUDDA SURESH AT KOKKANDA MULUGU</t>
  </si>
  <si>
    <t>Paint For 6 Houses</t>
  </si>
  <si>
    <t>Concrete tape purchased by k bablu at Hanumakonda</t>
  </si>
  <si>
    <t>Handsaw and hammer purchased Budda suresh at kokkanda mulugu for RL Work</t>
  </si>
  <si>
    <t>20 Mm Aggregate For Kamepally RC Work Purpose</t>
  </si>
  <si>
    <t>Transportation Charges for 20MM</t>
  </si>
  <si>
    <t>28KM</t>
  </si>
  <si>
    <t>door frames unloading Labour charges, tiffen expenses payment by muppana vamsi at lingumpet for rl work Labour</t>
  </si>
  <si>
    <t>msand, 12 mm chips mixing purchased by simhasalam at oorugonda damera for rl work</t>
  </si>
  <si>
    <t>RMC TRIP AND PUMP CHARGES PAYMENT BY KRISHNA AT LASKARSINGARAM FOR RC RMC</t>
  </si>
  <si>
    <t>RMC TRIP AND PUMP CHARGES PAYMENT BY KRISHNA AT shampet, palakurthi FOR RC RMC Dt:10th,11thaug 2026</t>
  </si>
  <si>
    <t>Wall Paints, rollers purchased by g ganesh at vasalamarri for Completion work</t>
  </si>
  <si>
    <t>12MM Steel Purchased at Mehabubnagar</t>
  </si>
  <si>
    <t>8MM&amp;10MM Steel Purchased at Mehabubnagar</t>
  </si>
  <si>
    <t>8MM/10MM Steel</t>
  </si>
  <si>
    <t>973.8Kg</t>
  </si>
  <si>
    <t>2.5 inch Nails Purchased at Mehabubnagar</t>
  </si>
  <si>
    <t>10 Kg</t>
  </si>
  <si>
    <t>3 inch Nails Purchased at Mehabubnagar</t>
  </si>
  <si>
    <t>3 Inch Nails</t>
  </si>
  <si>
    <t>msand, 12MM Mix</t>
  </si>
  <si>
    <t>TG15T0246 VECHICAL ADVANCE AMOUNT PAYMENT THROUGH D VISHNU VARDHAN REDDY AT KOWDAPALLI FOR IRON SHIFTING RAJPET VI TO KAMAREDDY</t>
  </si>
  <si>
    <t>Steel Transport From Medak to Kamareddy</t>
  </si>
  <si>
    <t>AРОЗСD3038 TRACTOR DEISEL PAYMENT BY N NANDU BIBIPET KAMAREDDY</t>
  </si>
  <si>
    <t>Iron loading shifting labour charges payment by d vishnu vardhan reddy at rajipet vi,kowdapalli mdi, kamareddy</t>
  </si>
  <si>
    <t>Electricals, Materials purchased by suram prasad reddy at rayapole for RC work</t>
  </si>
  <si>
    <t>Cement bags-03 purchased by konireddy srinivasulu reddy at rajampeta</t>
  </si>
  <si>
    <t>Steel from Kamareddy purchased by Pavan</t>
  </si>
  <si>
    <t>Door frames and window frames fitting labour charges Payment by konireddy srinivasulu reddy at Domkonda</t>
  </si>
  <si>
    <t>Electricals purchased by krishna for pagadapally RC Work</t>
  </si>
  <si>
    <t>Medak Steel Purchase for RC</t>
  </si>
  <si>
    <t>Transportation Charges for 8MM Steel Purchased at Medak For RC</t>
  </si>
  <si>
    <t>Transportation Charges for 8MM Steel Purchased by pavan at kamareddy</t>
  </si>
  <si>
    <t>rajipet(kowdapalli) labour room rent(2 Months) payment,power bill (2months) payment by D vishnu vardhan reddy june to August 2026</t>
  </si>
  <si>
    <t>Narapur labour room rent, payment by b vijay at Narasapur for the month of July to august 2026</t>
  </si>
  <si>
    <t>Narapur labour room rent, payment by b vijay at Narasapur for the month of July to august 2026 note:600/- Detuct for motor stater repair charges paid 28/7/2026</t>
  </si>
  <si>
    <t>Labour room payment by u manikanta at yellandu for one month</t>
  </si>
  <si>
    <t>Sand from Yallandu, Kamepalli RC Work Purpose</t>
  </si>
  <si>
    <t>24.27 Mt</t>
  </si>
  <si>
    <t>TG03T3342 VECHICAL ADVANCED PAYMENT BY SURE KRISHNA REDDY AT HANUMAKONDA TO MEDAK FOR SHIFTING RC MATERIALS</t>
  </si>
  <si>
    <t>AP39W1989 Ashok Layland desiel payment through sure krishnareddy at hanumakonda</t>
  </si>
  <si>
    <t>AP40KW7346 TRACTOR DEISEL PAYMENT BY SURE KRISHNA at hanumakonda</t>
  </si>
  <si>
    <t>AP39UT4256 TRACTOR DEISEL PAYMENT BY KRISHNA AT HANUMAKONDA</t>
  </si>
  <si>
    <t>Nails -10Kg Purchased by Krishna For Vagapadu RC Work</t>
  </si>
  <si>
    <t>Doors, windows unloading, steel loading, unloading labour charges payment by pavan kumar at Ramareddy dt:22.08.2026,23.08.2026</t>
  </si>
  <si>
    <t>TS27T6494 TRACTOR DEISEL PAYMENT BY SURE KRISHNA REDDY AT HANUMAKONDA</t>
  </si>
  <si>
    <t>Food bill for Teegaram Labour Shifting</t>
  </si>
  <si>
    <t>Cement bags-100 purchased by sure krishna reddy at hanumakonda for nirmithkendr dt:21-08-2026</t>
  </si>
  <si>
    <t>TS21T6869 TRACTOR DEISEL PAYMENT BY P VINAY YADAV AT SIDDIPET RUL</t>
  </si>
  <si>
    <t>Food expenses payment by konireddy srinivasulu reddy at domkonda for door frames unloading Labours dt: 22.08.2026, 23.08.2026</t>
  </si>
  <si>
    <t>TS28L3049 TRACTOR DAY PAYMENT PAID THROUGH G NAGARAJU FOR Two DAYS Dt:22-08-2026,23-08-2026.</t>
  </si>
  <si>
    <t>Pending Aggregate Bill</t>
  </si>
  <si>
    <t>Pending Aggregate Bill(20MM, 4.64 Ton) For Bhirkoor &amp; Banaswada</t>
  </si>
  <si>
    <t>Materials, Tools purchased by sure krishna reddy at hanumakonda for RC team</t>
  </si>
  <si>
    <t>TG037489 TRACTOR DEISEL PAYMENT BY DRIVER SAMEER AT HANUMAKONDA</t>
  </si>
  <si>
    <t>Newspaper -100kg*25 purchased by hanumanthu at hanumakonda for nirmithkendram</t>
  </si>
  <si>
    <t>Net, tarpaulins purchased by AVS REDDY AT HANUMAKONDA FOR NIRMITHKENDRAM New LABOUR</t>
  </si>
  <si>
    <t>Cement bags-10 purchased by konireddy srinivasulu reddy at domkonda for door frames and windows work purpose</t>
  </si>
  <si>
    <t>Waste oil-20 lits purchased by sure krishna reddy at hanumakonda for nirmithkendram</t>
  </si>
  <si>
    <t>AAC BLOCKS UNLOADING LABOUR CHARGES PAYMENT BY SIMHASALAM AT OORUGONDA DAMERA Dt:14-08-2026</t>
  </si>
  <si>
    <t>Bricks shifting labour charges payment by simhasalam at orrugonda dameraa dt:18-08-2026,20-08-2026,22-08-2026,23-08-2026</t>
  </si>
  <si>
    <t>AP03CD3038 TRACTOR DEISEL PAYMENT BY PADALA BHANUPRASAD AT BHIKNOOR</t>
  </si>
  <si>
    <t>AP40LV8600 AUGUR VEHICLE DEISEL PAYMENT BY N NANDU AT BIBIPET KAMAREDDY</t>
  </si>
  <si>
    <t>Steel, Cement, chemical bags, Centring wood loading and unloading labour charges payment by AVS REDDY AT Hanumakonda for nirmithkendram 20-08-2026</t>
  </si>
  <si>
    <t>Painter labour charges payment by AVS REDDY FOR LASHKAR SINGARAM HANUMAKONDA Dt:23-08-2026 through cash payment</t>
  </si>
  <si>
    <t>News paper</t>
  </si>
  <si>
    <t>News Paper</t>
  </si>
  <si>
    <t>2.5 inch Nails -7.5kg purchased by n nandu at bibipet kamareddy</t>
  </si>
  <si>
    <t>3 inch Nails -5kg purchased by n nandu at bibipet kamareddy</t>
  </si>
  <si>
    <t>7.5Kg</t>
  </si>
  <si>
    <t>Cement bags-10, Auto charges payment by budda suresh at kokkanda mulugu</t>
  </si>
  <si>
    <t>Theegaram room rent payment by P Pavan Kumar</t>
  </si>
  <si>
    <t>TS24A4224 TRACTOR DEISEL PAYMENT BY AVS REDDY AT HANUMAKONDA Dt:20-08-2026</t>
  </si>
  <si>
    <t>Centring wood, woden planes, runners, loading unloading Labour room payment by AVS REDDY AT NIRMITHKENDRAM HANUMAKONDA</t>
  </si>
  <si>
    <t>windows, lentals, Sajjalu unloading Labour charges payment by Simhachalam at oorugonda Damera Dt:24-08-2026 85 peices</t>
  </si>
  <si>
    <t>Chemical mixing buckets, iron cutting baleds purchased by driver madhu at theegaram</t>
  </si>
  <si>
    <t>Materials, tools purchased by dega vamsi at narasapur,medak</t>
  </si>
  <si>
    <t>AP39TC3351 TRACTOR DEISEL PAYMENT BY U MANIKANTA AT KAMEPALLI</t>
  </si>
  <si>
    <t>Local tractor day rent for window frames shifting payment charges payment by muppana vamsi at lingumpet</t>
  </si>
  <si>
    <t>Vehicle Rents</t>
  </si>
  <si>
    <t>Tools - Machines</t>
  </si>
  <si>
    <t>Tractors Payments - JUNE -2026</t>
  </si>
  <si>
    <t>Salary Advance For Staff-June 2026</t>
  </si>
  <si>
    <t>RC Sheets Cleaing And Oiling At Vizag</t>
  </si>
  <si>
    <t>Labour Transportation To Site For Sheets Cleaning And Oiling And Loading</t>
  </si>
  <si>
    <t xml:space="preserve">Sheets Loading Extra </t>
  </si>
  <si>
    <t>Vizag Shuttering  Drivers Meals</t>
  </si>
  <si>
    <t>Vizag Shuttering  Supervisors Food</t>
  </si>
  <si>
    <t>Vizag Shuttering Team Crane For Loading Charges</t>
  </si>
  <si>
    <t>RC Sheets Transport From Vizag to Hanamkonda   AP 39 WD 3699</t>
  </si>
  <si>
    <t>RC Sheets Transport From Vizag to Hanamkonda   AP 07 TL 1188</t>
  </si>
  <si>
    <t>Narsapur Tractor stuck in mud, removed with another tractor, charges payment through dega vamsi at narsapur</t>
  </si>
  <si>
    <t>Tools purchased by sure krishna reddy at hanumakonda for nirmithkendram</t>
  </si>
  <si>
    <t>Electricals purchased by P Pavan Kumar at ramareddy for Sriramamurthy BL LABOUR FOR ROOM</t>
  </si>
  <si>
    <t>ventilators-4 purchased by budda suresh at kokkanda mulugu</t>
  </si>
  <si>
    <t>Cement bags-08 PURCHASED BY PADALA BHANUPRASAD AT BHIKNOOR FOR RL work</t>
  </si>
  <si>
    <t>Nails-40 kg purchased by narasapur RC work</t>
  </si>
  <si>
    <t>40Kg</t>
  </si>
  <si>
    <t>Binding wire-25 kg purchased by narasapur RC work</t>
  </si>
  <si>
    <t>Labour shifted auto charges payment by P Pavan Kumar at lingumpet to ramareddy</t>
  </si>
  <si>
    <t>Cement bags-30 purchased by G Ganesh at vasalamarry for Completion work</t>
  </si>
  <si>
    <t>M sand purchased by d vishnu vardhanreddy at kulcharam RL work</t>
  </si>
  <si>
    <t>Cement bags-05 purchased by konireddy srinivasulu reddy at domkonda for door frames fitting purpose</t>
  </si>
  <si>
    <t>Doorframe and window frames fitting work labour charges payment by konireddy srinivasulu reddy at domkonda dt:25-08-2026</t>
  </si>
  <si>
    <t>Sand and 20MM agreegate loading with jcb charges payment by u manikanta at kamepalli to ponnikul site Dt:25-08-2026</t>
  </si>
  <si>
    <t>Window frames fitting labour charges Payment by K BABLU FOR PAKAL, NADIKUDA HOUSES-22</t>
  </si>
  <si>
    <t>Rmc trip charges, Cement bags-3, Dewalt carbon, chemical bags loading, door frames unloading Labour food expenses, payment by padala bhanu prasad at bhiknoor</t>
  </si>
  <si>
    <t>APO3CD3038 TRACTOR DEISEL PAYMENT BY PADALA BHANUPRASAD AT BHIKNOOR</t>
  </si>
  <si>
    <t>TS27A6990 TRACTOR DEISEL PAYMENT BY HANUMANTH AT HANUMAKONDA</t>
  </si>
  <si>
    <t>Steel- 8mm purchased by Sure krishna reddy at hanumakonda for nirmithkendram Dt:25-08-2026</t>
  </si>
  <si>
    <t>Steel-12mm purchased by Sure krishna reddy at hanumakonda for nirmithkendram Dt:25-08-2026</t>
  </si>
  <si>
    <t>RC work electrical materials purchased by krishna at hanumakonda for vangapadu(ward no:1)</t>
  </si>
  <si>
    <t>RL LABOUR AUTO CHARGES, IRON CUTTING BALED PURCHASED PAYMENT BY PADALA BHANU PRASAD AT BHIKNOOR DT:26-08-2026, 27-08-2026</t>
  </si>
  <si>
    <t>Wood Runners &amp; Wood Planks Transport Charges Payment by Sri Rama Murthy at Hanumakonda For Nirmithakendram</t>
  </si>
  <si>
    <t>AP39J1001 CAR DEISEL PAYMENT BY R SRIRAMAMURTHY DT:21-08-2026</t>
  </si>
  <si>
    <t>Concrete tape purchased by dega vamsi at narasapur RC work</t>
  </si>
  <si>
    <t>Sand purchased by AVS REDDY at hanumakonda for nirmithkendram 34.1 TON*1346 RATE</t>
  </si>
  <si>
    <t>Water pipe purchased by G nagaraju for nekkonda model house</t>
  </si>
  <si>
    <t>12MM aggregate Purchased by Driver Madhu for theegaram RL Work</t>
  </si>
  <si>
    <t>Food Expenses Payment by Muppana vamsi at Lingampet AE</t>
  </si>
  <si>
    <t>Waste oil-6 ltrs Purchased at Narsapur RC Work</t>
  </si>
  <si>
    <t>Sand Payment For 34.7 Tons * 1800. For Turkapally Mandal</t>
  </si>
  <si>
    <t>AP40KF2837 TRACTOR LOCAL DRIVER PAYMENT BY KORUPROLU SIVA AT RAMAREDDY, JULY, AUGUST MONTHS 24 DAYS*800 WORKING</t>
  </si>
  <si>
    <t>RMC trip charges payment by baddi somesh at siddipet rural and hanumakonda</t>
  </si>
  <si>
    <t>Cement Bags-06 Purchased by Dega vamsi at narsapur RC Work</t>
  </si>
  <si>
    <t>RC Materials Purchased by Dega Vamsi at Narsapur RC Work</t>
  </si>
  <si>
    <t>Slab Leakage</t>
  </si>
  <si>
    <t>Slab Leak liquid-10 ltrs Purchased by Simhachalam at Hanumakonda for theegaram slab work</t>
  </si>
  <si>
    <t>Goodwill</t>
  </si>
  <si>
    <t>Rajampeta Goodwill</t>
  </si>
  <si>
    <t>Supervisors Room Rent Payment by M Sai Kumar through Y Srihari at Hanwada, MBNR DT:24-07-26 to 24-08-26</t>
  </si>
  <si>
    <t>Cement Bags-10 Purchased by G Nagaraju for nekkonda model house</t>
  </si>
  <si>
    <t>Salary in advance</t>
  </si>
  <si>
    <t>Advance Amount Paid to K Narendra From Salary</t>
  </si>
  <si>
    <t>RMC Trip &amp; Pump Charges Payment by Krishna 23-08-26, 25-08-26, 26-08-26</t>
  </si>
  <si>
    <t>AP40LV8600 AUGUR VEHICLE DEISEL PAYMENT BY K SIVA AT RAMAREDDY</t>
  </si>
  <si>
    <t>AP39JQ0377 Tractor Advance Payment through Padala Bhanuprasad at Bhiknoor</t>
  </si>
  <si>
    <t>RMC Trip &amp; Pump Charges Payment by G Nagaraju at Wardhanpet</t>
  </si>
  <si>
    <t xml:space="preserve">Window frames Payment by Muppana Vamsi at Lingampet Dt:25-08-26  </t>
  </si>
  <si>
    <t xml:space="preserve">Labour food &amp; Breakfast Expenses Payment by Muppana Vamsi at Lingampet Dt:25-08-26  </t>
  </si>
  <si>
    <t>Local Tractor day wise payment by sai at yellandu for RL work Window frames</t>
  </si>
  <si>
    <t>RMC Trip &amp; Pump charges Payment by Dega vamsi at Narsapur</t>
  </si>
  <si>
    <t>5 Houses</t>
  </si>
  <si>
    <t>Centring Karra Unloading Labour Charges Payment through Dega Vamsi at Narsapur</t>
  </si>
  <si>
    <t>Weighing</t>
  </si>
  <si>
    <t>Centring Karra Weighing Machine Charges Payment By Dega Vamsi at Narsapur</t>
  </si>
  <si>
    <t>Doorframe and window frames fitting work labour charges payment by konireddy srinivasulu reddy at domkonda dt:26-08-2026, 27-08-2026</t>
  </si>
  <si>
    <t>Supervisors Room Rent Payment by K Narendra at Ramareddy, DT:22-07-26 to 22-08-26</t>
  </si>
  <si>
    <t>Materials(Cement &amp; Chemical Bags) Room Rent Payment Through Korupolu Siva at Ramareddy July 22nd to Aug 22nd 2026</t>
  </si>
  <si>
    <t>12 MM STEEL</t>
  </si>
  <si>
    <t>10 MM STEEL</t>
  </si>
  <si>
    <t>8 MM STEEL</t>
  </si>
  <si>
    <t>12 MM Aggregate</t>
  </si>
  <si>
    <t>12MM &amp; Dust Mix</t>
  </si>
  <si>
    <t>Nails "2.5"</t>
  </si>
  <si>
    <t>Nails "All Mix"</t>
  </si>
  <si>
    <t>Test Payment</t>
  </si>
  <si>
    <t>Load Bearing Test Cash Payment</t>
  </si>
  <si>
    <t>Iron Loading Purchase at Shop</t>
  </si>
  <si>
    <t>AP 40 DC 0089 TRACTOR Diesel</t>
  </si>
  <si>
    <t>AP39JQ0377 Tractor Deisel</t>
  </si>
  <si>
    <t xml:space="preserve">TS05FM0635 TRACTOR DEISEL </t>
  </si>
  <si>
    <t>Fast Tag Recharge</t>
  </si>
  <si>
    <t xml:space="preserve">AP39TH0913 DCM Vehical Diesel Payment </t>
  </si>
  <si>
    <t xml:space="preserve">TS 34 T 3804 Shivareddy Auger Vehicle Diesel </t>
  </si>
  <si>
    <t xml:space="preserve">AP40JS1121 TRACTOR DEISEL PAYMENT </t>
  </si>
  <si>
    <t>TS03FE1304  Tractor Diesel Payment</t>
  </si>
  <si>
    <t>AP39TH0913 DCM Eicher Vehicle Fastag Recharge</t>
  </si>
  <si>
    <t>Driver Salary</t>
  </si>
  <si>
    <t>AP39KA1451 Tractor Diesel Payment</t>
  </si>
  <si>
    <t>AP16CX7950 Tractor Diesel</t>
  </si>
  <si>
    <t xml:space="preserve">AP39FC8298 TRACTOR DEISEL PAYMENT </t>
  </si>
  <si>
    <t>Driver Salaries</t>
  </si>
  <si>
    <t>APO4BR1918 TRACTOR Diesel Payment</t>
  </si>
  <si>
    <t>AP39DC3351 Diesel Payment From Giddaloor To Hanamkonda</t>
  </si>
  <si>
    <t>AP27UB0957 Diesel Payment From Giddaloor To Hanamkonda</t>
  </si>
  <si>
    <t>AP27UB0957 Tractor Deisel Payment</t>
  </si>
  <si>
    <t>AP40T1195 Tractor Deisel Payment</t>
  </si>
  <si>
    <t>AP40T1195 Tractor Deisel payment</t>
  </si>
  <si>
    <t>AP40JW 7532 Tractor Deisel payment</t>
  </si>
  <si>
    <t>TS03EE4571 DIESEL PAYMENT</t>
  </si>
  <si>
    <t>AP26BZ3361 Tractor Deisel payment</t>
  </si>
  <si>
    <t>TS 32 T 1002 Tractor Diesel</t>
  </si>
  <si>
    <t>TS36TA1891 TRACTOR Diesel Payment</t>
  </si>
  <si>
    <t>AP39CT7040 AUGUR VEHICLE DEISEL PAYMENT</t>
  </si>
  <si>
    <t>TS35T2387 TRACTOR DEISEL PAYMENT</t>
  </si>
  <si>
    <t>TS03UB7556  Tractor Diesel</t>
  </si>
  <si>
    <t>TS24T8355 TRACTOR DEISEL PAYMENT</t>
  </si>
  <si>
    <t>20 MM Aggregate</t>
  </si>
  <si>
    <t>40 MM Aggregate</t>
  </si>
  <si>
    <t xml:space="preserve">Msand </t>
  </si>
  <si>
    <t>12 M</t>
  </si>
  <si>
    <t>8 MM Aggregate</t>
  </si>
  <si>
    <t>River Sand</t>
  </si>
  <si>
    <t>Nirmith Kendram</t>
  </si>
  <si>
    <t>6 MM Aggregate</t>
  </si>
  <si>
    <t xml:space="preserve">12 MM </t>
  </si>
  <si>
    <t>Msand &amp; 6 mm miX</t>
  </si>
  <si>
    <t>Msand &amp; 12 mm Aggregate</t>
  </si>
  <si>
    <t>Loading / Unloading</t>
  </si>
  <si>
    <t>Tranport</t>
  </si>
  <si>
    <t>Airtel Broadband Payment</t>
  </si>
  <si>
    <t>1 * 300</t>
  </si>
  <si>
    <t>1 Pump &amp; Rmc Driver Beta</t>
  </si>
  <si>
    <t>6 Cement</t>
  </si>
  <si>
    <t>8 Bags Cement</t>
  </si>
  <si>
    <t>15 cement Bags</t>
  </si>
  <si>
    <t>Steel Loading 2 Tons</t>
  </si>
  <si>
    <t>8 mm steel</t>
  </si>
  <si>
    <t>12 MM stEEL</t>
  </si>
  <si>
    <t>Adhi Reddy</t>
  </si>
  <si>
    <t>12 mm 1 Tractor</t>
  </si>
  <si>
    <t>DUST AGREEGATE PAYMENT</t>
  </si>
  <si>
    <t xml:space="preserve">20mm agreegate payment </t>
  </si>
  <si>
    <t>tharigoppula</t>
  </si>
  <si>
    <t>40 MM</t>
  </si>
  <si>
    <t>Aggregate (Srikanth Reddy)</t>
  </si>
  <si>
    <t>Aggregate (Jagan)</t>
  </si>
  <si>
    <t>M sand</t>
  </si>
  <si>
    <t>40 MM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</si>
</sst>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₹&quot;\ #,##0;&quot;₹&quot;\ \-#,##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₹&quot;* #,##0.00_);_(&quot;₹&quot;* \(#,##0.00\);_(&quot;₹&quot;* &quot;-&quot;??_);_(@_)"/>
    <numFmt numFmtId="165" formatCode="_ &quot;₹&quot;\ * #,##0_ ;_ &quot;₹&quot;\ * \-#,##0_ ;_ &quot;₹&quot;\ * &quot;-&quot;??_ ;_ @_ "/>
    <numFmt numFmtId="166" formatCode="d&quot;-&quot;mmm&quot;-&quot;yyyy"/>
    <numFmt numFmtId="167" formatCode="_ &quot;₹&quot;\ * #,##0.0_ ;_ &quot;₹&quot;\ * \-#,##0.0_ ;_ &quot;₹&quot;\ * &quot;-&quot;??_ ;_ @_ "/>
    <numFmt numFmtId="168" formatCode="_ * #,##0_ ;_ * \-#,##0_ ;_ * &quot;-&quot;??_ ;_ @_ "/>
    <numFmt numFmtId="169" formatCode="_(&quot;₹&quot;* #,##0_);_(&quot;₹&quot;* \(#,##0\);_(&quot;₹&quot;* &quot;-&quot;??_);_(@_)"/>
    <numFmt numFmtId="170" formatCode="0.0"/>
    <numFmt numFmtId="171" formatCode="_(* #,##0.00_);_(* \(#,##0.00\);_(* &quot;-&quot;??_);_(@_)"/>
    <numFmt numFmtId="172" formatCode="[$-F800]dddd\,\ mmmm\ dd\,\ yyyy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sz val="12"/>
      <color theme="1"/>
      <name val="Aptos"/>
      <family val="2"/>
    </font>
    <font>
      <sz val="14"/>
      <color theme="1"/>
      <name val="Aptos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9"/>
      <color theme="1"/>
      <name val="Calibri Light"/>
      <family val="2"/>
    </font>
    <font>
      <b/>
      <sz val="16"/>
      <color theme="1"/>
      <name val="Calibri Light"/>
      <family val="2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4D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</cellStyleXfs>
  <cellXfs count="207">
    <xf numFmtId="0" fontId="0" fillId="0" borderId="0" xfId="0"/>
    <xf numFmtId="0" fontId="1" fillId="0" borderId="0" xfId="3"/>
    <xf numFmtId="0" fontId="3" fillId="2" borderId="1" xfId="3" applyFont="1" applyFill="1" applyBorder="1" applyAlignment="1">
      <alignment horizontal="left" vertical="top"/>
    </xf>
    <xf numFmtId="0" fontId="3" fillId="2" borderId="1" xfId="3" applyFont="1" applyFill="1" applyBorder="1" applyAlignment="1">
      <alignment horizontal="center" vertical="top"/>
    </xf>
    <xf numFmtId="165" fontId="3" fillId="2" borderId="1" xfId="2" applyNumberFormat="1" applyFont="1" applyFill="1" applyBorder="1" applyAlignment="1">
      <alignment horizontal="left" vertical="top"/>
    </xf>
    <xf numFmtId="0" fontId="1" fillId="0" borderId="0" xfId="3" applyAlignment="1">
      <alignment horizontal="left" vertical="top"/>
    </xf>
    <xf numFmtId="0" fontId="4" fillId="0" borderId="1" xfId="3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left" vertical="center" wrapText="1"/>
    </xf>
    <xf numFmtId="1" fontId="4" fillId="0" borderId="1" xfId="3" applyNumberFormat="1" applyFont="1" applyBorder="1" applyAlignment="1">
      <alignment horizontal="left" vertical="top"/>
    </xf>
    <xf numFmtId="165" fontId="4" fillId="0" borderId="1" xfId="2" applyNumberFormat="1" applyFont="1" applyFill="1" applyBorder="1" applyAlignment="1">
      <alignment horizontal="left" vertical="top"/>
    </xf>
    <xf numFmtId="0" fontId="4" fillId="0" borderId="1" xfId="3" applyFont="1" applyBorder="1" applyAlignment="1">
      <alignment horizontal="left" vertical="top"/>
    </xf>
    <xf numFmtId="0" fontId="1" fillId="0" borderId="4" xfId="3" applyBorder="1" applyAlignment="1">
      <alignment horizontal="left" vertical="top"/>
    </xf>
    <xf numFmtId="0" fontId="6" fillId="0" borderId="4" xfId="3" applyFont="1" applyBorder="1" applyAlignment="1">
      <alignment wrapText="1"/>
    </xf>
    <xf numFmtId="0" fontId="1" fillId="0" borderId="1" xfId="3" applyBorder="1" applyAlignment="1">
      <alignment horizontal="left" vertical="top"/>
    </xf>
    <xf numFmtId="0" fontId="6" fillId="0" borderId="1" xfId="3" applyFont="1" applyBorder="1" applyAlignment="1">
      <alignment wrapText="1"/>
    </xf>
    <xf numFmtId="0" fontId="6" fillId="0" borderId="1" xfId="3" applyFont="1" applyBorder="1"/>
    <xf numFmtId="0" fontId="7" fillId="0" borderId="1" xfId="3" applyFont="1" applyBorder="1" applyAlignment="1">
      <alignment wrapText="1"/>
    </xf>
    <xf numFmtId="0" fontId="1" fillId="0" borderId="0" xfId="3" applyAlignment="1">
      <alignment horizontal="center" vertical="top"/>
    </xf>
    <xf numFmtId="1" fontId="1" fillId="0" borderId="0" xfId="3" applyNumberFormat="1" applyAlignment="1">
      <alignment horizontal="left" vertical="top"/>
    </xf>
    <xf numFmtId="165" fontId="1" fillId="0" borderId="0" xfId="2" applyNumberFormat="1" applyFont="1" applyAlignment="1">
      <alignment horizontal="left" vertical="top"/>
    </xf>
    <xf numFmtId="0" fontId="8" fillId="0" borderId="2" xfId="3" applyFont="1" applyBorder="1" applyAlignment="1">
      <alignment horizontal="left" vertical="top"/>
    </xf>
    <xf numFmtId="165" fontId="8" fillId="0" borderId="5" xfId="3" applyNumberFormat="1" applyFont="1" applyBorder="1" applyAlignment="1">
      <alignment horizontal="left" vertical="top"/>
    </xf>
    <xf numFmtId="165" fontId="4" fillId="3" borderId="1" xfId="2" applyNumberFormat="1" applyFont="1" applyFill="1" applyBorder="1" applyAlignment="1">
      <alignment horizontal="left" vertical="top"/>
    </xf>
    <xf numFmtId="0" fontId="0" fillId="0" borderId="0" xfId="3" applyFont="1" applyAlignment="1">
      <alignment horizontal="left" vertical="top"/>
    </xf>
    <xf numFmtId="167" fontId="1" fillId="0" borderId="0" xfId="2" applyNumberFormat="1" applyFont="1" applyAlignment="1">
      <alignment horizontal="left" vertical="top"/>
    </xf>
    <xf numFmtId="166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167" fontId="4" fillId="0" borderId="1" xfId="2" applyNumberFormat="1" applyFont="1" applyFill="1" applyBorder="1" applyAlignment="1">
      <alignment horizontal="left" vertical="top"/>
    </xf>
    <xf numFmtId="167" fontId="4" fillId="0" borderId="1" xfId="3" applyNumberFormat="1" applyFont="1" applyBorder="1" applyAlignment="1">
      <alignment horizontal="left" vertical="top"/>
    </xf>
    <xf numFmtId="0" fontId="1" fillId="0" borderId="0" xfId="3" applyAlignment="1">
      <alignment horizontal="left"/>
    </xf>
    <xf numFmtId="0" fontId="2" fillId="0" borderId="2" xfId="3" applyFont="1" applyBorder="1" applyAlignment="1">
      <alignment vertical="top"/>
    </xf>
    <xf numFmtId="43" fontId="1" fillId="0" borderId="0" xfId="1" applyAlignment="1">
      <alignment horizontal="left" vertical="top"/>
    </xf>
    <xf numFmtId="43" fontId="2" fillId="0" borderId="5" xfId="1" applyFont="1" applyBorder="1" applyAlignment="1">
      <alignment vertical="top"/>
    </xf>
    <xf numFmtId="43" fontId="6" fillId="0" borderId="4" xfId="1" applyFont="1" applyBorder="1" applyAlignment="1">
      <alignment horizontal="left"/>
    </xf>
    <xf numFmtId="43" fontId="6" fillId="0" borderId="1" xfId="1" applyFont="1" applyBorder="1" applyAlignment="1">
      <alignment horizontal="left"/>
    </xf>
    <xf numFmtId="43" fontId="7" fillId="0" borderId="1" xfId="1" applyFont="1" applyBorder="1" applyAlignment="1">
      <alignment horizontal="left"/>
    </xf>
    <xf numFmtId="168" fontId="1" fillId="0" borderId="0" xfId="1" applyNumberFormat="1" applyAlignment="1">
      <alignment horizontal="left"/>
    </xf>
    <xf numFmtId="168" fontId="0" fillId="0" borderId="3" xfId="1" applyNumberFormat="1" applyFont="1" applyBorder="1" applyAlignment="1">
      <alignment horizontal="left"/>
    </xf>
    <xf numFmtId="168" fontId="6" fillId="0" borderId="4" xfId="1" applyNumberFormat="1" applyFont="1" applyBorder="1" applyAlignment="1">
      <alignment horizontal="left"/>
    </xf>
    <xf numFmtId="168" fontId="6" fillId="0" borderId="1" xfId="1" applyNumberFormat="1" applyFont="1" applyBorder="1" applyAlignment="1">
      <alignment horizontal="left"/>
    </xf>
    <xf numFmtId="168" fontId="7" fillId="0" borderId="1" xfId="1" applyNumberFormat="1" applyFont="1" applyBorder="1" applyAlignment="1">
      <alignment horizontal="left"/>
    </xf>
    <xf numFmtId="0" fontId="9" fillId="2" borderId="1" xfId="3" applyFont="1" applyFill="1" applyBorder="1" applyAlignment="1">
      <alignment horizontal="left" vertical="top"/>
    </xf>
    <xf numFmtId="1" fontId="9" fillId="2" borderId="1" xfId="3" applyNumberFormat="1" applyFont="1" applyFill="1" applyBorder="1" applyAlignment="1">
      <alignment horizontal="left" vertical="top"/>
    </xf>
    <xf numFmtId="167" fontId="9" fillId="2" borderId="1" xfId="2" applyNumberFormat="1" applyFont="1" applyFill="1" applyBorder="1" applyAlignment="1">
      <alignment horizontal="left" vertical="top"/>
    </xf>
    <xf numFmtId="0" fontId="4" fillId="4" borderId="1" xfId="3" applyFont="1" applyFill="1" applyBorder="1" applyAlignment="1">
      <alignment horizontal="left" vertical="top"/>
    </xf>
    <xf numFmtId="166" fontId="5" fillId="4" borderId="1" xfId="0" applyNumberFormat="1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left" vertical="center"/>
    </xf>
    <xf numFmtId="1" fontId="4" fillId="4" borderId="1" xfId="3" applyNumberFormat="1" applyFont="1" applyFill="1" applyBorder="1" applyAlignment="1">
      <alignment horizontal="left" vertical="top"/>
    </xf>
    <xf numFmtId="167" fontId="4" fillId="4" borderId="1" xfId="2" applyNumberFormat="1" applyFont="1" applyFill="1" applyBorder="1" applyAlignment="1">
      <alignment horizontal="left" vertical="top"/>
    </xf>
    <xf numFmtId="167" fontId="4" fillId="4" borderId="1" xfId="3" applyNumberFormat="1" applyFont="1" applyFill="1" applyBorder="1" applyAlignment="1">
      <alignment horizontal="left" vertical="top"/>
    </xf>
    <xf numFmtId="0" fontId="0" fillId="4" borderId="0" xfId="3" applyFont="1" applyFill="1" applyAlignment="1">
      <alignment horizontal="left" vertical="top"/>
    </xf>
    <xf numFmtId="0" fontId="0" fillId="0" borderId="1" xfId="0" applyBorder="1"/>
    <xf numFmtId="164" fontId="0" fillId="0" borderId="1" xfId="2" applyFont="1" applyBorder="1"/>
    <xf numFmtId="169" fontId="0" fillId="0" borderId="1" xfId="2" applyNumberFormat="1" applyFont="1" applyBorder="1"/>
    <xf numFmtId="169" fontId="0" fillId="0" borderId="0" xfId="2" applyNumberFormat="1" applyFont="1"/>
    <xf numFmtId="0" fontId="13" fillId="0" borderId="0" xfId="0" applyFont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9" fontId="2" fillId="5" borderId="4" xfId="2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169" fontId="11" fillId="5" borderId="4" xfId="2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0" fillId="5" borderId="15" xfId="0" applyFill="1" applyBorder="1"/>
    <xf numFmtId="0" fontId="0" fillId="0" borderId="16" xfId="0" applyBorder="1"/>
    <xf numFmtId="0" fontId="0" fillId="5" borderId="17" xfId="0" applyFill="1" applyBorder="1"/>
    <xf numFmtId="0" fontId="0" fillId="0" borderId="18" xfId="0" applyBorder="1"/>
    <xf numFmtId="164" fontId="0" fillId="0" borderId="18" xfId="2" applyFont="1" applyBorder="1"/>
    <xf numFmtId="169" fontId="0" fillId="0" borderId="18" xfId="2" applyNumberFormat="1" applyFont="1" applyBorder="1"/>
    <xf numFmtId="0" fontId="0" fillId="0" borderId="19" xfId="0" applyBorder="1"/>
    <xf numFmtId="0" fontId="2" fillId="5" borderId="20" xfId="0" applyFont="1" applyFill="1" applyBorder="1"/>
    <xf numFmtId="0" fontId="2" fillId="5" borderId="21" xfId="0" applyFont="1" applyFill="1" applyBorder="1"/>
    <xf numFmtId="164" fontId="2" fillId="5" borderId="21" xfId="0" applyNumberFormat="1" applyFont="1" applyFill="1" applyBorder="1"/>
    <xf numFmtId="169" fontId="2" fillId="5" borderId="21" xfId="2" applyNumberFormat="1" applyFont="1" applyFill="1" applyBorder="1"/>
    <xf numFmtId="0" fontId="0" fillId="5" borderId="22" xfId="0" applyFill="1" applyBorder="1"/>
    <xf numFmtId="0" fontId="0" fillId="5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8" xfId="2" applyNumberFormat="1" applyFont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1" fillId="4" borderId="1" xfId="0" applyFont="1" applyFill="1" applyBorder="1"/>
    <xf numFmtId="169" fontId="11" fillId="4" borderId="1" xfId="2" applyNumberFormat="1" applyFont="1" applyFill="1" applyBorder="1"/>
    <xf numFmtId="166" fontId="5" fillId="0" borderId="1" xfId="0" applyNumberFormat="1" applyFont="1" applyBorder="1" applyAlignment="1">
      <alignment horizontal="center" vertical="center" wrapText="1"/>
    </xf>
    <xf numFmtId="0" fontId="1" fillId="0" borderId="0" xfId="4"/>
    <xf numFmtId="169" fontId="1" fillId="0" borderId="0" xfId="2" applyNumberFormat="1" applyFont="1"/>
    <xf numFmtId="170" fontId="1" fillId="0" borderId="0" xfId="4" applyNumberFormat="1"/>
    <xf numFmtId="168" fontId="18" fillId="0" borderId="1" xfId="5" applyNumberFormat="1" applyFont="1" applyFill="1" applyBorder="1"/>
    <xf numFmtId="169" fontId="18" fillId="0" borderId="1" xfId="2" applyNumberFormat="1" applyFont="1" applyFill="1" applyBorder="1"/>
    <xf numFmtId="170" fontId="18" fillId="0" borderId="1" xfId="4" applyNumberFormat="1" applyFont="1" applyBorder="1"/>
    <xf numFmtId="0" fontId="18" fillId="0" borderId="1" xfId="4" applyFont="1" applyBorder="1"/>
    <xf numFmtId="0" fontId="18" fillId="0" borderId="1" xfId="4" applyFont="1" applyBorder="1" applyAlignment="1">
      <alignment horizontal="left"/>
    </xf>
    <xf numFmtId="14" fontId="18" fillId="0" borderId="1" xfId="4" applyNumberFormat="1" applyFont="1" applyBorder="1" applyAlignment="1">
      <alignment horizontal="left"/>
    </xf>
    <xf numFmtId="17" fontId="18" fillId="0" borderId="1" xfId="4" applyNumberFormat="1" applyFont="1" applyBorder="1" applyAlignment="1">
      <alignment horizontal="left"/>
    </xf>
    <xf numFmtId="0" fontId="18" fillId="0" borderId="1" xfId="4" applyFont="1" applyBorder="1" applyAlignment="1">
      <alignment horizontal="left" vertical="center"/>
    </xf>
    <xf numFmtId="169" fontId="18" fillId="4" borderId="1" xfId="2" applyNumberFormat="1" applyFont="1" applyFill="1" applyBorder="1"/>
    <xf numFmtId="170" fontId="18" fillId="4" borderId="1" xfId="4" applyNumberFormat="1" applyFont="1" applyFill="1" applyBorder="1"/>
    <xf numFmtId="0" fontId="18" fillId="4" borderId="1" xfId="4" applyFont="1" applyFill="1" applyBorder="1"/>
    <xf numFmtId="168" fontId="18" fillId="4" borderId="1" xfId="5" applyNumberFormat="1" applyFont="1" applyFill="1" applyBorder="1"/>
    <xf numFmtId="0" fontId="18" fillId="4" borderId="1" xfId="4" applyFont="1" applyFill="1" applyBorder="1" applyAlignment="1">
      <alignment horizontal="left"/>
    </xf>
    <xf numFmtId="14" fontId="18" fillId="4" borderId="1" xfId="4" applyNumberFormat="1" applyFont="1" applyFill="1" applyBorder="1" applyAlignment="1">
      <alignment horizontal="left"/>
    </xf>
    <xf numFmtId="17" fontId="18" fillId="4" borderId="1" xfId="4" applyNumberFormat="1" applyFont="1" applyFill="1" applyBorder="1" applyAlignment="1">
      <alignment horizontal="left"/>
    </xf>
    <xf numFmtId="0" fontId="18" fillId="4" borderId="1" xfId="4" applyFont="1" applyFill="1" applyBorder="1" applyAlignment="1">
      <alignment horizontal="left" vertical="center"/>
    </xf>
    <xf numFmtId="168" fontId="19" fillId="2" borderId="1" xfId="5" applyNumberFormat="1" applyFont="1" applyFill="1" applyBorder="1" applyAlignment="1">
      <alignment horizontal="left" vertical="top"/>
    </xf>
    <xf numFmtId="168" fontId="4" fillId="0" borderId="1" xfId="5" applyNumberFormat="1" applyFont="1" applyBorder="1" applyAlignment="1">
      <alignment horizontal="left" vertical="top"/>
    </xf>
    <xf numFmtId="168" fontId="4" fillId="0" borderId="1" xfId="5" applyNumberFormat="1" applyFont="1" applyFill="1" applyBorder="1" applyAlignment="1">
      <alignment horizontal="left" vertical="top"/>
    </xf>
    <xf numFmtId="0" fontId="4" fillId="0" borderId="18" xfId="3" applyFont="1" applyBorder="1" applyAlignment="1">
      <alignment horizontal="left" vertical="top"/>
    </xf>
    <xf numFmtId="166" fontId="5" fillId="0" borderId="25" xfId="0" applyNumberFormat="1" applyFont="1" applyBorder="1" applyAlignment="1">
      <alignment horizontal="left" vertical="center" wrapText="1"/>
    </xf>
    <xf numFmtId="166" fontId="5" fillId="0" borderId="23" xfId="0" applyNumberFormat="1" applyFont="1" applyBorder="1" applyAlignment="1">
      <alignment horizontal="left" vertical="center" wrapText="1"/>
    </xf>
    <xf numFmtId="0" fontId="0" fillId="0" borderId="0" xfId="4" applyFont="1"/>
    <xf numFmtId="0" fontId="20" fillId="0" borderId="1" xfId="4" applyFont="1" applyBorder="1" applyAlignment="1">
      <alignment vertical="center"/>
    </xf>
    <xf numFmtId="0" fontId="21" fillId="9" borderId="1" xfId="4" applyFont="1" applyFill="1" applyBorder="1" applyAlignment="1">
      <alignment vertical="center"/>
    </xf>
    <xf numFmtId="0" fontId="22" fillId="10" borderId="1" xfId="4" applyFont="1" applyFill="1" applyBorder="1"/>
    <xf numFmtId="169" fontId="22" fillId="10" borderId="1" xfId="2" applyNumberFormat="1" applyFont="1" applyFill="1" applyBorder="1"/>
    <xf numFmtId="170" fontId="22" fillId="10" borderId="1" xfId="4" applyNumberFormat="1" applyFont="1" applyFill="1" applyBorder="1"/>
    <xf numFmtId="0" fontId="22" fillId="10" borderId="1" xfId="4" applyFont="1" applyFill="1" applyBorder="1" applyAlignment="1">
      <alignment horizontal="center"/>
    </xf>
    <xf numFmtId="0" fontId="1" fillId="11" borderId="0" xfId="3" applyFill="1" applyAlignment="1">
      <alignment horizontal="left"/>
    </xf>
    <xf numFmtId="0" fontId="4" fillId="11" borderId="1" xfId="3" applyFont="1" applyFill="1" applyBorder="1" applyAlignment="1">
      <alignment horizontal="left" vertical="top"/>
    </xf>
    <xf numFmtId="166" fontId="5" fillId="11" borderId="1" xfId="0" applyNumberFormat="1" applyFont="1" applyFill="1" applyBorder="1" applyAlignment="1">
      <alignment horizontal="left" vertical="center"/>
    </xf>
    <xf numFmtId="1" fontId="5" fillId="11" borderId="1" xfId="0" applyNumberFormat="1" applyFont="1" applyFill="1" applyBorder="1" applyAlignment="1">
      <alignment horizontal="left" vertical="center"/>
    </xf>
    <xf numFmtId="1" fontId="4" fillId="11" borderId="1" xfId="3" applyNumberFormat="1" applyFont="1" applyFill="1" applyBorder="1" applyAlignment="1">
      <alignment horizontal="left" vertical="top"/>
    </xf>
    <xf numFmtId="167" fontId="4" fillId="11" borderId="1" xfId="2" applyNumberFormat="1" applyFont="1" applyFill="1" applyBorder="1" applyAlignment="1">
      <alignment horizontal="left" vertical="top"/>
    </xf>
    <xf numFmtId="167" fontId="4" fillId="11" borderId="1" xfId="3" applyNumberFormat="1" applyFont="1" applyFill="1" applyBorder="1" applyAlignment="1">
      <alignment horizontal="left" vertical="top"/>
    </xf>
    <xf numFmtId="0" fontId="1" fillId="11" borderId="0" xfId="3" applyFill="1" applyAlignment="1">
      <alignment horizontal="left" vertical="top"/>
    </xf>
    <xf numFmtId="43" fontId="1" fillId="11" borderId="0" xfId="1" applyFont="1" applyFill="1" applyAlignment="1">
      <alignment horizontal="left" vertical="top"/>
    </xf>
    <xf numFmtId="168" fontId="1" fillId="11" borderId="0" xfId="1" applyNumberFormat="1" applyFont="1" applyFill="1" applyAlignment="1">
      <alignment horizontal="left"/>
    </xf>
    <xf numFmtId="1" fontId="0" fillId="0" borderId="18" xfId="2" applyNumberFormat="1" applyFont="1" applyBorder="1" applyAlignment="1">
      <alignment horizontal="center"/>
    </xf>
    <xf numFmtId="165" fontId="4" fillId="4" borderId="1" xfId="2" applyNumberFormat="1" applyFont="1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" fontId="1" fillId="0" borderId="1" xfId="3" applyNumberFormat="1" applyBorder="1" applyAlignment="1">
      <alignment horizontal="left" vertical="top"/>
    </xf>
    <xf numFmtId="167" fontId="1" fillId="0" borderId="1" xfId="2" applyNumberFormat="1" applyFont="1" applyBorder="1" applyAlignment="1">
      <alignment horizontal="left" vertical="top"/>
    </xf>
    <xf numFmtId="0" fontId="1" fillId="6" borderId="1" xfId="3" applyFill="1" applyBorder="1" applyAlignment="1">
      <alignment horizontal="left" vertical="top"/>
    </xf>
    <xf numFmtId="1" fontId="1" fillId="6" borderId="1" xfId="3" applyNumberFormat="1" applyFill="1" applyBorder="1" applyAlignment="1">
      <alignment horizontal="left" vertical="top"/>
    </xf>
    <xf numFmtId="167" fontId="1" fillId="6" borderId="1" xfId="2" applyNumberFormat="1" applyFont="1" applyFill="1" applyBorder="1" applyAlignment="1">
      <alignment horizontal="left" vertical="top"/>
    </xf>
    <xf numFmtId="5" fontId="1" fillId="6" borderId="1" xfId="3" applyNumberForma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172" fontId="17" fillId="0" borderId="1" xfId="0" applyNumberFormat="1" applyFont="1" applyBorder="1" applyAlignment="1">
      <alignment horizontal="center"/>
    </xf>
    <xf numFmtId="172" fontId="16" fillId="0" borderId="1" xfId="0" applyNumberFormat="1" applyFon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17" fillId="7" borderId="1" xfId="0" applyNumberFormat="1" applyFont="1" applyFill="1" applyBorder="1" applyAlignment="1">
      <alignment horizontal="center"/>
    </xf>
    <xf numFmtId="172" fontId="17" fillId="8" borderId="1" xfId="0" applyNumberFormat="1" applyFont="1" applyFill="1" applyBorder="1" applyAlignment="1">
      <alignment horizontal="center"/>
    </xf>
    <xf numFmtId="172" fontId="14" fillId="0" borderId="1" xfId="0" applyNumberFormat="1" applyFont="1" applyBorder="1" applyAlignment="1">
      <alignment horizontal="center" vertical="center"/>
    </xf>
    <xf numFmtId="172" fontId="15" fillId="0" borderId="1" xfId="0" applyNumberFormat="1" applyFont="1" applyBorder="1" applyAlignment="1">
      <alignment horizontal="center" vertical="center"/>
    </xf>
    <xf numFmtId="172" fontId="14" fillId="6" borderId="1" xfId="0" applyNumberFormat="1" applyFont="1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2" fillId="4" borderId="1" xfId="0" applyNumberFormat="1" applyFont="1" applyFill="1" applyBorder="1" applyAlignment="1">
      <alignment horizontal="center"/>
    </xf>
    <xf numFmtId="172" fontId="11" fillId="4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72" fontId="0" fillId="4" borderId="1" xfId="0" applyNumberFormat="1" applyFill="1" applyBorder="1" applyAlignment="1">
      <alignment horizontal="center" vertical="center"/>
    </xf>
    <xf numFmtId="172" fontId="16" fillId="4" borderId="1" xfId="0" applyNumberFormat="1" applyFont="1" applyFill="1" applyBorder="1" applyAlignment="1">
      <alignment horizontal="center"/>
    </xf>
    <xf numFmtId="172" fontId="15" fillId="4" borderId="1" xfId="0" applyNumberFormat="1" applyFont="1" applyFill="1" applyBorder="1" applyAlignment="1">
      <alignment horizontal="center" vertical="center"/>
    </xf>
    <xf numFmtId="172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69" fontId="2" fillId="4" borderId="1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2" fontId="11" fillId="4" borderId="1" xfId="0" applyNumberFormat="1" applyFont="1" applyFill="1" applyBorder="1" applyAlignment="1">
      <alignment horizontal="center"/>
    </xf>
    <xf numFmtId="169" fontId="11" fillId="4" borderId="1" xfId="2" applyNumberFormat="1" applyFont="1" applyFill="1" applyBorder="1" applyAlignment="1">
      <alignment horizontal="center"/>
    </xf>
    <xf numFmtId="169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9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6" borderId="0" xfId="0" applyFill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9" fontId="0" fillId="6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9" fontId="0" fillId="4" borderId="1" xfId="2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2" xfId="3" applyFont="1" applyBorder="1" applyAlignment="1">
      <alignment horizontal="center" vertical="top"/>
    </xf>
    <xf numFmtId="0" fontId="2" fillId="0" borderId="3" xfId="3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169" fontId="2" fillId="0" borderId="18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2" fillId="10" borderId="2" xfId="4" applyFont="1" applyFill="1" applyBorder="1" applyAlignment="1">
      <alignment horizontal="center"/>
    </xf>
    <xf numFmtId="0" fontId="22" fillId="10" borderId="12" xfId="4" applyFont="1" applyFill="1" applyBorder="1" applyAlignment="1">
      <alignment horizontal="center"/>
    </xf>
    <xf numFmtId="0" fontId="22" fillId="10" borderId="3" xfId="4" applyFont="1" applyFill="1" applyBorder="1" applyAlignment="1">
      <alignment horizontal="center"/>
    </xf>
    <xf numFmtId="0" fontId="22" fillId="10" borderId="28" xfId="4" applyFont="1" applyFill="1" applyBorder="1" applyAlignment="1">
      <alignment horizontal="center"/>
    </xf>
    <xf numFmtId="0" fontId="22" fillId="10" borderId="27" xfId="4" applyFont="1" applyFill="1" applyBorder="1" applyAlignment="1">
      <alignment horizontal="center"/>
    </xf>
    <xf numFmtId="0" fontId="22" fillId="10" borderId="26" xfId="4" applyFont="1" applyFill="1" applyBorder="1" applyAlignment="1">
      <alignment horizontal="center"/>
    </xf>
    <xf numFmtId="0" fontId="3" fillId="2" borderId="28" xfId="3" applyFont="1" applyFill="1" applyBorder="1" applyAlignment="1">
      <alignment horizontal="left" vertical="top"/>
    </xf>
    <xf numFmtId="0" fontId="3" fillId="2" borderId="27" xfId="3" applyFont="1" applyFill="1" applyBorder="1" applyAlignment="1">
      <alignment horizontal="left" vertical="top"/>
    </xf>
    <xf numFmtId="0" fontId="3" fillId="2" borderId="26" xfId="3" applyFont="1" applyFill="1" applyBorder="1" applyAlignment="1">
      <alignment horizontal="left" vertical="top"/>
    </xf>
    <xf numFmtId="0" fontId="19" fillId="2" borderId="1" xfId="3" applyFont="1" applyFill="1" applyBorder="1" applyAlignment="1">
      <alignment horizontal="center" vertical="top"/>
    </xf>
  </cellXfs>
  <cellStyles count="6">
    <cellStyle name="Comma" xfId="1" builtinId="3"/>
    <cellStyle name="Comma 2" xfId="5" xr:uid="{F233F1EF-AD0D-4E6F-A59B-AC0AB4E060F3}"/>
    <cellStyle name="Currency" xfId="2" builtinId="4"/>
    <cellStyle name="Normal" xfId="0" builtinId="0"/>
    <cellStyle name="Normal 3" xfId="4" xr:uid="{41DD2FA7-4E25-4D79-BFEA-7C17B2D94F53}"/>
    <cellStyle name="Normal 4" xfId="3" xr:uid="{C35B9031-80CA-43B0-B86A-7444E76D1A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KISHORE/1-SEP%20-2024%20Salary-Sheet-With-Attendance-Register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Attendance Template"/>
      <sheetName val="Database"/>
      <sheetName val="Consolidation"/>
      <sheetName val="Salary Slip"/>
      <sheetName val="Sheet1"/>
    </sheetNames>
    <sheetDataSet>
      <sheetData sheetId="0" refreshError="1"/>
      <sheetData sheetId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D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</row>
        <row r="2">
          <cell r="K2" t="str">
            <v>TOTAL GROSS SALARY</v>
          </cell>
          <cell r="Y2" t="str">
            <v>TOTAL DEDUCTIONS</v>
          </cell>
        </row>
        <row r="3">
          <cell r="B3" t="str">
            <v>Name</v>
          </cell>
          <cell r="C3" t="str">
            <v>Designation</v>
          </cell>
          <cell r="D3" t="str">
            <v>Month</v>
          </cell>
          <cell r="E3" t="str">
            <v>Year</v>
          </cell>
          <cell r="F3" t="str">
            <v>Working Days</v>
          </cell>
          <cell r="G3" t="str">
            <v>Allowed Leave</v>
          </cell>
          <cell r="H3" t="str">
            <v>Leave taken</v>
          </cell>
          <cell r="I3" t="str">
            <v>Worked Days</v>
          </cell>
          <cell r="J3" t="str">
            <v>CTC</v>
          </cell>
          <cell r="K3" t="str">
            <v>CTC for September 2024</v>
          </cell>
          <cell r="L3" t="str">
            <v>Basic Salary</v>
          </cell>
          <cell r="M3" t="str">
            <v>DA</v>
          </cell>
          <cell r="N3" t="str">
            <v>HRA</v>
          </cell>
          <cell r="O3" t="str">
            <v>Conveyance</v>
          </cell>
          <cell r="P3" t="str">
            <v>Conv Working</v>
          </cell>
          <cell r="Q3" t="str">
            <v>Medical Expenses</v>
          </cell>
          <cell r="R3" t="str">
            <v>Medi Working</v>
          </cell>
          <cell r="S3" t="str">
            <v>Spec working</v>
          </cell>
          <cell r="T3" t="str">
            <v>Special</v>
          </cell>
          <cell r="U3" t="str">
            <v>Total working</v>
          </cell>
          <cell r="V3" t="str">
            <v>Bonus</v>
          </cell>
          <cell r="W3" t="str">
            <v>TA</v>
          </cell>
          <cell r="X3" t="str">
            <v>TOTAL</v>
          </cell>
          <cell r="Y3" t="str">
            <v>Contribution to PF</v>
          </cell>
          <cell r="Z3" t="str">
            <v>Profession Tax</v>
          </cell>
          <cell r="AA3" t="str">
            <v>TDS</v>
          </cell>
          <cell r="AB3" t="str">
            <v>Salary Advance</v>
          </cell>
          <cell r="AC3" t="str">
            <v>Leave taken</v>
          </cell>
          <cell r="AD3" t="str">
            <v>TOTAL</v>
          </cell>
          <cell r="AE3" t="str">
            <v xml:space="preserve"> Compay Advance</v>
          </cell>
          <cell r="AF3" t="str">
            <v>NET PAYABLE</v>
          </cell>
          <cell r="AG3" t="str">
            <v>Gender</v>
          </cell>
          <cell r="AH3" t="str">
            <v>Prefix</v>
          </cell>
          <cell r="AI3" t="str">
            <v>Name of Authorised Signatory</v>
          </cell>
          <cell r="AJ3" t="str">
            <v>PF Applicable</v>
          </cell>
          <cell r="AK3" t="str">
            <v>Medical Bill Submitted</v>
          </cell>
          <cell r="AL3" t="str">
            <v>Medical Bill Amount</v>
          </cell>
          <cell r="AM3" t="str">
            <v>Your Company Name</v>
          </cell>
        </row>
        <row r="4">
          <cell r="B4" t="str">
            <v>LOV RAJ</v>
          </cell>
          <cell r="C4" t="str">
            <v>KUNDRAM</v>
          </cell>
          <cell r="D4" t="str">
            <v>September</v>
          </cell>
          <cell r="E4">
            <v>2024</v>
          </cell>
          <cell r="F4">
            <v>31</v>
          </cell>
          <cell r="G4">
            <v>0</v>
          </cell>
          <cell r="H4">
            <v>0</v>
          </cell>
          <cell r="I4">
            <v>31</v>
          </cell>
          <cell r="J4">
            <v>18000</v>
          </cell>
          <cell r="K4">
            <v>18000</v>
          </cell>
          <cell r="L4">
            <v>9000</v>
          </cell>
          <cell r="M4">
            <v>1800</v>
          </cell>
          <cell r="N4">
            <v>4500</v>
          </cell>
          <cell r="P4">
            <v>0</v>
          </cell>
          <cell r="Q4">
            <v>0</v>
          </cell>
          <cell r="S4">
            <v>2700</v>
          </cell>
          <cell r="T4">
            <v>2700</v>
          </cell>
          <cell r="U4">
            <v>15300</v>
          </cell>
          <cell r="V4">
            <v>0</v>
          </cell>
          <cell r="W4">
            <v>0</v>
          </cell>
          <cell r="X4">
            <v>18000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18000</v>
          </cell>
          <cell r="AG4" t="str">
            <v>Male</v>
          </cell>
          <cell r="AH4" t="str">
            <v>Mr</v>
          </cell>
          <cell r="AJ4" t="str">
            <v>No</v>
          </cell>
          <cell r="AK4" t="str">
            <v>No</v>
          </cell>
          <cell r="AL4">
            <v>0</v>
          </cell>
          <cell r="AM4" t="str">
            <v>SRI DURGA LOGIISTICS</v>
          </cell>
          <cell r="AO4">
            <v>600</v>
          </cell>
        </row>
        <row r="5">
          <cell r="B5" t="str">
            <v>GOWRI SHAKAR</v>
          </cell>
          <cell r="C5" t="str">
            <v>KUNDRAM</v>
          </cell>
          <cell r="D5" t="str">
            <v>September</v>
          </cell>
          <cell r="E5">
            <v>2024</v>
          </cell>
          <cell r="F5">
            <v>31</v>
          </cell>
          <cell r="G5">
            <v>0</v>
          </cell>
          <cell r="H5">
            <v>0</v>
          </cell>
          <cell r="I5">
            <v>31</v>
          </cell>
          <cell r="J5">
            <v>18000</v>
          </cell>
          <cell r="K5">
            <v>18000</v>
          </cell>
          <cell r="L5">
            <v>9000</v>
          </cell>
          <cell r="M5">
            <v>1800</v>
          </cell>
          <cell r="N5">
            <v>4500</v>
          </cell>
          <cell r="P5">
            <v>0</v>
          </cell>
          <cell r="Q5">
            <v>0</v>
          </cell>
          <cell r="S5">
            <v>2700</v>
          </cell>
          <cell r="T5">
            <v>2700</v>
          </cell>
          <cell r="U5">
            <v>15300</v>
          </cell>
          <cell r="V5">
            <v>0</v>
          </cell>
          <cell r="W5">
            <v>0</v>
          </cell>
          <cell r="X5">
            <v>18000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18000</v>
          </cell>
          <cell r="AG5" t="str">
            <v>Male</v>
          </cell>
          <cell r="AH5" t="str">
            <v>Mr</v>
          </cell>
          <cell r="AJ5" t="str">
            <v>No</v>
          </cell>
          <cell r="AK5" t="str">
            <v>No</v>
          </cell>
          <cell r="AL5">
            <v>0</v>
          </cell>
          <cell r="AM5" t="str">
            <v>SRI DURGA LOGIISTICS</v>
          </cell>
          <cell r="AO5">
            <v>600</v>
          </cell>
        </row>
        <row r="6">
          <cell r="B6" t="str">
            <v>SUBBA  REDDY</v>
          </cell>
          <cell r="C6" t="str">
            <v>KUNDRAM</v>
          </cell>
          <cell r="D6" t="str">
            <v>September</v>
          </cell>
          <cell r="E6">
            <v>2024</v>
          </cell>
          <cell r="F6">
            <v>31</v>
          </cell>
          <cell r="G6">
            <v>0</v>
          </cell>
          <cell r="H6">
            <v>0</v>
          </cell>
          <cell r="I6">
            <v>31</v>
          </cell>
          <cell r="J6">
            <v>30000</v>
          </cell>
          <cell r="K6">
            <v>30000</v>
          </cell>
          <cell r="L6">
            <v>15000</v>
          </cell>
          <cell r="M6">
            <v>3000</v>
          </cell>
          <cell r="N6">
            <v>7500</v>
          </cell>
          <cell r="P6">
            <v>0</v>
          </cell>
          <cell r="Q6">
            <v>0</v>
          </cell>
          <cell r="S6">
            <v>4500</v>
          </cell>
          <cell r="T6">
            <v>4500</v>
          </cell>
          <cell r="U6">
            <v>25500</v>
          </cell>
          <cell r="V6">
            <v>0</v>
          </cell>
          <cell r="W6">
            <v>0</v>
          </cell>
          <cell r="X6">
            <v>30000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30000</v>
          </cell>
          <cell r="AG6" t="str">
            <v>Male</v>
          </cell>
          <cell r="AH6" t="str">
            <v>Mr</v>
          </cell>
          <cell r="AJ6" t="str">
            <v>No</v>
          </cell>
          <cell r="AK6" t="str">
            <v>No</v>
          </cell>
          <cell r="AL6">
            <v>0</v>
          </cell>
          <cell r="AM6" t="str">
            <v>SRI DURGA LOGIISTICS</v>
          </cell>
          <cell r="AO6">
            <v>1000</v>
          </cell>
        </row>
        <row r="7">
          <cell r="B7" t="str">
            <v>MADHU</v>
          </cell>
          <cell r="C7" t="str">
            <v>SEETHANAGARAM</v>
          </cell>
          <cell r="D7" t="str">
            <v>September</v>
          </cell>
          <cell r="E7">
            <v>2024</v>
          </cell>
          <cell r="F7">
            <v>31</v>
          </cell>
          <cell r="G7">
            <v>0</v>
          </cell>
          <cell r="H7">
            <v>0</v>
          </cell>
          <cell r="I7">
            <v>31</v>
          </cell>
          <cell r="J7">
            <v>16000</v>
          </cell>
          <cell r="K7">
            <v>16000</v>
          </cell>
          <cell r="L7">
            <v>8000</v>
          </cell>
          <cell r="M7">
            <v>1600</v>
          </cell>
          <cell r="N7">
            <v>4000</v>
          </cell>
          <cell r="P7">
            <v>0</v>
          </cell>
          <cell r="Q7">
            <v>0</v>
          </cell>
          <cell r="S7">
            <v>2400</v>
          </cell>
          <cell r="T7">
            <v>2400</v>
          </cell>
          <cell r="U7">
            <v>13600</v>
          </cell>
          <cell r="V7">
            <v>0</v>
          </cell>
          <cell r="W7">
            <v>0</v>
          </cell>
          <cell r="X7">
            <v>16000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16000</v>
          </cell>
          <cell r="AG7" t="str">
            <v>Male</v>
          </cell>
          <cell r="AH7" t="str">
            <v>Mr</v>
          </cell>
          <cell r="AJ7" t="str">
            <v>No</v>
          </cell>
          <cell r="AK7" t="str">
            <v>No</v>
          </cell>
          <cell r="AL7">
            <v>0</v>
          </cell>
          <cell r="AM7" t="str">
            <v>SRI DURGA LOGIISTICS</v>
          </cell>
          <cell r="AO7">
            <v>533.33333333333337</v>
          </cell>
        </row>
        <row r="8">
          <cell r="B8" t="str">
            <v>KASI</v>
          </cell>
          <cell r="C8" t="str">
            <v>SAMPATHAPURAM-II</v>
          </cell>
          <cell r="D8" t="str">
            <v>September</v>
          </cell>
          <cell r="E8">
            <v>2024</v>
          </cell>
          <cell r="F8">
            <v>31</v>
          </cell>
          <cell r="G8">
            <v>0</v>
          </cell>
          <cell r="H8">
            <v>0</v>
          </cell>
          <cell r="I8">
            <v>31</v>
          </cell>
          <cell r="J8">
            <v>20000</v>
          </cell>
          <cell r="K8">
            <v>20000</v>
          </cell>
          <cell r="L8">
            <v>10000</v>
          </cell>
          <cell r="M8">
            <v>2000</v>
          </cell>
          <cell r="N8">
            <v>5000</v>
          </cell>
          <cell r="P8">
            <v>0</v>
          </cell>
          <cell r="Q8">
            <v>0</v>
          </cell>
          <cell r="S8">
            <v>3000</v>
          </cell>
          <cell r="T8">
            <v>3000</v>
          </cell>
          <cell r="U8">
            <v>17000</v>
          </cell>
          <cell r="V8">
            <v>0</v>
          </cell>
          <cell r="W8">
            <v>0</v>
          </cell>
          <cell r="X8">
            <v>20000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20000</v>
          </cell>
          <cell r="AG8" t="str">
            <v>Male</v>
          </cell>
          <cell r="AH8" t="str">
            <v>Mr</v>
          </cell>
          <cell r="AJ8" t="str">
            <v>No</v>
          </cell>
          <cell r="AK8" t="str">
            <v>No</v>
          </cell>
          <cell r="AL8">
            <v>0</v>
          </cell>
          <cell r="AM8" t="str">
            <v>SRI DURGA LOGIISTICS</v>
          </cell>
          <cell r="AO8">
            <v>666.66666666666663</v>
          </cell>
        </row>
        <row r="9">
          <cell r="B9" t="str">
            <v>PRASHANTH</v>
          </cell>
          <cell r="C9" t="str">
            <v>MUDAPAKA</v>
          </cell>
          <cell r="D9" t="str">
            <v>September</v>
          </cell>
          <cell r="E9">
            <v>2024</v>
          </cell>
          <cell r="F9">
            <v>31</v>
          </cell>
          <cell r="G9">
            <v>0</v>
          </cell>
          <cell r="H9">
            <v>0</v>
          </cell>
          <cell r="I9">
            <v>31</v>
          </cell>
          <cell r="J9">
            <v>25000</v>
          </cell>
          <cell r="K9">
            <v>25000</v>
          </cell>
          <cell r="L9">
            <v>12500</v>
          </cell>
          <cell r="M9">
            <v>2500</v>
          </cell>
          <cell r="N9">
            <v>6250</v>
          </cell>
          <cell r="P9">
            <v>0</v>
          </cell>
          <cell r="Q9">
            <v>0</v>
          </cell>
          <cell r="S9">
            <v>3750</v>
          </cell>
          <cell r="T9">
            <v>3750</v>
          </cell>
          <cell r="U9">
            <v>21250</v>
          </cell>
          <cell r="V9">
            <v>0</v>
          </cell>
          <cell r="W9">
            <v>0</v>
          </cell>
          <cell r="X9">
            <v>25000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25000</v>
          </cell>
          <cell r="AG9" t="str">
            <v>Male</v>
          </cell>
          <cell r="AH9" t="str">
            <v>Mr</v>
          </cell>
          <cell r="AJ9" t="str">
            <v>No</v>
          </cell>
          <cell r="AK9" t="str">
            <v>No</v>
          </cell>
          <cell r="AL9">
            <v>0</v>
          </cell>
          <cell r="AM9" t="str">
            <v>SRI DURGA LOGIISTICS</v>
          </cell>
          <cell r="AO9">
            <v>833.33333333333337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esha Reddy" refreshedDate="46263.820520949077" createdVersion="8" refreshedVersion="8" minRefreshableVersion="3" recordCount="2678" xr:uid="{E84A8CC5-2EFE-4CA3-8909-D89C1C75D414}">
  <cacheSource type="worksheet">
    <worksheetSource ref="B3:M2681" sheet="Prasad Expenses"/>
  </cacheSource>
  <cacheFields count="12">
    <cacheField name="Sno" numFmtId="0">
      <sharedItems containsSemiMixedTypes="0" containsString="0" containsNumber="1" containsInteger="1" minValue="1" maxValue="2678"/>
    </cacheField>
    <cacheField name="Date" numFmtId="172">
      <sharedItems containsDate="1" containsMixedTypes="1" minDate="2025-10-01T00:00:00" maxDate="2026-08-03T00:00:00"/>
    </cacheField>
    <cacheField name="Payment By" numFmtId="0">
      <sharedItems containsBlank="1" count="5">
        <s v="Venkatarao"/>
        <s v="Anil"/>
        <s v="Prasad Sirigirisetty"/>
        <s v="Malyadri"/>
        <m u="1"/>
      </sharedItems>
    </cacheField>
    <cacheField name="Code" numFmtId="0">
      <sharedItems containsBlank="1" count="105">
        <s v="Transport"/>
        <s v="Vehicle Rents"/>
        <s v="Black Oil"/>
        <s v="Tools"/>
        <s v="Food"/>
        <s v="Site-Expenses"/>
        <s v="Electricals"/>
        <s v="Runners"/>
        <s v="Loading / Unloading"/>
        <s v="Room Rent"/>
        <s v="Diesel"/>
        <s v="Diesel for Auger"/>
        <s v="Shifting"/>
        <s v="Expense"/>
        <s v="Cement"/>
        <s v="Material "/>
        <s v="Miscelleneous "/>
        <s v="Hardware"/>
        <s v="Beta"/>
        <s v="Labour "/>
        <s v="JCB"/>
        <s v="Plywood"/>
        <s v="Site - Electrical"/>
        <s v="Staff Salaries"/>
        <s v="Vehicle Maintainance"/>
        <s v="SITE - Maintainance"/>
        <s v="Aggregate"/>
        <s v="Steel"/>
        <s v="Iron Purchased"/>
        <s v="WOOD"/>
        <s v="Sand"/>
        <s v="Room Tools"/>
        <s v="NAILS"/>
        <s v="Door Frames"/>
        <s v="Binding wire"/>
        <s v="Tolls amount"/>
        <s v="Power Bill"/>
        <s v="Mou Team"/>
        <s v="Carpenter"/>
        <s v="Site "/>
        <s v="Tent"/>
        <s v="Half Inch Pipes"/>
        <s v="Tools - Machines"/>
        <s v="Windows &amp; Frames"/>
        <s v="Sliders"/>
        <s v="Fast Tag Recharge"/>
        <s v="Runners For Plywood"/>
        <s v="Augering "/>
        <s v="Office Expenses"/>
        <s v="Stationary"/>
        <s v="ELECTRICITY"/>
        <s v="Travel"/>
        <s v="SUIT PIPE"/>
        <s v="Sand "/>
        <s v="Tarpa"/>
        <s v="Vehicle-Maintance"/>
        <s v="Model House Expenses"/>
        <s v="Opting Driver"/>
        <s v="Driver Opting"/>
        <s v="Notary Expenses"/>
        <s v="Comp Tools"/>
        <s v="Iron Purchase"/>
        <s v="Sudhakar Reddy"/>
        <s v="Iron"/>
        <s v="RC Tools"/>
        <s v="Labour"/>
        <s v="Bricks"/>
        <s v="Tolls "/>
        <s v="Material"/>
        <s v="Maintainance"/>
        <s v="SLIDRES"/>
        <s v="Hub Expenses"/>
        <s v="Resort"/>
        <s v="Tolls"/>
        <s v="Broadband"/>
        <s v="Benificiary Payment"/>
        <s v="Labour Maintainance"/>
        <s v="SUPERVISOR EXPESNES"/>
        <s v="Site-Electrical"/>
        <s v="Room Expenses"/>
        <s v="Opting"/>
        <s v="Tarp"/>
        <s v="Travelling Expenses "/>
        <s v="Tranport"/>
        <s v="Driver Salary"/>
        <s v="Tube Light"/>
        <s v="Tractor Reapair"/>
        <m/>
        <s v="Vehicles" u="1"/>
        <s v="Loading" u="1"/>
        <s v="UNLOADING" u="1"/>
        <s v="RMC " u="1"/>
        <s v="Adoc - Vehicle Rent" u="1"/>
        <s v="Site Expenses" u="1"/>
        <s v="RMC BETA" u="1"/>
        <s v="Machine" u="1"/>
        <s v="Auger Holes" u="1"/>
        <s v="Vehicle Rent" u="1"/>
        <s v="Machinary" u="1"/>
        <s v="Advance Payment" u="1"/>
        <s v="Site - Expenses" u="1"/>
        <s v="Machinery" u="1"/>
        <s v="SiteExpense" u="1"/>
        <s v="Wifi" u="1"/>
        <s v="Transport " u="1"/>
      </sharedItems>
    </cacheField>
    <cacheField name="DIST" numFmtId="0">
      <sharedItems containsBlank="1"/>
    </cacheField>
    <cacheField name="Mandal" numFmtId="0">
      <sharedItems containsBlank="1"/>
    </cacheField>
    <cacheField name="Description" numFmtId="0">
      <sharedItems containsBlank="1"/>
    </cacheField>
    <cacheField name="Material" numFmtId="0">
      <sharedItems containsBlank="1"/>
    </cacheField>
    <cacheField name="QTY" numFmtId="0">
      <sharedItems containsBlank="1" containsMixedTypes="1" containsNumber="1" minValue="1" maxValue="3000"/>
    </cacheField>
    <cacheField name="Rate" numFmtId="0">
      <sharedItems containsBlank="1" containsMixedTypes="1" containsNumber="1" minValue="5" maxValue="2000"/>
    </cacheField>
    <cacheField name="Amount" numFmtId="169">
      <sharedItems containsSemiMixedTypes="0" containsString="0" containsNumber="1" minValue="40" maxValue="1447258"/>
    </cacheField>
    <cacheField name="REMARKS" numFmtId="0">
      <sharedItems containsBlank="1" containsMixedTypes="1" containsNumber="1" minValue="1225" maxValue="42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8">
  <r>
    <n v="1"/>
    <d v="2025-10-12T00:00:00"/>
    <x v="0"/>
    <x v="0"/>
    <s v="Janagaon"/>
    <s v="Palakurthy"/>
    <s v="Labour Food &amp; Transport"/>
    <m/>
    <m/>
    <m/>
    <n v="900"/>
    <m/>
  </r>
  <r>
    <n v="2"/>
    <d v="2025-10-12T00:00:00"/>
    <x v="0"/>
    <x v="1"/>
    <s v="Janagaon"/>
    <s v="Palakurthy"/>
    <s v="TRACTOR payments"/>
    <m/>
    <m/>
    <m/>
    <n v="6000"/>
    <m/>
  </r>
  <r>
    <n v="3"/>
    <d v="2025-10-12T00:00:00"/>
    <x v="0"/>
    <x v="1"/>
    <s v="Bhongir"/>
    <s v="Valigonda"/>
    <s v="TRACTOR payments"/>
    <m/>
    <m/>
    <m/>
    <n v="3120"/>
    <m/>
  </r>
  <r>
    <n v="4"/>
    <d v="2025-10-12T00:00:00"/>
    <x v="0"/>
    <x v="2"/>
    <s v="Bhongir"/>
    <s v="Valigonda"/>
    <s v="BLACK OIL"/>
    <m/>
    <m/>
    <m/>
    <n v="2000"/>
    <m/>
  </r>
  <r>
    <n v="5"/>
    <d v="2025-11-12T00:00:00"/>
    <x v="0"/>
    <x v="0"/>
    <s v="Janagaon"/>
    <s v="Palakurthy"/>
    <s v="Labour Food &amp; Transport"/>
    <m/>
    <m/>
    <m/>
    <n v="600"/>
    <m/>
  </r>
  <r>
    <n v="6"/>
    <d v="2025-11-12T00:00:00"/>
    <x v="0"/>
    <x v="1"/>
    <s v="Bhongir"/>
    <s v="Valigonda"/>
    <s v="Tractor "/>
    <m/>
    <m/>
    <m/>
    <n v="20000"/>
    <m/>
  </r>
  <r>
    <n v="7"/>
    <d v="2025-11-12T00:00:00"/>
    <x v="0"/>
    <x v="3"/>
    <s v="Bhongir"/>
    <s v="Valigonda"/>
    <s v="Site Rinners "/>
    <m/>
    <m/>
    <m/>
    <n v="9600"/>
    <m/>
  </r>
  <r>
    <n v="8"/>
    <d v="2025-11-12T00:00:00"/>
    <x v="0"/>
    <x v="3"/>
    <s v="Bhongir"/>
    <s v="Valigonda"/>
    <s v="Cutting blade"/>
    <m/>
    <m/>
    <m/>
    <n v="170"/>
    <m/>
  </r>
  <r>
    <n v="9"/>
    <d v="2025-12-08T00:00:00"/>
    <x v="0"/>
    <x v="0"/>
    <s v="Janagaon"/>
    <s v="Palakurthy"/>
    <s v="PLYWOOD &amp; TRANSPORT"/>
    <m/>
    <m/>
    <m/>
    <n v="3000"/>
    <m/>
  </r>
  <r>
    <n v="10"/>
    <d v="2025-12-08T00:00:00"/>
    <x v="0"/>
    <x v="3"/>
    <s v="Janagaon"/>
    <s v="Palakurthy"/>
    <s v="MEKULU 1 BAG"/>
    <m/>
    <m/>
    <m/>
    <n v="2900"/>
    <m/>
  </r>
  <r>
    <n v="11"/>
    <d v="2025-12-08T00:00:00"/>
    <x v="0"/>
    <x v="3"/>
    <s v="Bhongir"/>
    <s v="Valigonda"/>
    <s v="MOTOR &amp; STEEL CUTTING BLADE"/>
    <m/>
    <m/>
    <m/>
    <n v="4500"/>
    <m/>
  </r>
  <r>
    <n v="12"/>
    <d v="2025-12-08T00:00:00"/>
    <x v="0"/>
    <x v="3"/>
    <s v="Janagaon"/>
    <s v="Palakurthy"/>
    <s v="HAMMERS"/>
    <m/>
    <m/>
    <m/>
    <n v="400"/>
    <m/>
  </r>
  <r>
    <n v="13"/>
    <d v="2025-12-09T00:00:00"/>
    <x v="0"/>
    <x v="3"/>
    <s v="Janagaon"/>
    <s v="Palakurthy"/>
    <s v="PLYWOOD &amp; COVER BLOCKS"/>
    <m/>
    <m/>
    <m/>
    <n v="3600"/>
    <m/>
  </r>
  <r>
    <n v="14"/>
    <d v="2025-12-09T00:00:00"/>
    <x v="0"/>
    <x v="3"/>
    <s v="Bhongir"/>
    <s v="Valigonda"/>
    <s v="WOODEN POLES TRANSPORT"/>
    <m/>
    <m/>
    <m/>
    <n v="9800"/>
    <m/>
  </r>
  <r>
    <n v="15"/>
    <d v="2025-12-09T00:00:00"/>
    <x v="0"/>
    <x v="3"/>
    <s v="Bhongir"/>
    <s v="Valigonda"/>
    <s v="Steel Extra Weight Amount"/>
    <m/>
    <m/>
    <m/>
    <n v="5500"/>
    <m/>
  </r>
  <r>
    <n v="16"/>
    <d v="2025-12-12T00:00:00"/>
    <x v="0"/>
    <x v="4"/>
    <s v="Janagaon"/>
    <s v="Palakurthy"/>
    <s v="Labour Food &amp; Transport"/>
    <m/>
    <m/>
    <m/>
    <n v="800"/>
    <m/>
  </r>
  <r>
    <n v="17"/>
    <d v="2025-12-12T00:00:00"/>
    <x v="0"/>
    <x v="5"/>
    <s v="Janagaon"/>
    <s v="Palakurthy"/>
    <s v="SITE EXPENSES"/>
    <m/>
    <m/>
    <m/>
    <n v="400"/>
    <m/>
  </r>
  <r>
    <n v="18"/>
    <d v="2025-12-13T00:00:00"/>
    <x v="0"/>
    <x v="1"/>
    <s v="Janagaon"/>
    <s v="Palakurthy"/>
    <s v="TRACTOR payments"/>
    <m/>
    <m/>
    <m/>
    <n v="1200"/>
    <m/>
  </r>
  <r>
    <n v="19"/>
    <d v="2025-12-15T00:00:00"/>
    <x v="0"/>
    <x v="3"/>
    <s v="Bhongir"/>
    <s v="Valigonda"/>
    <s v="Mekulu"/>
    <m/>
    <m/>
    <m/>
    <n v="1000"/>
    <m/>
  </r>
  <r>
    <n v="20"/>
    <d v="2025-12-15T00:00:00"/>
    <x v="0"/>
    <x v="3"/>
    <s v="Bhongir"/>
    <s v="Valigonda"/>
    <s v="Wooden poles"/>
    <m/>
    <m/>
    <m/>
    <n v="2100"/>
    <m/>
  </r>
  <r>
    <n v="21"/>
    <d v="2025-12-17T00:00:00"/>
    <x v="0"/>
    <x v="4"/>
    <s v="Hanamkonda"/>
    <s v="Hub"/>
    <s v="Tiffin"/>
    <m/>
    <m/>
    <m/>
    <n v="470"/>
    <m/>
  </r>
  <r>
    <n v="22"/>
    <d v="2025-12-17T00:00:00"/>
    <x v="0"/>
    <x v="5"/>
    <s v="Janagaon"/>
    <s v="Palakurthy"/>
    <s v="Water Bill"/>
    <m/>
    <m/>
    <m/>
    <n v="400"/>
    <m/>
  </r>
  <r>
    <n v="23"/>
    <d v="2025-12-17T00:00:00"/>
    <x v="0"/>
    <x v="5"/>
    <s v="Hanamkonda"/>
    <s v="Hub"/>
    <s v="Site Levelling"/>
    <m/>
    <m/>
    <m/>
    <n v="5000"/>
    <m/>
  </r>
  <r>
    <n v="24"/>
    <d v="2025-12-17T00:00:00"/>
    <x v="0"/>
    <x v="6"/>
    <s v="Hanamkonda"/>
    <s v="Hub"/>
    <s v="Electricals 2 fan,bulb lamp"/>
    <m/>
    <m/>
    <m/>
    <n v="4600"/>
    <m/>
  </r>
  <r>
    <n v="25"/>
    <d v="2025-12-17T00:00:00"/>
    <x v="0"/>
    <x v="5"/>
    <s v="Hanamkonda"/>
    <s v="Hub"/>
    <s v="Motar and Instalation"/>
    <m/>
    <m/>
    <m/>
    <n v="37970"/>
    <m/>
  </r>
  <r>
    <n v="26"/>
    <d v="2025-12-17T00:00:00"/>
    <x v="0"/>
    <x v="5"/>
    <s v="Hanamkonda"/>
    <s v="Hub"/>
    <s v="Bathroom works"/>
    <m/>
    <m/>
    <m/>
    <n v="27600"/>
    <m/>
  </r>
  <r>
    <n v="27"/>
    <d v="2025-12-17T00:00:00"/>
    <x v="0"/>
    <x v="7"/>
    <s v="Hanamkonda"/>
    <s v="Hub"/>
    <s v="Runners 600x120"/>
    <m/>
    <m/>
    <m/>
    <n v="82000"/>
    <m/>
  </r>
  <r>
    <n v="28"/>
    <d v="2025-12-17T00:00:00"/>
    <x v="0"/>
    <x v="5"/>
    <s v="Janagaon"/>
    <s v="Palakurthy"/>
    <s v="SITE EXPENSES"/>
    <m/>
    <m/>
    <m/>
    <n v="1300"/>
    <m/>
  </r>
  <r>
    <n v="29"/>
    <d v="2025-12-19T00:00:00"/>
    <x v="0"/>
    <x v="3"/>
    <s v="Janagaon"/>
    <s v="Palakurthy"/>
    <s v="Plastic pipe"/>
    <m/>
    <m/>
    <m/>
    <n v="2500"/>
    <m/>
  </r>
  <r>
    <n v="30"/>
    <d v="2025-12-19T00:00:00"/>
    <x v="0"/>
    <x v="0"/>
    <s v="Janagaon"/>
    <s v="Palakurthy"/>
    <s v="Labour Food &amp; Transport"/>
    <m/>
    <m/>
    <m/>
    <n v="800"/>
    <m/>
  </r>
  <r>
    <n v="31"/>
    <d v="2025-12-20T00:00:00"/>
    <x v="0"/>
    <x v="0"/>
    <s v="Janagaon"/>
    <s v="Palakurthy"/>
    <s v="Labour Food &amp; Transport"/>
    <m/>
    <m/>
    <m/>
    <n v="700"/>
    <m/>
  </r>
  <r>
    <n v="32"/>
    <d v="2025-12-21T00:00:00"/>
    <x v="0"/>
    <x v="8"/>
    <s v="Bhongir"/>
    <s v="Valigonda"/>
    <s v="Runners Loading and unloadin"/>
    <m/>
    <m/>
    <m/>
    <n v="9000"/>
    <m/>
  </r>
  <r>
    <n v="33"/>
    <d v="2025-12-21T00:00:00"/>
    <x v="0"/>
    <x v="0"/>
    <s v="Hanamkonda"/>
    <s v="Hub"/>
    <s v="Runners Transport "/>
    <m/>
    <m/>
    <m/>
    <n v="4000"/>
    <s v="Valigonda to hanumakonda"/>
  </r>
  <r>
    <n v="34"/>
    <d v="2025-12-21T00:00:00"/>
    <x v="0"/>
    <x v="9"/>
    <s v="Hanamkonda"/>
    <s v="Hub"/>
    <s v="Room Advance "/>
    <m/>
    <m/>
    <m/>
    <n v="12000"/>
    <m/>
  </r>
  <r>
    <n v="35"/>
    <d v="2025-12-21T00:00:00"/>
    <x v="0"/>
    <x v="9"/>
    <s v="Hanamkonda"/>
    <s v="Hub"/>
    <s v="Room Expense"/>
    <m/>
    <m/>
    <m/>
    <n v="11500"/>
    <m/>
  </r>
  <r>
    <n v="36"/>
    <d v="2025-12-21T00:00:00"/>
    <x v="0"/>
    <x v="0"/>
    <s v="Janagaon"/>
    <s v="Palakurthy"/>
    <s v="Centring transport "/>
    <m/>
    <m/>
    <m/>
    <n v="8000"/>
    <m/>
  </r>
  <r>
    <n v="37"/>
    <d v="2025-12-23T00:00:00"/>
    <x v="0"/>
    <x v="3"/>
    <s v="Hanamkonda"/>
    <s v="Hub"/>
    <s v="Cutting Material"/>
    <m/>
    <m/>
    <m/>
    <n v="20000"/>
    <m/>
  </r>
  <r>
    <n v="38"/>
    <d v="2025-12-24T00:00:00"/>
    <x v="0"/>
    <x v="4"/>
    <s v="Hanamkonda"/>
    <s v="Nadikuda"/>
    <s v="Food"/>
    <m/>
    <m/>
    <m/>
    <n v="1300"/>
    <m/>
  </r>
  <r>
    <n v="39"/>
    <d v="2025-12-25T00:00:00"/>
    <x v="0"/>
    <x v="10"/>
    <s v="Janagaon"/>
    <s v="Palakurthy"/>
    <s v="tractor diesel"/>
    <s v="Diesel"/>
    <n v="20.833333333333332"/>
    <n v="96"/>
    <n v="2000"/>
    <s v="Vizag to telangana"/>
  </r>
  <r>
    <n v="40"/>
    <d v="2025-12-25T00:00:00"/>
    <x v="0"/>
    <x v="1"/>
    <s v="Janagaon"/>
    <s v="Palakurthy"/>
    <s v="JCB rent"/>
    <m/>
    <m/>
    <m/>
    <n v="3000"/>
    <m/>
  </r>
  <r>
    <n v="41"/>
    <d v="2025-12-25T00:00:00"/>
    <x v="0"/>
    <x v="4"/>
    <s v="Janagaon"/>
    <s v="Palakurthy"/>
    <s v="Labour Food &amp; Transport"/>
    <m/>
    <m/>
    <m/>
    <n v="900"/>
    <m/>
  </r>
  <r>
    <n v="42"/>
    <d v="2025-12-25T00:00:00"/>
    <x v="0"/>
    <x v="3"/>
    <s v="Janagaon"/>
    <s v="Palakurthy"/>
    <s v="Plastic Sut pipe"/>
    <m/>
    <m/>
    <m/>
    <n v="3000"/>
    <m/>
  </r>
  <r>
    <n v="43"/>
    <d v="2025-12-25T00:00:00"/>
    <x v="0"/>
    <x v="11"/>
    <s v="Janagaon"/>
    <s v="Palakurthy"/>
    <s v="Palakurthy to Valigonda AT diesel"/>
    <m/>
    <n v="20.833333333333332"/>
    <n v="96"/>
    <n v="2000"/>
    <m/>
  </r>
  <r>
    <n v="44"/>
    <d v="2025-12-26T00:00:00"/>
    <x v="0"/>
    <x v="12"/>
    <s v="Janagaon"/>
    <s v="Palakurthy"/>
    <s v="Centring Shifting"/>
    <m/>
    <m/>
    <m/>
    <n v="2500"/>
    <m/>
  </r>
  <r>
    <n v="45"/>
    <d v="2025-12-26T00:00:00"/>
    <x v="0"/>
    <x v="4"/>
    <s v="Janagaon"/>
    <s v="Palakurthy"/>
    <s v="Labour Food &amp; Transport"/>
    <m/>
    <m/>
    <m/>
    <n v="500"/>
    <m/>
  </r>
  <r>
    <n v="46"/>
    <d v="2025-12-26T00:00:00"/>
    <x v="0"/>
    <x v="1"/>
    <s v="Janagaon"/>
    <s v="Palakurthy"/>
    <s v="Tractor Rent 4 days"/>
    <m/>
    <m/>
    <m/>
    <n v="9000"/>
    <m/>
  </r>
  <r>
    <n v="47"/>
    <d v="2025-12-26T00:00:00"/>
    <x v="0"/>
    <x v="3"/>
    <s v="Hanamkonda"/>
    <s v="Hub"/>
    <s v="Nut and bolt"/>
    <m/>
    <m/>
    <m/>
    <n v="5450"/>
    <m/>
  </r>
  <r>
    <n v="48"/>
    <d v="2025-12-27T00:00:00"/>
    <x v="0"/>
    <x v="5"/>
    <s v="Janagaon"/>
    <s v="Palakurthy"/>
    <s v="Sai SRINU EXPENSES"/>
    <m/>
    <m/>
    <m/>
    <n v="2000"/>
    <m/>
  </r>
  <r>
    <n v="49"/>
    <d v="2025-12-27T00:00:00"/>
    <x v="0"/>
    <x v="3"/>
    <s v="Janagaon"/>
    <s v="Palakurthy"/>
    <s v="Ring Renches"/>
    <m/>
    <m/>
    <m/>
    <n v="780"/>
    <m/>
  </r>
  <r>
    <n v="50"/>
    <d v="2025-12-27T00:00:00"/>
    <x v="0"/>
    <x v="6"/>
    <s v="Hanamkonda"/>
    <s v="Hub"/>
    <s v="Electrical Pipe"/>
    <m/>
    <m/>
    <m/>
    <n v="400"/>
    <m/>
  </r>
  <r>
    <n v="51"/>
    <d v="2025-12-27T00:00:00"/>
    <x v="0"/>
    <x v="3"/>
    <s v="Hanamkonda"/>
    <s v="Hub"/>
    <s v="wooden centring holes and auger belts"/>
    <m/>
    <m/>
    <m/>
    <n v="2680"/>
    <m/>
  </r>
  <r>
    <n v="52"/>
    <d v="2025-12-27T00:00:00"/>
    <x v="0"/>
    <x v="6"/>
    <s v="Hanamkonda"/>
    <s v="Hub"/>
    <s v="Electricals"/>
    <m/>
    <m/>
    <m/>
    <n v="1000"/>
    <m/>
  </r>
  <r>
    <n v="53"/>
    <d v="2025-12-28T00:00:00"/>
    <x v="0"/>
    <x v="3"/>
    <s v="Hanamkonda"/>
    <s v="Hub"/>
    <s v="Wooden poles"/>
    <m/>
    <m/>
    <m/>
    <n v="3900"/>
    <m/>
  </r>
  <r>
    <n v="54"/>
    <d v="2025-12-28T00:00:00"/>
    <x v="0"/>
    <x v="10"/>
    <s v="Hanamkonda"/>
    <s v="Hub"/>
    <s v="Tractor diesel "/>
    <m/>
    <n v="20.833333333333332"/>
    <n v="96"/>
    <n v="2000"/>
    <m/>
  </r>
  <r>
    <n v="55"/>
    <d v="2025-12-28T00:00:00"/>
    <x v="0"/>
    <x v="5"/>
    <s v="Bhongir"/>
    <s v="Valigonda"/>
    <s v="Vibrator rent RMC"/>
    <m/>
    <m/>
    <m/>
    <n v="1000"/>
    <m/>
  </r>
  <r>
    <n v="56"/>
    <d v="2025-12-28T00:00:00"/>
    <x v="1"/>
    <x v="5"/>
    <s v="Hanamkonda"/>
    <s v="Hub"/>
    <s v="GasStove and cylinder"/>
    <m/>
    <m/>
    <m/>
    <n v="5600"/>
    <m/>
  </r>
  <r>
    <n v="57"/>
    <d v="2025-12-29T00:00:00"/>
    <x v="0"/>
    <x v="10"/>
    <s v="Janagaon"/>
    <s v="Palakurthy"/>
    <s v="Tractor Diesel 2"/>
    <m/>
    <n v="31.25"/>
    <n v="96"/>
    <n v="3000"/>
    <m/>
  </r>
  <r>
    <n v="58"/>
    <d v="2025-12-29T00:00:00"/>
    <x v="0"/>
    <x v="0"/>
    <s v="Hanamkonda"/>
    <s v="Hub"/>
    <s v="Plywood and transport "/>
    <m/>
    <m/>
    <m/>
    <n v="19500"/>
    <m/>
  </r>
  <r>
    <n v="59"/>
    <d v="2025-12-29T00:00:00"/>
    <x v="0"/>
    <x v="3"/>
    <s v="Janagaon"/>
    <s v="Palakurthy"/>
    <s v="Screw Machine"/>
    <m/>
    <m/>
    <m/>
    <n v="3500"/>
    <m/>
  </r>
  <r>
    <n v="60"/>
    <d v="2025-12-30T00:00:00"/>
    <x v="0"/>
    <x v="5"/>
    <s v="Bhongir"/>
    <s v="Valigonda"/>
    <s v="SITE EXPENSES"/>
    <m/>
    <m/>
    <m/>
    <n v="2000"/>
    <m/>
  </r>
  <r>
    <n v="61"/>
    <d v="2025-12-30T00:00:00"/>
    <x v="0"/>
    <x v="4"/>
    <s v="Hanamkonda"/>
    <s v="Hub"/>
    <s v="Tractor driver food"/>
    <m/>
    <m/>
    <m/>
    <n v="270"/>
    <m/>
  </r>
  <r>
    <n v="62"/>
    <d v="2025-12-30T00:00:00"/>
    <x v="0"/>
    <x v="5"/>
    <s v="Hanamkonda"/>
    <s v="Hub"/>
    <s v="COVER BLOCKS &amp; TAPE"/>
    <m/>
    <m/>
    <m/>
    <n v="900"/>
    <m/>
  </r>
  <r>
    <n v="63"/>
    <d v="2025-12-30T00:00:00"/>
    <x v="0"/>
    <x v="1"/>
    <s v="Hanamkonda"/>
    <s v="Hub"/>
    <s v="Site cleaning JCB"/>
    <m/>
    <m/>
    <m/>
    <n v="4500"/>
    <m/>
  </r>
  <r>
    <n v="64"/>
    <d v="2025-12-30T00:00:00"/>
    <x v="0"/>
    <x v="3"/>
    <s v="Janagaon"/>
    <s v="Palakurthy"/>
    <s v="Plastic Suit pipe"/>
    <m/>
    <m/>
    <m/>
    <n v="5300"/>
    <m/>
  </r>
  <r>
    <n v="65"/>
    <d v="2025-12-30T00:00:00"/>
    <x v="1"/>
    <x v="0"/>
    <s v="Hanamkonda"/>
    <s v="Hub"/>
    <s v="10 inch pipe Transport"/>
    <m/>
    <m/>
    <m/>
    <n v="300"/>
    <m/>
  </r>
  <r>
    <n v="66"/>
    <d v="2025-12-31T00:00:00"/>
    <x v="0"/>
    <x v="0"/>
    <s v="Janagaon"/>
    <s v="Palakurthy"/>
    <s v="Labour Transport"/>
    <m/>
    <m/>
    <m/>
    <n v="600"/>
    <m/>
  </r>
  <r>
    <n v="67"/>
    <d v="2025-12-31T00:00:00"/>
    <x v="0"/>
    <x v="10"/>
    <s v="Janagaon"/>
    <s v="Palakurthy"/>
    <s v="Diesel for tractor"/>
    <m/>
    <n v="10.416666666666666"/>
    <n v="96"/>
    <n v="1000"/>
    <s v="Hanmakonda to palkurthy"/>
  </r>
  <r>
    <n v="68"/>
    <d v="2025-12-31T00:00:00"/>
    <x v="0"/>
    <x v="4"/>
    <s v="Janagaon"/>
    <s v="Palakurthy"/>
    <s v="Labour Food &amp; Transport"/>
    <m/>
    <m/>
    <m/>
    <n v="1250"/>
    <m/>
  </r>
  <r>
    <n v="69"/>
    <d v="2025-12-31T00:00:00"/>
    <x v="0"/>
    <x v="6"/>
    <s v="Hanamkonda"/>
    <s v="Hub"/>
    <s v="Electrical Pipe"/>
    <m/>
    <m/>
    <m/>
    <n v="2300"/>
    <m/>
  </r>
  <r>
    <n v="70"/>
    <d v="2025-12-31T00:00:00"/>
    <x v="0"/>
    <x v="2"/>
    <s v="Hanamkonda"/>
    <s v="Hub"/>
    <s v="BLACK OIL"/>
    <m/>
    <m/>
    <m/>
    <n v="1000"/>
    <m/>
  </r>
  <r>
    <n v="71"/>
    <d v="2025-12-31T00:00:00"/>
    <x v="0"/>
    <x v="13"/>
    <s v="Janagaon"/>
    <s v="Palakurthy"/>
    <s v="NEW YEAR EXPENSE"/>
    <m/>
    <m/>
    <m/>
    <n v="7300"/>
    <m/>
  </r>
  <r>
    <n v="72"/>
    <d v="2026-01-01T00:00:00"/>
    <x v="0"/>
    <x v="13"/>
    <s v="Hanamkonda"/>
    <s v="Hub"/>
    <s v="Ward 53 officer"/>
    <m/>
    <m/>
    <m/>
    <n v="5000"/>
    <m/>
  </r>
  <r>
    <n v="73"/>
    <d v="2026-01-01T00:00:00"/>
    <x v="0"/>
    <x v="11"/>
    <s v="Bhongir"/>
    <s v="Valigonda"/>
    <s v="Diesel for tractor"/>
    <m/>
    <n v="26.041666666666668"/>
    <n v="96"/>
    <n v="2500"/>
    <m/>
  </r>
  <r>
    <n v="74"/>
    <d v="2026-01-11T00:00:00"/>
    <x v="2"/>
    <x v="10"/>
    <s v="Hanamkonda"/>
    <s v="Hub"/>
    <s v="Vizag To Warangal Car Diesel"/>
    <m/>
    <n v="36.666666666666664"/>
    <n v="96"/>
    <n v="3520"/>
    <m/>
  </r>
  <r>
    <n v="75"/>
    <d v="2026-01-13T00:00:00"/>
    <x v="0"/>
    <x v="5"/>
    <s v="Hanamkonda"/>
    <s v="Hub"/>
    <s v="RMC BETA"/>
    <m/>
    <m/>
    <m/>
    <n v="800"/>
    <m/>
  </r>
  <r>
    <n v="76"/>
    <d v="2026-01-14T00:00:00"/>
    <x v="0"/>
    <x v="13"/>
    <s v="Janagaon"/>
    <s v="Palakurthy"/>
    <s v="Aadhi Sir Car Repair"/>
    <m/>
    <m/>
    <m/>
    <n v="3000"/>
    <m/>
  </r>
  <r>
    <n v="77"/>
    <d v="2026-01-17T00:00:00"/>
    <x v="0"/>
    <x v="14"/>
    <s v="Hanamkonda"/>
    <s v="Hub"/>
    <s v="RMC pump and cement "/>
    <m/>
    <n v="3"/>
    <n v="300"/>
    <n v="900"/>
    <m/>
  </r>
  <r>
    <n v="78"/>
    <d v="2026-01-17T00:00:00"/>
    <x v="0"/>
    <x v="3"/>
    <s v="Hanamkonda"/>
    <s v="Hub"/>
    <s v="Mekulu"/>
    <m/>
    <m/>
    <m/>
    <n v="500"/>
    <m/>
  </r>
  <r>
    <n v="79"/>
    <d v="2026-01-17T00:00:00"/>
    <x v="0"/>
    <x v="2"/>
    <s v="Bhongir"/>
    <s v="Valigonda"/>
    <s v="BLACK OIL"/>
    <m/>
    <m/>
    <m/>
    <n v="500"/>
    <m/>
  </r>
  <r>
    <n v="80"/>
    <d v="2026-01-17T00:00:00"/>
    <x v="0"/>
    <x v="5"/>
    <s v="Bhongir"/>
    <s v="Valigonda"/>
    <s v="RMC BETA and Vibrator"/>
    <m/>
    <m/>
    <m/>
    <n v="600"/>
    <m/>
  </r>
  <r>
    <n v="81"/>
    <d v="2026-01-17T00:00:00"/>
    <x v="0"/>
    <x v="0"/>
    <s v="Bhongir"/>
    <s v="Valigonda"/>
    <s v="Labour Transport"/>
    <m/>
    <m/>
    <m/>
    <n v="500"/>
    <m/>
  </r>
  <r>
    <n v="82"/>
    <d v="2026-01-19T00:00:00"/>
    <x v="0"/>
    <x v="0"/>
    <s v="Bhongir"/>
    <s v="Valigonda"/>
    <s v="Labour Transport"/>
    <m/>
    <m/>
    <m/>
    <n v="450"/>
    <m/>
  </r>
  <r>
    <n v="83"/>
    <d v="2026-01-20T00:00:00"/>
    <x v="0"/>
    <x v="13"/>
    <s v="Janagaon"/>
    <s v="Palakurthy"/>
    <s v="Sir Office Expense"/>
    <m/>
    <m/>
    <m/>
    <n v="2300"/>
    <m/>
  </r>
  <r>
    <n v="84"/>
    <d v="2026-01-20T00:00:00"/>
    <x v="1"/>
    <x v="3"/>
    <s v="Hanamkonda"/>
    <s v="Hub"/>
    <s v="cable,mcb,drill bits "/>
    <m/>
    <m/>
    <m/>
    <n v="2400"/>
    <m/>
  </r>
  <r>
    <n v="85"/>
    <d v="2026-01-21T00:00:00"/>
    <x v="0"/>
    <x v="0"/>
    <s v="Hanamkonda"/>
    <s v="Hub"/>
    <s v="Labour transport"/>
    <m/>
    <m/>
    <m/>
    <n v="550"/>
    <m/>
  </r>
  <r>
    <n v="86"/>
    <d v="2026-01-21T00:00:00"/>
    <x v="1"/>
    <x v="0"/>
    <s v="Hanamkonda"/>
    <s v="Hub"/>
    <s v="Sai srinu bike Transport "/>
    <m/>
    <m/>
    <m/>
    <n v="2500"/>
    <m/>
  </r>
  <r>
    <n v="87"/>
    <d v="2026-01-22T00:00:00"/>
    <x v="0"/>
    <x v="5"/>
    <s v="Hanamkonda"/>
    <s v="Hub"/>
    <s v="RMC PUMP BETA"/>
    <m/>
    <m/>
    <m/>
    <n v="1200"/>
    <m/>
  </r>
  <r>
    <n v="88"/>
    <d v="2026-01-22T00:00:00"/>
    <x v="1"/>
    <x v="11"/>
    <s v="Hanamkonda"/>
    <s v="Hub"/>
    <s v="Diesel for Auger "/>
    <m/>
    <n v="19.822916666666668"/>
    <n v="96"/>
    <n v="1903"/>
    <m/>
  </r>
  <r>
    <n v="89"/>
    <d v="2026-01-22T00:00:00"/>
    <x v="1"/>
    <x v="1"/>
    <s v="Hanamkonda"/>
    <s v="Hub"/>
    <s v="JCB rent &amp; 7 hrs "/>
    <m/>
    <m/>
    <m/>
    <n v="8400"/>
    <m/>
  </r>
  <r>
    <n v="90"/>
    <d v="2026-01-22T00:00:00"/>
    <x v="1"/>
    <x v="6"/>
    <s v="Hanamkonda"/>
    <s v="Hub"/>
    <s v="Cables, Pipes, mcbs etc"/>
    <m/>
    <m/>
    <m/>
    <n v="24000"/>
    <m/>
  </r>
  <r>
    <n v="91"/>
    <d v="2026-01-23T00:00:00"/>
    <x v="0"/>
    <x v="15"/>
    <s v="Bhongir"/>
    <s v="Valigonda"/>
    <s v="Hardware Old balance "/>
    <m/>
    <m/>
    <m/>
    <n v="8200"/>
    <m/>
  </r>
  <r>
    <n v="92"/>
    <d v="2026-01-23T00:00:00"/>
    <x v="1"/>
    <x v="3"/>
    <s v="Hanamkonda"/>
    <s v="Hub"/>
    <s v="Rope, POles, Karralu"/>
    <m/>
    <m/>
    <m/>
    <n v="15250"/>
    <m/>
  </r>
  <r>
    <n v="93"/>
    <d v="2026-01-23T00:00:00"/>
    <x v="1"/>
    <x v="10"/>
    <s v="Hanamkonda"/>
    <s v="Hub"/>
    <s v="Diesel for shifting tractor"/>
    <m/>
    <n v="10.416666666666666"/>
    <n v="96"/>
    <n v="1000"/>
    <m/>
  </r>
  <r>
    <n v="94"/>
    <d v="2026-01-23T00:00:00"/>
    <x v="1"/>
    <x v="8"/>
    <s v="Hanamkonda"/>
    <s v="Hub"/>
    <s v="PLY WOOD UNLDING"/>
    <m/>
    <m/>
    <m/>
    <n v="3500"/>
    <m/>
  </r>
  <r>
    <n v="95"/>
    <d v="2026-01-23T00:00:00"/>
    <x v="1"/>
    <x v="3"/>
    <s v="Janagaon"/>
    <s v="Palakurthy"/>
    <s v="Hardware items"/>
    <m/>
    <m/>
    <m/>
    <n v="2250"/>
    <m/>
  </r>
  <r>
    <n v="96"/>
    <d v="2026-01-23T00:00:00"/>
    <x v="1"/>
    <x v="6"/>
    <s v="Hanamkonda"/>
    <s v="Hub"/>
    <s v="CCTV ,PURCHASE "/>
    <m/>
    <m/>
    <m/>
    <n v="18400"/>
    <m/>
  </r>
  <r>
    <n v="97"/>
    <d v="2026-01-23T00:00:00"/>
    <x v="1"/>
    <x v="3"/>
    <s v="Hanamkonda"/>
    <s v="Hub"/>
    <s v="HARDWARE MACHINE INC TRANSPORT"/>
    <m/>
    <m/>
    <m/>
    <n v="71500"/>
    <m/>
  </r>
  <r>
    <n v="98"/>
    <d v="2026-01-23T00:00:00"/>
    <x v="1"/>
    <x v="6"/>
    <s v="Hanamkonda"/>
    <s v="Hub"/>
    <s v="SWITCHES, BOARDS"/>
    <m/>
    <m/>
    <m/>
    <n v="560"/>
    <m/>
  </r>
  <r>
    <n v="99"/>
    <d v="2026-01-23T00:00:00"/>
    <x v="1"/>
    <x v="16"/>
    <s v="Hanamkonda"/>
    <s v="Hub"/>
    <s v="Nagaraju and thrinadh train tckts"/>
    <m/>
    <m/>
    <m/>
    <n v="2000"/>
    <m/>
  </r>
  <r>
    <n v="100"/>
    <d v="2026-01-24T00:00:00"/>
    <x v="0"/>
    <x v="3"/>
    <s v="Hanamkonda"/>
    <s v="Hub"/>
    <s v="Mekulu"/>
    <m/>
    <m/>
    <m/>
    <n v="1000"/>
    <m/>
  </r>
  <r>
    <n v="101"/>
    <d v="2026-01-24T00:00:00"/>
    <x v="1"/>
    <x v="15"/>
    <s v="Hanamkonda"/>
    <s v="Hub"/>
    <s v="Sand 32 tons "/>
    <m/>
    <m/>
    <m/>
    <n v="45960"/>
    <m/>
  </r>
  <r>
    <n v="102"/>
    <d v="2026-01-24T00:00:00"/>
    <x v="1"/>
    <x v="0"/>
    <s v="Hanamkonda"/>
    <s v="Hub"/>
    <s v="Platform labour Transport "/>
    <m/>
    <m/>
    <m/>
    <n v="10000"/>
    <m/>
  </r>
  <r>
    <n v="103"/>
    <d v="2026-01-24T00:00:00"/>
    <x v="1"/>
    <x v="15"/>
    <s v="Hanamkonda"/>
    <s v="Hub"/>
    <s v="M Sand 2 loads "/>
    <m/>
    <m/>
    <m/>
    <n v="13000"/>
    <m/>
  </r>
  <r>
    <n v="104"/>
    <d v="2026-01-24T00:00:00"/>
    <x v="1"/>
    <x v="17"/>
    <s v="Hanamkonda"/>
    <s v="Hub"/>
    <s v="nails, binding wire pipe, hammer etc"/>
    <m/>
    <m/>
    <m/>
    <n v="64550"/>
    <m/>
  </r>
  <r>
    <n v="105"/>
    <d v="2026-01-24T00:00:00"/>
    <x v="1"/>
    <x v="0"/>
    <s v="Hanamkonda"/>
    <s v="Hub"/>
    <s v="Hardware Shifting "/>
    <m/>
    <m/>
    <m/>
    <n v="1000"/>
    <m/>
  </r>
  <r>
    <n v="106"/>
    <d v="2026-01-24T00:00:00"/>
    <x v="1"/>
    <x v="10"/>
    <s v="Hanamkonda"/>
    <s v="Hub"/>
    <s v="Diesel for trctor"/>
    <m/>
    <n v="43.4375"/>
    <n v="96"/>
    <n v="4170"/>
    <m/>
  </r>
  <r>
    <n v="107"/>
    <d v="2026-01-24T00:00:00"/>
    <x v="1"/>
    <x v="10"/>
    <s v="Bhongir"/>
    <s v="Valigonda"/>
    <s v="Diesel for tractor"/>
    <m/>
    <n v="20.833333333333332"/>
    <n v="96"/>
    <n v="2000"/>
    <m/>
  </r>
  <r>
    <n v="108"/>
    <d v="2026-01-24T00:00:00"/>
    <x v="1"/>
    <x v="17"/>
    <s v="Janagaon"/>
    <s v="Palakurthy"/>
    <s v="pavan hardware purchase "/>
    <m/>
    <m/>
    <m/>
    <n v="7130"/>
    <m/>
  </r>
  <r>
    <n v="109"/>
    <d v="2026-01-24T00:00:00"/>
    <x v="1"/>
    <x v="3"/>
    <s v="Hanamkonda"/>
    <s v="Hub"/>
    <s v="GAmela, Parelu"/>
    <m/>
    <m/>
    <m/>
    <n v="1450"/>
    <m/>
  </r>
  <r>
    <n v="110"/>
    <d v="2026-01-24T00:00:00"/>
    <x v="1"/>
    <x v="18"/>
    <s v="Hanamkonda"/>
    <s v="Hub"/>
    <s v="Platform RMC "/>
    <m/>
    <m/>
    <m/>
    <n v="100"/>
    <m/>
  </r>
  <r>
    <n v="111"/>
    <d v="2026-01-25T00:00:00"/>
    <x v="1"/>
    <x v="14"/>
    <s v="Hanamkonda"/>
    <s v="Hub"/>
    <s v="20*300 cement bags "/>
    <m/>
    <n v="20"/>
    <n v="300"/>
    <n v="6000"/>
    <m/>
  </r>
  <r>
    <n v="112"/>
    <d v="2026-01-25T00:00:00"/>
    <x v="1"/>
    <x v="5"/>
    <s v="Hanamkonda"/>
    <s v="Hub"/>
    <s v="cctv sIM "/>
    <m/>
    <m/>
    <m/>
    <n v="350"/>
    <m/>
  </r>
  <r>
    <n v="113"/>
    <d v="2026-01-25T00:00:00"/>
    <x v="1"/>
    <x v="0"/>
    <s v="Bhongir"/>
    <s v="Valigonda"/>
    <s v="Valigonda to Hanumakonda Cenetring transport"/>
    <m/>
    <m/>
    <m/>
    <n v="10000"/>
    <m/>
  </r>
  <r>
    <n v="114"/>
    <d v="2026-01-25T00:00:00"/>
    <x v="1"/>
    <x v="19"/>
    <s v="Hanamkonda"/>
    <s v="Hub"/>
    <s v="Bled Cutting Labour "/>
    <m/>
    <m/>
    <m/>
    <n v="960"/>
    <m/>
  </r>
  <r>
    <n v="115"/>
    <d v="2026-01-25T00:00:00"/>
    <x v="1"/>
    <x v="5"/>
    <s v="Hanamkonda"/>
    <s v="Hub"/>
    <s v="Washroom cleaning "/>
    <m/>
    <m/>
    <m/>
    <n v="800"/>
    <m/>
  </r>
  <r>
    <n v="116"/>
    <d v="2026-01-25T00:00:00"/>
    <x v="1"/>
    <x v="19"/>
    <s v="Hanamkonda"/>
    <s v="Hub"/>
    <s v="Platform labour payment "/>
    <m/>
    <m/>
    <m/>
    <n v="10000"/>
    <m/>
  </r>
  <r>
    <n v="117"/>
    <d v="2026-01-25T00:00:00"/>
    <x v="1"/>
    <x v="8"/>
    <s v="Hanamkonda"/>
    <s v="Hub"/>
    <s v="Centering Unloading "/>
    <m/>
    <m/>
    <m/>
    <n v="3000"/>
    <m/>
  </r>
  <r>
    <n v="118"/>
    <d v="2026-01-25T00:00:00"/>
    <x v="1"/>
    <x v="18"/>
    <s v="Hanamkonda"/>
    <s v="Hub"/>
    <s v="Platfrom RMC"/>
    <m/>
    <m/>
    <m/>
    <n v="100"/>
    <m/>
  </r>
  <r>
    <n v="119"/>
    <d v="2026-01-25T00:00:00"/>
    <x v="1"/>
    <x v="16"/>
    <s v="Hanamkonda"/>
    <s v="Hub"/>
    <s v="Mesh, Brooms"/>
    <m/>
    <m/>
    <m/>
    <n v="340"/>
    <m/>
  </r>
  <r>
    <n v="120"/>
    <d v="2026-01-26T00:00:00"/>
    <x v="0"/>
    <x v="15"/>
    <s v="Hanamkonda"/>
    <s v="Hub"/>
    <s v="Steel 12 mm,8mm"/>
    <m/>
    <m/>
    <m/>
    <n v="109500"/>
    <m/>
  </r>
  <r>
    <n v="121"/>
    <d v="2026-01-26T00:00:00"/>
    <x v="0"/>
    <x v="0"/>
    <s v="Hanamkonda"/>
    <s v="Hub"/>
    <s v="Steel Transport"/>
    <m/>
    <m/>
    <m/>
    <n v="2500"/>
    <m/>
  </r>
  <r>
    <n v="122"/>
    <d v="2026-01-26T00:00:00"/>
    <x v="0"/>
    <x v="15"/>
    <s v="Hanamkonda"/>
    <s v="Hub"/>
    <s v="Steel GA PIPEs"/>
    <m/>
    <m/>
    <m/>
    <n v="52000"/>
    <m/>
  </r>
  <r>
    <n v="123"/>
    <d v="2026-01-26T00:00:00"/>
    <x v="1"/>
    <x v="11"/>
    <s v="Hanamkonda"/>
    <s v="Hub"/>
    <s v="Diesel for Augering full tank"/>
    <m/>
    <n v="58.520833333333336"/>
    <n v="96"/>
    <n v="5618"/>
    <m/>
  </r>
  <r>
    <n v="124"/>
    <d v="2026-01-26T00:00:00"/>
    <x v="1"/>
    <x v="14"/>
    <s v="Janagaon"/>
    <s v="Palakurthy"/>
    <s v="Cement 20*300 incl transport"/>
    <m/>
    <n v="20"/>
    <n v="300"/>
    <n v="6400"/>
    <m/>
  </r>
  <r>
    <n v="125"/>
    <d v="2026-01-26T00:00:00"/>
    <x v="1"/>
    <x v="3"/>
    <s v="Hanamkonda"/>
    <s v="Hub"/>
    <s v="Machine drill and etc"/>
    <m/>
    <m/>
    <m/>
    <n v="12000"/>
    <m/>
  </r>
  <r>
    <n v="126"/>
    <d v="2026-01-26T00:00:00"/>
    <x v="1"/>
    <x v="17"/>
    <s v="Hanamkonda"/>
    <s v="Kyathamapalle"/>
    <s v="Hardware"/>
    <m/>
    <m/>
    <m/>
    <n v="693"/>
    <m/>
  </r>
  <r>
    <n v="127"/>
    <d v="2026-01-26T00:00:00"/>
    <x v="1"/>
    <x v="5"/>
    <s v="Hanamkonda"/>
    <s v="Kyathamapalle"/>
    <s v="Engine Oil 40*50"/>
    <m/>
    <m/>
    <m/>
    <n v="2000"/>
    <m/>
  </r>
  <r>
    <n v="128"/>
    <d v="2026-01-26T00:00:00"/>
    <x v="1"/>
    <x v="5"/>
    <s v="Hanamkonda"/>
    <s v="Hub"/>
    <s v="15m Tape 2"/>
    <m/>
    <m/>
    <m/>
    <n v="400"/>
    <m/>
  </r>
  <r>
    <n v="129"/>
    <d v="2026-01-26T00:00:00"/>
    <x v="1"/>
    <x v="8"/>
    <s v="Hanamkonda"/>
    <s v="Hub"/>
    <s v="Steel Unloading "/>
    <m/>
    <m/>
    <m/>
    <n v="1000"/>
    <m/>
  </r>
  <r>
    <n v="130"/>
    <d v="2026-01-27T00:00:00"/>
    <x v="1"/>
    <x v="15"/>
    <s v="Janagaon"/>
    <s v="Palakurthy"/>
    <s v="3 trips Wet Mix"/>
    <m/>
    <m/>
    <m/>
    <n v="7500"/>
    <m/>
  </r>
  <r>
    <n v="131"/>
    <d v="2026-01-27T00:00:00"/>
    <x v="1"/>
    <x v="16"/>
    <s v="Janagaon"/>
    <s v="Palakurthy"/>
    <s v="Tractor repair , welding "/>
    <m/>
    <m/>
    <m/>
    <n v="1000"/>
    <m/>
  </r>
  <r>
    <n v="132"/>
    <d v="2026-01-27T00:00:00"/>
    <x v="1"/>
    <x v="5"/>
    <s v="Hanamkonda"/>
    <s v="Hub"/>
    <s v="Dorababu Diesel "/>
    <m/>
    <m/>
    <m/>
    <n v="400"/>
    <m/>
  </r>
  <r>
    <n v="133"/>
    <d v="2026-01-27T00:00:00"/>
    <x v="1"/>
    <x v="3"/>
    <s v="Hanamkonda"/>
    <s v="Hub"/>
    <s v="Sai Srinu Drill Machine and Blades "/>
    <m/>
    <m/>
    <m/>
    <n v="3500"/>
    <m/>
  </r>
  <r>
    <n v="134"/>
    <d v="2026-01-27T00:00:00"/>
    <x v="1"/>
    <x v="5"/>
    <s v="Hanamkonda"/>
    <s v="Hub"/>
    <s v="Washroom Reapir and blads, auto "/>
    <m/>
    <m/>
    <m/>
    <n v="8300"/>
    <m/>
  </r>
  <r>
    <n v="135"/>
    <d v="2026-01-27T00:00:00"/>
    <x v="1"/>
    <x v="0"/>
    <s v="Bhongir"/>
    <s v="Valigonda"/>
    <s v="Car Transport Diesel"/>
    <m/>
    <m/>
    <m/>
    <n v="1000"/>
    <m/>
  </r>
  <r>
    <n v="136"/>
    <d v="2026-01-27T00:00:00"/>
    <x v="1"/>
    <x v="3"/>
    <s v="Hanamkonda"/>
    <s v="Hub"/>
    <s v="Balaji Tools, Welding Rods "/>
    <m/>
    <m/>
    <m/>
    <n v="3400"/>
    <m/>
  </r>
  <r>
    <n v="137"/>
    <d v="2026-01-28T00:00:00"/>
    <x v="0"/>
    <x v="3"/>
    <s v="Hanamkonda"/>
    <s v="Hub"/>
    <s v="Nails and Dia "/>
    <m/>
    <m/>
    <m/>
    <n v="950"/>
    <m/>
  </r>
  <r>
    <n v="138"/>
    <d v="2026-01-28T00:00:00"/>
    <x v="1"/>
    <x v="5"/>
    <s v="Hanamkonda"/>
    <s v="Hub"/>
    <s v="Nails,Water can,pavada, cable "/>
    <m/>
    <m/>
    <m/>
    <n v="1570"/>
    <m/>
  </r>
  <r>
    <n v="139"/>
    <d v="2026-01-28T00:00:00"/>
    <x v="1"/>
    <x v="3"/>
    <s v="Hanamkonda"/>
    <s v="Hub"/>
    <s v="katar, cutting blade,tester etc "/>
    <m/>
    <m/>
    <m/>
    <n v="1080"/>
    <m/>
  </r>
  <r>
    <n v="140"/>
    <d v="2026-01-28T00:00:00"/>
    <x v="1"/>
    <x v="5"/>
    <s v="Hanamkonda"/>
    <s v="Hub"/>
    <s v="Materials and welding items for Shed in Hanumakonda INCL Unloading "/>
    <m/>
    <m/>
    <m/>
    <n v="210780"/>
    <s v="Materials and welding items for Shed in Hanumakonda INCL Unloading "/>
  </r>
  <r>
    <n v="141"/>
    <d v="2026-01-28T00:00:00"/>
    <x v="1"/>
    <x v="10"/>
    <s v="Janagaon"/>
    <s v="Palakurthy"/>
    <s v="Diesel for tractor "/>
    <m/>
    <n v="40.145833333333336"/>
    <n v="96"/>
    <n v="3854"/>
    <m/>
  </r>
  <r>
    <n v="142"/>
    <d v="2026-01-28T00:00:00"/>
    <x v="1"/>
    <x v="15"/>
    <s v="Janagaon"/>
    <s v="Palakurthy"/>
    <s v="12mm iron "/>
    <m/>
    <m/>
    <m/>
    <n v="1800"/>
    <m/>
  </r>
  <r>
    <n v="143"/>
    <d v="2026-01-28T00:00:00"/>
    <x v="1"/>
    <x v="5"/>
    <s v="Hanamkonda"/>
    <s v="Hub"/>
    <s v="Wood and drill Machine repair "/>
    <m/>
    <m/>
    <m/>
    <n v="2300"/>
    <m/>
  </r>
  <r>
    <n v="144"/>
    <d v="2026-01-28T00:00:00"/>
    <x v="1"/>
    <x v="10"/>
    <s v="Hanamkonda"/>
    <s v="AnanthSagar"/>
    <s v="Diesel "/>
    <m/>
    <n v="42.21875"/>
    <n v="96"/>
    <n v="4053"/>
    <m/>
  </r>
  <r>
    <n v="145"/>
    <d v="2026-01-29T00:00:00"/>
    <x v="0"/>
    <x v="5"/>
    <s v="Hanamkonda"/>
    <s v="Hub"/>
    <s v="RMC PUMP BETA"/>
    <m/>
    <m/>
    <m/>
    <n v="600"/>
    <m/>
  </r>
  <r>
    <n v="146"/>
    <d v="2026-01-29T00:00:00"/>
    <x v="0"/>
    <x v="0"/>
    <s v="Hanamkonda"/>
    <s v="Hub"/>
    <s v="Labour transport"/>
    <m/>
    <m/>
    <m/>
    <n v="500"/>
    <m/>
  </r>
  <r>
    <n v="147"/>
    <d v="2026-01-29T00:00:00"/>
    <x v="1"/>
    <x v="20"/>
    <s v="Hanamkonda"/>
    <s v="Kyathamapalle"/>
    <s v="JCB cleaning "/>
    <m/>
    <m/>
    <m/>
    <n v="3000"/>
    <s v="Rachakonda venkatamma, and Gangarapu Ilaiah"/>
  </r>
  <r>
    <n v="148"/>
    <d v="2026-01-29T00:00:00"/>
    <x v="1"/>
    <x v="15"/>
    <s v="Janagaon"/>
    <s v="Palakurthy"/>
    <s v="Sand gW :7630"/>
    <m/>
    <m/>
    <m/>
    <n v="6450"/>
    <m/>
  </r>
  <r>
    <n v="149"/>
    <d v="2026-01-29T00:00:00"/>
    <x v="1"/>
    <x v="5"/>
    <s v="Hanamkonda"/>
    <s v="Hub"/>
    <s v="Steel, thalam billalu, stand pipes INCL transport"/>
    <m/>
    <m/>
    <m/>
    <n v="15960"/>
    <m/>
  </r>
  <r>
    <n v="150"/>
    <d v="2026-01-29T00:00:00"/>
    <x v="1"/>
    <x v="3"/>
    <s v="Hanamkonda"/>
    <s v="Hub"/>
    <s v="Spanz 2 sets "/>
    <m/>
    <m/>
    <m/>
    <n v="240"/>
    <m/>
  </r>
  <r>
    <n v="151"/>
    <d v="2026-01-29T00:00:00"/>
    <x v="1"/>
    <x v="14"/>
    <s v="Janagaon"/>
    <s v="Palakurthy"/>
    <s v="Cement bags 20*300"/>
    <m/>
    <n v="20"/>
    <n v="300"/>
    <n v="6000"/>
    <m/>
  </r>
  <r>
    <n v="152"/>
    <d v="2026-01-29T00:00:00"/>
    <x v="1"/>
    <x v="6"/>
    <s v="Hanamkonda"/>
    <s v="Hub"/>
    <s v="Fans 3"/>
    <m/>
    <m/>
    <m/>
    <n v="6500"/>
    <m/>
  </r>
  <r>
    <n v="153"/>
    <d v="2026-01-30T00:00:00"/>
    <x v="0"/>
    <x v="9"/>
    <s v="Janagaon"/>
    <s v="Palakurthy"/>
    <s v="Room Rent"/>
    <m/>
    <m/>
    <m/>
    <n v="4400"/>
    <m/>
  </r>
  <r>
    <n v="154"/>
    <d v="2026-01-30T00:00:00"/>
    <x v="1"/>
    <x v="14"/>
    <s v="Janagaon"/>
    <s v="Palakurthy"/>
    <s v="Cement bags 06*300"/>
    <m/>
    <n v="6"/>
    <n v="300"/>
    <n v="1800"/>
    <m/>
  </r>
  <r>
    <n v="155"/>
    <d v="2026-01-30T00:00:00"/>
    <x v="1"/>
    <x v="5"/>
    <s v="Janagaon"/>
    <s v="Palakurthy"/>
    <s v="Tapes, HAmmer, Bucket, Jugs etc"/>
    <m/>
    <m/>
    <m/>
    <n v="1680"/>
    <m/>
  </r>
  <r>
    <n v="156"/>
    <d v="2026-01-30T00:00:00"/>
    <x v="1"/>
    <x v="3"/>
    <s v="Hanamkonda"/>
    <s v="Hub"/>
    <s v="3mm and 2mm nut bolt, Gunapalu"/>
    <m/>
    <m/>
    <m/>
    <n v="8800"/>
    <m/>
  </r>
  <r>
    <n v="157"/>
    <d v="2026-01-30T00:00:00"/>
    <x v="1"/>
    <x v="16"/>
    <s v="Hanamkonda"/>
    <s v="Hub"/>
    <s v="VSKP TO KZP TRANSPORT WITH PACKING "/>
    <m/>
    <m/>
    <m/>
    <n v="2200"/>
    <s v="Material from Ramavaram Site to Wl inclusive auto from Ramavarm to Vizag station "/>
  </r>
  <r>
    <n v="158"/>
    <d v="2026-01-30T00:00:00"/>
    <x v="1"/>
    <x v="16"/>
    <s v="Hanamkonda"/>
    <s v="Hub"/>
    <s v=" Unloading and transport to hub"/>
    <m/>
    <m/>
    <m/>
    <n v="800"/>
    <m/>
  </r>
  <r>
    <n v="159"/>
    <d v="2026-01-30T00:00:00"/>
    <x v="1"/>
    <x v="5"/>
    <s v="Hanamkonda"/>
    <s v="Hub"/>
    <s v="Paint, rollers, stand spanz"/>
    <m/>
    <m/>
    <m/>
    <n v="2120"/>
    <m/>
  </r>
  <r>
    <n v="160"/>
    <d v="2026-01-31T00:00:00"/>
    <x v="0"/>
    <x v="9"/>
    <s v="Hanamkonda"/>
    <s v="Wardhannapet"/>
    <s v="Room Rent Advance"/>
    <m/>
    <m/>
    <m/>
    <n v="3000"/>
    <m/>
  </r>
  <r>
    <n v="161"/>
    <d v="2026-01-31T00:00:00"/>
    <x v="1"/>
    <x v="15"/>
    <s v="Hanamkonda"/>
    <s v="Hub"/>
    <s v="Tractor 10mm metal "/>
    <m/>
    <m/>
    <m/>
    <n v="4500"/>
    <m/>
  </r>
  <r>
    <n v="162"/>
    <d v="2026-01-31T00:00:00"/>
    <x v="1"/>
    <x v="15"/>
    <s v="Hanamkonda"/>
    <s v="Hub"/>
    <s v="Lorry 10mm Metal"/>
    <m/>
    <m/>
    <m/>
    <n v="11000"/>
    <m/>
  </r>
  <r>
    <n v="163"/>
    <d v="2026-01-31T00:00:00"/>
    <x v="1"/>
    <x v="14"/>
    <s v="Hanamkonda"/>
    <s v="Hub"/>
    <s v="Cement bags 40*300 + Transport"/>
    <m/>
    <n v="40"/>
    <n v="300"/>
    <n v="12600"/>
    <m/>
  </r>
  <r>
    <n v="164"/>
    <d v="2026-01-31T00:00:00"/>
    <x v="1"/>
    <x v="20"/>
    <s v="Janagaon"/>
    <s v="Palakurthy"/>
    <s v="USage JCB "/>
    <m/>
    <m/>
    <m/>
    <n v="1500"/>
    <m/>
  </r>
  <r>
    <n v="165"/>
    <d v="2026-01-31T00:00:00"/>
    <x v="1"/>
    <x v="5"/>
    <s v="Hanamkonda"/>
    <s v="Hub"/>
    <s v="Newpaper, diesel, engine oil "/>
    <m/>
    <m/>
    <m/>
    <n v="750"/>
    <m/>
  </r>
  <r>
    <n v="166"/>
    <d v="2026-01-31T00:00:00"/>
    <x v="1"/>
    <x v="5"/>
    <s v="Hanamkonda"/>
    <s v="Hub"/>
    <s v="Gamela 15 line doors 15 "/>
    <m/>
    <m/>
    <m/>
    <n v="1280"/>
    <m/>
  </r>
  <r>
    <n v="167"/>
    <d v="2026-01-31T00:00:00"/>
    <x v="1"/>
    <x v="15"/>
    <s v="Hanamkonda"/>
    <s v="Hub"/>
    <s v="Gamela,Doors"/>
    <m/>
    <m/>
    <m/>
    <n v="1280"/>
    <m/>
  </r>
  <r>
    <n v="168"/>
    <d v="2026-02-01T00:00:00"/>
    <x v="0"/>
    <x v="10"/>
    <s v="Bhongir"/>
    <s v="Valigonda"/>
    <s v="Diesel"/>
    <m/>
    <n v="41.666666666666664"/>
    <n v="96"/>
    <n v="4000"/>
    <m/>
  </r>
  <r>
    <n v="169"/>
    <d v="2026-02-01T00:00:00"/>
    <x v="1"/>
    <x v="10"/>
    <s v="Bhongir"/>
    <s v="Valigonda"/>
    <s v="REFRACK MATERIAL LT Diesel"/>
    <m/>
    <n v="10.416666666666666"/>
    <n v="96"/>
    <n v="1000"/>
    <m/>
  </r>
  <r>
    <n v="170"/>
    <d v="2026-02-01T00:00:00"/>
    <x v="1"/>
    <x v="3"/>
    <s v="Hanamkonda"/>
    <s v="Hub"/>
    <s v="nuts and bolts "/>
    <m/>
    <m/>
    <m/>
    <n v="200"/>
    <m/>
  </r>
  <r>
    <n v="171"/>
    <d v="2026-02-01T00:00:00"/>
    <x v="1"/>
    <x v="16"/>
    <s v="Hanamkonda"/>
    <s v="Hub"/>
    <s v="PD office sweets and Shawl"/>
    <m/>
    <m/>
    <m/>
    <n v="1150"/>
    <m/>
  </r>
  <r>
    <n v="172"/>
    <d v="2026-02-01T00:00:00"/>
    <x v="1"/>
    <x v="10"/>
    <s v="Hanamkonda"/>
    <s v="Hub"/>
    <s v="Centring ractor diesel"/>
    <m/>
    <n v="5.208333333333333"/>
    <n v="96"/>
    <n v="500"/>
    <m/>
  </r>
  <r>
    <n v="173"/>
    <d v="2026-02-01T00:00:00"/>
    <x v="1"/>
    <x v="3"/>
    <s v="Hanamkonda"/>
    <s v="Hub"/>
    <s v="cutting wheel and spanners"/>
    <m/>
    <m/>
    <m/>
    <n v="1705"/>
    <m/>
  </r>
  <r>
    <n v="174"/>
    <d v="2026-02-01T00:00:00"/>
    <x v="1"/>
    <x v="10"/>
    <s v="Janagaon"/>
    <s v="Palakurthy"/>
    <s v="Centering tractor diesel"/>
    <m/>
    <n v="10.416666666666666"/>
    <n v="96"/>
    <n v="1000"/>
    <m/>
  </r>
  <r>
    <n v="175"/>
    <d v="2026-02-01T00:00:00"/>
    <x v="1"/>
    <x v="5"/>
    <s v="Hanamkonda"/>
    <s v="Hub"/>
    <s v="Billalu,clamps,pipes lots etc incl transport"/>
    <m/>
    <m/>
    <m/>
    <n v="41481"/>
    <m/>
  </r>
  <r>
    <n v="176"/>
    <d v="2026-02-01T00:00:00"/>
    <x v="1"/>
    <x v="5"/>
    <s v="Hanamkonda"/>
    <s v="Hub"/>
    <s v="Iron rekulu shed  12mm 10mm"/>
    <m/>
    <m/>
    <m/>
    <n v="18750"/>
    <m/>
  </r>
  <r>
    <n v="177"/>
    <d v="2026-02-02T00:00:00"/>
    <x v="1"/>
    <x v="14"/>
    <s v="Hanamkonda"/>
    <s v="Hub"/>
    <s v="Cement 20*300 incl transport"/>
    <m/>
    <n v="20"/>
    <n v="300"/>
    <n v="6000"/>
    <m/>
  </r>
  <r>
    <n v="178"/>
    <d v="2026-02-13T00:00:00"/>
    <x v="2"/>
    <x v="9"/>
    <s v="Siddipet"/>
    <s v="Siddipet"/>
    <s v="Hotel Expenses For Bank Team"/>
    <m/>
    <m/>
    <m/>
    <n v="13000"/>
    <s v="Axis Savings"/>
  </r>
  <r>
    <n v="179"/>
    <d v="2026-02-13T00:00:00"/>
    <x v="1"/>
    <x v="10"/>
    <s v="Hanamkonda"/>
    <s v="Kyathamapalle"/>
    <s v="Tractor Diesel"/>
    <m/>
    <n v="10.416666666666666"/>
    <n v="96"/>
    <n v="1000"/>
    <m/>
  </r>
  <r>
    <n v="180"/>
    <d v="2026-02-13T00:00:00"/>
    <x v="1"/>
    <x v="14"/>
    <s v="Hanamkonda"/>
    <s v="Hub"/>
    <s v="Cement Bags 47*280"/>
    <s v="Cement"/>
    <n v="47"/>
    <n v="280"/>
    <n v="13160"/>
    <m/>
  </r>
  <r>
    <n v="181"/>
    <d v="2026-02-14T00:00:00"/>
    <x v="2"/>
    <x v="21"/>
    <s v="Hanamkonda"/>
    <s v="Hub"/>
    <s v="Plywood Sheets Purchased  "/>
    <m/>
    <m/>
    <m/>
    <n v="1100000"/>
    <s v="Patel Plywood"/>
  </r>
  <r>
    <n v="182"/>
    <d v="2026-02-14T00:00:00"/>
    <x v="2"/>
    <x v="3"/>
    <s v="Bhongir"/>
    <s v="Turkapally"/>
    <s v="Vasalamarri Site Tools"/>
    <m/>
    <m/>
    <m/>
    <n v="6716"/>
    <s v="Axis Savings"/>
  </r>
  <r>
    <n v="183"/>
    <d v="2026-02-14T00:00:00"/>
    <x v="2"/>
    <x v="22"/>
    <s v="Bhongir"/>
    <s v="Turkapally"/>
    <s v="Vasalamarri Site Tools"/>
    <m/>
    <m/>
    <m/>
    <n v="1180"/>
    <s v="Axis Savings"/>
  </r>
  <r>
    <n v="184"/>
    <d v="2026-02-14T00:00:00"/>
    <x v="2"/>
    <x v="1"/>
    <s v="Hanamkonda"/>
    <s v="Bheemadevarapalli"/>
    <s v="09-02-2026 Tractor Adoc Rent"/>
    <m/>
    <m/>
    <m/>
    <n v="2000"/>
    <s v="Axis Savings"/>
  </r>
  <r>
    <n v="185"/>
    <d v="2026-02-14T00:00:00"/>
    <x v="2"/>
    <x v="9"/>
    <s v="Siddipet"/>
    <s v="Siddipet"/>
    <s v="Sudhakar reddy sir Acoomdation 09-02-2026 TO 14-02-2026"/>
    <m/>
    <m/>
    <m/>
    <n v="15000"/>
    <s v="Axis Savings"/>
  </r>
  <r>
    <n v="186"/>
    <d v="2026-02-14T00:00:00"/>
    <x v="2"/>
    <x v="9"/>
    <s v="Siddipet"/>
    <s v="Siddipet"/>
    <s v="Hotel Expenses For Bank Team 13 &amp; 14 Room Rent"/>
    <m/>
    <m/>
    <m/>
    <n v="8500"/>
    <s v="Axis Savings"/>
  </r>
  <r>
    <n v="187"/>
    <d v="2026-02-14T00:00:00"/>
    <x v="1"/>
    <x v="10"/>
    <s v="Hanamkonda"/>
    <s v="Kyathamapalle"/>
    <s v="Tractor diesel"/>
    <m/>
    <n v="39.645833333333336"/>
    <n v="96"/>
    <n v="3806"/>
    <m/>
  </r>
  <r>
    <n v="188"/>
    <d v="2026-02-14T00:00:00"/>
    <x v="1"/>
    <x v="0"/>
    <s v="Hanamkonda"/>
    <s v="Hub"/>
    <s v="Molds Transport"/>
    <m/>
    <m/>
    <m/>
    <n v="16600"/>
    <m/>
  </r>
  <r>
    <n v="189"/>
    <d v="2026-02-15T00:00:00"/>
    <x v="2"/>
    <x v="10"/>
    <s v="Hanamkonda"/>
    <s v="Hub"/>
    <s v="TS 34 T 3804 Shivareddy Auger Vehicle Diesel "/>
    <m/>
    <n v="40.577500000000001"/>
    <n v="96"/>
    <n v="3895.44"/>
    <s v="Axis Savings"/>
  </r>
  <r>
    <n v="190"/>
    <d v="2026-02-15T00:00:00"/>
    <x v="2"/>
    <x v="14"/>
    <s v="Hanamkonda"/>
    <s v="Bheemadevarapalli"/>
    <s v="1 * 300"/>
    <m/>
    <n v="1"/>
    <n v="300"/>
    <n v="300"/>
    <s v="Axis Savings"/>
  </r>
  <r>
    <n v="191"/>
    <d v="2026-02-15T00:00:00"/>
    <x v="2"/>
    <x v="18"/>
    <s v="Hanamkonda"/>
    <s v="Bheemadevarapalli"/>
    <s v="1 Pump &amp; Rmc Driver Beta"/>
    <m/>
    <m/>
    <n v="200"/>
    <n v="200"/>
    <s v="Axis Savings"/>
  </r>
  <r>
    <n v="192"/>
    <d v="2026-02-15T00:00:00"/>
    <x v="2"/>
    <x v="23"/>
    <s v="Siddipet"/>
    <s v="Siddipet"/>
    <s v="Bank Team 5*6000- 30000/- Sent To Dimpu Srinivas"/>
    <m/>
    <m/>
    <m/>
    <n v="30000"/>
    <s v="SBI"/>
  </r>
  <r>
    <n v="193"/>
    <d v="2026-02-15T00:00:00"/>
    <x v="2"/>
    <x v="10"/>
    <s v="Bhongir"/>
    <s v="Turkapally"/>
    <s v="TS 30 T 5684 Tractor Diesel  Reff - Sarandeep"/>
    <m/>
    <n v="20.833333333333332"/>
    <n v="96"/>
    <n v="2000"/>
    <s v="SBI"/>
  </r>
  <r>
    <n v="194"/>
    <d v="2026-02-15T00:00:00"/>
    <x v="2"/>
    <x v="10"/>
    <s v="Bhongir"/>
    <s v="Valigonda"/>
    <s v="AP39FC8298 TRACTOR DEISEL PAYMENT "/>
    <m/>
    <n v="10.416666666666666"/>
    <n v="96"/>
    <n v="1000"/>
    <s v="Axis Savings"/>
  </r>
  <r>
    <n v="195"/>
    <d v="2026-02-15T00:00:00"/>
    <x v="2"/>
    <x v="3"/>
    <s v="Hanamkonda"/>
    <s v="Chennarao Pet"/>
    <s v="Rope For Tractor Reff - Anil"/>
    <m/>
    <m/>
    <m/>
    <n v="760"/>
    <s v="SBI"/>
  </r>
  <r>
    <n v="196"/>
    <d v="2026-02-15T00:00:00"/>
    <x v="2"/>
    <x v="10"/>
    <s v="Siddipet"/>
    <s v="Mulug"/>
    <s v="TS 32 T 1002 Tractor Diesel"/>
    <m/>
    <n v="56.30802083333333"/>
    <n v="96"/>
    <n v="5405.57"/>
    <s v="Axis Savings"/>
  </r>
  <r>
    <n v="197"/>
    <d v="2026-02-15T00:00:00"/>
    <x v="2"/>
    <x v="3"/>
    <s v="Bhongir"/>
    <s v="Turkapally"/>
    <s v="Labour Material &amp; Site Tools"/>
    <m/>
    <m/>
    <m/>
    <n v="11250"/>
    <s v="Hethvika Enterprises"/>
  </r>
  <r>
    <n v="198"/>
    <d v="2026-02-16T00:00:00"/>
    <x v="2"/>
    <x v="10"/>
    <s v="Hanamkonda"/>
    <s v="Dharmasagar"/>
    <s v="TS25C1579 Tractor Diesel payment"/>
    <m/>
    <n v="10.416666666666666"/>
    <n v="96"/>
    <n v="1000"/>
    <s v="SBI"/>
  </r>
  <r>
    <n v="199"/>
    <d v="2026-02-16T00:00:00"/>
    <x v="2"/>
    <x v="23"/>
    <s v="Hanamkonda"/>
    <s v="Vardhannapet"/>
    <s v="G Suresh Jan Month Sal - Advance"/>
    <m/>
    <m/>
    <m/>
    <n v="15000"/>
    <s v="SBI"/>
  </r>
  <r>
    <n v="200"/>
    <d v="2026-02-16T00:00:00"/>
    <x v="2"/>
    <x v="23"/>
    <s v="Hanamkonda"/>
    <s v="Vardhannapet"/>
    <s v="G Nagaraju Jan Mont Salary"/>
    <m/>
    <m/>
    <m/>
    <n v="7000"/>
    <s v="Axis Savings"/>
  </r>
  <r>
    <n v="201"/>
    <d v="2026-02-16T00:00:00"/>
    <x v="2"/>
    <x v="23"/>
    <s v="Hanamkonda"/>
    <s v="Vardhannapet"/>
    <s v="Ch  Srikanth Jan Month Salary"/>
    <m/>
    <m/>
    <m/>
    <n v="7000"/>
    <s v="Axis Savings"/>
  </r>
  <r>
    <n v="202"/>
    <d v="2026-02-17T00:00:00"/>
    <x v="2"/>
    <x v="10"/>
    <s v="Hanamkonda"/>
    <s v="Dharmasagar"/>
    <s v="Tractor Diesel"/>
    <m/>
    <n v="5.729166666666667"/>
    <n v="96"/>
    <n v="550"/>
    <s v="SBI   1280/- Transaction"/>
  </r>
  <r>
    <n v="203"/>
    <d v="2026-02-17T00:00:00"/>
    <x v="2"/>
    <x v="5"/>
    <s v="Hanamkonda"/>
    <s v="Dharmasagar"/>
    <s v="2 Rmc &amp; 1 Pump Beta"/>
    <m/>
    <m/>
    <m/>
    <n v="400"/>
    <s v="SBI   1280/- Transaction"/>
  </r>
  <r>
    <n v="204"/>
    <d v="2026-02-17T00:00:00"/>
    <x v="2"/>
    <x v="14"/>
    <s v="Hanamkonda"/>
    <s v="Dharmasagar"/>
    <s v="1 Cement Bag"/>
    <m/>
    <n v="1"/>
    <n v="330"/>
    <n v="330"/>
    <s v="SBI   1280/- Transaction"/>
  </r>
  <r>
    <n v="205"/>
    <d v="2026-02-17T00:00:00"/>
    <x v="2"/>
    <x v="10"/>
    <s v="Hanamkonda"/>
    <s v="Valigonda"/>
    <s v="16-02-2026 Diesel  Reff -Srihari"/>
    <m/>
    <n v="10.416666666666666"/>
    <n v="96"/>
    <n v="1000"/>
    <m/>
  </r>
  <r>
    <n v="206"/>
    <d v="2026-02-17T00:00:00"/>
    <x v="2"/>
    <x v="10"/>
    <s v="Hanamkonda"/>
    <s v="Hub"/>
    <s v="TG 06 CT 3835 Diesel For hanamkonda to Valigonda Shifting"/>
    <m/>
    <n v="60.945833333333333"/>
    <n v="96"/>
    <n v="5850.8"/>
    <s v="SBI"/>
  </r>
  <r>
    <n v="207"/>
    <d v="2026-02-17T00:00:00"/>
    <x v="2"/>
    <x v="24"/>
    <s v="Janagaon"/>
    <s v="Palakurthi"/>
    <s v="AP 39 WB 2967 Company Tractor Maintainance Servicing Done 17-02-2026"/>
    <m/>
    <m/>
    <m/>
    <n v="10300"/>
    <s v="Axis Savings"/>
  </r>
  <r>
    <n v="208"/>
    <d v="2026-02-17T00:00:00"/>
    <x v="2"/>
    <x v="9"/>
    <s v="Siddipet"/>
    <s v="Siddipet"/>
    <s v="Sudhakar Reddy Sir Hotel room Payment Siddipet 16/02/2026 To 17/02/2026"/>
    <m/>
    <m/>
    <m/>
    <n v="3655"/>
    <s v="Axis Savings"/>
  </r>
  <r>
    <n v="209"/>
    <d v="2026-02-17T00:00:00"/>
    <x v="2"/>
    <x v="5"/>
    <s v="Janagaon"/>
    <s v="Palakurthi"/>
    <s v="Tractor Grease"/>
    <m/>
    <m/>
    <m/>
    <n v="300"/>
    <s v="SBI"/>
  </r>
  <r>
    <n v="210"/>
    <d v="2026-02-18T00:00:00"/>
    <x v="2"/>
    <x v="21"/>
    <s v="Hanamkonda"/>
    <s v="Hub"/>
    <s v="Plywood Sheets Purchased  "/>
    <m/>
    <m/>
    <m/>
    <n v="550000"/>
    <s v="Patel Plywood"/>
  </r>
  <r>
    <n v="211"/>
    <d v="2026-02-18T00:00:00"/>
    <x v="2"/>
    <x v="23"/>
    <s v="Hanamkonda"/>
    <s v="Hub"/>
    <s v="Supervisor's Salary For Jan-2026"/>
    <m/>
    <m/>
    <m/>
    <n v="543285"/>
    <s v="Staff Salaries"/>
  </r>
  <r>
    <n v="212"/>
    <d v="2026-02-18T00:00:00"/>
    <x v="2"/>
    <x v="23"/>
    <s v="Hanamkonda"/>
    <s v="Hub"/>
    <s v="Supervisor's Salary For Jan-2026"/>
    <m/>
    <m/>
    <m/>
    <n v="543285"/>
    <s v="Staff Salaries"/>
  </r>
  <r>
    <n v="213"/>
    <d v="2026-02-18T00:00:00"/>
    <x v="2"/>
    <x v="10"/>
    <s v="Hanamkonda"/>
    <s v="Dharmasagar"/>
    <s v="TS25C1579 Tractor Diesel payment"/>
    <m/>
    <n v="10.416666666666666"/>
    <n v="96"/>
    <n v="1000"/>
    <s v="Axis Savings"/>
  </r>
  <r>
    <n v="214"/>
    <d v="2026-02-18T00:00:00"/>
    <x v="2"/>
    <x v="25"/>
    <s v="Hanamkonda"/>
    <s v="Hub"/>
    <s v="AVS REDDY GARIKI ICHINA AMOUNT FOR WINDOWS &amp; FRAME TEAM"/>
    <m/>
    <m/>
    <m/>
    <n v="30000"/>
    <s v="INDUSIND"/>
  </r>
  <r>
    <n v="215"/>
    <d v="2026-02-18T00:00:00"/>
    <x v="2"/>
    <x v="11"/>
    <s v="Bhongir"/>
    <s v="Thurkapally"/>
    <s v="AP 39 CT 7040 AUGER VEHICLE  , Murthy , Reff - Sarandeep"/>
    <m/>
    <n v="10.424375"/>
    <n v="96"/>
    <n v="1000.74"/>
    <s v="SBI"/>
  </r>
  <r>
    <n v="216"/>
    <d v="2026-02-18T00:00:00"/>
    <x v="2"/>
    <x v="23"/>
    <s v="Janagaon"/>
    <s v="Palakurthi"/>
    <s v="Rohith &amp; Team"/>
    <m/>
    <m/>
    <m/>
    <n v="100000"/>
    <s v="Hethvika Enterprises"/>
  </r>
  <r>
    <n v="217"/>
    <d v="2026-02-18T00:00:00"/>
    <x v="2"/>
    <x v="10"/>
    <s v="Janagaon"/>
    <s v="Palakurthi"/>
    <s v="AP 39 WB 2967 Tractor Diesel"/>
    <m/>
    <n v="42.592812500000001"/>
    <n v="96"/>
    <n v="4088.91"/>
    <s v="Kotak"/>
  </r>
  <r>
    <n v="218"/>
    <d v="2026-02-18T00:00:00"/>
    <x v="2"/>
    <x v="26"/>
    <s v="Janagaon"/>
    <s v="Palakurthi"/>
    <s v="12 MM 1 Trip With Tractor"/>
    <s v="12 MM Aggregate"/>
    <n v="4"/>
    <n v="450"/>
    <n v="1800"/>
    <s v="SBI"/>
  </r>
  <r>
    <n v="219"/>
    <d v="2026-02-18T00:00:00"/>
    <x v="2"/>
    <x v="27"/>
    <s v="Hanamkonda"/>
    <s v="Hub"/>
    <s v="8 MM Iron 3  Tons"/>
    <s v="8MM Steel"/>
    <n v="3000"/>
    <n v="57"/>
    <n v="171000"/>
    <s v="Hethvika Enterprises"/>
  </r>
  <r>
    <n v="220"/>
    <d v="2026-02-18T00:00:00"/>
    <x v="2"/>
    <x v="10"/>
    <s v="Hanamkonda"/>
    <s v="Urban"/>
    <s v="8832 Tractor Diesel"/>
    <m/>
    <n v="14.875"/>
    <n v="96"/>
    <n v="1428"/>
    <s v="Hethvika Enterprises"/>
  </r>
  <r>
    <n v="221"/>
    <d v="2026-02-19T00:00:00"/>
    <x v="2"/>
    <x v="10"/>
    <s v="Hanamkonda"/>
    <s v="Urban"/>
    <s v="AP 40 DC 0089 TRACTOR Diesel"/>
    <m/>
    <n v="56.257395833333334"/>
    <n v="96"/>
    <n v="5400.71"/>
    <s v="Axis Savings"/>
  </r>
  <r>
    <n v="222"/>
    <d v="2026-02-19T00:00:00"/>
    <x v="2"/>
    <x v="14"/>
    <s v="Janagaon"/>
    <s v="Palakurthi"/>
    <s v="20 Bags Purchased By Pavan 20*300"/>
    <s v="Cement"/>
    <n v="20"/>
    <n v="300"/>
    <n v="6000"/>
    <s v="Axis Savings"/>
  </r>
  <r>
    <n v="223"/>
    <d v="2026-02-19T00:00:00"/>
    <x v="2"/>
    <x v="2"/>
    <s v="Janagaon"/>
    <s v="Palakurthi"/>
    <s v="20 Litres Waste Oil Purchased By Pavan"/>
    <m/>
    <m/>
    <m/>
    <n v="1000"/>
    <s v="SBI"/>
  </r>
  <r>
    <n v="224"/>
    <d v="2026-02-19T00:00:00"/>
    <x v="2"/>
    <x v="9"/>
    <s v="Siddipet"/>
    <s v="Siddipet"/>
    <s v="3 BHK ROOM ADVANCE"/>
    <m/>
    <m/>
    <m/>
    <n v="38000"/>
    <s v="Hethvika Enterprises"/>
  </r>
  <r>
    <n v="225"/>
    <d v="2026-02-19T00:00:00"/>
    <x v="2"/>
    <x v="28"/>
    <s v="Siddipet"/>
    <s v="Mulug"/>
    <s v="Steel Purchased Balance Amount"/>
    <m/>
    <m/>
    <m/>
    <n v="21520"/>
    <s v="Hethvika Enterprises"/>
  </r>
  <r>
    <n v="226"/>
    <d v="2026-02-19T00:00:00"/>
    <x v="2"/>
    <x v="9"/>
    <s v="Siddipet"/>
    <s v="Siddipet"/>
    <s v="Hotel Expenses For Bank Team"/>
    <m/>
    <m/>
    <m/>
    <n v="14000"/>
    <s v="Kotak"/>
  </r>
  <r>
    <n v="227"/>
    <d v="2026-02-19T00:00:00"/>
    <x v="2"/>
    <x v="10"/>
    <s v="Hanamkonda"/>
    <s v="Vardhannapet"/>
    <s v="AP 40 KF 2837 Tractor Diesel"/>
    <m/>
    <n v="48.784479166666671"/>
    <n v="96"/>
    <n v="4683.3100000000004"/>
    <s v="SBI"/>
  </r>
  <r>
    <n v="228"/>
    <d v="2026-02-19T00:00:00"/>
    <x v="2"/>
    <x v="29"/>
    <s v="Hanamkonda"/>
    <s v="Hub"/>
    <s v="Wood Purchased By Murthy"/>
    <m/>
    <m/>
    <m/>
    <n v="50000"/>
    <s v="Hethvika Enterprises"/>
  </r>
  <r>
    <n v="229"/>
    <d v="2026-02-19T00:00:00"/>
    <x v="2"/>
    <x v="5"/>
    <s v="Janagaon"/>
    <s v="Palakurthi"/>
    <s v="Half inch Pipes Purchased by Pavan 43 pipes"/>
    <m/>
    <m/>
    <m/>
    <n v="1290"/>
    <s v="Axis Savings"/>
  </r>
  <r>
    <n v="230"/>
    <d v="2026-02-19T00:00:00"/>
    <x v="2"/>
    <x v="30"/>
    <s v="Hanamkonda"/>
    <s v="Hub"/>
    <s v="Sand Amount To HMC Infra"/>
    <m/>
    <m/>
    <m/>
    <n v="50000"/>
    <s v="Hethvika Enterprises"/>
  </r>
  <r>
    <n v="231"/>
    <d v="2026-02-19T00:00:00"/>
    <x v="2"/>
    <x v="23"/>
    <s v="Staff"/>
    <s v="Staff"/>
    <s v="Anil Salary Jan-2026"/>
    <m/>
    <m/>
    <m/>
    <n v="35000"/>
    <s v="Hethvika Enterprises"/>
  </r>
  <r>
    <n v="232"/>
    <d v="2026-02-19T00:00:00"/>
    <x v="2"/>
    <x v="23"/>
    <s v="Staff"/>
    <s v="Staff"/>
    <s v="Sudhakar Supervisor"/>
    <m/>
    <m/>
    <m/>
    <n v="25000"/>
    <s v="Hethvika Enterprises"/>
  </r>
  <r>
    <n v="233"/>
    <d v="2026-02-19T00:00:00"/>
    <x v="2"/>
    <x v="29"/>
    <s v="Hanamkonda"/>
    <s v="Hub"/>
    <s v="Wood Purchased By Murthy"/>
    <m/>
    <m/>
    <m/>
    <n v="41000"/>
    <s v="Hethvika Enterprises"/>
  </r>
  <r>
    <n v="234"/>
    <d v="2026-02-19T00:00:00"/>
    <x v="2"/>
    <x v="29"/>
    <s v="Hanamkonda"/>
    <s v="Hub"/>
    <s v="Wood Purchased By Murthy"/>
    <m/>
    <m/>
    <m/>
    <n v="109000"/>
    <s v="Hethvika Enterprises"/>
  </r>
  <r>
    <n v="235"/>
    <d v="2026-02-19T00:00:00"/>
    <x v="2"/>
    <x v="11"/>
    <s v="Hanamkonda"/>
    <s v="Hub"/>
    <s v="TS 34 T 3804 Shivareddy Auger Vehicle Diesel "/>
    <m/>
    <n v="62.497708333333328"/>
    <n v="96"/>
    <n v="5999.78"/>
    <s v="Hethvika Enterprises"/>
  </r>
  <r>
    <n v="236"/>
    <d v="2026-02-19T00:00:00"/>
    <x v="2"/>
    <x v="0"/>
    <s v="Hanamkonda"/>
    <s v="Hub"/>
    <s v="Wood Transport Amount From Bengaluru To Hanamkonda"/>
    <m/>
    <m/>
    <m/>
    <n v="25000"/>
    <s v="Axis Savings"/>
  </r>
  <r>
    <n v="237"/>
    <d v="2026-02-19T00:00:00"/>
    <x v="2"/>
    <x v="30"/>
    <s v="Hanamkonda"/>
    <s v="Hub"/>
    <s v="Sand Amount To HMC Infra"/>
    <m/>
    <m/>
    <m/>
    <n v="167345"/>
    <s v="Hethvika Enterprises"/>
  </r>
  <r>
    <n v="238"/>
    <d v="2026-02-19T00:00:00"/>
    <x v="2"/>
    <x v="31"/>
    <s v="Siddipet"/>
    <s v="Siddipet"/>
    <s v="Siddipet Room material Purchased By Dimpu"/>
    <m/>
    <m/>
    <m/>
    <n v="12540"/>
    <s v="Hethvika Enterprises"/>
  </r>
  <r>
    <n v="239"/>
    <d v="2026-02-19T00:00:00"/>
    <x v="2"/>
    <x v="14"/>
    <s v="Janagaon"/>
    <s v="Palakurthi"/>
    <s v="10 Bags Purchased "/>
    <s v="Cement"/>
    <n v="10"/>
    <n v="300"/>
    <n v="3000"/>
    <s v="Axis Savings"/>
  </r>
  <r>
    <n v="240"/>
    <d v="2026-02-21T00:00:00"/>
    <x v="2"/>
    <x v="18"/>
    <s v="Hanamkonda"/>
    <s v="Hub"/>
    <s v="Nirmith Kendram RMC"/>
    <m/>
    <m/>
    <m/>
    <n v="100"/>
    <s v="SBI"/>
  </r>
  <r>
    <n v="241"/>
    <d v="2026-02-21T00:00:00"/>
    <x v="2"/>
    <x v="10"/>
    <s v="Bhongir"/>
    <s v="Turkapally"/>
    <s v="TS 30 T 5684 Tractor Diesel  Reff - Sarandeep"/>
    <m/>
    <n v="20.833333333333332"/>
    <n v="96"/>
    <n v="2000"/>
    <s v="Axis Savings"/>
  </r>
  <r>
    <n v="242"/>
    <d v="2026-02-21T00:00:00"/>
    <x v="2"/>
    <x v="10"/>
    <s v="Hanamkonda"/>
    <s v="Dharmasagar"/>
    <s v="TS25C1579 Tractor Diesel payment"/>
    <m/>
    <n v="10.416666666666666"/>
    <n v="96"/>
    <n v="1000"/>
    <s v="Axis Savings"/>
  </r>
  <r>
    <n v="243"/>
    <d v="2026-02-22T00:00:00"/>
    <x v="2"/>
    <x v="11"/>
    <s v="Bhongir"/>
    <s v="Turkapally"/>
    <s v="AP 39 CT 7040 AUGER VEHICLE  , Murthy , Reff - Sarandeep"/>
    <m/>
    <n v="20.833333333333332"/>
    <n v="96"/>
    <n v="2000"/>
    <s v="Hethvika Enterprises"/>
  </r>
  <r>
    <n v="244"/>
    <d v="2026-02-22T00:00:00"/>
    <x v="2"/>
    <x v="32"/>
    <s v="Bhongir"/>
    <s v="Turkapally"/>
    <s v="5 KG NAILS PURCHASED"/>
    <s v="Nails &quot;All Mix&quot;"/>
    <n v="5"/>
    <n v="72"/>
    <n v="360"/>
    <s v="Hethvika Enterprises"/>
  </r>
  <r>
    <n v="245"/>
    <d v="2026-02-22T00:00:00"/>
    <x v="2"/>
    <x v="26"/>
    <s v="Janagaon"/>
    <s v="Palakurthi"/>
    <s v="2 units with  tractors"/>
    <s v="Msand"/>
    <n v="8"/>
    <n v="500"/>
    <n v="4000"/>
    <s v="Hethvika Enterprises"/>
  </r>
  <r>
    <n v="246"/>
    <d v="2026-02-22T00:00:00"/>
    <x v="2"/>
    <x v="1"/>
    <s v="Hanamkonda"/>
    <s v="Dharmasagar"/>
    <s v="Tractor Advance   Tractor engaged from 04-02-2026"/>
    <m/>
    <m/>
    <m/>
    <n v="25000"/>
    <s v="Hethvika Enterprises"/>
  </r>
  <r>
    <n v="247"/>
    <d v="2026-02-22T00:00:00"/>
    <x v="2"/>
    <x v="0"/>
    <s v="Hanamkonda"/>
    <s v="Hub"/>
    <s v="Vizag To Hanamkonda Shuttering shifting Transport"/>
    <m/>
    <m/>
    <m/>
    <n v="10000"/>
    <s v="Hethvika Enterprises"/>
  </r>
  <r>
    <n v="248"/>
    <d v="2026-02-23T00:00:00"/>
    <x v="2"/>
    <x v="10"/>
    <s v="Hanamkonda"/>
    <s v="Bheemadevarapalli"/>
    <s v="2673 Tractor Diesel"/>
    <m/>
    <n v="41.666666666666664"/>
    <n v="96"/>
    <n v="4000"/>
    <s v="Hethvika Enterprises"/>
  </r>
  <r>
    <n v="249"/>
    <d v="2026-02-23T00:00:00"/>
    <x v="2"/>
    <x v="10"/>
    <s v="Bhongir"/>
    <s v="Turkapally"/>
    <s v="TS 30 T 5684 Tractor Diesel  Reff - Sarandeep"/>
    <m/>
    <n v="20.833333333333332"/>
    <n v="96"/>
    <n v="2000"/>
    <s v="Hethvika Enterprises"/>
  </r>
  <r>
    <n v="250"/>
    <d v="2026-02-23T00:00:00"/>
    <x v="2"/>
    <x v="33"/>
    <s v="Janagaon"/>
    <s v="Palakurthi"/>
    <s v="Door Frames Purchased By Pavan"/>
    <m/>
    <m/>
    <m/>
    <n v="26700"/>
    <s v="Hethvika Enterprises"/>
  </r>
  <r>
    <n v="251"/>
    <d v="2026-02-23T00:00:00"/>
    <x v="2"/>
    <x v="3"/>
    <s v="Hanamkonda"/>
    <s v="Dharmasagar"/>
    <s v="3*520 Pardhas Purchased"/>
    <m/>
    <m/>
    <m/>
    <n v="1560"/>
    <s v="Axis Savings"/>
  </r>
  <r>
    <n v="252"/>
    <d v="2026-02-24T00:00:00"/>
    <x v="2"/>
    <x v="18"/>
    <s v="Hanamkonda"/>
    <s v="Bheemadevarapalli"/>
    <s v="RMC BETA &amp; PUMP BETA"/>
    <m/>
    <m/>
    <m/>
    <n v="1000"/>
    <s v="Hethvika Enterprises"/>
  </r>
  <r>
    <n v="253"/>
    <d v="2026-02-24T00:00:00"/>
    <x v="2"/>
    <x v="31"/>
    <s v="Hanamkonda"/>
    <s v="Hub"/>
    <s v="Room Tools"/>
    <m/>
    <m/>
    <m/>
    <n v="1150"/>
    <s v="Hethvika Enterprises"/>
  </r>
  <r>
    <n v="254"/>
    <d v="2026-02-24T00:00:00"/>
    <x v="2"/>
    <x v="14"/>
    <s v="Bhongir"/>
    <s v="Turkapally"/>
    <s v="1 Bag Cment Purchased"/>
    <s v="Cement"/>
    <n v="1"/>
    <n v="250"/>
    <n v="250"/>
    <s v="Hethvika Enterprises"/>
  </r>
  <r>
    <n v="255"/>
    <d v="2026-02-24T00:00:00"/>
    <x v="2"/>
    <x v="10"/>
    <s v="Janagaon"/>
    <s v="Palakurthi"/>
    <s v="AP 39 WB 2967 Tractor Diesel"/>
    <m/>
    <n v="20.833333333333332"/>
    <n v="96"/>
    <n v="2000"/>
    <s v="SBI"/>
  </r>
  <r>
    <n v="256"/>
    <d v="2026-02-24T00:00:00"/>
    <x v="2"/>
    <x v="33"/>
    <s v="Bhongir"/>
    <s v="Valigonda"/>
    <s v="Door Frames Purchased By Hari"/>
    <m/>
    <m/>
    <m/>
    <n v="19380"/>
    <s v="Axis Savings"/>
  </r>
  <r>
    <n v="257"/>
    <d v="2026-02-24T00:00:00"/>
    <x v="2"/>
    <x v="10"/>
    <s v="Hanamkonda"/>
    <s v="Hub"/>
    <s v="Nakka Prasad Eicher Van Diesel"/>
    <m/>
    <n v="128.01354166666667"/>
    <n v="96"/>
    <n v="12289.3"/>
    <s v="Axis Savings"/>
  </r>
  <r>
    <n v="258"/>
    <d v="2026-02-24T00:00:00"/>
    <x v="2"/>
    <x v="11"/>
    <s v="Hanamkonda"/>
    <s v="Hub"/>
    <s v="Auger Vehicle Murthy"/>
    <m/>
    <n v="20.833333333333332"/>
    <n v="96"/>
    <n v="2000"/>
    <s v="Axis Savings"/>
  </r>
  <r>
    <n v="259"/>
    <d v="2026-02-25T00:00:00"/>
    <x v="2"/>
    <x v="34"/>
    <s v="Bhongir"/>
    <s v="Turkapally"/>
    <s v="Binding Wire &amp; Cutting Blades"/>
    <s v="Binding wire"/>
    <n v="50"/>
    <n v="74.8"/>
    <n v="3740"/>
    <s v="HDFC"/>
  </r>
  <r>
    <n v="260"/>
    <d v="2026-02-25T00:00:00"/>
    <x v="2"/>
    <x v="35"/>
    <s v="Hanamkonda"/>
    <s v="Hub"/>
    <s v="Eicher tolls"/>
    <m/>
    <m/>
    <m/>
    <n v="1000"/>
    <m/>
  </r>
  <r>
    <n v="261"/>
    <d v="2026-02-25T00:00:00"/>
    <x v="2"/>
    <x v="10"/>
    <s v="Bhongir"/>
    <s v="Turkapally"/>
    <s v="Turkapally Tractor Diesel"/>
    <m/>
    <n v="20.833333333333332"/>
    <n v="96"/>
    <n v="2000"/>
    <s v="HDFC"/>
  </r>
  <r>
    <n v="262"/>
    <d v="2026-02-26T00:00:00"/>
    <x v="2"/>
    <x v="10"/>
    <s v="Bhongir"/>
    <s v="Valigonda"/>
    <s v="2 Tractors Diesel Each - 2000/-"/>
    <m/>
    <n v="41.666666666666664"/>
    <n v="96"/>
    <n v="4000"/>
    <m/>
  </r>
  <r>
    <n v="263"/>
    <d v="2026-02-26T00:00:00"/>
    <x v="2"/>
    <x v="10"/>
    <s v="Hanamkonda"/>
    <s v="Bheemadevarapalli"/>
    <s v="AP 40 KE 2834 Tractor Diesel"/>
    <m/>
    <n v="20.833333333333332"/>
    <n v="96"/>
    <n v="2000"/>
    <s v="Hethvika Enterprises"/>
  </r>
  <r>
    <n v="264"/>
    <d v="2026-02-26T00:00:00"/>
    <x v="2"/>
    <x v="3"/>
    <s v="Janagaon"/>
    <s v="Palakurthi"/>
    <s v="RC Team Tools Purchase At Palakurthy"/>
    <m/>
    <m/>
    <m/>
    <n v="10990"/>
    <s v="Hethvika Enterprises"/>
  </r>
  <r>
    <n v="265"/>
    <d v="2026-02-26T00:00:00"/>
    <x v="2"/>
    <x v="5"/>
    <s v="Janagaon"/>
    <s v="Palakurthi"/>
    <s v="Drone Video Shoot"/>
    <m/>
    <m/>
    <m/>
    <n v="1500"/>
    <m/>
  </r>
  <r>
    <n v="266"/>
    <d v="2026-02-27T00:00:00"/>
    <x v="2"/>
    <x v="11"/>
    <s v="Hanamkonda"/>
    <s v="Hub"/>
    <s v="TS 34 T 3804 Shivareddy Auger Vehicle Diesel "/>
    <m/>
    <n v="31.25"/>
    <n v="96"/>
    <n v="3000"/>
    <s v="Hethvika Enterprises"/>
  </r>
  <r>
    <n v="267"/>
    <d v="2026-02-27T00:00:00"/>
    <x v="2"/>
    <x v="11"/>
    <s v="Hanamkonda"/>
    <s v="Hub"/>
    <s v="AP 39 CT 7040 AUGER VEHICLE  , Murthy , Reff - Sarandeep"/>
    <m/>
    <n v="312.5"/>
    <n v="96"/>
    <n v="30000"/>
    <s v="Hethvika Enterprises"/>
  </r>
  <r>
    <n v="268"/>
    <d v="2026-02-27T00:00:00"/>
    <x v="2"/>
    <x v="10"/>
    <s v="Siddipet"/>
    <s v="Mulug"/>
    <s v="TS 32 T 1002 Tractor Diesel"/>
    <m/>
    <n v="20.833333333333332"/>
    <n v="96"/>
    <n v="2000"/>
    <s v="Hethvika Enterprises"/>
  </r>
  <r>
    <n v="269"/>
    <d v="2026-02-27T00:00:00"/>
    <x v="2"/>
    <x v="0"/>
    <s v="Hanamkonda"/>
    <s v="Hub"/>
    <s v="Ramavaram To Hanamkonda Shuttering Sheets Transport Eicher Van Rent"/>
    <m/>
    <m/>
    <m/>
    <n v="18000"/>
    <s v="Hethvika Enterprises"/>
  </r>
  <r>
    <n v="270"/>
    <d v="2026-02-27T00:00:00"/>
    <x v="2"/>
    <x v="3"/>
    <s v="Janagaon"/>
    <s v="Palakurthi"/>
    <s v="Wood Cutting Blades"/>
    <m/>
    <m/>
    <m/>
    <n v="1400"/>
    <s v="Hethvika Enterprises"/>
  </r>
  <r>
    <n v="271"/>
    <d v="2026-02-27T00:00:00"/>
    <x v="2"/>
    <x v="3"/>
    <s v="Bhongir"/>
    <s v="Turkapally"/>
    <s v="Nails Purchased Turkapally Reff Sarandeep"/>
    <m/>
    <m/>
    <m/>
    <n v="1540"/>
    <s v="Hethvika Enterprises"/>
  </r>
  <r>
    <n v="272"/>
    <d v="2026-02-27T00:00:00"/>
    <x v="2"/>
    <x v="10"/>
    <s v="Hanamkonda"/>
    <s v="Vardhannapet"/>
    <s v="AP 40 KF 2837 Tractor Diesel"/>
    <m/>
    <n v="20.833333333333332"/>
    <n v="96"/>
    <n v="2000"/>
    <s v="Hethvika Enterprises"/>
  </r>
  <r>
    <n v="273"/>
    <d v="2026-02-27T00:00:00"/>
    <x v="2"/>
    <x v="3"/>
    <s v="Janagaon"/>
    <s v="Palakurthi"/>
    <s v="Gaddaparalu Purchased"/>
    <m/>
    <m/>
    <m/>
    <n v="900"/>
    <s v="Hethvika Enterprises"/>
  </r>
  <r>
    <n v="274"/>
    <d v="2026-02-27T00:00:00"/>
    <x v="2"/>
    <x v="3"/>
    <s v="Hanamkonda"/>
    <s v="Dharmasagar"/>
    <s v="Labour Material &amp; Site Tools"/>
    <m/>
    <m/>
    <m/>
    <n v="5360"/>
    <s v="Hethvika Enterprises"/>
  </r>
  <r>
    <n v="275"/>
    <d v="2026-02-27T00:00:00"/>
    <x v="2"/>
    <x v="3"/>
    <s v="Janagaon"/>
    <s v="Palakurthi"/>
    <s v="Katona making Charges for 2"/>
    <m/>
    <m/>
    <m/>
    <n v="750"/>
    <s v="Hethvika Enterprises"/>
  </r>
  <r>
    <n v="276"/>
    <d v="2026-02-27T00:00:00"/>
    <x v="2"/>
    <x v="3"/>
    <s v="Bhongir"/>
    <s v="Turkapally"/>
    <s v="half inch Pipes Purchased by Sarandeep 20*40"/>
    <m/>
    <m/>
    <m/>
    <n v="800"/>
    <s v="Hethvika Enterprises"/>
  </r>
  <r>
    <n v="277"/>
    <d v="2026-02-27T00:00:00"/>
    <x v="2"/>
    <x v="10"/>
    <s v="Hanamkonda"/>
    <s v="Hub"/>
    <s v="EICHER VEHCLE DIESEL"/>
    <m/>
    <n v="154"/>
    <n v="96"/>
    <n v="14784"/>
    <s v="Hethvika Enterprises"/>
  </r>
  <r>
    <n v="278"/>
    <d v="2026-02-27T00:00:00"/>
    <x v="2"/>
    <x v="35"/>
    <s v="Hanamkonda"/>
    <s v="Hub"/>
    <s v="Eicher tolls"/>
    <m/>
    <m/>
    <m/>
    <n v="1500"/>
    <s v="Hethvika Enterprises"/>
  </r>
  <r>
    <n v="279"/>
    <d v="2026-02-27T00:00:00"/>
    <x v="2"/>
    <x v="5"/>
    <s v="Bhongir"/>
    <s v="Valigonda"/>
    <s v="Hari purchased Materials"/>
    <m/>
    <m/>
    <m/>
    <n v="3000"/>
    <s v="Hethvika Enterprises"/>
  </r>
  <r>
    <n v="280"/>
    <d v="2026-02-28T00:00:00"/>
    <x v="2"/>
    <x v="10"/>
    <s v="Hanamkonda"/>
    <s v="Dharmasagar"/>
    <s v="Tractor Diesel"/>
    <m/>
    <n v="10.416666666666666"/>
    <n v="96"/>
    <n v="1000"/>
    <s v="Hethvika Enterprises"/>
  </r>
  <r>
    <n v="281"/>
    <d v="2026-02-28T00:00:00"/>
    <x v="2"/>
    <x v="10"/>
    <s v="Janagaon"/>
    <s v="Palakurthi"/>
    <s v="Tractor Diesel"/>
    <m/>
    <n v="20.833333333333332"/>
    <n v="96"/>
    <n v="2000"/>
    <s v="Hethvika Enterprises"/>
  </r>
  <r>
    <n v="282"/>
    <d v="2026-02-28T00:00:00"/>
    <x v="2"/>
    <x v="3"/>
    <s v="Siddipet"/>
    <s v="Mulug"/>
    <s v="3 Inch Nails Purchased"/>
    <m/>
    <m/>
    <m/>
    <n v="225"/>
    <s v="Hethvika Enterprises"/>
  </r>
  <r>
    <n v="283"/>
    <d v="2026-02-28T00:00:00"/>
    <x v="2"/>
    <x v="3"/>
    <s v="Hanamkonda"/>
    <s v="Urban"/>
    <s v="BL Team Tools Purchased By somesh"/>
    <m/>
    <m/>
    <m/>
    <n v="2240"/>
    <s v="Hethvika Enterprises"/>
  </r>
  <r>
    <n v="284"/>
    <d v="2026-02-28T00:00:00"/>
    <x v="2"/>
    <x v="18"/>
    <s v="Bhongir"/>
    <s v="Turkapally"/>
    <s v="RMC BETA &amp; PUMP BETA"/>
    <m/>
    <m/>
    <m/>
    <n v="300"/>
    <s v="Hethvika Enterprises"/>
  </r>
  <r>
    <n v="285"/>
    <d v="2026-02-28T00:00:00"/>
    <x v="2"/>
    <x v="3"/>
    <s v="Hanamkonda"/>
    <s v="Hub"/>
    <s v="Tarpalin Purchased 30*30  Size 2 qty"/>
    <m/>
    <m/>
    <m/>
    <n v="5000"/>
    <s v="Hethvika Enterprises"/>
  </r>
  <r>
    <n v="286"/>
    <d v="2026-02-28T00:00:00"/>
    <x v="2"/>
    <x v="10"/>
    <s v="Siddipet"/>
    <s v="Mulug"/>
    <s v="Cheelasagar Tractor Diesel"/>
    <m/>
    <n v="20.833333333333332"/>
    <n v="96"/>
    <n v="2000"/>
    <s v="Hethvika Enterprises"/>
  </r>
  <r>
    <n v="287"/>
    <d v="2026-02-28T00:00:00"/>
    <x v="2"/>
    <x v="11"/>
    <s v="Hanamkonda"/>
    <s v="Hub"/>
    <s v="AP 39 CT 7040 AUGER VEHICLE  , Murthy , Reff - Venkatarao"/>
    <m/>
    <n v="31.25"/>
    <n v="96"/>
    <n v="3000"/>
    <s v="Hethvika Enterprises"/>
  </r>
  <r>
    <n v="288"/>
    <d v="2026-02-28T00:00:00"/>
    <x v="2"/>
    <x v="8"/>
    <s v="Hanamkonda"/>
    <s v="Hub"/>
    <s v="275 Chemical Bags Unloading"/>
    <m/>
    <m/>
    <m/>
    <n v="1200"/>
    <s v="Hethvika Enterprises"/>
  </r>
  <r>
    <n v="289"/>
    <d v="2026-03-01T00:00:00"/>
    <x v="2"/>
    <x v="11"/>
    <s v="Hanamkonda"/>
    <s v="Hub"/>
    <s v="TS 34 T 3804 Shivareddy Auger Vehicle Diesel "/>
    <m/>
    <n v="31.25"/>
    <n v="96"/>
    <n v="3000"/>
    <s v="Hethvika Enterprises"/>
  </r>
  <r>
    <n v="290"/>
    <d v="2026-03-01T00:00:00"/>
    <x v="2"/>
    <x v="10"/>
    <s v="Hanamkonda"/>
    <s v="Hub"/>
    <s v="New Tractor Diesel"/>
    <m/>
    <n v="20.833333333333332"/>
    <n v="96"/>
    <n v="2000"/>
    <s v="Hethvika Enterprises"/>
  </r>
  <r>
    <n v="291"/>
    <d v="2026-03-01T00:00:00"/>
    <x v="2"/>
    <x v="10"/>
    <s v="Hanamkonda"/>
    <s v="Hub"/>
    <s v="AP 40 DC 0089 TRACTOR Diesel"/>
    <m/>
    <n v="20.833333333333332"/>
    <n v="96"/>
    <n v="2000"/>
    <s v="Hethvika Enterprises"/>
  </r>
  <r>
    <n v="292"/>
    <d v="2026-03-01T00:00:00"/>
    <x v="2"/>
    <x v="10"/>
    <s v="Bhongir"/>
    <s v="Valigonda"/>
    <s v="AP39FC8298 TRACTOR DEISEL PAYMENT "/>
    <m/>
    <n v="20.833333333333332"/>
    <n v="96"/>
    <n v="2000"/>
    <s v="Hethvika Enterprises"/>
  </r>
  <r>
    <n v="293"/>
    <d v="2026-03-01T00:00:00"/>
    <x v="2"/>
    <x v="10"/>
    <s v="Hanamkonda"/>
    <s v="Vardhannapet"/>
    <s v="AP 40 KF 2837 Tractor Diesel"/>
    <m/>
    <n v="20.833333333333332"/>
    <n v="96"/>
    <n v="2000"/>
    <s v="Hethvika Enterprises"/>
  </r>
  <r>
    <n v="294"/>
    <d v="2026-03-01T00:00:00"/>
    <x v="2"/>
    <x v="18"/>
    <s v="Hanamkonda"/>
    <s v="Vardhannapet"/>
    <s v="RMC BETA &amp; PUMP BETA"/>
    <m/>
    <m/>
    <m/>
    <n v="1000"/>
    <s v="Hethvika Enterprises"/>
  </r>
  <r>
    <n v="295"/>
    <d v="2026-03-01T00:00:00"/>
    <x v="0"/>
    <x v="5"/>
    <s v="Janagaon"/>
    <s v="Palakurthy"/>
    <s v="RMC BETA "/>
    <m/>
    <m/>
    <m/>
    <n v="800"/>
    <m/>
  </r>
  <r>
    <n v="296"/>
    <d v="2026-03-01T00:00:00"/>
    <x v="0"/>
    <x v="3"/>
    <s v="Hanamkonda"/>
    <s v="Hub"/>
    <s v="Nut and bolt"/>
    <m/>
    <m/>
    <m/>
    <n v="10860"/>
    <m/>
  </r>
  <r>
    <n v="297"/>
    <d v="2026-03-01T00:00:00"/>
    <x v="0"/>
    <x v="4"/>
    <s v="Janagaon"/>
    <s v="Palakurthy"/>
    <s v="Labour Food &amp; Transport"/>
    <m/>
    <m/>
    <m/>
    <n v="650"/>
    <m/>
  </r>
  <r>
    <n v="298"/>
    <d v="2026-03-02T00:00:00"/>
    <x v="2"/>
    <x v="8"/>
    <s v="Hanamkonda"/>
    <s v="Hub"/>
    <s v="Plywood 2000 SHEETS Unloading "/>
    <m/>
    <m/>
    <m/>
    <n v="10000"/>
    <s v="Hethvika Enterprises"/>
  </r>
  <r>
    <n v="299"/>
    <d v="2026-03-02T00:00:00"/>
    <x v="2"/>
    <x v="10"/>
    <s v="Hanamkonda"/>
    <s v="Dharmasagar"/>
    <s v="Tractor Diesel"/>
    <m/>
    <n v="10.416666666666666"/>
    <n v="96"/>
    <n v="1000"/>
    <s v="Hethvika Enterprises"/>
  </r>
  <r>
    <n v="300"/>
    <d v="2026-03-02T00:00:00"/>
    <x v="1"/>
    <x v="14"/>
    <s v="Hanamkonda"/>
    <s v="Kyathamapalle"/>
    <s v="cement bags 2"/>
    <m/>
    <n v="2"/>
    <n v="290"/>
    <n v="580"/>
    <m/>
  </r>
  <r>
    <n v="301"/>
    <d v="2026-03-02T00:00:00"/>
    <x v="1"/>
    <x v="5"/>
    <s v="Hanamkonda"/>
    <s v="Kyathamapalle"/>
    <s v="Labour Rc card, Gamela "/>
    <m/>
    <m/>
    <m/>
    <n v="400"/>
    <m/>
  </r>
  <r>
    <n v="302"/>
    <d v="2026-03-02T00:00:00"/>
    <x v="1"/>
    <x v="15"/>
    <s v="Janagaon"/>
    <s v="Palakurthy"/>
    <s v="Sand GW:7890"/>
    <m/>
    <m/>
    <m/>
    <n v="6940"/>
    <m/>
  </r>
  <r>
    <n v="303"/>
    <d v="2026-03-02T00:00:00"/>
    <x v="1"/>
    <x v="15"/>
    <s v="Hanamkonda"/>
    <s v="Hub"/>
    <s v="12mm 1 Bundle + Weighment"/>
    <m/>
    <m/>
    <m/>
    <n v="1900"/>
    <m/>
  </r>
  <r>
    <n v="304"/>
    <d v="2026-03-02T00:00:00"/>
    <x v="1"/>
    <x v="14"/>
    <s v="Janagaon"/>
    <s v="Palakurthy"/>
    <s v="Cement"/>
    <m/>
    <n v="1"/>
    <n v="300"/>
    <n v="300"/>
    <m/>
  </r>
  <r>
    <n v="305"/>
    <d v="2026-03-02T00:00:00"/>
    <x v="1"/>
    <x v="15"/>
    <s v="Hanamkonda"/>
    <s v="Hub"/>
    <s v="Steel"/>
    <m/>
    <m/>
    <m/>
    <n v="7550"/>
    <m/>
  </r>
  <r>
    <n v="306"/>
    <d v="2026-03-02T00:00:00"/>
    <x v="1"/>
    <x v="15"/>
    <s v="Hanamkonda"/>
    <s v="Hub"/>
    <s v="Hole Passlu 3.5 lag"/>
    <m/>
    <m/>
    <m/>
    <n v="350"/>
    <m/>
  </r>
  <r>
    <n v="307"/>
    <d v="2026-03-02T00:00:00"/>
    <x v="1"/>
    <x v="3"/>
    <s v="Hanamkonda"/>
    <s v="Hub"/>
    <s v="Lappankati, saws "/>
    <m/>
    <m/>
    <m/>
    <n v="1020"/>
    <m/>
  </r>
  <r>
    <n v="308"/>
    <d v="2026-03-02T00:00:00"/>
    <x v="1"/>
    <x v="10"/>
    <s v="Hanamkonda"/>
    <s v="Hub"/>
    <s v="Diesel 2 tractors"/>
    <m/>
    <n v="108.21875"/>
    <n v="96"/>
    <n v="10389"/>
    <s v="AP40KF2834,AP40DC0089"/>
  </r>
  <r>
    <n v="309"/>
    <d v="2026-03-02T00:00:00"/>
    <x v="1"/>
    <x v="3"/>
    <s v="Hanamkonda"/>
    <s v="Hub"/>
    <s v="nuts and Bolts "/>
    <m/>
    <m/>
    <m/>
    <n v="1840"/>
    <m/>
  </r>
  <r>
    <n v="310"/>
    <d v="2026-03-02T00:00:00"/>
    <x v="1"/>
    <x v="5"/>
    <s v="Hanamkonda"/>
    <s v="Hub"/>
    <s v="Current permission, fitting, service"/>
    <m/>
    <m/>
    <m/>
    <n v="25205"/>
    <m/>
  </r>
  <r>
    <n v="311"/>
    <d v="2026-03-02T00:00:00"/>
    <x v="1"/>
    <x v="8"/>
    <s v="Hanamkonda"/>
    <s v="Hub"/>
    <s v="Door frames unload charges"/>
    <m/>
    <m/>
    <m/>
    <n v="5300"/>
    <m/>
  </r>
  <r>
    <n v="312"/>
    <d v="2026-03-02T00:00:00"/>
    <x v="1"/>
    <x v="15"/>
    <s v="Janagaon"/>
    <s v="Palakurthy"/>
    <s v="Doorframes, windows, jalis "/>
    <m/>
    <m/>
    <m/>
    <n v="29520"/>
    <m/>
  </r>
  <r>
    <n v="313"/>
    <d v="2026-03-02T00:00:00"/>
    <x v="1"/>
    <x v="3"/>
    <s v="Janagaon"/>
    <s v="Palakurthy"/>
    <s v="rapam,rappanpetti,Saw"/>
    <m/>
    <m/>
    <m/>
    <n v="980"/>
    <m/>
  </r>
  <r>
    <n v="314"/>
    <d v="2026-03-02T00:00:00"/>
    <x v="1"/>
    <x v="0"/>
    <s v="Janagaon"/>
    <s v="Palakurthy"/>
    <s v="Transport for above"/>
    <m/>
    <m/>
    <m/>
    <n v="2000"/>
    <m/>
  </r>
  <r>
    <n v="315"/>
    <d v="2026-03-03T00:00:00"/>
    <x v="2"/>
    <x v="10"/>
    <s v="Siddipet"/>
    <s v="RAIPOLE"/>
    <s v="Tractor Diesel"/>
    <m/>
    <n v="42.493020833333333"/>
    <n v="96"/>
    <n v="4079.33"/>
    <s v="Hethvika Enterprises"/>
  </r>
  <r>
    <n v="316"/>
    <d v="2026-03-03T00:00:00"/>
    <x v="2"/>
    <x v="11"/>
    <s v="Hanamkonda"/>
    <s v="Hub"/>
    <s v="TS 34 T 3804 Shivareddy Auger Vehicle Diesel "/>
    <m/>
    <n v="31.25"/>
    <n v="96"/>
    <n v="3000"/>
    <s v="Hethvika Enterprises"/>
  </r>
  <r>
    <n v="317"/>
    <d v="2026-03-03T00:00:00"/>
    <x v="2"/>
    <x v="3"/>
    <s v="Hanamkonda"/>
    <s v="Hub"/>
    <s v="Sliders For 5 Houses"/>
    <m/>
    <m/>
    <m/>
    <n v="40000"/>
    <s v="Hethvika Enterprises"/>
  </r>
  <r>
    <n v="318"/>
    <d v="2026-03-03T00:00:00"/>
    <x v="2"/>
    <x v="1"/>
    <s v="Bhongir"/>
    <s v="Turkapally"/>
    <s v="Tractor Advance   Tractor engaged"/>
    <m/>
    <m/>
    <m/>
    <n v="10000"/>
    <s v="Hethvika Enterprises"/>
  </r>
  <r>
    <n v="319"/>
    <d v="2026-03-03T00:00:00"/>
    <x v="2"/>
    <x v="3"/>
    <s v="Bhongir"/>
    <s v="Turkapally"/>
    <s v="SUIT PIPE "/>
    <m/>
    <m/>
    <m/>
    <n v="4000"/>
    <s v="Hethvika Enterprises"/>
  </r>
  <r>
    <n v="320"/>
    <d v="2026-03-03T00:00:00"/>
    <x v="2"/>
    <x v="0"/>
    <s v="Bhongir"/>
    <s v="Turkapally"/>
    <s v="SuiT PIPE Transport "/>
    <m/>
    <m/>
    <m/>
    <n v="600"/>
    <s v="Hethvika Enterprises"/>
  </r>
  <r>
    <n v="321"/>
    <d v="2026-03-03T00:00:00"/>
    <x v="2"/>
    <x v="29"/>
    <s v="Janagaon"/>
    <s v="Palakurthi"/>
    <s v="Wood Runners 6 feet 150 pcs,4 feet 50 pcs"/>
    <m/>
    <m/>
    <m/>
    <n v="34800"/>
    <s v="Hethvika Enterprises"/>
  </r>
  <r>
    <n v="322"/>
    <d v="2026-03-03T00:00:00"/>
    <x v="2"/>
    <x v="29"/>
    <s v="Hanamkonda"/>
    <s v="Hub"/>
    <s v="Wood Runners 6 feet 150 pcs,4 feet 50 pcs"/>
    <m/>
    <m/>
    <m/>
    <n v="34800"/>
    <s v="Hethvika Enterprises"/>
  </r>
  <r>
    <n v="323"/>
    <d v="2026-03-03T00:00:00"/>
    <x v="2"/>
    <x v="18"/>
    <s v="Bhongir"/>
    <s v="Turkapally"/>
    <s v="RMC BETA &amp; PUMP BETA"/>
    <m/>
    <m/>
    <m/>
    <n v="800"/>
    <s v="Hethvika Enterprises"/>
  </r>
  <r>
    <n v="324"/>
    <d v="2026-03-03T00:00:00"/>
    <x v="2"/>
    <x v="18"/>
    <s v="Bhongir"/>
    <s v="Turkapally"/>
    <s v="RMC BETA &amp; PUMP BETA"/>
    <m/>
    <m/>
    <m/>
    <n v="400"/>
    <s v="Hethvika Enterprises"/>
  </r>
  <r>
    <n v="325"/>
    <d v="2026-03-03T00:00:00"/>
    <x v="2"/>
    <x v="18"/>
    <s v="Siddipet"/>
    <s v="Mulug"/>
    <s v="RMC BETA &amp; PUMP BETA"/>
    <m/>
    <m/>
    <m/>
    <n v="300"/>
    <s v="Hethvika Enterprises"/>
  </r>
  <r>
    <n v="326"/>
    <d v="2026-03-03T00:00:00"/>
    <x v="2"/>
    <x v="2"/>
    <s v="Siddipet"/>
    <s v="Mulug"/>
    <s v="12 * 50 Black oil"/>
    <m/>
    <m/>
    <m/>
    <n v="600"/>
    <s v="Hethvika Enterprises"/>
  </r>
  <r>
    <n v="327"/>
    <d v="2026-03-03T00:00:00"/>
    <x v="2"/>
    <x v="10"/>
    <s v="Siddipet"/>
    <s v="Mulug"/>
    <s v="4 *100"/>
    <m/>
    <n v="4.166666666666667"/>
    <n v="96"/>
    <n v="400"/>
    <s v="Hethvika Enterprises"/>
  </r>
  <r>
    <n v="328"/>
    <d v="2026-03-03T00:00:00"/>
    <x v="2"/>
    <x v="3"/>
    <s v="Siddipet"/>
    <s v="Mulug"/>
    <s v="Bucket For Nut Bolts"/>
    <m/>
    <m/>
    <m/>
    <n v="80"/>
    <s v="Hethvika Enterprises"/>
  </r>
  <r>
    <n v="329"/>
    <d v="2026-03-03T00:00:00"/>
    <x v="2"/>
    <x v="3"/>
    <s v="Siddipet"/>
    <s v="Mulug"/>
    <s v="Sponge"/>
    <m/>
    <m/>
    <m/>
    <n v="40"/>
    <s v="Hethvika Enterprises"/>
  </r>
  <r>
    <n v="330"/>
    <d v="2026-03-03T00:00:00"/>
    <x v="2"/>
    <x v="3"/>
    <s v="Siddipet"/>
    <s v="Mulug"/>
    <s v="15 mtrs tape"/>
    <m/>
    <m/>
    <m/>
    <n v="180"/>
    <s v="Hethvika Enterprises"/>
  </r>
  <r>
    <n v="331"/>
    <d v="2026-03-03T00:00:00"/>
    <x v="2"/>
    <x v="3"/>
    <s v="Siddipet"/>
    <s v="Mulug"/>
    <s v="Right Angle"/>
    <m/>
    <m/>
    <m/>
    <n v="180"/>
    <s v="Hethvika Enterprises"/>
  </r>
  <r>
    <n v="332"/>
    <d v="2026-03-03T00:00:00"/>
    <x v="2"/>
    <x v="3"/>
    <s v="Hanamkonda"/>
    <s v="Hub"/>
    <s v="80 Sliders * 1060 "/>
    <m/>
    <m/>
    <m/>
    <n v="84800"/>
    <s v="Hethvika Enterprises"/>
  </r>
  <r>
    <n v="333"/>
    <d v="2026-03-04T00:00:00"/>
    <x v="2"/>
    <x v="10"/>
    <s v="Hanamkonda"/>
    <s v="Dharmasagar"/>
    <s v="Tractor Diesel"/>
    <m/>
    <n v="10.416666666666666"/>
    <n v="96"/>
    <n v="1000"/>
    <s v="Hethvika Enterprises"/>
  </r>
  <r>
    <n v="334"/>
    <d v="2026-03-04T00:00:00"/>
    <x v="2"/>
    <x v="10"/>
    <s v="Siddipet"/>
    <s v="Siddipet Rural"/>
    <s v="Tractor Diesel"/>
    <m/>
    <n v="46.875"/>
    <n v="96"/>
    <n v="4500"/>
    <s v="Hethvika Enterprises"/>
  </r>
  <r>
    <n v="335"/>
    <d v="2026-03-04T00:00:00"/>
    <x v="2"/>
    <x v="22"/>
    <s v="Narayanpet"/>
    <s v="Kosigi"/>
    <s v="Chandravancha Site Electrical Items"/>
    <m/>
    <m/>
    <m/>
    <n v="8800"/>
    <s v="Hethvika Enterprises"/>
  </r>
  <r>
    <n v="336"/>
    <d v="2026-03-04T00:00:00"/>
    <x v="2"/>
    <x v="36"/>
    <s v="Hanamkonda"/>
    <s v="Hub"/>
    <s v="Flat Power Bill"/>
    <m/>
    <m/>
    <m/>
    <n v="672"/>
    <s v="Hethvika Enterprises"/>
  </r>
  <r>
    <n v="337"/>
    <d v="2026-03-04T00:00:00"/>
    <x v="2"/>
    <x v="30"/>
    <s v="Hanamkonda"/>
    <s v="Hub"/>
    <s v="Sand Amount To HMC Infra"/>
    <m/>
    <m/>
    <m/>
    <n v="49000"/>
    <s v="Hethvika Enterprises"/>
  </r>
  <r>
    <n v="338"/>
    <d v="2026-03-04T00:00:00"/>
    <x v="2"/>
    <x v="5"/>
    <s v="Hanamkonda"/>
    <s v="Dharmasagar"/>
    <s v="Dharmasagar Diesel &amp; Rmc Expenses &amp; Tools Purchased"/>
    <m/>
    <m/>
    <m/>
    <n v="5590"/>
    <s v="Hethvika Enterprises"/>
  </r>
  <r>
    <n v="339"/>
    <d v="2026-03-04T00:00:00"/>
    <x v="2"/>
    <x v="4"/>
    <s v="Hanamkonda"/>
    <s v="Hub"/>
    <s v="4 Tractor Drivers Food Payment 16-02-2026 To 28-02-2026"/>
    <m/>
    <m/>
    <m/>
    <n v="10400"/>
    <s v="Hethvika Enterprises"/>
  </r>
  <r>
    <n v="340"/>
    <d v="2026-03-04T00:00:00"/>
    <x v="2"/>
    <x v="18"/>
    <s v="Hanamkonda"/>
    <s v="Dharmasagar"/>
    <s v="RMC BETA"/>
    <m/>
    <m/>
    <m/>
    <n v="100"/>
    <m/>
  </r>
  <r>
    <n v="341"/>
    <d v="2026-03-04T00:00:00"/>
    <x v="2"/>
    <x v="10"/>
    <s v="Hanamkonda"/>
    <s v="Dharmasagar"/>
    <s v="Tractor Diesel"/>
    <m/>
    <n v="10.416666666666666"/>
    <n v="96"/>
    <n v="1000"/>
    <m/>
  </r>
  <r>
    <n v="342"/>
    <d v="2026-03-04T00:00:00"/>
    <x v="2"/>
    <x v="10"/>
    <s v="Hanamkonda"/>
    <s v="Dharmasagar"/>
    <s v="Tractor Diesel"/>
    <m/>
    <n v="10.416666666666666"/>
    <n v="96"/>
    <n v="1000"/>
    <m/>
  </r>
  <r>
    <n v="343"/>
    <d v="2026-03-05T00:00:00"/>
    <x v="2"/>
    <x v="25"/>
    <s v="Hanamkonda"/>
    <s v="Vardhannapet"/>
    <s v="Motor Repair"/>
    <m/>
    <m/>
    <m/>
    <n v="2500"/>
    <m/>
  </r>
  <r>
    <n v="344"/>
    <d v="2026-03-05T00:00:00"/>
    <x v="2"/>
    <x v="10"/>
    <s v="Bhongir"/>
    <s v="Valigonda"/>
    <s v="Tractor Diesel"/>
    <m/>
    <n v="20.833333333333332"/>
    <n v="96"/>
    <n v="2000"/>
    <m/>
  </r>
  <r>
    <n v="345"/>
    <d v="2026-03-05T00:00:00"/>
    <x v="2"/>
    <x v="36"/>
    <s v="Hanamkonda"/>
    <s v="Dharmasagar"/>
    <s v="Power Bill Kyathampalli"/>
    <m/>
    <m/>
    <m/>
    <n v="16400"/>
    <m/>
  </r>
  <r>
    <n v="346"/>
    <d v="2026-03-05T00:00:00"/>
    <x v="2"/>
    <x v="8"/>
    <s v="Hanamkonda"/>
    <s v="Hub"/>
    <s v="20 Tons Iron Unloading At Hanamkonda"/>
    <m/>
    <m/>
    <m/>
    <n v="4500"/>
    <m/>
  </r>
  <r>
    <n v="347"/>
    <d v="2026-03-05T00:00:00"/>
    <x v="2"/>
    <x v="10"/>
    <s v="Hanamkonda"/>
    <s v="Dharmasagar"/>
    <s v="Tractor Diesel"/>
    <m/>
    <n v="10.416666666666666"/>
    <n v="96"/>
    <n v="1000"/>
    <m/>
  </r>
  <r>
    <n v="348"/>
    <d v="2026-03-05T00:00:00"/>
    <x v="2"/>
    <x v="4"/>
    <s v="Hanamkonda"/>
    <s v="Dharmasagar"/>
    <s v="Labour Expesnes And Shifting Expenses"/>
    <m/>
    <m/>
    <m/>
    <n v="600"/>
    <m/>
  </r>
  <r>
    <n v="349"/>
    <d v="2026-03-05T00:00:00"/>
    <x v="2"/>
    <x v="10"/>
    <s v="Hanamkonda"/>
    <s v="Dharmasagar"/>
    <s v="Tractor Diesel"/>
    <m/>
    <n v="10.416666666666666"/>
    <n v="96"/>
    <n v="1000"/>
    <m/>
  </r>
  <r>
    <n v="350"/>
    <d v="2026-03-05T00:00:00"/>
    <x v="2"/>
    <x v="4"/>
    <s v="Hanamkonda"/>
    <s v="Dharmasagar"/>
    <s v="Labour Expesnes And Shifting Expenses"/>
    <m/>
    <m/>
    <m/>
    <n v="600"/>
    <m/>
  </r>
  <r>
    <n v="351"/>
    <d v="2026-03-05T00:00:00"/>
    <x v="2"/>
    <x v="32"/>
    <s v="Hanamkonda"/>
    <s v="Dharmasagar"/>
    <s v="Nails"/>
    <s v="Nails &quot;All Mix&quot;"/>
    <n v="20"/>
    <n v="73.5"/>
    <n v="1470"/>
    <m/>
  </r>
  <r>
    <n v="352"/>
    <d v="2026-03-05T00:00:00"/>
    <x v="2"/>
    <x v="34"/>
    <s v="Hanamkonda"/>
    <s v="Dharmasagar"/>
    <s v="Binding Wire 11 ksgs"/>
    <s v="Binding wire"/>
    <n v="11"/>
    <n v="100"/>
    <n v="1100"/>
    <m/>
  </r>
  <r>
    <n v="353"/>
    <d v="2026-03-05T00:00:00"/>
    <x v="2"/>
    <x v="2"/>
    <s v="Hanamkonda"/>
    <s v="Dharmasagar"/>
    <s v="black Oil 2 Litres"/>
    <m/>
    <m/>
    <m/>
    <n v="200"/>
    <m/>
  </r>
  <r>
    <n v="354"/>
    <d v="2026-03-05T00:00:00"/>
    <x v="2"/>
    <x v="14"/>
    <s v="Hanamkonda"/>
    <s v="Dharmasagar"/>
    <s v="2 Cement Bags For Pump"/>
    <s v="Cement"/>
    <n v="2"/>
    <n v="300"/>
    <n v="600"/>
    <m/>
  </r>
  <r>
    <n v="355"/>
    <d v="2026-03-06T00:00:00"/>
    <x v="2"/>
    <x v="10"/>
    <s v="Hanamkonda"/>
    <s v="Hub"/>
    <s v="AP 40 KF 2837 Tractor Diesel"/>
    <m/>
    <n v="20.833333333333332"/>
    <n v="96"/>
    <n v="2000"/>
    <s v="Hethvika Enterprises"/>
  </r>
  <r>
    <n v="356"/>
    <d v="2026-03-06T00:00:00"/>
    <x v="2"/>
    <x v="1"/>
    <s v="Hanamkonda"/>
    <s v="Hub"/>
    <s v="Eicher Vehile Advance"/>
    <m/>
    <m/>
    <m/>
    <n v="5000"/>
    <s v="Hethvika Enterprises"/>
  </r>
  <r>
    <n v="357"/>
    <d v="2026-03-06T00:00:00"/>
    <x v="2"/>
    <x v="37"/>
    <s v="Hanamkonda"/>
    <s v="Office"/>
    <s v="Devices &amp; Login ID'S"/>
    <m/>
    <m/>
    <m/>
    <n v="70000"/>
    <s v="Hethvika Enterprises"/>
  </r>
  <r>
    <n v="358"/>
    <d v="2026-03-06T00:00:00"/>
    <x v="2"/>
    <x v="3"/>
    <s v="Hanamkonda"/>
    <s v="Hub"/>
    <s v="Labour Material &amp; Site Tools"/>
    <m/>
    <m/>
    <m/>
    <n v="1665"/>
    <s v="Hethvika Enterprises"/>
  </r>
  <r>
    <n v="359"/>
    <d v="2026-03-06T00:00:00"/>
    <x v="2"/>
    <x v="0"/>
    <s v="Hanamkonda"/>
    <s v="Hub"/>
    <s v="Vizag to hanamkonda Bikes"/>
    <m/>
    <m/>
    <m/>
    <n v="1500"/>
    <s v="Hethvika Enterprises"/>
  </r>
  <r>
    <n v="360"/>
    <d v="2026-03-06T00:00:00"/>
    <x v="2"/>
    <x v="8"/>
    <s v="Hanamkonda"/>
    <s v="Hub"/>
    <s v="Wood &amp; Shhuttering Sheets Unloading"/>
    <m/>
    <m/>
    <m/>
    <n v="3000"/>
    <s v="Hethvika Enterprises"/>
  </r>
  <r>
    <n v="361"/>
    <d v="2026-03-06T00:00:00"/>
    <x v="2"/>
    <x v="11"/>
    <s v="Hanamkonda"/>
    <s v="Hub"/>
    <s v="Auger Vehicle AVS Reddy"/>
    <m/>
    <n v="20.833333333333332"/>
    <n v="96"/>
    <n v="2000"/>
    <s v="Hethvika Enterprises"/>
  </r>
  <r>
    <n v="362"/>
    <d v="2026-03-06T00:00:00"/>
    <x v="2"/>
    <x v="10"/>
    <s v="Janagaon"/>
    <s v="Palakurthi"/>
    <s v="Tractor Diesel"/>
    <m/>
    <n v="31.25"/>
    <n v="96"/>
    <n v="3000"/>
    <m/>
  </r>
  <r>
    <n v="363"/>
    <d v="2026-03-06T00:00:00"/>
    <x v="2"/>
    <x v="0"/>
    <s v="Janagaon"/>
    <s v="Palakurthi"/>
    <s v="Vehicle Rent Auto For Shifting to Hanamkonda"/>
    <m/>
    <m/>
    <m/>
    <n v="2000"/>
    <m/>
  </r>
  <r>
    <n v="364"/>
    <d v="2026-03-06T00:00:00"/>
    <x v="2"/>
    <x v="23"/>
    <s v="Janagaon"/>
    <s v="Palakurthi"/>
    <s v="Tractor Driver "/>
    <m/>
    <m/>
    <m/>
    <n v="10000"/>
    <m/>
  </r>
  <r>
    <n v="365"/>
    <d v="2026-03-06T00:00:00"/>
    <x v="2"/>
    <x v="4"/>
    <s v="Janagaon"/>
    <s v="Palakurthi"/>
    <s v="Driver Food"/>
    <m/>
    <m/>
    <m/>
    <n v="2000"/>
    <m/>
  </r>
  <r>
    <n v="366"/>
    <d v="2026-03-07T00:00:00"/>
    <x v="2"/>
    <x v="32"/>
    <s v="Hanamkonda"/>
    <s v="Hub"/>
    <s v="Nails ,Cutting Blades &amp; ect"/>
    <m/>
    <m/>
    <m/>
    <n v="2770"/>
    <s v="Hethvika Enterprises"/>
  </r>
  <r>
    <n v="367"/>
    <d v="2026-03-07T00:00:00"/>
    <x v="2"/>
    <x v="10"/>
    <s v="Hanamkonda"/>
    <s v="Hub"/>
    <s v="AP 40 DC 0089 TRACTOR Diesel"/>
    <m/>
    <n v="20.833333333333332"/>
    <n v="96"/>
    <n v="2000"/>
    <s v="Hethvika Enterprises"/>
  </r>
  <r>
    <n v="368"/>
    <d v="2026-03-07T00:00:00"/>
    <x v="2"/>
    <x v="32"/>
    <s v="Siddipet"/>
    <s v="RAIPOLE"/>
    <s v="Nails"/>
    <m/>
    <m/>
    <m/>
    <n v="800"/>
    <s v="Hethvika Enterprises"/>
  </r>
  <r>
    <n v="369"/>
    <d v="2026-03-07T00:00:00"/>
    <x v="2"/>
    <x v="10"/>
    <s v="Hanamkonda"/>
    <s v="Hub"/>
    <s v="2 Tractors Diesel Each - 3000/-"/>
    <m/>
    <n v="62.5"/>
    <n v="96"/>
    <n v="6000"/>
    <s v="Hethvika Enterprises"/>
  </r>
  <r>
    <n v="370"/>
    <d v="2026-03-07T00:00:00"/>
    <x v="2"/>
    <x v="3"/>
    <s v="Hanamkonda"/>
    <s v="Hub"/>
    <s v="Tools Purchased"/>
    <m/>
    <m/>
    <m/>
    <n v="49560"/>
    <s v="Hethvika Enterprises"/>
  </r>
  <r>
    <n v="371"/>
    <d v="2026-03-07T00:00:00"/>
    <x v="2"/>
    <x v="3"/>
    <s v="Hanamkonda"/>
    <s v="Hub"/>
    <s v="Tools Purchased"/>
    <m/>
    <m/>
    <m/>
    <n v="4290"/>
    <s v="Kotak"/>
  </r>
  <r>
    <n v="372"/>
    <d v="2026-03-07T00:00:00"/>
    <x v="2"/>
    <x v="18"/>
    <s v="Hanamkonda"/>
    <s v="Urban"/>
    <s v="15-02-2026 to 28-02-2026 RMC Beta"/>
    <m/>
    <m/>
    <m/>
    <n v="4150"/>
    <s v="Kotak"/>
  </r>
  <r>
    <n v="373"/>
    <d v="2026-03-07T00:00:00"/>
    <x v="2"/>
    <x v="32"/>
    <s v="Hanamkonda"/>
    <s v="Urban"/>
    <s v="Nails"/>
    <m/>
    <m/>
    <m/>
    <n v="1430"/>
    <m/>
  </r>
  <r>
    <n v="374"/>
    <d v="2026-03-07T00:00:00"/>
    <x v="2"/>
    <x v="38"/>
    <s v="Hanamkonda"/>
    <s v="Hub"/>
    <s v="Plywood sheets 46 * 150"/>
    <m/>
    <m/>
    <m/>
    <n v="6900"/>
    <m/>
  </r>
  <r>
    <n v="375"/>
    <d v="2026-03-07T00:00:00"/>
    <x v="2"/>
    <x v="3"/>
    <s v="Janagaon"/>
    <s v="Palakurthi"/>
    <s v="Nails &amp; Cover Blocks"/>
    <m/>
    <m/>
    <m/>
    <n v="2800"/>
    <m/>
  </r>
  <r>
    <n v="376"/>
    <d v="2026-03-07T00:00:00"/>
    <x v="2"/>
    <x v="10"/>
    <s v="Hanamkonda"/>
    <s v="Dharmasagar"/>
    <s v="Tractor Diesel"/>
    <m/>
    <n v="10.416666666666666"/>
    <n v="96"/>
    <n v="1000"/>
    <m/>
  </r>
  <r>
    <n v="377"/>
    <d v="2026-03-08T00:00:00"/>
    <x v="2"/>
    <x v="39"/>
    <s v="Hanamkonda"/>
    <m/>
    <s v="Murthy Purchased Items"/>
    <m/>
    <m/>
    <m/>
    <n v="47500"/>
    <m/>
  </r>
  <r>
    <n v="378"/>
    <d v="2026-03-08T00:00:00"/>
    <x v="2"/>
    <x v="38"/>
    <s v="Hanamkonda"/>
    <s v="Hub"/>
    <s v="Trasula abbai "/>
    <m/>
    <m/>
    <m/>
    <n v="10000"/>
    <m/>
  </r>
  <r>
    <n v="379"/>
    <d v="2026-03-08T00:00:00"/>
    <x v="2"/>
    <x v="32"/>
    <s v="Hanamkonda"/>
    <s v="Hub"/>
    <s v="nails"/>
    <m/>
    <m/>
    <m/>
    <n v="960"/>
    <m/>
  </r>
  <r>
    <n v="380"/>
    <d v="2026-03-08T00:00:00"/>
    <x v="2"/>
    <x v="28"/>
    <s v="Bhongir"/>
    <s v="Valigonda"/>
    <s v="Iron Purchased By Hari"/>
    <m/>
    <m/>
    <m/>
    <n v="69830"/>
    <m/>
  </r>
  <r>
    <n v="381"/>
    <d v="2026-03-08T00:00:00"/>
    <x v="2"/>
    <x v="40"/>
    <s v="Hanamkonda"/>
    <s v="Hub"/>
    <s v="Tent For Plywood Working"/>
    <m/>
    <m/>
    <m/>
    <n v="5000"/>
    <m/>
  </r>
  <r>
    <n v="382"/>
    <d v="2026-03-08T00:00:00"/>
    <x v="2"/>
    <x v="38"/>
    <s v="Hanamkonda"/>
    <s v="Hub"/>
    <s v="Plywood sheets 46 * 150"/>
    <m/>
    <m/>
    <m/>
    <n v="6900"/>
    <m/>
  </r>
  <r>
    <n v="383"/>
    <d v="2026-03-09T00:00:00"/>
    <x v="2"/>
    <x v="32"/>
    <s v="Hanamkonda"/>
    <s v="Hub"/>
    <s v="NAILS  19 KGS"/>
    <s v="Nails &quot;All Mix&quot;"/>
    <m/>
    <m/>
    <n v="2700"/>
    <m/>
  </r>
  <r>
    <n v="384"/>
    <d v="2026-03-09T00:00:00"/>
    <x v="2"/>
    <x v="11"/>
    <s v="Hanamkonda"/>
    <s v="Hub"/>
    <s v="Auger Diesel Murthy"/>
    <m/>
    <n v="20.833333333333332"/>
    <n v="96"/>
    <n v="2000"/>
    <m/>
  </r>
  <r>
    <n v="385"/>
    <d v="2026-03-09T00:00:00"/>
    <x v="2"/>
    <x v="32"/>
    <s v="Siddipet"/>
    <s v="Siddipet Rural"/>
    <s v="NAILS"/>
    <m/>
    <m/>
    <m/>
    <n v="1540"/>
    <m/>
  </r>
  <r>
    <n v="386"/>
    <d v="2026-03-09T00:00:00"/>
    <x v="2"/>
    <x v="34"/>
    <s v="Siddipet"/>
    <s v="Siddipet Rural"/>
    <s v="Binding Wire 30 KGS"/>
    <s v="Binding wire"/>
    <n v="30"/>
    <n v="106.66666666666667"/>
    <n v="3200"/>
    <m/>
  </r>
  <r>
    <n v="387"/>
    <d v="2026-03-09T00:00:00"/>
    <x v="2"/>
    <x v="1"/>
    <s v="Hanamkonda"/>
    <s v="Dharmasagar"/>
    <s v="Tractor PAYMENT"/>
    <m/>
    <m/>
    <m/>
    <n v="15000"/>
    <m/>
  </r>
  <r>
    <n v="388"/>
    <d v="2026-03-09T00:00:00"/>
    <x v="2"/>
    <x v="32"/>
    <s v="Hanamkonda"/>
    <s v="Hub"/>
    <s v="14 Boxes Nails Purchased"/>
    <m/>
    <m/>
    <m/>
    <n v="4480"/>
    <m/>
  </r>
  <r>
    <n v="389"/>
    <d v="2026-03-09T00:00:00"/>
    <x v="2"/>
    <x v="25"/>
    <s v="Siddipet"/>
    <s v="Siddipet Rural"/>
    <s v="Water Pipe 30 Meters"/>
    <m/>
    <m/>
    <m/>
    <n v="1550"/>
    <m/>
  </r>
  <r>
    <n v="390"/>
    <d v="2026-03-09T00:00:00"/>
    <x v="2"/>
    <x v="38"/>
    <s v="Hanamkonda"/>
    <s v="Hub"/>
    <s v="1 feet 66 Sheets &amp; 2 feet 7 sheets"/>
    <m/>
    <m/>
    <m/>
    <n v="10950"/>
    <m/>
  </r>
  <r>
    <n v="391"/>
    <d v="2026-03-09T00:00:00"/>
    <x v="2"/>
    <x v="9"/>
    <s v="Kamareddy"/>
    <s v="Lingampet"/>
    <s v="Supervisors Room Rent Advance"/>
    <m/>
    <m/>
    <m/>
    <n v="4000"/>
    <m/>
  </r>
  <r>
    <n v="392"/>
    <d v="2026-03-09T00:00:00"/>
    <x v="2"/>
    <x v="10"/>
    <s v="Hanamkonda"/>
    <s v="Dharmasagar"/>
    <s v="Tractor Diesel"/>
    <m/>
    <n v="10.416666666666666"/>
    <n v="96"/>
    <n v="1000"/>
    <m/>
  </r>
  <r>
    <n v="393"/>
    <d v="2026-03-10T00:00:00"/>
    <x v="2"/>
    <x v="9"/>
    <s v="Hanamkonda"/>
    <s v="Office"/>
    <s v="Advance For OFFICE"/>
    <m/>
    <m/>
    <m/>
    <n v="18000"/>
    <m/>
  </r>
  <r>
    <n v="394"/>
    <d v="2026-03-10T00:00:00"/>
    <x v="2"/>
    <x v="10"/>
    <s v="Siddipet"/>
    <s v="Siddipet Rural"/>
    <s v="TS 32 T 1002 Tractor Diesel"/>
    <m/>
    <n v="20.833333333333332"/>
    <n v="96"/>
    <n v="2000"/>
    <m/>
  </r>
  <r>
    <n v="395"/>
    <d v="2026-03-10T00:00:00"/>
    <x v="2"/>
    <x v="23"/>
    <s v="Hanamkonda"/>
    <s v="Hub"/>
    <s v="Sai Tractor Driver Salary ADVANCE"/>
    <m/>
    <m/>
    <m/>
    <n v="10000"/>
    <m/>
  </r>
  <r>
    <n v="396"/>
    <d v="2026-03-10T00:00:00"/>
    <x v="2"/>
    <x v="3"/>
    <s v="Hanamkonda"/>
    <s v="Hub"/>
    <s v="Tools Purchased"/>
    <m/>
    <m/>
    <m/>
    <n v="4700"/>
    <m/>
  </r>
  <r>
    <n v="397"/>
    <d v="2026-03-10T00:00:00"/>
    <x v="2"/>
    <x v="3"/>
    <s v="Hanamkonda"/>
    <s v="Hub"/>
    <s v="Rope For Tractor"/>
    <m/>
    <m/>
    <m/>
    <n v="500"/>
    <m/>
  </r>
  <r>
    <n v="398"/>
    <d v="2026-03-10T00:00:00"/>
    <x v="2"/>
    <x v="11"/>
    <s v="Hanamkonda"/>
    <m/>
    <s v="Auger Vehicle Murthy"/>
    <m/>
    <n v="20.833333333333332"/>
    <n v="96"/>
    <n v="2000"/>
    <m/>
  </r>
  <r>
    <n v="399"/>
    <d v="2026-03-10T00:00:00"/>
    <x v="2"/>
    <x v="32"/>
    <s v="Siddipet"/>
    <s v="RAIPOLE"/>
    <s v="Nails"/>
    <m/>
    <m/>
    <m/>
    <n v="1100"/>
    <m/>
  </r>
  <r>
    <n v="400"/>
    <d v="2026-03-10T00:00:00"/>
    <x v="2"/>
    <x v="10"/>
    <s v="Hanamkonda"/>
    <s v="Hub"/>
    <s v="Eicher Vehcile Diesel"/>
    <m/>
    <n v="157.94468750000001"/>
    <n v="96"/>
    <n v="15162.69"/>
    <m/>
  </r>
  <r>
    <n v="401"/>
    <d v="2026-03-11T00:00:00"/>
    <x v="2"/>
    <x v="11"/>
    <s v="Hanamkonda"/>
    <s v="Hub"/>
    <s v="Auger Vehicle AVS Reddy"/>
    <m/>
    <n v="41.666666666666664"/>
    <n v="96"/>
    <n v="4000"/>
    <m/>
  </r>
  <r>
    <n v="402"/>
    <d v="2026-03-11T00:00:00"/>
    <x v="2"/>
    <x v="10"/>
    <s v="Hanamkonda"/>
    <s v="Hub"/>
    <s v="Local Tractor Diesel"/>
    <m/>
    <n v="20.833333333333332"/>
    <n v="96"/>
    <n v="2000"/>
    <m/>
  </r>
  <r>
    <n v="403"/>
    <d v="2026-03-11T00:00:00"/>
    <x v="2"/>
    <x v="10"/>
    <s v="Hanamkonda"/>
    <s v="Hub"/>
    <s v="AP 40 DC 0089 TRACTOR Diesel"/>
    <m/>
    <n v="31.25"/>
    <n v="96"/>
    <n v="3000"/>
    <m/>
  </r>
  <r>
    <n v="404"/>
    <d v="2026-03-11T00:00:00"/>
    <x v="2"/>
    <x v="10"/>
    <s v="Hanamkonda"/>
    <s v="Hub"/>
    <s v="AP 40 KE 2834 Tractor Diesel"/>
    <m/>
    <n v="23.420729166666664"/>
    <n v="96"/>
    <n v="2248.39"/>
    <m/>
  </r>
  <r>
    <n v="405"/>
    <d v="2026-03-11T00:00:00"/>
    <x v="2"/>
    <x v="10"/>
    <s v="Hanamkonda"/>
    <s v="Dharmasagar"/>
    <s v="Tractor Diesel"/>
    <m/>
    <n v="10.416666666666666"/>
    <n v="96"/>
    <n v="1000"/>
    <m/>
  </r>
  <r>
    <n v="406"/>
    <d v="2026-03-11T00:00:00"/>
    <x v="2"/>
    <x v="0"/>
    <s v="Hanamkonda"/>
    <s v="Dharmasagar"/>
    <s v="Labour Expesnes And Shifting Expenses"/>
    <m/>
    <m/>
    <m/>
    <n v="1000"/>
    <m/>
  </r>
  <r>
    <n v="407"/>
    <d v="2026-03-12T00:00:00"/>
    <x v="2"/>
    <x v="11"/>
    <s v="Hanamkonda"/>
    <s v="Hub"/>
    <s v="Auger Vehicle AVS Reddy"/>
    <m/>
    <n v="20.833333333333332"/>
    <n v="96"/>
    <n v="2000"/>
    <m/>
  </r>
  <r>
    <n v="408"/>
    <d v="2026-03-12T00:00:00"/>
    <x v="2"/>
    <x v="10"/>
    <s v="Siddipet"/>
    <s v="Siddipet Rural"/>
    <s v="TS 32 T 1002 Tractor Diesel"/>
    <m/>
    <n v="20.833333333333332"/>
    <n v="96"/>
    <n v="2000"/>
    <m/>
  </r>
  <r>
    <n v="409"/>
    <d v="2026-03-12T00:00:00"/>
    <x v="2"/>
    <x v="10"/>
    <s v="Hanamkonda"/>
    <s v="Hub"/>
    <s v="AP 40 KF 2837 Tractor Diesel"/>
    <m/>
    <n v="31.25"/>
    <n v="96"/>
    <n v="3000"/>
    <m/>
  </r>
  <r>
    <n v="410"/>
    <d v="2026-03-12T00:00:00"/>
    <x v="2"/>
    <x v="10"/>
    <s v="Bhongir"/>
    <s v="Valigonda"/>
    <s v="Johndeere Tractor Diesel"/>
    <m/>
    <n v="20.833333333333332"/>
    <n v="96"/>
    <n v="2000"/>
    <m/>
  </r>
  <r>
    <n v="411"/>
    <d v="2026-03-12T00:00:00"/>
    <x v="2"/>
    <x v="10"/>
    <s v="Bhongir"/>
    <s v="Valigonda"/>
    <s v="AP39FC8298 TRACTOR DEISEL PAYMENT "/>
    <m/>
    <n v="20.833333333333332"/>
    <n v="96"/>
    <n v="2000"/>
    <m/>
  </r>
  <r>
    <n v="412"/>
    <d v="2026-03-12T00:00:00"/>
    <x v="2"/>
    <x v="10"/>
    <s v="Hanamkonda"/>
    <s v="Hub"/>
    <s v="TS03UB7556  Tractor Diesel"/>
    <m/>
    <n v="20.833333333333332"/>
    <n v="96"/>
    <n v="2000"/>
    <m/>
  </r>
  <r>
    <n v="413"/>
    <d v="2026-03-12T00:00:00"/>
    <x v="2"/>
    <x v="3"/>
    <s v="Warangal"/>
    <s v="Varndhannapet"/>
    <s v="Gajam Badhalu &amp; other Tools"/>
    <m/>
    <m/>
    <m/>
    <n v="1200"/>
    <m/>
  </r>
  <r>
    <n v="414"/>
    <d v="2026-03-12T00:00:00"/>
    <x v="2"/>
    <x v="38"/>
    <s v="Hanamkonda"/>
    <s v="Hub"/>
    <s v="Carpenter Charges For Plywood Shuttering"/>
    <m/>
    <m/>
    <m/>
    <n v="10000"/>
    <m/>
  </r>
  <r>
    <n v="415"/>
    <d v="2026-03-13T00:00:00"/>
    <x v="2"/>
    <x v="11"/>
    <s v="Hanamkonda"/>
    <s v="Hub"/>
    <s v="Auger Vehicle AVS Reddy"/>
    <m/>
    <n v="20.833333333333332"/>
    <n v="96"/>
    <n v="2000"/>
    <m/>
  </r>
  <r>
    <n v="416"/>
    <d v="2026-03-13T00:00:00"/>
    <x v="2"/>
    <x v="10"/>
    <s v="Hanamkonda"/>
    <s v="Hub"/>
    <s v="Hanamkonda Local Tractor Diesel"/>
    <m/>
    <n v="31.25"/>
    <n v="96"/>
    <n v="3000"/>
    <m/>
  </r>
  <r>
    <n v="417"/>
    <d v="2026-03-13T00:00:00"/>
    <x v="2"/>
    <x v="9"/>
    <s v="Hanamkonda"/>
    <s v="Hub"/>
    <s v="Hanamkonda Supervisors Room Rent"/>
    <m/>
    <m/>
    <m/>
    <n v="5000"/>
    <m/>
  </r>
  <r>
    <n v="418"/>
    <d v="2026-03-13T00:00:00"/>
    <x v="2"/>
    <x v="32"/>
    <s v="Hanamkonda"/>
    <s v="Hub"/>
    <s v="Nails For Plywood Hanamkonda"/>
    <m/>
    <m/>
    <m/>
    <n v="6400"/>
    <m/>
  </r>
  <r>
    <n v="419"/>
    <d v="2026-03-13T00:00:00"/>
    <x v="2"/>
    <x v="10"/>
    <s v="Hanamkonda"/>
    <s v="Hub"/>
    <s v="TS03UB7556  Tractor Diesel"/>
    <m/>
    <n v="20.833333333333332"/>
    <n v="96"/>
    <n v="2000"/>
    <m/>
  </r>
  <r>
    <n v="420"/>
    <d v="2026-03-13T00:00:00"/>
    <x v="2"/>
    <x v="32"/>
    <s v="Siddipet"/>
    <s v="Siddipet Rural"/>
    <s v="nails"/>
    <m/>
    <m/>
    <m/>
    <n v="1690"/>
    <m/>
  </r>
  <r>
    <n v="421"/>
    <d v="2026-03-13T00:00:00"/>
    <x v="2"/>
    <x v="41"/>
    <s v="Siddipet"/>
    <s v="Siddipet Rural"/>
    <s v="half inch Pipes Purchased by Sarandeep"/>
    <m/>
    <m/>
    <m/>
    <n v="1500"/>
    <m/>
  </r>
  <r>
    <n v="422"/>
    <d v="2026-03-13T00:00:00"/>
    <x v="2"/>
    <x v="11"/>
    <s v="Hanamkonda"/>
    <s v="Hub"/>
    <s v="Auger Vehicle Diesel Murthy"/>
    <m/>
    <n v="20.833333333333332"/>
    <n v="96"/>
    <n v="2000"/>
    <m/>
  </r>
  <r>
    <n v="423"/>
    <d v="2026-03-13T00:00:00"/>
    <x v="2"/>
    <x v="3"/>
    <s v="Hanamkonda"/>
    <s v="Hub"/>
    <s v="Completion Team Tools"/>
    <m/>
    <m/>
    <m/>
    <n v="2050"/>
    <m/>
  </r>
  <r>
    <n v="424"/>
    <d v="2026-03-13T00:00:00"/>
    <x v="2"/>
    <x v="42"/>
    <s v="Hanamkonda"/>
    <s v="Hub"/>
    <s v="Nails Gun Machine"/>
    <m/>
    <m/>
    <m/>
    <n v="23010"/>
    <m/>
  </r>
  <r>
    <n v="425"/>
    <d v="2026-03-13T00:00:00"/>
    <x v="2"/>
    <x v="43"/>
    <s v="Hanamkonda"/>
    <s v="Wardhannapet"/>
    <s v="1 Door Frame For Wardhannapet"/>
    <m/>
    <m/>
    <m/>
    <n v="950"/>
    <m/>
  </r>
  <r>
    <n v="426"/>
    <d v="2026-03-14T00:00:00"/>
    <x v="2"/>
    <x v="32"/>
    <s v="Siddipet"/>
    <s v="Siddipet Rural"/>
    <s v="nails"/>
    <m/>
    <m/>
    <m/>
    <n v="1000"/>
    <m/>
  </r>
  <r>
    <n v="427"/>
    <d v="2026-03-14T00:00:00"/>
    <x v="2"/>
    <x v="10"/>
    <s v="Siddipet"/>
    <s v="Siddipet Rural"/>
    <s v="TS 32 T 1002 Tractor Diesel"/>
    <m/>
    <n v="20.833333333333332"/>
    <n v="96"/>
    <n v="2000"/>
    <m/>
  </r>
  <r>
    <n v="428"/>
    <d v="2026-03-14T00:00:00"/>
    <x v="2"/>
    <x v="3"/>
    <s v="Janagaon"/>
    <s v="Tarigoppula"/>
    <s v="Site Electrical Items"/>
    <m/>
    <m/>
    <m/>
    <n v="2320"/>
    <m/>
  </r>
  <r>
    <n v="429"/>
    <d v="2026-03-14T00:00:00"/>
    <x v="2"/>
    <x v="42"/>
    <s v="Hanamkonda"/>
    <s v="Hub"/>
    <s v="Compressor  And Other toolsq,"/>
    <m/>
    <m/>
    <m/>
    <n v="14400"/>
    <m/>
  </r>
  <r>
    <n v="430"/>
    <d v="2026-03-14T00:00:00"/>
    <x v="2"/>
    <x v="42"/>
    <s v="Hanamkonda"/>
    <s v="Hub"/>
    <s v="Welding Machine"/>
    <m/>
    <m/>
    <m/>
    <n v="7000"/>
    <m/>
  </r>
  <r>
    <n v="431"/>
    <d v="2026-03-14T00:00:00"/>
    <x v="2"/>
    <x v="44"/>
    <s v="Hanamkonda"/>
    <s v="Hub"/>
    <s v="Sliders For 10 Houses"/>
    <m/>
    <m/>
    <m/>
    <n v="96600"/>
    <m/>
  </r>
  <r>
    <n v="432"/>
    <d v="2026-03-15T00:00:00"/>
    <x v="2"/>
    <x v="24"/>
    <s v="Siddipet"/>
    <s v="RAIPOLE"/>
    <s v="Tractor Puncture"/>
    <m/>
    <m/>
    <m/>
    <n v="600"/>
    <m/>
  </r>
  <r>
    <n v="433"/>
    <d v="2026-03-15T00:00:00"/>
    <x v="2"/>
    <x v="10"/>
    <s v="Bhongir"/>
    <s v="Valigonda"/>
    <s v="AP39FC8298 TRACTOR DEISEL PAYMENT "/>
    <m/>
    <n v="20.833333333333332"/>
    <n v="96"/>
    <n v="2000"/>
    <m/>
  </r>
  <r>
    <n v="434"/>
    <d v="2026-03-15T00:00:00"/>
    <x v="2"/>
    <x v="10"/>
    <s v="Hanamkonda"/>
    <s v="Hub"/>
    <s v="Hanamkonda Local Tractor Diesel"/>
    <m/>
    <n v="31.25"/>
    <n v="96"/>
    <n v="3000"/>
    <m/>
  </r>
  <r>
    <n v="435"/>
    <d v="2026-03-15T00:00:00"/>
    <x v="2"/>
    <x v="9"/>
    <s v="Siddipet"/>
    <s v="Siddipet Rural"/>
    <s v="hotel Expenses For Sudhakar Reddy Sir"/>
    <m/>
    <m/>
    <m/>
    <n v="7199"/>
    <m/>
  </r>
  <r>
    <n v="436"/>
    <d v="2026-03-15T00:00:00"/>
    <x v="2"/>
    <x v="10"/>
    <s v="Hanamkonda"/>
    <s v="Hub"/>
    <s v="AP 40 DC 0089 TRACTOR Diesel"/>
    <m/>
    <n v="31.25"/>
    <n v="96"/>
    <n v="3000"/>
    <m/>
  </r>
  <r>
    <n v="437"/>
    <d v="2026-03-15T00:00:00"/>
    <x v="2"/>
    <x v="8"/>
    <s v="Hanamkonda"/>
    <s v="Hub"/>
    <s v="Cement &amp; Iron Loading"/>
    <m/>
    <m/>
    <m/>
    <n v="2000"/>
    <m/>
  </r>
  <r>
    <n v="438"/>
    <d v="2026-03-16T00:00:00"/>
    <x v="2"/>
    <x v="3"/>
    <s v="Hanamkonda"/>
    <s v="Hub"/>
    <s v="Cutting Machines And Other Tools Purchases"/>
    <m/>
    <m/>
    <m/>
    <n v="22600"/>
    <m/>
  </r>
  <r>
    <n v="439"/>
    <d v="2026-03-16T00:00:00"/>
    <x v="2"/>
    <x v="10"/>
    <s v="Hanamkonda"/>
    <s v="Hub"/>
    <s v="JCB Diesel"/>
    <m/>
    <n v="107.19791666666667"/>
    <n v="96"/>
    <n v="10291"/>
    <m/>
  </r>
  <r>
    <n v="440"/>
    <d v="2026-03-16T00:00:00"/>
    <x v="2"/>
    <x v="10"/>
    <s v="Siddipet"/>
    <s v="RAIPOLE"/>
    <s v="Tractor Diesel"/>
    <m/>
    <n v="20.833333333333332"/>
    <n v="96"/>
    <n v="2000"/>
    <m/>
  </r>
  <r>
    <n v="441"/>
    <d v="2026-03-16T00:00:00"/>
    <x v="2"/>
    <x v="10"/>
    <s v="Janagaon"/>
    <s v="Tarigoppula"/>
    <s v="Tractor Diesel"/>
    <m/>
    <n v="20.833333333333332"/>
    <n v="96"/>
    <n v="2000"/>
    <m/>
  </r>
  <r>
    <n v="442"/>
    <d v="2026-03-16T00:00:00"/>
    <x v="2"/>
    <x v="1"/>
    <s v="Bhongir"/>
    <s v="Turkapally"/>
    <s v="Tractor PAYMENT"/>
    <m/>
    <m/>
    <m/>
    <n v="12000"/>
    <m/>
  </r>
  <r>
    <n v="443"/>
    <d v="2026-03-16T00:00:00"/>
    <x v="2"/>
    <x v="3"/>
    <s v="Hanamkonda"/>
    <s v="Hub"/>
    <s v="Nails,Bindingwire,Cutting Machines And Etc"/>
    <m/>
    <m/>
    <m/>
    <n v="32510"/>
    <m/>
  </r>
  <r>
    <n v="444"/>
    <d v="2026-03-17T00:00:00"/>
    <x v="2"/>
    <x v="23"/>
    <s v="Hanamkonda"/>
    <s v="Hub"/>
    <s v="Venkatesh Salary - Feb 2026"/>
    <m/>
    <m/>
    <m/>
    <n v="21000"/>
    <m/>
  </r>
  <r>
    <n v="445"/>
    <d v="2026-03-17T00:00:00"/>
    <x v="2"/>
    <x v="14"/>
    <s v="Janagaon"/>
    <s v="Tarigoppula"/>
    <s v="Cement 5"/>
    <s v="Cement"/>
    <n v="5"/>
    <n v="300"/>
    <n v="1500"/>
    <m/>
  </r>
  <r>
    <n v="446"/>
    <d v="2026-03-17T00:00:00"/>
    <x v="2"/>
    <x v="11"/>
    <s v="Siddipet"/>
    <s v="Siddipet Rural"/>
    <s v="Auger Vehicle Murthy"/>
    <m/>
    <n v="20.833333333333332"/>
    <n v="96"/>
    <n v="2000"/>
    <m/>
  </r>
  <r>
    <n v="447"/>
    <d v="2026-03-17T00:00:00"/>
    <x v="2"/>
    <x v="10"/>
    <s v="Hanamkonda"/>
    <s v="Hub"/>
    <s v="Eicher DIESEL"/>
    <m/>
    <n v="173.90625"/>
    <n v="96"/>
    <n v="16695"/>
    <m/>
  </r>
  <r>
    <n v="448"/>
    <d v="2026-03-17T00:00:00"/>
    <x v="2"/>
    <x v="9"/>
    <s v="Kamareddy"/>
    <s v="Birkoor"/>
    <s v="Mou Team Room Rent"/>
    <m/>
    <m/>
    <m/>
    <n v="3600"/>
    <m/>
  </r>
  <r>
    <n v="449"/>
    <d v="2026-03-17T00:00:00"/>
    <x v="2"/>
    <x v="1"/>
    <s v="Kamareddy"/>
    <s v="Lingampet"/>
    <s v="1 Day Tractor Rent"/>
    <m/>
    <m/>
    <m/>
    <n v="3000"/>
    <m/>
  </r>
  <r>
    <n v="450"/>
    <d v="2026-03-17T00:00:00"/>
    <x v="2"/>
    <x v="38"/>
    <s v="Hanamkonda"/>
    <s v="Hub"/>
    <s v="Plywood sheets Making"/>
    <m/>
    <m/>
    <m/>
    <n v="80000"/>
    <m/>
  </r>
  <r>
    <n v="451"/>
    <d v="2026-03-18T00:00:00"/>
    <x v="2"/>
    <x v="10"/>
    <s v="Siddipet"/>
    <s v="RAIPOLE"/>
    <s v="Tractor Diesel"/>
    <m/>
    <n v="20.833333333333332"/>
    <n v="96"/>
    <n v="2000"/>
    <m/>
  </r>
  <r>
    <n v="452"/>
    <d v="2026-03-18T00:00:00"/>
    <x v="2"/>
    <x v="10"/>
    <s v="Hanamkonda"/>
    <s v="Hub"/>
    <s v="TS03UB7556  Tractor Diesel"/>
    <m/>
    <n v="31.786041666666666"/>
    <n v="96"/>
    <n v="3051.46"/>
    <m/>
  </r>
  <r>
    <n v="453"/>
    <d v="2026-03-18T00:00:00"/>
    <x v="2"/>
    <x v="0"/>
    <s v="Hanamkonda"/>
    <s v="Hub"/>
    <s v="Prasanna Bus Ticket"/>
    <m/>
    <m/>
    <m/>
    <n v="1730"/>
    <m/>
  </r>
  <r>
    <n v="454"/>
    <d v="2026-03-18T00:00:00"/>
    <x v="2"/>
    <x v="32"/>
    <s v="Siddipet"/>
    <s v="RAIPOLE"/>
    <s v="nails"/>
    <m/>
    <m/>
    <m/>
    <n v="1150"/>
    <m/>
  </r>
  <r>
    <n v="455"/>
    <d v="2026-03-18T00:00:00"/>
    <x v="2"/>
    <x v="1"/>
    <s v="Hanamkonda"/>
    <s v="Hub"/>
    <s v="Hanumanth Tractor Advance"/>
    <m/>
    <m/>
    <m/>
    <n v="10000"/>
    <m/>
  </r>
  <r>
    <n v="456"/>
    <d v="2026-03-18T00:00:00"/>
    <x v="2"/>
    <x v="3"/>
    <s v="Kamareddy"/>
    <s v="Birkoor"/>
    <s v="Tools Purchased"/>
    <m/>
    <m/>
    <m/>
    <n v="1260"/>
    <m/>
  </r>
  <r>
    <n v="457"/>
    <d v="2026-03-18T00:00:00"/>
    <x v="2"/>
    <x v="1"/>
    <s v="Bhongir"/>
    <s v="Thurkapally"/>
    <s v="1002 Vishnu Tractor ENGAGE PAYMENT"/>
    <m/>
    <m/>
    <m/>
    <n v="40000"/>
    <s v="12-02-2026 TO 11-03-2026"/>
  </r>
  <r>
    <n v="458"/>
    <d v="2026-03-18T00:00:00"/>
    <x v="2"/>
    <x v="1"/>
    <s v="Bhongir"/>
    <s v="Valigonda"/>
    <s v="John Deere VishnuTractor ENGAGE PAYMENT"/>
    <m/>
    <m/>
    <m/>
    <n v="40000"/>
    <s v="12-02-2026 TO 11-03-2026"/>
  </r>
  <r>
    <n v="459"/>
    <d v="2026-03-18T00:00:00"/>
    <x v="2"/>
    <x v="28"/>
    <s v="Narayanpet"/>
    <s v="Kosigi"/>
    <s v="Iron Purchased By Anil"/>
    <m/>
    <m/>
    <m/>
    <n v="190248"/>
    <m/>
  </r>
  <r>
    <n v="460"/>
    <d v="2026-03-18T00:00:00"/>
    <x v="2"/>
    <x v="3"/>
    <s v="Kamareddy"/>
    <s v="Birkoor"/>
    <s v="Tools Purchased"/>
    <m/>
    <m/>
    <m/>
    <n v="1210"/>
    <m/>
  </r>
  <r>
    <n v="461"/>
    <d v="2026-03-18T00:00:00"/>
    <x v="2"/>
    <x v="11"/>
    <s v="Hanamkonda"/>
    <s v="Hub"/>
    <s v="murthy auger vehcile diesel"/>
    <m/>
    <n v="20.833333333333332"/>
    <n v="96"/>
    <n v="2000"/>
    <m/>
  </r>
  <r>
    <n v="462"/>
    <d v="2026-03-19T00:00:00"/>
    <x v="2"/>
    <x v="18"/>
    <s v="Siddipet"/>
    <s v="Siddipet Rural"/>
    <s v="15 Bl's RMC &amp; Pump Beta"/>
    <m/>
    <m/>
    <m/>
    <n v="2200"/>
    <m/>
  </r>
  <r>
    <n v="463"/>
    <d v="2026-03-19T00:00:00"/>
    <x v="2"/>
    <x v="10"/>
    <s v="Hanamkonda"/>
    <s v="Hub"/>
    <s v="Hanamkonda To Palakurthy Tractor Diesel"/>
    <m/>
    <n v="28.653958333333335"/>
    <n v="96"/>
    <n v="2750.78"/>
    <m/>
  </r>
  <r>
    <n v="464"/>
    <d v="2026-03-19T00:00:00"/>
    <x v="2"/>
    <x v="11"/>
    <s v="Hanamkonda"/>
    <s v="Hub"/>
    <s v="TS 34 T 3804 Shivareddy Auger Vehicle Diesel "/>
    <m/>
    <n v="31.25"/>
    <n v="96"/>
    <n v="3000"/>
    <m/>
  </r>
  <r>
    <n v="465"/>
    <d v="2026-03-19T00:00:00"/>
    <x v="2"/>
    <x v="10"/>
    <s v="Siddipet"/>
    <s v="Siddipet Rural"/>
    <s v="TS 32 T 1002 Tractor Diesel"/>
    <m/>
    <n v="20.833333333333332"/>
    <n v="96"/>
    <n v="2000"/>
    <m/>
  </r>
  <r>
    <n v="466"/>
    <d v="2026-03-19T00:00:00"/>
    <x v="2"/>
    <x v="34"/>
    <s v="Siddipet"/>
    <s v="Siddipet Rural"/>
    <s v="Binding Wire 30 KGS,nails &amp; etc"/>
    <s v="Binding wire"/>
    <n v="30"/>
    <m/>
    <n v="4740"/>
    <m/>
  </r>
  <r>
    <n v="467"/>
    <d v="2026-03-19T00:00:00"/>
    <x v="2"/>
    <x v="45"/>
    <s v="Hanamkonda"/>
    <s v="Hub"/>
    <s v="AP39TH0913 DCM Eicher Vehicle Fastag Recharge"/>
    <m/>
    <m/>
    <m/>
    <n v="2003"/>
    <m/>
  </r>
  <r>
    <n v="468"/>
    <d v="2026-03-19T00:00:00"/>
    <x v="2"/>
    <x v="3"/>
    <s v="Hanamkonda"/>
    <s v="Wardhannapet"/>
    <s v="RL Team Tools Purchase By Govindha"/>
    <m/>
    <m/>
    <m/>
    <n v="1780"/>
    <m/>
  </r>
  <r>
    <n v="469"/>
    <d v="2026-03-19T00:00:00"/>
    <x v="2"/>
    <x v="23"/>
    <s v="MOU TEAM"/>
    <s v="Ramana V"/>
    <s v="Advance By Prasad"/>
    <m/>
    <m/>
    <m/>
    <n v="5000"/>
    <m/>
  </r>
  <r>
    <n v="470"/>
    <d v="2026-03-19T00:00:00"/>
    <x v="2"/>
    <x v="10"/>
    <s v="Hanamkonda"/>
    <s v="Hub"/>
    <s v="AP 40 DC 0089 TRACTOR Diesel"/>
    <m/>
    <n v="10.416666666666666"/>
    <n v="96"/>
    <n v="1000"/>
    <m/>
  </r>
  <r>
    <n v="471"/>
    <d v="2026-03-19T00:00:00"/>
    <x v="2"/>
    <x v="11"/>
    <s v="Hanamkonda"/>
    <s v="Hub"/>
    <s v="murthy auger vehcile diesel"/>
    <m/>
    <n v="20.833333333333332"/>
    <n v="96"/>
    <n v="2000"/>
    <m/>
  </r>
  <r>
    <n v="472"/>
    <d v="2026-03-19T00:00:00"/>
    <x v="2"/>
    <x v="9"/>
    <s v="Kamareddy"/>
    <s v="Birkoor"/>
    <s v="Mou Team Room Rent"/>
    <m/>
    <m/>
    <m/>
    <n v="1200"/>
    <s v="Hotel Room or Surya"/>
  </r>
  <r>
    <n v="473"/>
    <d v="2026-03-19T00:00:00"/>
    <x v="2"/>
    <x v="3"/>
    <s v="Narayanpet"/>
    <s v="Kosigi"/>
    <s v="Rod ukku&amp; Driver Payment"/>
    <m/>
    <m/>
    <m/>
    <n v="420"/>
    <m/>
  </r>
  <r>
    <n v="474"/>
    <d v="2026-03-19T00:00:00"/>
    <x v="2"/>
    <x v="10"/>
    <s v="Hanamkonda"/>
    <s v="Parvathagiri"/>
    <s v="Tractor Diesel"/>
    <m/>
    <n v="10.416666666666666"/>
    <n v="96"/>
    <n v="1000"/>
    <m/>
  </r>
  <r>
    <n v="475"/>
    <d v="2026-03-20T00:00:00"/>
    <x v="2"/>
    <x v="10"/>
    <s v="Hanamkonda"/>
    <s v="Hub"/>
    <s v="AP 40 DC 0089 TRACTOR Diesel"/>
    <m/>
    <n v="56.269374999999997"/>
    <n v="96"/>
    <n v="5401.86"/>
    <m/>
  </r>
  <r>
    <n v="476"/>
    <d v="2026-03-20T00:00:00"/>
    <x v="2"/>
    <x v="10"/>
    <s v="Hanamkonda"/>
    <s v="Hub"/>
    <s v="AP39TH0913 DCM Vehical Diesel Payment "/>
    <m/>
    <n v="173.46875"/>
    <n v="96"/>
    <n v="16653"/>
    <m/>
  </r>
  <r>
    <n v="477"/>
    <d v="2026-03-20T00:00:00"/>
    <x v="2"/>
    <x v="3"/>
    <s v="Narayanpet"/>
    <s v="Kosigi"/>
    <s v="BL Team Tools Purchased By Vishnu"/>
    <m/>
    <m/>
    <m/>
    <n v="6970"/>
    <m/>
  </r>
  <r>
    <n v="478"/>
    <d v="2026-03-20T00:00:00"/>
    <x v="2"/>
    <x v="3"/>
    <s v="Narayanpet"/>
    <s v="Kosigi"/>
    <s v="BL Team Tools Purchased By Vishnu"/>
    <m/>
    <m/>
    <m/>
    <n v="2200"/>
    <s v="Drum,Diesel Can"/>
  </r>
  <r>
    <n v="479"/>
    <d v="2026-03-20T00:00:00"/>
    <x v="2"/>
    <x v="3"/>
    <s v="Narayanpet"/>
    <s v="Kosigi"/>
    <s v="Soot Pipe 10 inches 20 feet"/>
    <m/>
    <m/>
    <m/>
    <n v="2400"/>
    <m/>
  </r>
  <r>
    <n v="480"/>
    <d v="2026-03-20T00:00:00"/>
    <x v="2"/>
    <x v="3"/>
    <s v="Narayanpet"/>
    <s v="Kosigi"/>
    <s v="Tarpalin Purchased "/>
    <m/>
    <m/>
    <m/>
    <n v="1218"/>
    <m/>
  </r>
  <r>
    <n v="481"/>
    <d v="2026-03-20T00:00:00"/>
    <x v="2"/>
    <x v="2"/>
    <s v="Narayanpet"/>
    <s v="Kosigi"/>
    <s v="35 Litres *35/-"/>
    <m/>
    <m/>
    <m/>
    <n v="1250"/>
    <m/>
  </r>
  <r>
    <n v="482"/>
    <d v="2026-03-20T00:00:00"/>
    <x v="2"/>
    <x v="34"/>
    <s v="Kamareddy"/>
    <s v="Birkoor"/>
    <s v="50 kgs Binding Wire Purchased "/>
    <s v="Binding wire"/>
    <n v="50"/>
    <n v="78"/>
    <n v="3900"/>
    <m/>
  </r>
  <r>
    <n v="483"/>
    <d v="2026-03-20T00:00:00"/>
    <x v="2"/>
    <x v="9"/>
    <s v="Siddipet"/>
    <s v="Siddipet Rural"/>
    <s v="Sudhakar Reddy Sir 15-03-2026 to 19-03-2026 Hotel Room Rent"/>
    <m/>
    <m/>
    <m/>
    <n v="7500"/>
    <m/>
  </r>
  <r>
    <n v="484"/>
    <d v="2026-03-20T00:00:00"/>
    <x v="2"/>
    <x v="10"/>
    <s v="Bhongir"/>
    <s v="Valigonda"/>
    <s v="AP39FC8298 TRACTOR DEISEL PAYMENT "/>
    <m/>
    <n v="10.416666666666666"/>
    <n v="96"/>
    <n v="1000"/>
    <m/>
  </r>
  <r>
    <n v="485"/>
    <d v="2026-03-20T00:00:00"/>
    <x v="2"/>
    <x v="38"/>
    <s v="Hanamkonda"/>
    <s v="Hub"/>
    <s v="SHIVAM Chauhan Carpenter"/>
    <m/>
    <m/>
    <m/>
    <n v="5000"/>
    <m/>
  </r>
  <r>
    <n v="486"/>
    <d v="2026-03-20T00:00:00"/>
    <x v="2"/>
    <x v="3"/>
    <s v="Janagaon"/>
    <s v="Palakurthi"/>
    <s v="Nails"/>
    <m/>
    <m/>
    <m/>
    <n v="1150"/>
    <m/>
  </r>
  <r>
    <n v="487"/>
    <d v="2026-03-21T00:00:00"/>
    <x v="2"/>
    <x v="34"/>
    <s v="Kamareddy"/>
    <s v="Rajampet"/>
    <s v="Binding Wire &amp; Tapis , Tapes"/>
    <s v="Binding wire"/>
    <n v="50"/>
    <m/>
    <n v="4800"/>
    <m/>
  </r>
  <r>
    <n v="488"/>
    <d v="2026-03-21T00:00:00"/>
    <x v="2"/>
    <x v="43"/>
    <s v="Bhongir"/>
    <s v="Valigonda"/>
    <s v="Valigonda Windows &amp; Door Frames + Transport"/>
    <m/>
    <m/>
    <m/>
    <n v="50890"/>
    <m/>
  </r>
  <r>
    <n v="489"/>
    <d v="2026-03-21T00:00:00"/>
    <x v="2"/>
    <x v="2"/>
    <s v="Janagaon"/>
    <s v="Palakurthi"/>
    <s v="Black Oil 10 Litres"/>
    <m/>
    <m/>
    <m/>
    <n v="500"/>
    <m/>
  </r>
  <r>
    <n v="490"/>
    <d v="2026-03-21T00:00:00"/>
    <x v="2"/>
    <x v="3"/>
    <s v="Janagaon"/>
    <s v="Palakurthi"/>
    <s v="Electrial Pipes &amp; Slab Liquid For RC Team"/>
    <m/>
    <m/>
    <m/>
    <n v="5120"/>
    <m/>
  </r>
  <r>
    <n v="491"/>
    <d v="2026-03-21T00:00:00"/>
    <x v="2"/>
    <x v="46"/>
    <s v="Hanamkonda"/>
    <s v="Hub"/>
    <s v="Advance For Plywood Runners Reff - Murthy"/>
    <m/>
    <m/>
    <m/>
    <n v="10000"/>
    <m/>
  </r>
  <r>
    <n v="492"/>
    <d v="2026-03-21T00:00:00"/>
    <x v="2"/>
    <x v="11"/>
    <s v="Hanamkonda"/>
    <s v="Hub"/>
    <s v="TS 34 T 3804 Shivareddy Auger Vehicle Diesel "/>
    <m/>
    <n v="31.25"/>
    <n v="96"/>
    <n v="3000"/>
    <m/>
  </r>
  <r>
    <n v="493"/>
    <d v="2026-03-21T00:00:00"/>
    <x v="2"/>
    <x v="32"/>
    <s v="Siddipet"/>
    <s v="RAIPOLE"/>
    <s v="Nais Purchased 1 Box"/>
    <m/>
    <m/>
    <m/>
    <n v="200"/>
    <m/>
  </r>
  <r>
    <n v="494"/>
    <d v="2026-03-21T00:00:00"/>
    <x v="2"/>
    <x v="10"/>
    <s v="Hanamkonda"/>
    <s v="Hub"/>
    <s v="AP 39 WB 2967 Tractor Diesel"/>
    <m/>
    <n v="40.319791666666667"/>
    <n v="96"/>
    <n v="3870.7"/>
    <m/>
  </r>
  <r>
    <n v="495"/>
    <d v="2026-03-21T00:00:00"/>
    <x v="2"/>
    <x v="10"/>
    <s v="Kamareddy"/>
    <s v="Lingampet"/>
    <s v="AP 40 KF 2837 Tractor Diesel"/>
    <m/>
    <n v="34.422395833333333"/>
    <n v="96"/>
    <n v="3304.55"/>
    <m/>
  </r>
  <r>
    <n v="496"/>
    <d v="2026-03-21T00:00:00"/>
    <x v="2"/>
    <x v="3"/>
    <s v="Siddipet"/>
    <s v="Siddipet Rural"/>
    <s v="Cutting BladesPurchases"/>
    <m/>
    <m/>
    <m/>
    <n v="500"/>
    <m/>
  </r>
  <r>
    <n v="497"/>
    <d v="2026-03-21T00:00:00"/>
    <x v="2"/>
    <x v="3"/>
    <s v="Kamareddy"/>
    <s v="Birkoor"/>
    <s v="Nails And Other Tools Purchased "/>
    <m/>
    <m/>
    <m/>
    <n v="1505"/>
    <m/>
  </r>
  <r>
    <n v="498"/>
    <d v="2026-03-21T00:00:00"/>
    <x v="2"/>
    <x v="11"/>
    <s v="Hanamkonda"/>
    <s v="Hub"/>
    <s v="murthy auger vehcile diesel"/>
    <m/>
    <n v="54.939583333333331"/>
    <n v="96"/>
    <n v="5274.2"/>
    <m/>
  </r>
  <r>
    <n v="499"/>
    <d v="2026-03-21T00:00:00"/>
    <x v="2"/>
    <x v="3"/>
    <s v="Hanamkonda"/>
    <s v="Hub"/>
    <s v="Cutting Blade Big"/>
    <m/>
    <m/>
    <m/>
    <n v="190"/>
    <m/>
  </r>
  <r>
    <n v="500"/>
    <d v="2026-03-21T00:00:00"/>
    <x v="2"/>
    <x v="22"/>
    <s v="Hanamkonda"/>
    <s v="Hub"/>
    <s v="Led Lights For Nirmith Kendhram"/>
    <m/>
    <m/>
    <m/>
    <n v="6720"/>
    <m/>
  </r>
  <r>
    <n v="501"/>
    <d v="2026-03-21T00:00:00"/>
    <x v="2"/>
    <x v="47"/>
    <s v="Narayanpet"/>
    <s v="Kosigi"/>
    <s v="Chandravancha 4 Sites * 2300"/>
    <m/>
    <m/>
    <m/>
    <n v="9200"/>
    <m/>
  </r>
  <r>
    <n v="502"/>
    <d v="2026-03-22T00:00:00"/>
    <x v="2"/>
    <x v="23"/>
    <s v="Hanamkonda"/>
    <s v="Hub"/>
    <s v="Supervisor's Salary For Feb-2026"/>
    <m/>
    <m/>
    <m/>
    <n v="734420"/>
    <m/>
  </r>
  <r>
    <n v="503"/>
    <d v="2026-03-22T00:00:00"/>
    <x v="2"/>
    <x v="48"/>
    <s v="Hanamkonda"/>
    <s v="Hub"/>
    <s v="Printer &amp; Paper Bundles"/>
    <m/>
    <m/>
    <m/>
    <n v="13000"/>
    <m/>
  </r>
  <r>
    <n v="504"/>
    <d v="2026-03-22T00:00:00"/>
    <x v="2"/>
    <x v="18"/>
    <s v="Hanamkonda"/>
    <s v="Hub"/>
    <s v="26 Rmc Vehicles &amp; 13 Pump &amp; 6 Cement Bags"/>
    <m/>
    <m/>
    <m/>
    <n v="7000"/>
    <m/>
  </r>
  <r>
    <n v="505"/>
    <d v="2026-03-22T00:00:00"/>
    <x v="2"/>
    <x v="5"/>
    <s v="Hanamkonda"/>
    <s v="Wardhannapet"/>
    <s v="Labour Expesnes And Shifting Expenses"/>
    <m/>
    <m/>
    <m/>
    <n v="3290"/>
    <m/>
  </r>
  <r>
    <n v="506"/>
    <d v="2026-03-22T00:00:00"/>
    <x v="2"/>
    <x v="18"/>
    <s v="Hanamkonda"/>
    <s v="Dharmasagar"/>
    <s v="4 Rmc &amp;  4 Pump Beta"/>
    <m/>
    <m/>
    <m/>
    <n v="1000"/>
    <m/>
  </r>
  <r>
    <n v="507"/>
    <d v="2026-03-22T00:00:00"/>
    <x v="2"/>
    <x v="10"/>
    <s v="Siddipet"/>
    <s v="RAIPOLE"/>
    <s v="Tractor Diesel"/>
    <m/>
    <n v="20.833333333333332"/>
    <n v="96"/>
    <n v="2000"/>
    <m/>
  </r>
  <r>
    <n v="508"/>
    <d v="2026-03-22T00:00:00"/>
    <x v="2"/>
    <x v="38"/>
    <s v="Hanamkonda"/>
    <s v="Hub"/>
    <s v="SHIVAM Chauhan Carpenter"/>
    <m/>
    <m/>
    <m/>
    <n v="30000"/>
    <m/>
  </r>
  <r>
    <n v="509"/>
    <d v="2026-03-22T00:00:00"/>
    <x v="2"/>
    <x v="1"/>
    <s v="Hanamkonda"/>
    <s v="Hub"/>
    <s v="0913 Eicher VehicLE Rent"/>
    <m/>
    <m/>
    <m/>
    <n v="50000"/>
    <m/>
  </r>
  <r>
    <n v="510"/>
    <d v="2026-03-22T00:00:00"/>
    <x v="2"/>
    <x v="46"/>
    <s v="Narayanpet"/>
    <s v="Kosigi"/>
    <s v="Wood Runners"/>
    <m/>
    <m/>
    <m/>
    <n v="2000"/>
    <m/>
  </r>
  <r>
    <n v="511"/>
    <d v="2026-03-23T00:00:00"/>
    <x v="2"/>
    <x v="3"/>
    <s v="Kamareddy"/>
    <s v="Kamareddy"/>
    <s v="Suit Pipes 2 Lingampet &amp; Rajampet"/>
    <m/>
    <m/>
    <m/>
    <n v="9800"/>
    <m/>
  </r>
  <r>
    <n v="512"/>
    <d v="2026-03-23T00:00:00"/>
    <x v="2"/>
    <x v="10"/>
    <s v="Hanamkonda"/>
    <s v="Hub"/>
    <s v="Tractor Diesel"/>
    <m/>
    <n v="41.666666666666664"/>
    <n v="96"/>
    <n v="4000"/>
    <m/>
  </r>
  <r>
    <n v="513"/>
    <d v="2026-03-23T00:00:00"/>
    <x v="2"/>
    <x v="10"/>
    <s v="Siddipet"/>
    <s v="Siddipet Rural"/>
    <s v="Tractor Diesel"/>
    <m/>
    <n v="20.833333333333332"/>
    <n v="96"/>
    <n v="2000"/>
    <m/>
  </r>
  <r>
    <n v="514"/>
    <d v="2026-03-23T00:00:00"/>
    <x v="2"/>
    <x v="10"/>
    <s v="Kamareddy"/>
    <s v="Birkoor"/>
    <s v="Tractor Diesel"/>
    <m/>
    <n v="20.833333333333332"/>
    <n v="96"/>
    <n v="2000"/>
    <m/>
  </r>
  <r>
    <n v="515"/>
    <d v="2026-03-23T00:00:00"/>
    <x v="2"/>
    <x v="7"/>
    <s v="Narayanpet"/>
    <s v="Kosigi"/>
    <s v="Chandravancha Runners"/>
    <m/>
    <m/>
    <m/>
    <n v="8000"/>
    <m/>
  </r>
  <r>
    <n v="516"/>
    <d v="2026-03-23T00:00:00"/>
    <x v="2"/>
    <x v="3"/>
    <s v="Narayanpet"/>
    <s v="Kosigi"/>
    <s v="Wood Cutting Machine"/>
    <m/>
    <m/>
    <m/>
    <n v="3000"/>
    <m/>
  </r>
  <r>
    <n v="517"/>
    <d v="2026-03-24T00:00:00"/>
    <x v="2"/>
    <x v="49"/>
    <s v="Siddipet"/>
    <s v="Siddipet"/>
    <s v="Mou Team Xerox"/>
    <m/>
    <m/>
    <m/>
    <n v="500"/>
    <m/>
  </r>
  <r>
    <n v="518"/>
    <d v="2026-03-24T00:00:00"/>
    <x v="2"/>
    <x v="10"/>
    <s v="Kamareddy"/>
    <s v="Birkoor"/>
    <s v="Tractor Diesel"/>
    <m/>
    <n v="37.416666666666664"/>
    <n v="96"/>
    <n v="3592"/>
    <m/>
  </r>
  <r>
    <n v="519"/>
    <d v="2026-03-24T00:00:00"/>
    <x v="2"/>
    <x v="10"/>
    <s v="Bhongir"/>
    <s v="Valigonda"/>
    <s v="Tractor Diesel"/>
    <m/>
    <n v="31.25"/>
    <n v="96"/>
    <n v="3000"/>
    <m/>
  </r>
  <r>
    <n v="520"/>
    <d v="2026-03-24T00:00:00"/>
    <x v="2"/>
    <x v="3"/>
    <s v="Kamareddy"/>
    <s v="Lingampet"/>
    <s v="Tarpalin Purchased "/>
    <m/>
    <m/>
    <m/>
    <n v="800"/>
    <m/>
  </r>
  <r>
    <n v="521"/>
    <d v="2026-03-24T00:00:00"/>
    <x v="2"/>
    <x v="11"/>
    <s v="Hanamkonda"/>
    <s v="Hub"/>
    <s v="TS 34 T 3804 Shivareddy Auger Vehicle Diesel "/>
    <m/>
    <n v="20.833333333333332"/>
    <n v="96"/>
    <n v="2000"/>
    <m/>
  </r>
  <r>
    <n v="522"/>
    <d v="2026-03-24T00:00:00"/>
    <x v="2"/>
    <x v="10"/>
    <s v="Janagaon"/>
    <s v="Tharigoppula"/>
    <s v="AP 40 KE 2834 Tractor Diesel"/>
    <m/>
    <n v="20.833333333333332"/>
    <n v="96"/>
    <n v="2000"/>
    <m/>
  </r>
  <r>
    <n v="523"/>
    <d v="2026-03-24T00:00:00"/>
    <x v="2"/>
    <x v="10"/>
    <s v="Kamareddy"/>
    <s v="Lingampet"/>
    <s v="Tractor Diesel"/>
    <m/>
    <n v="20.833333333333332"/>
    <n v="96"/>
    <n v="2000"/>
    <m/>
  </r>
  <r>
    <n v="524"/>
    <d v="2026-03-25T00:00:00"/>
    <x v="2"/>
    <x v="11"/>
    <s v="Hanamkonda"/>
    <s v="Hub"/>
    <s v="TS 34 T 3804 Shivareddy Auger Vehicle Diesel "/>
    <m/>
    <n v="31.25"/>
    <n v="96"/>
    <n v="3000"/>
    <m/>
  </r>
  <r>
    <n v="525"/>
    <d v="2026-03-25T00:00:00"/>
    <x v="2"/>
    <x v="10"/>
    <s v="Siddipet"/>
    <s v="Siddipet Rural"/>
    <s v="Tractor Diesel"/>
    <m/>
    <n v="20.833333333333332"/>
    <n v="96"/>
    <n v="2000"/>
    <m/>
  </r>
  <r>
    <n v="526"/>
    <d v="2026-03-25T00:00:00"/>
    <x v="2"/>
    <x v="27"/>
    <s v="Narayanpet"/>
    <s v="Kosigi"/>
    <s v="12 MM 735 KG"/>
    <s v="12 MM STEEL"/>
    <n v="735"/>
    <n v="60"/>
    <n v="44100"/>
    <m/>
  </r>
  <r>
    <n v="527"/>
    <d v="2026-03-25T00:00:00"/>
    <x v="2"/>
    <x v="27"/>
    <s v="Narayanpet"/>
    <s v="Kosigi"/>
    <s v="10 MM 504 KG"/>
    <s v="10MM Steel"/>
    <n v="504"/>
    <n v="61.5"/>
    <n v="30996"/>
    <m/>
  </r>
  <r>
    <n v="528"/>
    <d v="2026-03-25T00:00:00"/>
    <x v="2"/>
    <x v="8"/>
    <s v="Narayanpet"/>
    <s v="Kosigi"/>
    <s v="Iron loading"/>
    <m/>
    <m/>
    <m/>
    <n v="310"/>
    <m/>
  </r>
  <r>
    <n v="529"/>
    <d v="2026-03-25T00:00:00"/>
    <x v="2"/>
    <x v="32"/>
    <s v="Hanamkonda"/>
    <s v="Hub"/>
    <s v="Plywood sheets Making"/>
    <m/>
    <m/>
    <m/>
    <n v="850"/>
    <m/>
  </r>
  <r>
    <n v="530"/>
    <d v="2026-03-25T00:00:00"/>
    <x v="2"/>
    <x v="9"/>
    <s v="Hanamkonda"/>
    <s v="Hub"/>
    <s v="Room ExPESNES By Siva Reddy"/>
    <m/>
    <m/>
    <m/>
    <n v="5000"/>
    <m/>
  </r>
  <r>
    <n v="531"/>
    <d v="2026-03-25T00:00:00"/>
    <x v="2"/>
    <x v="34"/>
    <s v="Hanamkonda"/>
    <s v="Hub"/>
    <s v="BINDING WIRE 50 KG"/>
    <s v="Binding wire"/>
    <n v="50"/>
    <n v="78"/>
    <n v="3900"/>
    <m/>
  </r>
  <r>
    <n v="532"/>
    <d v="2026-03-25T00:00:00"/>
    <x v="2"/>
    <x v="11"/>
    <s v="Kamareddy"/>
    <s v="Birkoor"/>
    <s v="murthy auger vehcile diesel"/>
    <m/>
    <n v="31.25"/>
    <n v="96"/>
    <n v="3000"/>
    <m/>
  </r>
  <r>
    <n v="533"/>
    <d v="2026-03-25T00:00:00"/>
    <x v="2"/>
    <x v="4"/>
    <s v="Hanamkonda"/>
    <s v="Hub"/>
    <s v="Tractor Driver Food AND Daily Expenses"/>
    <m/>
    <m/>
    <m/>
    <n v="20000"/>
    <m/>
  </r>
  <r>
    <n v="534"/>
    <d v="2026-03-25T00:00:00"/>
    <x v="2"/>
    <x v="3"/>
    <s v="Hanamkonda"/>
    <s v="Hub"/>
    <s v="4  Suit Pipes purchase "/>
    <m/>
    <m/>
    <m/>
    <n v="18800"/>
    <m/>
  </r>
  <r>
    <n v="535"/>
    <d v="2026-03-26T00:00:00"/>
    <x v="2"/>
    <x v="3"/>
    <s v="Kamareddy"/>
    <s v="Birkoor"/>
    <s v="Cutting BladesPurchases"/>
    <m/>
    <m/>
    <m/>
    <n v="625"/>
    <m/>
  </r>
  <r>
    <n v="536"/>
    <d v="2026-03-26T00:00:00"/>
    <x v="2"/>
    <x v="10"/>
    <s v="Hanamkonda"/>
    <s v="Parvathagiri"/>
    <s v="Tractor Diesel"/>
    <m/>
    <n v="20.833333333333332"/>
    <n v="96"/>
    <n v="2000"/>
    <m/>
  </r>
  <r>
    <n v="537"/>
    <d v="2026-03-26T00:00:00"/>
    <x v="2"/>
    <x v="8"/>
    <s v="Bhongir"/>
    <s v="Valigonda"/>
    <s v="material loading "/>
    <m/>
    <m/>
    <m/>
    <n v="2000"/>
    <m/>
  </r>
  <r>
    <n v="538"/>
    <d v="2026-03-26T00:00:00"/>
    <x v="2"/>
    <x v="32"/>
    <s v="Janagaon"/>
    <s v="Palakurthi"/>
    <s v="NAIls"/>
    <m/>
    <m/>
    <m/>
    <n v="600"/>
    <m/>
  </r>
  <r>
    <n v="539"/>
    <d v="2026-03-26T00:00:00"/>
    <x v="2"/>
    <x v="11"/>
    <s v="Hanamkonda"/>
    <s v="Hub"/>
    <s v="TS 34 T 3804 Shivareddy Auger Vehicle Diesel "/>
    <m/>
    <n v="31.25"/>
    <n v="96"/>
    <n v="3000"/>
    <m/>
  </r>
  <r>
    <n v="540"/>
    <d v="2026-03-26T00:00:00"/>
    <x v="2"/>
    <x v="46"/>
    <s v="Hanamkonda"/>
    <s v="Hub"/>
    <s v="Runners"/>
    <m/>
    <m/>
    <m/>
    <n v="10000"/>
    <m/>
  </r>
  <r>
    <n v="541"/>
    <d v="2026-03-26T00:00:00"/>
    <x v="2"/>
    <x v="10"/>
    <s v="Hanamkonda"/>
    <s v="Hub"/>
    <s v="Tractor Diesel"/>
    <m/>
    <n v="43.28125"/>
    <n v="96"/>
    <n v="4155"/>
    <m/>
  </r>
  <r>
    <n v="542"/>
    <d v="2026-03-26T00:00:00"/>
    <x v="2"/>
    <x v="10"/>
    <s v="Kamareddy"/>
    <s v="Lingampet"/>
    <s v="Tractor Diesel"/>
    <m/>
    <n v="20.833333333333332"/>
    <n v="96"/>
    <n v="2000"/>
    <m/>
  </r>
  <r>
    <n v="543"/>
    <d v="2026-03-26T00:00:00"/>
    <x v="2"/>
    <x v="5"/>
    <s v="Siddipet"/>
    <s v="Siddipet"/>
    <s v="Mou Team Company Sim Recharge"/>
    <m/>
    <m/>
    <m/>
    <n v="220"/>
    <m/>
  </r>
  <r>
    <n v="544"/>
    <d v="2026-03-26T00:00:00"/>
    <x v="2"/>
    <x v="46"/>
    <s v="Hanamkonda"/>
    <s v="Hub"/>
    <s v="Runners"/>
    <m/>
    <m/>
    <m/>
    <n v="10000"/>
    <m/>
  </r>
  <r>
    <n v="545"/>
    <d v="2026-03-26T00:00:00"/>
    <x v="2"/>
    <x v="18"/>
    <s v="Narayanpet"/>
    <s v="Kosigi"/>
    <s v="RMC Beta"/>
    <m/>
    <m/>
    <m/>
    <n v="800"/>
    <m/>
  </r>
  <r>
    <n v="546"/>
    <d v="2026-03-27T00:00:00"/>
    <x v="2"/>
    <x v="11"/>
    <s v="Hanamkonda"/>
    <s v="Hub"/>
    <s v="TS 34 T 3804 Shivareddy Auger Vehicle Diesel "/>
    <m/>
    <n v="30.114583333333332"/>
    <n v="96"/>
    <n v="2891"/>
    <m/>
  </r>
  <r>
    <n v="547"/>
    <d v="2026-03-27T00:00:00"/>
    <x v="2"/>
    <x v="10"/>
    <s v="Hanamkonda"/>
    <s v="Hub"/>
    <s v="Tractor Diesel"/>
    <m/>
    <n v="41.666666666666664"/>
    <n v="96"/>
    <n v="4000"/>
    <m/>
  </r>
  <r>
    <n v="548"/>
    <d v="2026-03-27T00:00:00"/>
    <x v="2"/>
    <x v="3"/>
    <s v="Kamareddy"/>
    <s v="Lingampet"/>
    <s v="Labour tools"/>
    <m/>
    <m/>
    <m/>
    <n v="2441"/>
    <m/>
  </r>
  <r>
    <n v="549"/>
    <d v="2026-03-27T00:00:00"/>
    <x v="2"/>
    <x v="18"/>
    <s v="Kamareddy"/>
    <s v="Lingampet"/>
    <s v="rmc bet"/>
    <m/>
    <m/>
    <m/>
    <n v="550"/>
    <m/>
  </r>
  <r>
    <n v="550"/>
    <d v="2026-03-27T00:00:00"/>
    <x v="2"/>
    <x v="4"/>
    <s v="Kamareddy"/>
    <s v="Lingampet"/>
    <s v="LabouR Food"/>
    <m/>
    <m/>
    <m/>
    <n v="300"/>
    <m/>
  </r>
  <r>
    <n v="551"/>
    <d v="2026-03-27T00:00:00"/>
    <x v="2"/>
    <x v="2"/>
    <s v="Kamareddy"/>
    <s v="Lingampet"/>
    <s v="10 LITRES"/>
    <m/>
    <m/>
    <m/>
    <n v="400"/>
    <m/>
  </r>
  <r>
    <n v="552"/>
    <d v="2026-03-27T00:00:00"/>
    <x v="2"/>
    <x v="10"/>
    <s v="Hanamkonda"/>
    <s v="Hub"/>
    <s v="AP39TH0913 DCM Vehical Diesel Payment "/>
    <m/>
    <n v="164.29166666666666"/>
    <n v="96"/>
    <n v="15772"/>
    <m/>
  </r>
  <r>
    <n v="553"/>
    <d v="2026-03-27T00:00:00"/>
    <x v="2"/>
    <x v="47"/>
    <s v="Narayanpet"/>
    <s v="Kosigi"/>
    <s v="3 House Auger Holes"/>
    <m/>
    <m/>
    <m/>
    <n v="6900"/>
    <m/>
  </r>
  <r>
    <n v="554"/>
    <d v="2026-03-27T00:00:00"/>
    <x v="2"/>
    <x v="23"/>
    <s v="Hanamkonda"/>
    <s v="Hub"/>
    <s v="Mou Team Ramana"/>
    <m/>
    <m/>
    <m/>
    <n v="40000"/>
    <m/>
  </r>
  <r>
    <n v="555"/>
    <d v="2026-03-27T00:00:00"/>
    <x v="2"/>
    <x v="10"/>
    <s v="Kamareddy"/>
    <s v="Birkoor"/>
    <s v="Tractor  Diesel"/>
    <m/>
    <n v="31.25"/>
    <n v="96"/>
    <n v="3000"/>
    <m/>
  </r>
  <r>
    <n v="556"/>
    <d v="2026-03-27T00:00:00"/>
    <x v="2"/>
    <x v="22"/>
    <s v="Hanamkonda"/>
    <s v="Nadikuda"/>
    <s v="Electric Material"/>
    <m/>
    <m/>
    <m/>
    <n v="550"/>
    <m/>
  </r>
  <r>
    <n v="557"/>
    <d v="2026-03-27T00:00:00"/>
    <x v="2"/>
    <x v="10"/>
    <s v="Hanamkonda"/>
    <s v="Wardhannapet"/>
    <s v="Tractor Diesel"/>
    <m/>
    <n v="62.412395833333335"/>
    <n v="96"/>
    <n v="5991.59"/>
    <m/>
  </r>
  <r>
    <n v="558"/>
    <d v="2026-03-27T00:00:00"/>
    <x v="2"/>
    <x v="9"/>
    <s v="Hanamkonda"/>
    <s v="Hub"/>
    <s v="Signet Sreemavi Apartmrnt"/>
    <m/>
    <m/>
    <m/>
    <n v="70000"/>
    <m/>
  </r>
  <r>
    <n v="559"/>
    <d v="2026-03-27T00:00:00"/>
    <x v="2"/>
    <x v="3"/>
    <s v="Hanamkonda"/>
    <s v="Hub"/>
    <s v="tool"/>
    <m/>
    <m/>
    <m/>
    <n v="400"/>
    <m/>
  </r>
  <r>
    <n v="560"/>
    <d v="2026-03-27T00:00:00"/>
    <x v="2"/>
    <x v="10"/>
    <s v="Janagaon"/>
    <s v="Tharigoppula"/>
    <s v="AP 40 KE 2834 Tractor Diesel"/>
    <m/>
    <n v="20.833333333333332"/>
    <n v="96"/>
    <n v="2000"/>
    <m/>
  </r>
  <r>
    <n v="561"/>
    <d v="2026-03-27T00:00:00"/>
    <x v="2"/>
    <x v="3"/>
    <s v="Narayanpet"/>
    <s v="Kosigi"/>
    <s v="3 Hammers"/>
    <m/>
    <m/>
    <m/>
    <n v="420"/>
    <m/>
  </r>
  <r>
    <n v="562"/>
    <d v="2026-03-28T00:00:00"/>
    <x v="2"/>
    <x v="42"/>
    <s v="Hanamkonda"/>
    <s v="Hub"/>
    <s v="hitech Machinary Purchase"/>
    <m/>
    <m/>
    <m/>
    <n v="1750"/>
    <m/>
  </r>
  <r>
    <n v="563"/>
    <d v="2026-03-28T00:00:00"/>
    <x v="2"/>
    <x v="9"/>
    <s v="Kamareddy"/>
    <s v="Kamareddy"/>
    <s v="Hotel ROOM  SUDHAKARA REDDY"/>
    <m/>
    <m/>
    <m/>
    <n v="2000"/>
    <m/>
  </r>
  <r>
    <n v="564"/>
    <d v="2026-03-28T00:00:00"/>
    <x v="2"/>
    <x v="34"/>
    <s v="Kamareddy"/>
    <s v="Lingampet"/>
    <s v="25 KGS"/>
    <s v="Binding wire"/>
    <n v="25"/>
    <n v="80"/>
    <n v="2000"/>
    <m/>
  </r>
  <r>
    <n v="565"/>
    <d v="2026-03-28T00:00:00"/>
    <x v="2"/>
    <x v="42"/>
    <s v="Hanamkonda"/>
    <s v="Hub"/>
    <s v="Weldinh Machine And Pressure"/>
    <m/>
    <m/>
    <m/>
    <n v="20500"/>
    <m/>
  </r>
  <r>
    <n v="566"/>
    <d v="2026-03-28T00:00:00"/>
    <x v="2"/>
    <x v="3"/>
    <s v="Hanamkonda"/>
    <s v="Hub"/>
    <s v="taapilu"/>
    <m/>
    <m/>
    <m/>
    <n v="140"/>
    <m/>
  </r>
  <r>
    <n v="567"/>
    <d v="2026-03-28T00:00:00"/>
    <x v="2"/>
    <x v="42"/>
    <s v="Hanamkonda"/>
    <s v="Hub"/>
    <s v="RC Vibrators"/>
    <m/>
    <m/>
    <m/>
    <n v="27000"/>
    <m/>
  </r>
  <r>
    <n v="568"/>
    <d v="2026-03-28T00:00:00"/>
    <x v="2"/>
    <x v="10"/>
    <s v="Hanamkonda"/>
    <s v="Wardhannapet"/>
    <s v="Tractor Diesel"/>
    <m/>
    <n v="20.833333333333332"/>
    <n v="96"/>
    <n v="2000"/>
    <m/>
  </r>
  <r>
    <n v="569"/>
    <d v="2026-03-28T00:00:00"/>
    <x v="2"/>
    <x v="3"/>
    <s v="Kamareddy"/>
    <s v="Domakonda"/>
    <s v="SUIT PIPE"/>
    <m/>
    <m/>
    <m/>
    <n v="4900"/>
    <m/>
  </r>
  <r>
    <n v="570"/>
    <d v="2026-03-28T00:00:00"/>
    <x v="2"/>
    <x v="1"/>
    <s v="Kamareddy"/>
    <s v="Birkoor"/>
    <s v="Tractor Rent"/>
    <m/>
    <m/>
    <m/>
    <n v="1200"/>
    <m/>
  </r>
  <r>
    <n v="571"/>
    <d v="2026-03-28T00:00:00"/>
    <x v="2"/>
    <x v="8"/>
    <s v="Kamareddy"/>
    <s v="Birkoor"/>
    <s v="Unloading"/>
    <m/>
    <m/>
    <m/>
    <n v="2300"/>
    <m/>
  </r>
  <r>
    <n v="572"/>
    <d v="2026-03-28T00:00:00"/>
    <x v="2"/>
    <x v="32"/>
    <s v="Narayanpet"/>
    <s v="Kosigi"/>
    <s v="NAILS"/>
    <m/>
    <m/>
    <m/>
    <n v="1800"/>
    <m/>
  </r>
  <r>
    <n v="573"/>
    <d v="2026-03-28T00:00:00"/>
    <x v="2"/>
    <x v="24"/>
    <s v="Janagaon"/>
    <s v="Tharigoppula"/>
    <s v="Tractor Puncture"/>
    <m/>
    <m/>
    <m/>
    <n v="300"/>
    <m/>
  </r>
  <r>
    <n v="574"/>
    <d v="2026-03-28T00:00:00"/>
    <x v="2"/>
    <x v="9"/>
    <s v="Siddipet"/>
    <s v="Siddipet Rural"/>
    <s v="Labour Room Rent"/>
    <m/>
    <m/>
    <m/>
    <n v="3000"/>
    <m/>
  </r>
  <r>
    <n v="575"/>
    <d v="2026-03-28T00:00:00"/>
    <x v="2"/>
    <x v="42"/>
    <s v="Kamareddy"/>
    <s v="Domakonda"/>
    <s v="Cutting Machine And Blades"/>
    <m/>
    <m/>
    <m/>
    <n v="5030"/>
    <m/>
  </r>
  <r>
    <n v="576"/>
    <d v="2026-03-28T00:00:00"/>
    <x v="2"/>
    <x v="34"/>
    <s v="Hanamkonda"/>
    <s v="Hub"/>
    <s v="50 KG"/>
    <s v="Binding wire"/>
    <n v="50"/>
    <n v="78"/>
    <n v="3900"/>
    <m/>
  </r>
  <r>
    <n v="577"/>
    <d v="2026-03-28T00:00:00"/>
    <x v="2"/>
    <x v="9"/>
    <s v="Siddipet"/>
    <s v="RAIPOLE"/>
    <s v="SUPErvisor's Room Rent "/>
    <m/>
    <m/>
    <m/>
    <n v="2500"/>
    <m/>
  </r>
  <r>
    <n v="578"/>
    <d v="2026-03-28T00:00:00"/>
    <x v="2"/>
    <x v="11"/>
    <s v="Hanamkonda"/>
    <s v="Hub"/>
    <s v="Murthy Auger Diesel 7040"/>
    <m/>
    <n v="20.833333333333332"/>
    <n v="96"/>
    <n v="2000"/>
    <m/>
  </r>
  <r>
    <n v="579"/>
    <d v="2026-03-28T00:00:00"/>
    <x v="2"/>
    <x v="9"/>
    <s v="Kamareddy"/>
    <s v="Kamareddy"/>
    <s v="Sudhakar Reddy Hotel Expenses"/>
    <m/>
    <m/>
    <m/>
    <n v="11000"/>
    <m/>
  </r>
  <r>
    <n v="580"/>
    <d v="2026-03-22T00:00:00"/>
    <x v="2"/>
    <x v="18"/>
    <s v="Hanamkonda"/>
    <s v="Hub"/>
    <s v="6 Cement"/>
    <m/>
    <n v="6"/>
    <n v="300"/>
    <n v="1800"/>
    <m/>
  </r>
  <r>
    <n v="581"/>
    <d v="2026-03-29T00:00:00"/>
    <x v="2"/>
    <x v="18"/>
    <s v="Hanamkonda"/>
    <s v="Parvathagiri"/>
    <s v="Rmc Beta And Cement"/>
    <m/>
    <m/>
    <m/>
    <n v="900"/>
    <m/>
  </r>
  <r>
    <n v="582"/>
    <d v="2026-03-29T00:00:00"/>
    <x v="2"/>
    <x v="38"/>
    <s v="Hanamkonda"/>
    <s v="Hub"/>
    <s v="Shuttering Making Shivam Chauhan"/>
    <m/>
    <m/>
    <m/>
    <n v="20000"/>
    <m/>
  </r>
  <r>
    <n v="583"/>
    <d v="2026-03-29T00:00:00"/>
    <x v="2"/>
    <x v="10"/>
    <s v="Kamareddy"/>
    <s v="Domakonda"/>
    <s v="Tractor Diesel"/>
    <m/>
    <n v="30.737083333333334"/>
    <n v="96"/>
    <n v="2950.76"/>
    <m/>
  </r>
  <r>
    <n v="584"/>
    <d v="2026-03-29T00:00:00"/>
    <x v="2"/>
    <x v="10"/>
    <s v="Kamareddy"/>
    <s v="Lingampet"/>
    <s v="Tractor Diesel"/>
    <m/>
    <n v="20.833333333333332"/>
    <n v="96"/>
    <n v="2000"/>
    <m/>
  </r>
  <r>
    <n v="585"/>
    <d v="2026-03-29T00:00:00"/>
    <x v="2"/>
    <x v="7"/>
    <s v="Kamareddy"/>
    <s v="Kamareddy"/>
    <s v="Runners By Pavan"/>
    <m/>
    <m/>
    <m/>
    <n v="33000"/>
    <m/>
  </r>
  <r>
    <n v="586"/>
    <d v="2026-03-29T00:00:00"/>
    <x v="2"/>
    <x v="7"/>
    <s v="Hanamkonda"/>
    <s v="Hub"/>
    <s v="Runners"/>
    <m/>
    <m/>
    <m/>
    <n v="44000"/>
    <m/>
  </r>
  <r>
    <n v="587"/>
    <d v="2026-03-29T00:00:00"/>
    <x v="2"/>
    <x v="10"/>
    <s v="Siddipet"/>
    <s v="Doultabad"/>
    <s v="Tractor Diesel"/>
    <m/>
    <n v="20.833333333333332"/>
    <n v="96"/>
    <n v="2000"/>
    <m/>
  </r>
  <r>
    <n v="588"/>
    <d v="2026-03-29T00:00:00"/>
    <x v="2"/>
    <x v="50"/>
    <s v="Hanamkonda"/>
    <s v="Hub"/>
    <s v="Electricity Bill feb"/>
    <m/>
    <m/>
    <m/>
    <n v="9181"/>
    <m/>
  </r>
  <r>
    <n v="589"/>
    <d v="2026-03-29T00:00:00"/>
    <x v="2"/>
    <x v="27"/>
    <s v="Hanamkonda"/>
    <s v="Hub"/>
    <s v="3 Tons Iron 12 MM"/>
    <s v="12 MM STEEL"/>
    <n v="3000"/>
    <n v="58.42"/>
    <n v="175260"/>
    <m/>
  </r>
  <r>
    <n v="590"/>
    <d v="2026-03-29T00:00:00"/>
    <x v="2"/>
    <x v="9"/>
    <s v="Kamareddy"/>
    <s v="Kamareddy"/>
    <s v="Sudhakar Reddy  Flat Advance"/>
    <m/>
    <m/>
    <m/>
    <n v="26000"/>
    <m/>
  </r>
  <r>
    <n v="591"/>
    <d v="2026-03-30T00:00:00"/>
    <x v="2"/>
    <x v="9"/>
    <s v="Bhongir"/>
    <s v="Valigonda"/>
    <s v="Supervisor's Room Rent 2 Months"/>
    <m/>
    <m/>
    <m/>
    <n v="15080"/>
    <m/>
  </r>
  <r>
    <n v="592"/>
    <d v="2026-03-30T00:00:00"/>
    <x v="2"/>
    <x v="2"/>
    <s v="Hanamkonda"/>
    <s v="Parvathagiri"/>
    <s v="Waste Oil"/>
    <m/>
    <m/>
    <m/>
    <n v="250"/>
    <m/>
  </r>
  <r>
    <n v="593"/>
    <d v="2026-03-30T00:00:00"/>
    <x v="2"/>
    <x v="9"/>
    <s v="Siddipet"/>
    <s v="Siddipet Rural"/>
    <s v="Raghavapur Room Rent"/>
    <m/>
    <m/>
    <m/>
    <n v="3000"/>
    <m/>
  </r>
  <r>
    <n v="594"/>
    <d v="2026-03-30T00:00:00"/>
    <x v="2"/>
    <x v="18"/>
    <s v="Siddipet"/>
    <s v="Siddipet Rural"/>
    <s v="Rmc Beta"/>
    <m/>
    <m/>
    <m/>
    <n v="1100"/>
    <m/>
  </r>
  <r>
    <n v="595"/>
    <d v="2026-03-30T00:00:00"/>
    <x v="2"/>
    <x v="2"/>
    <s v="Siddipet"/>
    <s v="Siddipet Rural"/>
    <s v="4 Litres"/>
    <m/>
    <m/>
    <m/>
    <n v="200"/>
    <m/>
  </r>
  <r>
    <n v="596"/>
    <d v="2026-03-30T00:00:00"/>
    <x v="2"/>
    <x v="18"/>
    <s v="Siddipet"/>
    <s v="Mulug"/>
    <s v="Mulugu RMC Beta"/>
    <m/>
    <m/>
    <m/>
    <n v="1330"/>
    <m/>
  </r>
  <r>
    <n v="597"/>
    <d v="2026-03-30T00:00:00"/>
    <x v="2"/>
    <x v="18"/>
    <s v="Kamareddy"/>
    <s v="Lingampet"/>
    <s v="Rmc Beta"/>
    <m/>
    <m/>
    <m/>
    <n v="600"/>
    <m/>
  </r>
  <r>
    <n v="598"/>
    <d v="2026-03-30T00:00:00"/>
    <x v="2"/>
    <x v="18"/>
    <s v="Kamareddy"/>
    <s v="Rajampet"/>
    <s v="Rajampet Rmc Expesense"/>
    <m/>
    <m/>
    <m/>
    <n v="1310"/>
    <m/>
  </r>
  <r>
    <n v="599"/>
    <d v="2026-03-30T00:00:00"/>
    <x v="2"/>
    <x v="3"/>
    <s v="Kamareddy"/>
    <s v="Lingampet"/>
    <s v="Labour Tools"/>
    <m/>
    <m/>
    <m/>
    <n v="1580"/>
    <m/>
  </r>
  <r>
    <n v="600"/>
    <d v="2026-03-30T00:00:00"/>
    <x v="2"/>
    <x v="3"/>
    <s v="Kamareddy"/>
    <s v="Rajampet"/>
    <s v="Labour Tools"/>
    <m/>
    <m/>
    <m/>
    <n v="880"/>
    <m/>
  </r>
  <r>
    <n v="601"/>
    <d v="2026-03-30T00:00:00"/>
    <x v="2"/>
    <x v="3"/>
    <s v="Kamareddy"/>
    <s v="Rajampet"/>
    <s v="Wood Cutting Machine blade"/>
    <m/>
    <m/>
    <m/>
    <n v="300"/>
    <m/>
  </r>
  <r>
    <n v="602"/>
    <d v="2026-03-30T00:00:00"/>
    <x v="2"/>
    <x v="2"/>
    <s v="Kamareddy"/>
    <s v="Rajampet"/>
    <s v="4 Litres"/>
    <m/>
    <m/>
    <m/>
    <n v="200"/>
    <m/>
  </r>
  <r>
    <n v="603"/>
    <d v="2026-03-30T00:00:00"/>
    <x v="2"/>
    <x v="3"/>
    <s v="Kamareddy"/>
    <s v="Domakonda"/>
    <s v="Labour Tools"/>
    <m/>
    <m/>
    <m/>
    <n v="1600"/>
    <m/>
  </r>
  <r>
    <n v="604"/>
    <d v="2026-03-30T00:00:00"/>
    <x v="2"/>
    <x v="2"/>
    <s v="Kamareddy"/>
    <s v="Domakonda"/>
    <s v="10 Litres"/>
    <m/>
    <m/>
    <m/>
    <n v="500"/>
    <m/>
  </r>
  <r>
    <n v="605"/>
    <d v="2026-03-30T00:00:00"/>
    <x v="2"/>
    <x v="11"/>
    <s v="Kamareddy"/>
    <s v="Domakonda"/>
    <s v="Murthy Auger Diesel 7040"/>
    <m/>
    <n v="31.25"/>
    <n v="96"/>
    <n v="3000"/>
    <m/>
  </r>
  <r>
    <n v="606"/>
    <d v="2026-03-30T00:00:00"/>
    <x v="2"/>
    <x v="3"/>
    <s v="Kamareddy"/>
    <s v="Domakonda"/>
    <s v="Hammers 2 "/>
    <m/>
    <m/>
    <m/>
    <n v="280"/>
    <m/>
  </r>
  <r>
    <n v="607"/>
    <d v="2026-03-30T00:00:00"/>
    <x v="2"/>
    <x v="3"/>
    <s v="Kamareddy"/>
    <s v="Domakonda"/>
    <s v="Hammers 1"/>
    <m/>
    <m/>
    <m/>
    <n v="235"/>
    <m/>
  </r>
  <r>
    <n v="608"/>
    <d v="2026-03-30T00:00:00"/>
    <x v="2"/>
    <x v="3"/>
    <s v="Kamareddy"/>
    <s v="Domakonda"/>
    <s v="Water Can &amp; Bucket"/>
    <m/>
    <m/>
    <m/>
    <n v="390"/>
    <m/>
  </r>
  <r>
    <n v="609"/>
    <d v="2026-03-30T00:00:00"/>
    <x v="2"/>
    <x v="10"/>
    <s v="Hanamkonda"/>
    <s v="Hub"/>
    <s v="TS03UB7556  Tractor Diesel"/>
    <m/>
    <n v="28.385416666666668"/>
    <n v="96"/>
    <n v="2725"/>
    <m/>
  </r>
  <r>
    <n v="610"/>
    <d v="2026-03-30T00:00:00"/>
    <x v="2"/>
    <x v="3"/>
    <s v="Hanamkonda"/>
    <s v="Nadikuda"/>
    <s v="nadikuda Tools"/>
    <m/>
    <m/>
    <m/>
    <n v="460"/>
    <m/>
  </r>
  <r>
    <n v="611"/>
    <d v="2026-03-30T00:00:00"/>
    <x v="2"/>
    <x v="3"/>
    <s v="Hanamkonda"/>
    <s v="Nadikuda"/>
    <s v="nadikuda Tools"/>
    <m/>
    <m/>
    <m/>
    <n v="1140"/>
    <m/>
  </r>
  <r>
    <n v="612"/>
    <d v="2026-03-30T00:00:00"/>
    <x v="2"/>
    <x v="3"/>
    <s v="Janagaon"/>
    <s v="Palakurthi"/>
    <s v="RC Covering Tapes"/>
    <m/>
    <m/>
    <m/>
    <n v="1050"/>
    <m/>
  </r>
  <r>
    <n v="613"/>
    <d v="2026-03-30T00:00:00"/>
    <x v="2"/>
    <x v="3"/>
    <s v="Janagaon"/>
    <s v="Palakurthi"/>
    <s v="Water Can"/>
    <m/>
    <m/>
    <m/>
    <n v="200"/>
    <m/>
  </r>
  <r>
    <n v="614"/>
    <d v="2026-03-30T00:00:00"/>
    <x v="2"/>
    <x v="2"/>
    <s v="Janagaon"/>
    <s v="Palakurthi"/>
    <s v="BLACK OIL"/>
    <m/>
    <m/>
    <m/>
    <n v="700"/>
    <m/>
  </r>
  <r>
    <n v="615"/>
    <d v="2026-03-30T00:00:00"/>
    <x v="2"/>
    <x v="10"/>
    <s v="Hanamkonda"/>
    <s v="Hub"/>
    <s v="3 Tractors Diesel"/>
    <m/>
    <n v="93.464479166666663"/>
    <n v="96"/>
    <n v="8972.59"/>
    <m/>
  </r>
  <r>
    <n v="616"/>
    <d v="2026-03-31T00:00:00"/>
    <x v="2"/>
    <x v="27"/>
    <s v="Janagaon"/>
    <s v="Palakurthi"/>
    <s v="8 mm 4 Bundels"/>
    <s v="8MM Steel"/>
    <n v="303.44827586206895"/>
    <n v="58"/>
    <n v="17600"/>
    <m/>
  </r>
  <r>
    <n v="617"/>
    <d v="2026-03-31T00:00:00"/>
    <x v="2"/>
    <x v="34"/>
    <s v="Siddipet"/>
    <s v="Doultabad"/>
    <s v="50 kg"/>
    <s v="Binding wire"/>
    <n v="50"/>
    <n v="78"/>
    <n v="3900"/>
    <m/>
  </r>
  <r>
    <n v="618"/>
    <d v="2026-03-31T00:00:00"/>
    <x v="2"/>
    <x v="32"/>
    <s v="Siddipet"/>
    <s v="Doultabad"/>
    <s v="2 *10 *60 *200"/>
    <m/>
    <m/>
    <m/>
    <n v="1200"/>
    <m/>
  </r>
  <r>
    <n v="619"/>
    <d v="2026-03-31T00:00:00"/>
    <x v="2"/>
    <x v="32"/>
    <s v="Siddipet"/>
    <s v="Doultabad"/>
    <s v="2.5 *10 * 4 *200"/>
    <m/>
    <m/>
    <m/>
    <n v="800"/>
    <m/>
  </r>
  <r>
    <n v="620"/>
    <d v="2026-03-31T00:00:00"/>
    <x v="2"/>
    <x v="32"/>
    <s v="Siddipet"/>
    <s v="Doultabad"/>
    <s v="3* 10 *4*210"/>
    <m/>
    <m/>
    <m/>
    <n v="840"/>
    <m/>
  </r>
  <r>
    <n v="621"/>
    <d v="2026-03-31T00:00:00"/>
    <x v="2"/>
    <x v="3"/>
    <s v="Siddipet"/>
    <s v="Doultabad"/>
    <s v="Cutting blade"/>
    <m/>
    <m/>
    <m/>
    <n v="1600"/>
    <m/>
  </r>
  <r>
    <n v="622"/>
    <d v="2026-03-31T00:00:00"/>
    <x v="2"/>
    <x v="18"/>
    <s v="Janagaon"/>
    <s v="Tharigoppula"/>
    <s v="RMC BETA"/>
    <m/>
    <m/>
    <m/>
    <n v="1400"/>
    <m/>
  </r>
  <r>
    <n v="623"/>
    <d v="2026-03-31T00:00:00"/>
    <x v="2"/>
    <x v="11"/>
    <s v="Hanamkonda"/>
    <s v="Hub"/>
    <s v="AVS Reddy Auger "/>
    <m/>
    <n v="30.537187500000002"/>
    <n v="96"/>
    <n v="2931.57"/>
    <m/>
  </r>
  <r>
    <n v="624"/>
    <d v="2026-03-31T00:00:00"/>
    <x v="2"/>
    <x v="18"/>
    <s v="Hanamkonda"/>
    <s v="Hub"/>
    <s v="Rmc Beta"/>
    <m/>
    <m/>
    <m/>
    <n v="1525"/>
    <m/>
  </r>
  <r>
    <n v="625"/>
    <d v="2026-03-31T00:00:00"/>
    <x v="2"/>
    <x v="10"/>
    <s v="Hanamkonda"/>
    <s v="Hub"/>
    <s v="AP39TH0913 DCM Vehical Diesel Payment "/>
    <m/>
    <n v="140.625"/>
    <n v="96"/>
    <n v="13500"/>
    <m/>
  </r>
  <r>
    <n v="626"/>
    <d v="2026-03-31T00:00:00"/>
    <x v="2"/>
    <x v="3"/>
    <s v="Janagaon"/>
    <s v="Palakurthi"/>
    <s v="Iron &amp; Wood Cutting Blades"/>
    <m/>
    <m/>
    <m/>
    <n v="1320"/>
    <m/>
  </r>
  <r>
    <n v="627"/>
    <d v="2026-03-31T00:00:00"/>
    <x v="2"/>
    <x v="11"/>
    <s v="Hanamkonda"/>
    <s v="Hub"/>
    <s v="7040 murthy Auger"/>
    <m/>
    <n v="20.833333333333332"/>
    <n v="96"/>
    <n v="2000"/>
    <m/>
  </r>
  <r>
    <n v="628"/>
    <d v="2026-04-01T00:00:00"/>
    <x v="2"/>
    <x v="34"/>
    <s v="Kamareddy"/>
    <s v="Birkoor"/>
    <s v="Binding Wire &amp; Nails"/>
    <s v="Binding wire"/>
    <n v="50"/>
    <m/>
    <n v="5140"/>
    <m/>
  </r>
  <r>
    <n v="629"/>
    <d v="2026-04-01T00:00:00"/>
    <x v="2"/>
    <x v="10"/>
    <s v="Kamareddy"/>
    <s v="Birkoor"/>
    <s v="Tractor Diesel"/>
    <m/>
    <n v="31.25"/>
    <n v="96"/>
    <n v="3000"/>
    <m/>
  </r>
  <r>
    <n v="630"/>
    <d v="2026-04-01T00:00:00"/>
    <x v="2"/>
    <x v="11"/>
    <s v="Hanamkonda"/>
    <s v="Hub"/>
    <s v="AVS REDDY New Auger Diesel"/>
    <m/>
    <n v="53.125416666666666"/>
    <n v="96"/>
    <n v="5100.04"/>
    <m/>
  </r>
  <r>
    <n v="631"/>
    <d v="2026-04-01T00:00:00"/>
    <x v="2"/>
    <x v="10"/>
    <s v="Hanamkonda"/>
    <s v="Hub"/>
    <s v="AP26BZ3361 Tractor Deisel payment"/>
    <m/>
    <n v="21.220416666666669"/>
    <n v="96"/>
    <n v="2037.16"/>
    <m/>
  </r>
  <r>
    <n v="632"/>
    <d v="2026-04-01T00:00:00"/>
    <x v="2"/>
    <x v="45"/>
    <s v="Hanamkonda"/>
    <s v="Hub"/>
    <s v="AP39TH0913 DCM Eicher Vehicle Fastag Recharge"/>
    <m/>
    <m/>
    <m/>
    <n v="1003"/>
    <m/>
  </r>
  <r>
    <n v="633"/>
    <d v="2026-04-01T00:00:00"/>
    <x v="2"/>
    <x v="11"/>
    <s v="Hanamkonda"/>
    <s v="Hub"/>
    <s v="Murthy Auger Diesel 7040"/>
    <m/>
    <n v="20.833333333333332"/>
    <n v="96"/>
    <n v="2000"/>
    <m/>
  </r>
  <r>
    <n v="634"/>
    <d v="2026-04-01T00:00:00"/>
    <x v="2"/>
    <x v="23"/>
    <s v="Hanamkonda"/>
    <s v="Hub"/>
    <s v="Supervisor's Salaries    March-2026"/>
    <m/>
    <m/>
    <m/>
    <n v="1384024"/>
    <m/>
  </r>
  <r>
    <n v="635"/>
    <d v="2026-04-01T00:00:00"/>
    <x v="2"/>
    <x v="1"/>
    <s v="Hanamkonda"/>
    <s v="Hub"/>
    <s v="Vehicles Rents  March-2026 "/>
    <m/>
    <m/>
    <m/>
    <n v="473000"/>
    <m/>
  </r>
  <r>
    <n v="636"/>
    <d v="2026-04-01T00:00:00"/>
    <x v="0"/>
    <x v="5"/>
    <s v="Janagaon"/>
    <s v="Palakurthy"/>
    <s v="RMC BETA "/>
    <m/>
    <m/>
    <m/>
    <n v="300"/>
    <m/>
  </r>
  <r>
    <n v="637"/>
    <d v="2026-04-01T00:00:00"/>
    <x v="0"/>
    <x v="0"/>
    <s v="Bhongir"/>
    <s v="Valigonda"/>
    <s v="Runner Transport"/>
    <m/>
    <m/>
    <m/>
    <n v="400"/>
    <m/>
  </r>
  <r>
    <n v="638"/>
    <d v="2026-04-01T00:00:00"/>
    <x v="0"/>
    <x v="9"/>
    <s v="Janagaon"/>
    <s v="Palakurthy"/>
    <s v="Room Rent"/>
    <m/>
    <m/>
    <m/>
    <n v="4400"/>
    <m/>
  </r>
  <r>
    <n v="639"/>
    <d v="2026-04-01T00:00:00"/>
    <x v="0"/>
    <x v="3"/>
    <s v="Janagaon"/>
    <s v="Palakurthy"/>
    <s v="Mekulu"/>
    <m/>
    <m/>
    <m/>
    <n v="180"/>
    <m/>
  </r>
  <r>
    <n v="640"/>
    <d v="2026-04-02T00:00:00"/>
    <x v="2"/>
    <x v="10"/>
    <s v="Janagaon"/>
    <s v="Tharigoppula"/>
    <s v="AP 40 KE 2834 Tractor Diesel"/>
    <m/>
    <n v="20.833333333333332"/>
    <n v="96"/>
    <n v="2000"/>
    <m/>
  </r>
  <r>
    <n v="641"/>
    <d v="2026-04-02T00:00:00"/>
    <x v="2"/>
    <x v="49"/>
    <s v="Siddipet"/>
    <s v="Siddipet"/>
    <s v="MOU XEROXA"/>
    <m/>
    <m/>
    <m/>
    <n v="500"/>
    <m/>
  </r>
  <r>
    <n v="642"/>
    <d v="2026-04-02T00:00:00"/>
    <x v="2"/>
    <x v="0"/>
    <s v="Hanamkonda"/>
    <s v="Hub"/>
    <s v="Agreements Courier to Hanamkonda"/>
    <m/>
    <m/>
    <m/>
    <n v="2800"/>
    <m/>
  </r>
  <r>
    <n v="643"/>
    <d v="2026-04-02T00:00:00"/>
    <x v="2"/>
    <x v="3"/>
    <s v="Kamareddy"/>
    <s v="Domakonda"/>
    <s v="Drums &amp; Water Pipe"/>
    <m/>
    <m/>
    <m/>
    <n v="2300"/>
    <m/>
  </r>
  <r>
    <n v="644"/>
    <d v="2026-04-02T00:00:00"/>
    <x v="2"/>
    <x v="10"/>
    <s v="Hanamkonda"/>
    <s v="Hub"/>
    <s v="AP 39 WB 2967 Tractor Diesel"/>
    <m/>
    <n v="31.25"/>
    <n v="96"/>
    <n v="3000"/>
    <m/>
  </r>
  <r>
    <n v="645"/>
    <d v="2026-04-02T00:00:00"/>
    <x v="2"/>
    <x v="32"/>
    <s v="Kamareddy"/>
    <s v="Domakonda"/>
    <s v="Nails puurchased"/>
    <m/>
    <m/>
    <m/>
    <n v="1290"/>
    <m/>
  </r>
  <r>
    <n v="646"/>
    <d v="2026-04-02T00:00:00"/>
    <x v="2"/>
    <x v="10"/>
    <s v="Siddipet"/>
    <s v="Doultabad"/>
    <s v="TS 32 T 1002 Tractor Diesel"/>
    <m/>
    <n v="20.833333333333332"/>
    <n v="96"/>
    <n v="2000"/>
    <m/>
  </r>
  <r>
    <n v="647"/>
    <d v="2026-04-02T00:00:00"/>
    <x v="1"/>
    <x v="3"/>
    <s v="Hanamkonda"/>
    <s v="Hub"/>
    <s v="Tap,mufer,dogs,mulamattam"/>
    <m/>
    <m/>
    <m/>
    <n v="5050"/>
    <m/>
  </r>
  <r>
    <n v="648"/>
    <d v="2026-04-02T00:00:00"/>
    <x v="1"/>
    <x v="5"/>
    <s v="Hanamkonda"/>
    <s v="Hub"/>
    <s v="Labour room rent "/>
    <m/>
    <m/>
    <m/>
    <n v="1500"/>
    <m/>
  </r>
  <r>
    <n v="649"/>
    <d v="2026-04-02T00:00:00"/>
    <x v="1"/>
    <x v="0"/>
    <s v="Hanamkonda"/>
    <s v="Hub"/>
    <s v="hanmkonda to  palakurthy"/>
    <m/>
    <m/>
    <m/>
    <n v="5000"/>
    <m/>
  </r>
  <r>
    <n v="650"/>
    <d v="2026-04-02T00:00:00"/>
    <x v="1"/>
    <x v="10"/>
    <s v="Hanamkonda"/>
    <s v="Hub"/>
    <s v="TS36TA1891 TRACTOR Diesel Payment"/>
    <s v="Diesel"/>
    <n v="41.375"/>
    <n v="96"/>
    <n v="3972"/>
    <m/>
  </r>
  <r>
    <n v="651"/>
    <d v="2026-04-02T00:00:00"/>
    <x v="1"/>
    <x v="14"/>
    <s v="Hanamkonda"/>
    <s v="Hub"/>
    <s v="Cement bags 20*300"/>
    <m/>
    <n v="20"/>
    <n v="300"/>
    <n v="6500"/>
    <m/>
  </r>
  <r>
    <n v="652"/>
    <d v="2026-04-03T00:00:00"/>
    <x v="2"/>
    <x v="9"/>
    <s v="Hanamkonda"/>
    <s v="Hub"/>
    <s v="Hanmakonda Supervisors room rent"/>
    <m/>
    <m/>
    <m/>
    <n v="6000"/>
    <m/>
  </r>
  <r>
    <n v="653"/>
    <d v="2026-04-03T00:00:00"/>
    <x v="2"/>
    <x v="34"/>
    <s v="Kamareddy"/>
    <s v="Rajampet"/>
    <s v="Binding Wire ,Nails"/>
    <s v="Binding wire"/>
    <n v="25"/>
    <n v="96"/>
    <n v="2400"/>
    <m/>
  </r>
  <r>
    <n v="654"/>
    <d v="2026-04-03T00:00:00"/>
    <x v="2"/>
    <x v="18"/>
    <s v="Kamareddy"/>
    <s v="Rajampet"/>
    <s v="RMC BETA AND reGISTERS"/>
    <m/>
    <m/>
    <m/>
    <n v="1065"/>
    <m/>
  </r>
  <r>
    <n v="655"/>
    <d v="2026-04-03T00:00:00"/>
    <x v="2"/>
    <x v="14"/>
    <s v="Kamareddy"/>
    <s v="Birkoor"/>
    <s v="80 Bags "/>
    <s v="Cement"/>
    <n v="80"/>
    <n v="255"/>
    <n v="20400"/>
    <m/>
  </r>
  <r>
    <n v="656"/>
    <d v="2026-04-03T00:00:00"/>
    <x v="2"/>
    <x v="7"/>
    <s v="Hanamkonda"/>
    <s v="Hub"/>
    <s v="Ummidi Ramana"/>
    <m/>
    <m/>
    <m/>
    <n v="87675"/>
    <m/>
  </r>
  <r>
    <n v="657"/>
    <d v="2026-04-03T00:00:00"/>
    <x v="2"/>
    <x v="51"/>
    <s v="Hanamkonda"/>
    <s v="Hub"/>
    <s v="Car Driver Ticket"/>
    <m/>
    <m/>
    <m/>
    <n v="450"/>
    <m/>
  </r>
  <r>
    <n v="658"/>
    <d v="2026-04-03T00:00:00"/>
    <x v="2"/>
    <x v="3"/>
    <s v="Bhongir"/>
    <s v="Valigonda"/>
    <s v="RL Team Tools"/>
    <m/>
    <m/>
    <m/>
    <n v="1050"/>
    <m/>
  </r>
  <r>
    <n v="659"/>
    <d v="2026-04-03T00:00:00"/>
    <x v="2"/>
    <x v="10"/>
    <s v="Hanamkonda"/>
    <s v="Dharmasagar"/>
    <s v="TS25C1579 Tractor Diesel payment"/>
    <m/>
    <n v="20.833333333333332"/>
    <n v="96"/>
    <n v="2000"/>
    <m/>
  </r>
  <r>
    <n v="660"/>
    <d v="2026-04-03T00:00:00"/>
    <x v="2"/>
    <x v="3"/>
    <s v="Kamareddy"/>
    <s v="Birkoor"/>
    <s v="Cutting blade"/>
    <m/>
    <m/>
    <m/>
    <n v="180"/>
    <m/>
  </r>
  <r>
    <n v="661"/>
    <d v="2026-04-03T00:00:00"/>
    <x v="2"/>
    <x v="3"/>
    <s v="Siddipet"/>
    <s v="Doultabad"/>
    <s v="Tools For Bl Team"/>
    <m/>
    <m/>
    <m/>
    <n v="330"/>
    <m/>
  </r>
  <r>
    <n v="662"/>
    <d v="2026-04-03T00:00:00"/>
    <x v="2"/>
    <x v="3"/>
    <s v="Kamareddy"/>
    <s v="Lingampet"/>
    <s v="Cutting blade"/>
    <m/>
    <m/>
    <m/>
    <n v="1320"/>
    <m/>
  </r>
  <r>
    <n v="663"/>
    <d v="2026-04-03T00:00:00"/>
    <x v="2"/>
    <x v="10"/>
    <s v="Hanamkonda"/>
    <s v="Hub"/>
    <s v="Tractor Diesel"/>
    <m/>
    <n v="20.833333333333332"/>
    <n v="96"/>
    <n v="2000"/>
    <m/>
  </r>
  <r>
    <n v="664"/>
    <d v="2026-04-03T00:00:00"/>
    <x v="2"/>
    <x v="10"/>
    <s v="Kamareddy"/>
    <s v="Lingampet"/>
    <s v="Tractor Diesel"/>
    <m/>
    <n v="20.833333333333332"/>
    <n v="96"/>
    <n v="2000"/>
    <m/>
  </r>
  <r>
    <n v="665"/>
    <d v="2026-04-03T00:00:00"/>
    <x v="2"/>
    <x v="10"/>
    <s v="Hanamkonda"/>
    <s v="Hub"/>
    <s v="AP 40 DC 0089 TRACTOR Diesel"/>
    <m/>
    <n v="44.799791666666664"/>
    <n v="96"/>
    <n v="4300.78"/>
    <m/>
  </r>
  <r>
    <n v="666"/>
    <d v="2026-04-04T00:00:00"/>
    <x v="2"/>
    <x v="10"/>
    <s v="Kamareddy"/>
    <s v="Lingampet"/>
    <s v="Tractor Diesel"/>
    <m/>
    <n v="31.25"/>
    <n v="96"/>
    <n v="3000"/>
    <m/>
  </r>
  <r>
    <n v="667"/>
    <d v="2026-04-04T00:00:00"/>
    <x v="2"/>
    <x v="14"/>
    <s v="Kamareddy"/>
    <s v="Lingampet"/>
    <s v="Cement Bags For pump"/>
    <s v="Cement"/>
    <n v="2"/>
    <n v="300"/>
    <n v="600"/>
    <m/>
  </r>
  <r>
    <n v="668"/>
    <d v="2026-04-04T00:00:00"/>
    <x v="2"/>
    <x v="18"/>
    <s v="Kamareddy"/>
    <s v="Lingampet"/>
    <s v="bet"/>
    <m/>
    <m/>
    <m/>
    <n v="900"/>
    <m/>
  </r>
  <r>
    <n v="669"/>
    <d v="2026-04-04T00:00:00"/>
    <x v="2"/>
    <x v="32"/>
    <s v="Janagaon"/>
    <s v="Palakurthi"/>
    <s v="Naisl"/>
    <m/>
    <m/>
    <m/>
    <n v="180"/>
    <m/>
  </r>
  <r>
    <n v="670"/>
    <d v="2026-04-04T00:00:00"/>
    <x v="2"/>
    <x v="10"/>
    <s v="Kamareddy"/>
    <s v="Lingampet"/>
    <s v="Tractor Diesel"/>
    <m/>
    <n v="20.833333333333332"/>
    <n v="96"/>
    <n v="2000"/>
    <m/>
  </r>
  <r>
    <n v="671"/>
    <d v="2026-04-04T00:00:00"/>
    <x v="2"/>
    <x v="10"/>
    <s v="Bhongir"/>
    <s v="Valigonda"/>
    <s v="Tractor Diesel"/>
    <m/>
    <n v="20.833333333333332"/>
    <n v="96"/>
    <n v="2000"/>
    <m/>
  </r>
  <r>
    <n v="672"/>
    <d v="2026-04-04T00:00:00"/>
    <x v="2"/>
    <x v="34"/>
    <s v="Kamareddy"/>
    <s v="Domakonda"/>
    <s v="Binding Wire Nails"/>
    <s v="Binding wire"/>
    <n v="50"/>
    <m/>
    <n v="6600"/>
    <m/>
  </r>
  <r>
    <n v="673"/>
    <d v="2026-04-04T00:00:00"/>
    <x v="2"/>
    <x v="52"/>
    <s v="Kamareddy"/>
    <s v="Domakonda"/>
    <s v="20 Feet SUIT piPE"/>
    <m/>
    <m/>
    <m/>
    <n v="7700"/>
    <m/>
  </r>
  <r>
    <n v="674"/>
    <d v="2026-04-04T00:00:00"/>
    <x v="2"/>
    <x v="11"/>
    <s v="Hanamkonda"/>
    <s v="Hub"/>
    <s v="TS 34 T 3804 Shivareddy Auger Vehicle Diesel "/>
    <m/>
    <n v="53.760416666666664"/>
    <n v="96"/>
    <n v="5161"/>
    <m/>
  </r>
  <r>
    <n v="675"/>
    <d v="2026-04-04T00:00:00"/>
    <x v="2"/>
    <x v="32"/>
    <s v="Kamareddy"/>
    <s v="Lingampet"/>
    <s v="Nail"/>
    <m/>
    <m/>
    <m/>
    <n v="460"/>
    <m/>
  </r>
  <r>
    <n v="676"/>
    <d v="2026-04-05T00:00:00"/>
    <x v="2"/>
    <x v="51"/>
    <s v="Siddipet"/>
    <s v="Siddipet"/>
    <s v="Siddipet To Narayana Pet TraveL expenses For MOU'S Dimpu"/>
    <m/>
    <m/>
    <m/>
    <n v="3000"/>
    <m/>
  </r>
  <r>
    <n v="677"/>
    <d v="2026-04-05T00:00:00"/>
    <x v="3"/>
    <x v="10"/>
    <s v="Hanamkonda"/>
    <s v="Hub"/>
    <s v="Fuel - Auger Vehicle - G.Venkat Rao"/>
    <m/>
    <n v="26.041666666666668"/>
    <n v="96"/>
    <n v="2500"/>
    <m/>
  </r>
  <r>
    <n v="678"/>
    <d v="2026-04-05T00:00:00"/>
    <x v="3"/>
    <x v="10"/>
    <s v="Hanamkonda"/>
    <s v="Hub"/>
    <s v="Fuel - Tractor Vehicle -   G. Nagaraju"/>
    <m/>
    <n v="20.833333333333332"/>
    <n v="96"/>
    <n v="2000"/>
    <m/>
  </r>
  <r>
    <n v="679"/>
    <d v="2026-04-05T00:00:00"/>
    <x v="3"/>
    <x v="10"/>
    <s v="Hanamkonda"/>
    <s v="Hub"/>
    <s v="Fuel for Local Vehicel - "/>
    <m/>
    <n v="22.760416666666668"/>
    <n v="96"/>
    <n v="2185"/>
    <m/>
  </r>
  <r>
    <n v="680"/>
    <d v="2026-04-05T00:00:00"/>
    <x v="3"/>
    <x v="0"/>
    <s v="Narayanpet"/>
    <s v="Kosigi"/>
    <s v="Shifting for Centing Sheets - Chandravancha to Medak "/>
    <m/>
    <m/>
    <m/>
    <n v="15000"/>
    <m/>
  </r>
  <r>
    <n v="681"/>
    <d v="2026-04-05T00:00:00"/>
    <x v="3"/>
    <x v="10"/>
    <s v="Hanamkonda"/>
    <s v="Hub"/>
    <s v="AP39CT7040 AUGUR VEHICLE DEISEL PAYMENT"/>
    <s v="Diesel"/>
    <n v="61.989583333333336"/>
    <n v="96"/>
    <n v="5951"/>
    <m/>
  </r>
  <r>
    <n v="682"/>
    <d v="2026-04-05T00:00:00"/>
    <x v="3"/>
    <x v="32"/>
    <s v="Hanamkonda"/>
    <s v="Hub"/>
    <s v="Handumakonda  - Airline Nails"/>
    <m/>
    <m/>
    <m/>
    <n v="1500"/>
    <m/>
  </r>
  <r>
    <n v="683"/>
    <d v="2026-04-05T00:00:00"/>
    <x v="3"/>
    <x v="32"/>
    <s v="Hanamkonda"/>
    <s v="Hub"/>
    <s v="Handumakonda  - Cleam for Hose"/>
    <m/>
    <m/>
    <m/>
    <n v="80"/>
    <m/>
  </r>
  <r>
    <n v="684"/>
    <d v="2026-04-06T00:00:00"/>
    <x v="2"/>
    <x v="53"/>
    <s v="Kamareddy"/>
    <s v="Birkoor"/>
    <s v="SAND Booking amoun"/>
    <m/>
    <m/>
    <m/>
    <n v="700"/>
    <m/>
  </r>
  <r>
    <n v="685"/>
    <d v="2026-04-06T00:00:00"/>
    <x v="2"/>
    <x v="10"/>
    <s v="Hanamkonda"/>
    <s v="Hub"/>
    <s v="TS03UB7556  Tractor Diesel"/>
    <m/>
    <n v="20.833333333333332"/>
    <n v="96"/>
    <n v="2000"/>
    <m/>
  </r>
  <r>
    <n v="686"/>
    <d v="2026-04-06T00:00:00"/>
    <x v="2"/>
    <x v="54"/>
    <s v="Kamareddy"/>
    <s v="Birkoor"/>
    <s v="5 *300"/>
    <m/>
    <m/>
    <m/>
    <n v="1500"/>
    <m/>
  </r>
  <r>
    <n v="687"/>
    <d v="2026-04-06T00:00:00"/>
    <x v="2"/>
    <x v="8"/>
    <s v="Kamareddy"/>
    <s v="Birkoor"/>
    <s v="471 Bags Cement Unload Charges"/>
    <m/>
    <m/>
    <m/>
    <n v="2826"/>
    <m/>
  </r>
  <r>
    <n v="688"/>
    <d v="2026-04-06T00:00:00"/>
    <x v="2"/>
    <x v="10"/>
    <s v="Hanamkonda"/>
    <s v="Dharmasagar"/>
    <s v="TS25C1579 Tractor Diesel payment"/>
    <m/>
    <n v="31.25"/>
    <n v="96"/>
    <n v="3000"/>
    <m/>
  </r>
  <r>
    <n v="689"/>
    <d v="2026-04-06T00:00:00"/>
    <x v="2"/>
    <x v="8"/>
    <s v="Medak"/>
    <s v="Narsapur"/>
    <s v="Centering Sheets Unloading"/>
    <m/>
    <m/>
    <m/>
    <n v="3000"/>
    <m/>
  </r>
  <r>
    <n v="690"/>
    <d v="2026-04-06T00:00:00"/>
    <x v="2"/>
    <x v="34"/>
    <s v="Hanamkonda"/>
    <s v="Hub"/>
    <s v="Binding Wires,Hammers,Blades"/>
    <s v="Binding wire"/>
    <n v="50"/>
    <m/>
    <n v="9500"/>
    <m/>
  </r>
  <r>
    <n v="691"/>
    <d v="2026-04-06T00:00:00"/>
    <x v="2"/>
    <x v="10"/>
    <s v="Hanamkonda"/>
    <s v="Hub"/>
    <s v="AP 39 WB 2967 Tractor Diesel"/>
    <m/>
    <n v="34.135416666666664"/>
    <n v="96"/>
    <n v="3277"/>
    <m/>
  </r>
  <r>
    <n v="692"/>
    <d v="2026-04-06T00:00:00"/>
    <x v="3"/>
    <x v="10"/>
    <s v="Kamareddy"/>
    <s v="Bhiknoor"/>
    <s v="Fuel - Pedala bhanu Prasad"/>
    <m/>
    <n v="31.25"/>
    <n v="96"/>
    <n v="3000"/>
    <m/>
  </r>
  <r>
    <n v="693"/>
    <d v="2026-04-06T00:00:00"/>
    <x v="3"/>
    <x v="32"/>
    <s v="Siddipet"/>
    <s v="Doultabad"/>
    <s v="Centring - Nails - P sharan Deep "/>
    <m/>
    <m/>
    <m/>
    <n v="1400"/>
    <m/>
  </r>
  <r>
    <n v="694"/>
    <d v="2026-04-07T00:00:00"/>
    <x v="2"/>
    <x v="10"/>
    <s v="Janagaon"/>
    <s v="Tharigoppula"/>
    <s v="Tractor Diesel"/>
    <m/>
    <n v="20.833333333333332"/>
    <n v="96"/>
    <n v="2000"/>
    <m/>
  </r>
  <r>
    <n v="695"/>
    <d v="2026-04-07T00:00:00"/>
    <x v="2"/>
    <x v="51"/>
    <s v="Hanamkonda"/>
    <s v="Hub"/>
    <s v="Prasanna Bus Tickets"/>
    <m/>
    <m/>
    <m/>
    <n v="1260"/>
    <m/>
  </r>
  <r>
    <n v="696"/>
    <d v="2026-04-07T00:00:00"/>
    <x v="2"/>
    <x v="53"/>
    <s v="Kamareddy"/>
    <s v="Birkoor"/>
    <s v="Sand Booking Amount"/>
    <m/>
    <m/>
    <m/>
    <n v="700"/>
    <m/>
  </r>
  <r>
    <n v="697"/>
    <d v="2026-04-07T00:00:00"/>
    <x v="2"/>
    <x v="3"/>
    <s v="Hanamkonda"/>
    <s v="Nadikuda"/>
    <s v="Hammers 2 "/>
    <m/>
    <m/>
    <m/>
    <n v="265"/>
    <m/>
  </r>
  <r>
    <n v="698"/>
    <d v="2026-04-07T00:00:00"/>
    <x v="2"/>
    <x v="10"/>
    <s v="Kamareddy"/>
    <s v="Lingampet"/>
    <s v="Tractor Diesel"/>
    <m/>
    <n v="20.833333333333332"/>
    <n v="96"/>
    <n v="2000"/>
    <m/>
  </r>
  <r>
    <n v="699"/>
    <d v="2026-04-07T00:00:00"/>
    <x v="2"/>
    <x v="34"/>
    <s v="Kamareddy"/>
    <s v="Lingampet"/>
    <s v="Binding Wire &amp; Nails"/>
    <s v="Binding wire"/>
    <n v="25"/>
    <m/>
    <n v="2790"/>
    <m/>
  </r>
  <r>
    <n v="700"/>
    <d v="2026-04-07T00:00:00"/>
    <x v="2"/>
    <x v="10"/>
    <s v="Siddipet"/>
    <s v="Doultabad"/>
    <s v="TS 32 T 1002 Tractor Diesel"/>
    <m/>
    <n v="20.833333333333332"/>
    <n v="96"/>
    <n v="2000"/>
    <m/>
  </r>
  <r>
    <n v="701"/>
    <d v="2026-04-07T00:00:00"/>
    <x v="2"/>
    <x v="49"/>
    <s v="Siddipet"/>
    <s v="Siddipet"/>
    <s v="MOU XEROXA"/>
    <m/>
    <m/>
    <m/>
    <n v="600"/>
    <m/>
  </r>
  <r>
    <n v="702"/>
    <d v="2026-04-08T00:00:00"/>
    <x v="2"/>
    <x v="18"/>
    <s v="Hanamkonda"/>
    <s v="Hub"/>
    <s v="14 Rmc and 11 Pump beTA"/>
    <m/>
    <m/>
    <m/>
    <n v="3200"/>
    <m/>
  </r>
  <r>
    <n v="703"/>
    <d v="2026-04-08T00:00:00"/>
    <x v="2"/>
    <x v="18"/>
    <s v="Hanamkonda"/>
    <s v="Hub"/>
    <s v="18 Rmc AND 12 Pump Beta"/>
    <m/>
    <m/>
    <m/>
    <n v="3900"/>
    <m/>
  </r>
  <r>
    <n v="704"/>
    <d v="2026-04-08T00:00:00"/>
    <x v="2"/>
    <x v="18"/>
    <s v="Hanamkonda"/>
    <s v="Hub"/>
    <s v="9 RmC And 7 Pump"/>
    <m/>
    <m/>
    <m/>
    <n v="2050"/>
    <m/>
  </r>
  <r>
    <n v="705"/>
    <d v="2026-04-08T00:00:00"/>
    <x v="3"/>
    <x v="10"/>
    <s v="Hanamkonda"/>
    <s v="Hub"/>
    <s v="Fuel For Auger Vehicle - No AP5315AC"/>
    <m/>
    <n v="45.052083333333336"/>
    <n v="96"/>
    <n v="4325"/>
    <m/>
  </r>
  <r>
    <n v="706"/>
    <d v="2026-04-08T00:00:00"/>
    <x v="3"/>
    <x v="0"/>
    <s v="Kamareddy"/>
    <s v="Birkoor"/>
    <s v="steel shiffiting Birkur to Veerpur  trip charges"/>
    <m/>
    <m/>
    <m/>
    <n v="700"/>
    <m/>
  </r>
  <r>
    <n v="707"/>
    <d v="2026-04-08T00:00:00"/>
    <x v="3"/>
    <x v="3"/>
    <s v="Hanamkonda"/>
    <s v="Kyathamapalle"/>
    <s v="Rl Team work metirial and Tent rope bundel purchage"/>
    <m/>
    <m/>
    <m/>
    <n v="14500"/>
    <m/>
  </r>
  <r>
    <n v="708"/>
    <d v="2026-04-08T00:00:00"/>
    <x v="3"/>
    <x v="1"/>
    <s v="Hanamkonda"/>
    <s v="Hub"/>
    <s v="Rc lebour work for rent vehicle,day Rent,deisel"/>
    <m/>
    <m/>
    <m/>
    <n v="2200"/>
    <m/>
  </r>
  <r>
    <n v="709"/>
    <d v="2026-04-08T00:00:00"/>
    <x v="3"/>
    <x v="32"/>
    <s v="Janagaon"/>
    <s v="Palakurthy"/>
    <s v="2*10  nails purchase"/>
    <m/>
    <m/>
    <m/>
    <n v="500"/>
    <m/>
  </r>
  <r>
    <n v="710"/>
    <d v="2026-04-08T00:00:00"/>
    <x v="3"/>
    <x v="4"/>
    <s v="Kamareddy"/>
    <s v="Birkoor"/>
    <s v="Ajax Driver food and trip charges"/>
    <m/>
    <m/>
    <m/>
    <n v="1200"/>
    <m/>
  </r>
  <r>
    <n v="711"/>
    <d v="2026-04-08T00:00:00"/>
    <x v="3"/>
    <x v="32"/>
    <s v="Janagaon"/>
    <s v="Palakurthy"/>
    <s v="4&quot; Nails purchase"/>
    <m/>
    <m/>
    <m/>
    <n v="650"/>
    <m/>
  </r>
  <r>
    <n v="712"/>
    <d v="2026-04-08T00:00:00"/>
    <x v="3"/>
    <x v="10"/>
    <s v="Hanamkonda"/>
    <s v="Hub"/>
    <s v="TS03FE1304  Tractor Diesel Payment"/>
    <m/>
    <n v="40.428750000000001"/>
    <n v="96"/>
    <n v="3881.16"/>
    <m/>
  </r>
  <r>
    <n v="713"/>
    <d v="2026-04-08T00:00:00"/>
    <x v="3"/>
    <x v="10"/>
    <s v="Hanamkonda"/>
    <s v="Hub"/>
    <s v="AP 39 WB 2967 Tractor Diesel"/>
    <m/>
    <n v="18.147812500000001"/>
    <n v="96"/>
    <n v="1742.19"/>
    <m/>
  </r>
  <r>
    <n v="714"/>
    <d v="2026-04-08T00:00:00"/>
    <x v="3"/>
    <x v="10"/>
    <s v="Hanamkonda"/>
    <s v="Hub"/>
    <s v="TS03UB7556  Tractor Diesel"/>
    <m/>
    <n v="28.971145833333335"/>
    <n v="96"/>
    <n v="2781.23"/>
    <m/>
  </r>
  <r>
    <n v="715"/>
    <d v="2026-04-09T00:00:00"/>
    <x v="3"/>
    <x v="10"/>
    <s v="Siddipet"/>
    <s v="Doultabad"/>
    <s v="TS 32 T 1002 Tractor Diesel"/>
    <m/>
    <n v="20.833333333333332"/>
    <n v="96"/>
    <n v="2000"/>
    <m/>
  </r>
  <r>
    <n v="716"/>
    <d v="2026-04-09T00:00:00"/>
    <x v="3"/>
    <x v="49"/>
    <s v="Kamareddy"/>
    <s v="Birkoor"/>
    <s v="Sand request Application  and Zerox payment"/>
    <m/>
    <m/>
    <m/>
    <n v="250"/>
    <m/>
  </r>
  <r>
    <n v="717"/>
    <d v="2026-04-09T00:00:00"/>
    <x v="3"/>
    <x v="18"/>
    <s v="Siddipet"/>
    <s v="Doultabad"/>
    <s v="RMC Trip Charges"/>
    <m/>
    <m/>
    <m/>
    <n v="1700"/>
    <m/>
  </r>
  <r>
    <n v="718"/>
    <d v="2026-04-09T00:00:00"/>
    <x v="3"/>
    <x v="32"/>
    <s v="Hanamkonda"/>
    <s v="Hub"/>
    <s v="Brick,labour,2,&quot;3&quot; inche nailBags-2-Advance Payment"/>
    <m/>
    <m/>
    <m/>
    <n v="7000"/>
    <m/>
  </r>
  <r>
    <n v="719"/>
    <d v="2026-04-09T00:00:00"/>
    <x v="3"/>
    <x v="30"/>
    <s v="Kamareddy"/>
    <s v="Birkoor"/>
    <s v="Sand  Balance payment"/>
    <m/>
    <m/>
    <m/>
    <n v="2500"/>
    <m/>
  </r>
  <r>
    <n v="720"/>
    <d v="2026-04-10T00:00:00"/>
    <x v="2"/>
    <x v="10"/>
    <s v="Kamareddy"/>
    <s v="Lingampet"/>
    <s v="Tractor Diesel"/>
    <m/>
    <n v="20.833333333333332"/>
    <n v="96"/>
    <n v="2000"/>
    <m/>
  </r>
  <r>
    <n v="721"/>
    <d v="2026-04-10T00:00:00"/>
    <x v="2"/>
    <x v="2"/>
    <s v="Kamareddy"/>
    <s v="Lingampet"/>
    <s v="BLACK Oil AND Other Expesne"/>
    <m/>
    <m/>
    <m/>
    <n v="1020"/>
    <m/>
  </r>
  <r>
    <n v="722"/>
    <d v="2026-04-10T00:00:00"/>
    <x v="2"/>
    <x v="35"/>
    <s v="Hanamkonda"/>
    <s v="Hub"/>
    <s v="Eicher"/>
    <m/>
    <m/>
    <m/>
    <n v="1003"/>
    <m/>
  </r>
  <r>
    <n v="723"/>
    <d v="2026-04-10T00:00:00"/>
    <x v="2"/>
    <x v="10"/>
    <s v="Kamareddy"/>
    <s v="Birkoor"/>
    <s v="Ajax Diesel "/>
    <m/>
    <n v="25.286458333333332"/>
    <n v="96"/>
    <n v="2427.5"/>
    <m/>
  </r>
  <r>
    <n v="724"/>
    <d v="2026-04-10T00:00:00"/>
    <x v="2"/>
    <x v="9"/>
    <s v="Hanamkonda"/>
    <s v="Hub"/>
    <s v="Showreddy House Rent"/>
    <m/>
    <m/>
    <m/>
    <n v="18000"/>
    <m/>
  </r>
  <r>
    <n v="725"/>
    <d v="2026-04-10T00:00:00"/>
    <x v="3"/>
    <x v="10"/>
    <s v="Hanamkonda"/>
    <s v="Hub"/>
    <s v="AP39TH0913 DCM Vehical Diesel Payment "/>
    <m/>
    <n v="108.33218749999999"/>
    <n v="96"/>
    <n v="10399.89"/>
    <m/>
  </r>
  <r>
    <n v="726"/>
    <d v="2026-04-10T00:00:00"/>
    <x v="3"/>
    <x v="10"/>
    <s v="Siddipet"/>
    <s v="Doultabad"/>
    <s v="Augur vehical Deisel payment"/>
    <m/>
    <n v="34.322916666666664"/>
    <n v="96"/>
    <n v="3295"/>
    <m/>
  </r>
  <r>
    <n v="727"/>
    <d v="2026-04-10T00:00:00"/>
    <x v="3"/>
    <x v="3"/>
    <s v="Hanamkonda"/>
    <s v="Kyathamapalle"/>
    <s v="Tools (Cement Badda) payments"/>
    <m/>
    <m/>
    <m/>
    <n v="1100"/>
    <m/>
  </r>
  <r>
    <n v="728"/>
    <d v="2026-04-10T00:00:00"/>
    <x v="3"/>
    <x v="32"/>
    <s v="Siddipet"/>
    <s v="Doultabad"/>
    <s v="centring work purchase"/>
    <m/>
    <m/>
    <m/>
    <n v="1000"/>
    <m/>
  </r>
  <r>
    <n v="729"/>
    <d v="2026-04-10T00:00:00"/>
    <x v="3"/>
    <x v="3"/>
    <s v="Hanamkonda"/>
    <s v="Kyathamapalle"/>
    <s v="tools Purchase"/>
    <m/>
    <m/>
    <m/>
    <n v="5190"/>
    <m/>
  </r>
  <r>
    <n v="730"/>
    <d v="2026-04-10T00:00:00"/>
    <x v="3"/>
    <x v="32"/>
    <s v="Siddipet"/>
    <s v="Doultabad"/>
    <s v="centring work purchase"/>
    <m/>
    <m/>
    <m/>
    <n v="4250"/>
    <m/>
  </r>
  <r>
    <n v="731"/>
    <d v="2026-04-10T00:00:00"/>
    <x v="3"/>
    <x v="10"/>
    <s v="Hanamkonda"/>
    <s v="Hub"/>
    <s v="TS03EE471"/>
    <m/>
    <n v="36.46875"/>
    <n v="96"/>
    <n v="3501"/>
    <m/>
  </r>
  <r>
    <n v="732"/>
    <d v="2026-04-10T00:00:00"/>
    <x v="3"/>
    <x v="32"/>
    <s v="Hanamkonda"/>
    <s v="Hub"/>
    <s v="Brick,labour,2,&quot;3&quot; inche nailBags-2-Balance  Payment"/>
    <m/>
    <m/>
    <m/>
    <n v="9000"/>
    <m/>
  </r>
  <r>
    <n v="733"/>
    <d v="2026-04-10T00:00:00"/>
    <x v="3"/>
    <x v="10"/>
    <s v="Kamareddy"/>
    <s v="Birkoor"/>
    <s v="Ajax Deisel Purchage"/>
    <m/>
    <n v="25.286458333333332"/>
    <n v="96"/>
    <n v="2427.5"/>
    <m/>
  </r>
  <r>
    <n v="734"/>
    <d v="2026-04-10T00:00:00"/>
    <x v="3"/>
    <x v="10"/>
    <s v="Hanamkonda"/>
    <s v="Wardhannapet"/>
    <s v="TS24T8355 TRACTOR DEISEL PAYMENT"/>
    <m/>
    <n v="10.416666666666666"/>
    <n v="96"/>
    <n v="1000"/>
    <m/>
  </r>
  <r>
    <n v="735"/>
    <d v="2026-04-10T00:00:00"/>
    <x v="3"/>
    <x v="3"/>
    <s v="Hanamkonda"/>
    <s v="Kyathamapalle"/>
    <s v="Line Doors and Water Joint"/>
    <m/>
    <m/>
    <m/>
    <n v="80"/>
    <m/>
  </r>
  <r>
    <n v="736"/>
    <d v="2026-04-10T00:00:00"/>
    <x v="3"/>
    <x v="3"/>
    <s v="Hanamkonda"/>
    <s v="Kyathamapalle"/>
    <s v="mesurement Tape and chemical plates"/>
    <m/>
    <m/>
    <m/>
    <n v="120"/>
    <m/>
  </r>
  <r>
    <n v="737"/>
    <d v="2026-04-10T00:00:00"/>
    <x v="3"/>
    <x v="55"/>
    <s v="Hanamkonda"/>
    <s v="Hub"/>
    <s v="AP40KF2834 Tracter Puncher payment"/>
    <m/>
    <m/>
    <m/>
    <n v="1700"/>
    <m/>
  </r>
  <r>
    <n v="738"/>
    <d v="2026-04-10T00:00:00"/>
    <x v="3"/>
    <x v="18"/>
    <s v="Kamareddy"/>
    <s v="Rajampet"/>
    <s v="3 RMC Trip Charges"/>
    <m/>
    <m/>
    <m/>
    <n v="500"/>
    <m/>
  </r>
  <r>
    <n v="739"/>
    <d v="2026-04-10T00:00:00"/>
    <x v="3"/>
    <x v="10"/>
    <s v="Janagaon"/>
    <s v="Tharigoppula"/>
    <s v="AP 40 KE 2834 Tractor Diesel"/>
    <m/>
    <n v="20.833333333333332"/>
    <n v="96"/>
    <n v="2000"/>
    <m/>
  </r>
  <r>
    <n v="740"/>
    <d v="2026-04-10T00:00:00"/>
    <x v="3"/>
    <x v="55"/>
    <s v="Hanamkonda"/>
    <s v="Hub"/>
    <s v="AP40KF2834 Tracter Puncher  canvasing payment"/>
    <m/>
    <m/>
    <m/>
    <n v="700"/>
    <m/>
  </r>
  <r>
    <n v="741"/>
    <d v="2026-04-10T00:00:00"/>
    <x v="3"/>
    <x v="10"/>
    <s v="Kamareddy"/>
    <s v="Birkoor"/>
    <s v="AP40KF2843 Tharigoppula to birkoor deisel payment"/>
    <m/>
    <n v="32.529687500000001"/>
    <n v="96"/>
    <n v="3122.85"/>
    <m/>
  </r>
  <r>
    <n v="742"/>
    <d v="2026-04-10T00:00:00"/>
    <x v="3"/>
    <x v="1"/>
    <s v="Hanamkonda"/>
    <s v="Wardhannapet"/>
    <s v="TS24T8355 LOCAL TRACTOR  DAY RENT"/>
    <m/>
    <m/>
    <m/>
    <n v="2000"/>
    <m/>
  </r>
  <r>
    <n v="743"/>
    <d v="2026-04-11T00:00:00"/>
    <x v="2"/>
    <x v="18"/>
    <s v="Kamareddy"/>
    <s v="Birkoor"/>
    <s v="Aggregate Beta"/>
    <m/>
    <m/>
    <m/>
    <n v="200"/>
    <m/>
  </r>
  <r>
    <n v="744"/>
    <d v="2026-04-11T00:00:00"/>
    <x v="2"/>
    <x v="9"/>
    <s v="Siddipet"/>
    <s v="Siddipet"/>
    <s v="ROOM Rent"/>
    <m/>
    <m/>
    <m/>
    <n v="10000"/>
    <m/>
  </r>
  <r>
    <n v="745"/>
    <d v="2026-04-11T00:00:00"/>
    <x v="2"/>
    <x v="4"/>
    <s v="Hanamkonda"/>
    <s v="Hub"/>
    <s v="Room Expesens"/>
    <m/>
    <m/>
    <m/>
    <n v="3000"/>
    <m/>
  </r>
  <r>
    <n v="746"/>
    <d v="2026-04-11T00:00:00"/>
    <x v="2"/>
    <x v="11"/>
    <s v="Kamareddy"/>
    <s v="Kamareddy "/>
    <s v="Venkatarao Auger Vehicle"/>
    <m/>
    <n v="31.25"/>
    <n v="96"/>
    <n v="3000"/>
    <m/>
  </r>
  <r>
    <n v="747"/>
    <d v="2026-04-11T00:00:00"/>
    <x v="2"/>
    <x v="10"/>
    <s v="Kamareddy"/>
    <s v="Birkoor"/>
    <s v="Ajax Diesel "/>
    <m/>
    <n v="25.286458333333332"/>
    <n v="96"/>
    <n v="2427.5"/>
    <m/>
  </r>
  <r>
    <n v="748"/>
    <d v="2026-04-11T00:00:00"/>
    <x v="3"/>
    <x v="3"/>
    <s v="Hanamkonda"/>
    <s v="Hub"/>
    <s v="Tools purchase for Hanumakonda Site"/>
    <m/>
    <m/>
    <m/>
    <n v="20000"/>
    <m/>
  </r>
  <r>
    <n v="749"/>
    <d v="2026-04-11T00:00:00"/>
    <x v="3"/>
    <x v="3"/>
    <s v="Hanamkonda"/>
    <s v="Hub"/>
    <s v="Tools purchase for Hanumakonda Site"/>
    <m/>
    <m/>
    <m/>
    <n v="1300"/>
    <m/>
  </r>
  <r>
    <n v="750"/>
    <d v="2026-04-11T00:00:00"/>
    <x v="3"/>
    <x v="0"/>
    <s v="Hanamkonda"/>
    <s v="Hub"/>
    <s v="Iron transport chages in Nirmithkendr"/>
    <m/>
    <m/>
    <m/>
    <n v="1200"/>
    <m/>
  </r>
  <r>
    <n v="751"/>
    <d v="2026-04-11T00:00:00"/>
    <x v="3"/>
    <x v="3"/>
    <s v="Hanamkonda"/>
    <s v="Hub"/>
    <s v="Tent chagers for hanumakonda Nirmithkendr"/>
    <m/>
    <m/>
    <m/>
    <n v="5000"/>
    <m/>
  </r>
  <r>
    <n v="752"/>
    <d v="2026-04-11T00:00:00"/>
    <x v="3"/>
    <x v="3"/>
    <s v="Hanamkonda"/>
    <s v="Hub"/>
    <s v="concreate tape and 8 mm Die purchase in urban"/>
    <m/>
    <m/>
    <m/>
    <n v="1080"/>
    <m/>
  </r>
  <r>
    <n v="753"/>
    <d v="2026-04-12T00:00:00"/>
    <x v="2"/>
    <x v="10"/>
    <s v="Kamareddy"/>
    <s v="Lingampet"/>
    <s v="Tractor Diesel"/>
    <m/>
    <n v="20.833333333333332"/>
    <n v="96"/>
    <n v="2000"/>
    <m/>
  </r>
  <r>
    <n v="754"/>
    <d v="2026-04-12T00:00:00"/>
    <x v="2"/>
    <x v="18"/>
    <s v="Janagaon"/>
    <s v="Tharigoppula"/>
    <s v="10 RMC AND Pump Beta"/>
    <m/>
    <m/>
    <m/>
    <n v="1750"/>
    <m/>
  </r>
  <r>
    <n v="755"/>
    <d v="2026-04-12T00:00:00"/>
    <x v="2"/>
    <x v="10"/>
    <s v="Kamareddy"/>
    <s v="Birkoor"/>
    <s v="Ajax Diesel "/>
    <m/>
    <n v="25.291666666666668"/>
    <n v="96"/>
    <n v="2428"/>
    <m/>
  </r>
  <r>
    <n v="756"/>
    <d v="2026-04-12T00:00:00"/>
    <x v="2"/>
    <x v="5"/>
    <s v="Kamareddy"/>
    <s v="Domakonda"/>
    <s v="Iron Kata"/>
    <m/>
    <m/>
    <m/>
    <n v="200"/>
    <m/>
  </r>
  <r>
    <n v="757"/>
    <d v="2026-04-12T00:00:00"/>
    <x v="2"/>
    <x v="5"/>
    <s v="Kamareddy"/>
    <s v="Birkoor"/>
    <s v="Ajax Diesel "/>
    <m/>
    <m/>
    <m/>
    <n v="2428"/>
    <m/>
  </r>
  <r>
    <n v="758"/>
    <d v="2026-04-12T00:00:00"/>
    <x v="2"/>
    <x v="9"/>
    <s v="Siddipet"/>
    <s v="Siddipet"/>
    <s v="Room Maitainance"/>
    <m/>
    <m/>
    <m/>
    <n v="2000"/>
    <m/>
  </r>
  <r>
    <n v="759"/>
    <d v="2026-04-12T00:00:00"/>
    <x v="3"/>
    <x v="22"/>
    <s v="Hanamkonda"/>
    <s v="Hub"/>
    <s v="Electrical Pipes and 8mm rod,cutting Balades for RC work"/>
    <m/>
    <m/>
    <m/>
    <n v="3000"/>
    <m/>
  </r>
  <r>
    <n v="760"/>
    <d v="2026-04-12T00:00:00"/>
    <x v="3"/>
    <x v="10"/>
    <s v="Hanamkonda"/>
    <s v="Hub"/>
    <s v="AP39J1001 Deisel purchage"/>
    <m/>
    <n v="20.833333333333332"/>
    <n v="96"/>
    <n v="2000"/>
    <m/>
  </r>
  <r>
    <n v="761"/>
    <d v="2026-04-12T00:00:00"/>
    <x v="3"/>
    <x v="3"/>
    <s v="Hanamkonda"/>
    <s v="Hub"/>
    <s v="Slab pupose purchage"/>
    <m/>
    <m/>
    <m/>
    <n v="1160"/>
    <m/>
  </r>
  <r>
    <n v="762"/>
    <d v="2026-04-12T00:00:00"/>
    <x v="3"/>
    <x v="18"/>
    <s v="Hanamkonda"/>
    <s v="Hub"/>
    <s v="RMC Beta  chages+food Expences"/>
    <m/>
    <m/>
    <m/>
    <n v="2500"/>
    <m/>
  </r>
  <r>
    <n v="763"/>
    <d v="2026-04-12T00:00:00"/>
    <x v="3"/>
    <x v="10"/>
    <s v="Hanamkonda"/>
    <s v="Hub"/>
    <s v="AP26BZ3361 Tractor Deisel payment"/>
    <m/>
    <n v="31.25"/>
    <n v="96"/>
    <n v="3000"/>
    <m/>
  </r>
  <r>
    <n v="764"/>
    <d v="2026-04-13T00:00:00"/>
    <x v="2"/>
    <x v="38"/>
    <s v="Hanamkonda"/>
    <s v="Hub"/>
    <s v="Shuttering Making Shivam Chauhan"/>
    <m/>
    <m/>
    <m/>
    <n v="30000"/>
    <m/>
  </r>
  <r>
    <n v="765"/>
    <d v="2026-04-13T00:00:00"/>
    <x v="2"/>
    <x v="3"/>
    <s v="Kamareddy"/>
    <s v="Birkoor"/>
    <s v="Hydraulic Pipe"/>
    <m/>
    <m/>
    <m/>
    <n v="530"/>
    <m/>
  </r>
  <r>
    <n v="766"/>
    <d v="2026-04-13T00:00:00"/>
    <x v="2"/>
    <x v="11"/>
    <s v="Kamareddy"/>
    <s v="Kamareddy "/>
    <s v="Venkatarao Auger Vehicle"/>
    <m/>
    <n v="31.25"/>
    <n v="96"/>
    <n v="3000"/>
    <m/>
  </r>
  <r>
    <n v="767"/>
    <d v="2026-04-13T00:00:00"/>
    <x v="3"/>
    <x v="34"/>
    <s v="Hanamkonda"/>
    <s v="Hub"/>
    <s v="Binding wire -50kg Purchase"/>
    <s v="Binding wire"/>
    <n v="40"/>
    <n v="97.5"/>
    <n v="3900"/>
    <m/>
  </r>
  <r>
    <n v="768"/>
    <d v="2026-04-14T00:00:00"/>
    <x v="2"/>
    <x v="14"/>
    <s v="Hanamkonda"/>
    <s v="Nadikuda"/>
    <s v="Cement Bags For pump"/>
    <s v="Cement"/>
    <n v="3"/>
    <n v="310"/>
    <n v="930"/>
    <m/>
  </r>
  <r>
    <n v="769"/>
    <d v="2026-04-14T00:00:00"/>
    <x v="2"/>
    <x v="14"/>
    <s v="Hanamkonda"/>
    <s v="Hub"/>
    <s v="1 Cement Bag"/>
    <s v="Cement"/>
    <n v="1"/>
    <n v="300"/>
    <n v="300"/>
    <m/>
  </r>
  <r>
    <n v="770"/>
    <d v="2026-04-14T00:00:00"/>
    <x v="2"/>
    <x v="10"/>
    <s v="Kamareddy"/>
    <s v="Birkoor"/>
    <s v="AP 40 KE 2834 Tractor Diesel"/>
    <m/>
    <n v="20.833333333333332"/>
    <n v="96"/>
    <n v="2000"/>
    <m/>
  </r>
  <r>
    <n v="771"/>
    <d v="2026-04-14T00:00:00"/>
    <x v="3"/>
    <x v="10"/>
    <s v="Hanamkonda"/>
    <s v="Hub"/>
    <s v="AP535AC AVS Reddy Augur Vehical diesel payment"/>
    <m/>
    <n v="20.833333333333332"/>
    <n v="96"/>
    <n v="2000"/>
    <m/>
  </r>
  <r>
    <n v="772"/>
    <d v="2026-04-14T00:00:00"/>
    <x v="3"/>
    <x v="10"/>
    <s v="Kamareddy"/>
    <s v="Birkoor"/>
    <s v="Tractor Deisel Payment"/>
    <m/>
    <n v="10.416666666666666"/>
    <n v="96"/>
    <n v="1000"/>
    <m/>
  </r>
  <r>
    <n v="773"/>
    <d v="2026-04-14T00:00:00"/>
    <x v="3"/>
    <x v="10"/>
    <s v="Kamareddy"/>
    <s v="Birkoor"/>
    <s v="TS06ER8668 Ajax  Diesel payment"/>
    <m/>
    <n v="26.041666666666668"/>
    <n v="96"/>
    <n v="2500"/>
    <m/>
  </r>
  <r>
    <n v="774"/>
    <d v="2026-04-14T00:00:00"/>
    <x v="3"/>
    <x v="10"/>
    <s v="Hanamkonda"/>
    <s v="Dharmasagar"/>
    <s v="TS25C1579 Tractor Diesel payment"/>
    <m/>
    <n v="20.833333333333332"/>
    <n v="96"/>
    <n v="2000"/>
    <m/>
  </r>
  <r>
    <n v="775"/>
    <d v="2026-04-14T00:00:00"/>
    <x v="3"/>
    <x v="4"/>
    <s v="Kamareddy"/>
    <s v="Birkoor"/>
    <s v="supervisors food expences"/>
    <m/>
    <m/>
    <m/>
    <n v="400"/>
    <m/>
  </r>
  <r>
    <n v="776"/>
    <d v="2026-04-14T00:00:00"/>
    <x v="3"/>
    <x v="10"/>
    <s v="Kamareddy"/>
    <s v="Lingampet"/>
    <s v="TS17T6540 Tractor Diesel payment"/>
    <m/>
    <n v="20.833333333333332"/>
    <n v="96"/>
    <n v="2000"/>
    <m/>
  </r>
  <r>
    <n v="777"/>
    <d v="2026-04-14T00:00:00"/>
    <x v="3"/>
    <x v="18"/>
    <s v="Hanamkonda"/>
    <s v="Hub"/>
    <s v="RMC Trip charges (batta)"/>
    <m/>
    <m/>
    <m/>
    <n v="1000"/>
    <m/>
  </r>
  <r>
    <n v="778"/>
    <d v="2026-04-15T00:00:00"/>
    <x v="2"/>
    <x v="3"/>
    <s v="Hanamkonda"/>
    <s v="Hub"/>
    <s v="Comp Team Tools Warangal"/>
    <m/>
    <m/>
    <m/>
    <n v="4020"/>
    <m/>
  </r>
  <r>
    <n v="779"/>
    <d v="2026-04-15T00:00:00"/>
    <x v="2"/>
    <x v="10"/>
    <s v="Hanamkonda"/>
    <s v="Nadikuda"/>
    <s v="AP 40 DC 0089 TRACTOR Diesel"/>
    <m/>
    <n v="20.833333333333332"/>
    <n v="96"/>
    <n v="2000"/>
    <m/>
  </r>
  <r>
    <n v="780"/>
    <d v="2026-04-15T00:00:00"/>
    <x v="2"/>
    <x v="10"/>
    <s v="Hanamkonda"/>
    <s v="Hub"/>
    <s v="AP39TH0913 DCM Vehical Diesel Payment "/>
    <m/>
    <n v="143"/>
    <n v="96"/>
    <n v="13728"/>
    <m/>
  </r>
  <r>
    <n v="781"/>
    <d v="2026-04-15T00:00:00"/>
    <x v="2"/>
    <x v="10"/>
    <s v="Kamareddy"/>
    <s v="Birkoor"/>
    <s v="Ajax Diesel "/>
    <m/>
    <n v="50.567708333333336"/>
    <n v="96"/>
    <n v="4854.5"/>
    <m/>
  </r>
  <r>
    <n v="782"/>
    <d v="2026-04-15T00:00:00"/>
    <x v="2"/>
    <x v="3"/>
    <s v="Kamareddy"/>
    <s v="Birkoor"/>
    <s v="Diesel CAN"/>
    <m/>
    <m/>
    <m/>
    <n v="300"/>
    <m/>
  </r>
  <r>
    <n v="783"/>
    <d v="2026-04-15T00:00:00"/>
    <x v="2"/>
    <x v="8"/>
    <s v="Kamareddy"/>
    <s v="Birkoor"/>
    <s v="7 *300 For Jcb and Tractor Opting Driver"/>
    <m/>
    <m/>
    <m/>
    <n v="3200"/>
    <m/>
  </r>
  <r>
    <n v="784"/>
    <d v="2026-04-15T00:00:00"/>
    <x v="2"/>
    <x v="10"/>
    <s v="Siddipet"/>
    <s v="Doultabad"/>
    <s v="TS 32 T 1002 Tractor Diesel"/>
    <m/>
    <n v="20.833333333333332"/>
    <n v="96"/>
    <n v="2000"/>
    <m/>
  </r>
  <r>
    <n v="785"/>
    <d v="2026-04-15T00:00:00"/>
    <x v="2"/>
    <x v="10"/>
    <s v="Hanamkonda"/>
    <s v="Hub"/>
    <s v="TS03UB7556  Tractor Diesel"/>
    <m/>
    <n v="20.833333333333332"/>
    <n v="96"/>
    <n v="2000"/>
    <m/>
  </r>
  <r>
    <n v="786"/>
    <d v="2026-04-16T00:00:00"/>
    <x v="2"/>
    <x v="22"/>
    <s v="Medak"/>
    <s v="Narsapur"/>
    <s v="Labour Accomdation Electrical Material"/>
    <m/>
    <m/>
    <m/>
    <n v="3200"/>
    <m/>
  </r>
  <r>
    <n v="787"/>
    <d v="2026-04-16T00:00:00"/>
    <x v="2"/>
    <x v="10"/>
    <s v="Medak"/>
    <s v="Narsapur"/>
    <s v="4615 Tractor Diesel"/>
    <m/>
    <n v="20.833333333333332"/>
    <n v="96"/>
    <n v="2000"/>
    <m/>
  </r>
  <r>
    <n v="788"/>
    <d v="2026-04-16T00:00:00"/>
    <x v="2"/>
    <x v="1"/>
    <s v="Medak"/>
    <s v="Narsapur"/>
    <s v="Vehicel Rent 1 Day"/>
    <m/>
    <m/>
    <m/>
    <n v="2000"/>
    <m/>
  </r>
  <r>
    <n v="789"/>
    <d v="2026-04-16T00:00:00"/>
    <x v="2"/>
    <x v="26"/>
    <s v="Janagaon"/>
    <s v="Palakurthi"/>
    <s v="12 mm  Agrregate"/>
    <s v="12 MM Aggregate"/>
    <n v="4"/>
    <n v="450"/>
    <n v="1800"/>
    <m/>
  </r>
  <r>
    <n v="790"/>
    <d v="2026-04-16T00:00:00"/>
    <x v="2"/>
    <x v="10"/>
    <s v="Kamareddy"/>
    <s v="Nagireddypet"/>
    <s v="Tractor Diesel"/>
    <m/>
    <n v="20.833333333333332"/>
    <n v="96"/>
    <n v="2000"/>
    <m/>
  </r>
  <r>
    <n v="791"/>
    <d v="2026-04-16T00:00:00"/>
    <x v="2"/>
    <x v="11"/>
    <s v="Hanamkonda"/>
    <s v="Hub"/>
    <s v="AVS REDDY New Auger Diesel"/>
    <m/>
    <n v="31.25"/>
    <n v="96"/>
    <n v="3000"/>
    <m/>
  </r>
  <r>
    <n v="792"/>
    <d v="2026-04-16T00:00:00"/>
    <x v="2"/>
    <x v="32"/>
    <s v="Kamareddy"/>
    <s v="Nagireddypet"/>
    <s v="2.5 kgs"/>
    <m/>
    <m/>
    <m/>
    <n v="400"/>
    <m/>
  </r>
  <r>
    <n v="793"/>
    <d v="2026-04-16T00:00:00"/>
    <x v="2"/>
    <x v="10"/>
    <s v="Hanamkonda"/>
    <s v="Hub"/>
    <s v="TS03EE4571 DIESEL PAYMENT"/>
    <m/>
    <n v="36.458333333333336"/>
    <n v="96"/>
    <n v="3500"/>
    <m/>
  </r>
  <r>
    <n v="794"/>
    <d v="2026-04-16T00:00:00"/>
    <x v="2"/>
    <x v="10"/>
    <s v="Hanamkonda"/>
    <s v="Hub"/>
    <s v="7489 Tractor Diesel"/>
    <m/>
    <n v="42.510208333333331"/>
    <n v="96"/>
    <n v="4080.98"/>
    <m/>
  </r>
  <r>
    <n v="795"/>
    <d v="2026-04-16T00:00:00"/>
    <x v="2"/>
    <x v="9"/>
    <s v="Medak"/>
    <s v="Narsapur"/>
    <s v="Labour Room Rent"/>
    <m/>
    <m/>
    <m/>
    <n v="5000"/>
    <m/>
  </r>
  <r>
    <n v="796"/>
    <d v="2026-04-17T00:00:00"/>
    <x v="2"/>
    <x v="53"/>
    <s v="Kamareddy"/>
    <s v="Banswada"/>
    <s v="Sand Booking Amount 5 Beneficiaries"/>
    <m/>
    <m/>
    <m/>
    <n v="1200"/>
    <m/>
  </r>
  <r>
    <n v="797"/>
    <d v="2026-04-17T00:00:00"/>
    <x v="2"/>
    <x v="34"/>
    <s v="Hanamkonda"/>
    <s v="Nadikuda"/>
    <s v="25 KGS WIRE"/>
    <s v="Binding wire"/>
    <n v="25"/>
    <n v="80"/>
    <n v="2000"/>
    <m/>
  </r>
  <r>
    <n v="798"/>
    <d v="2026-04-17T00:00:00"/>
    <x v="2"/>
    <x v="11"/>
    <s v="Kamareddy"/>
    <s v="Kamareddy "/>
    <s v="Venkatarao Auger Vehicle"/>
    <m/>
    <n v="31.25"/>
    <n v="96"/>
    <n v="3000"/>
    <m/>
  </r>
  <r>
    <n v="799"/>
    <d v="2026-04-17T00:00:00"/>
    <x v="3"/>
    <x v="2"/>
    <s v="Hanamkonda"/>
    <s v="Hub"/>
    <s v="Mud oil-10lts*40 purchased"/>
    <m/>
    <m/>
    <m/>
    <n v="400"/>
    <m/>
  </r>
  <r>
    <n v="800"/>
    <d v="2026-04-17T00:00:00"/>
    <x v="3"/>
    <x v="34"/>
    <s v="Hanamkonda"/>
    <s v="Hub"/>
    <s v="Binding wire purchase"/>
    <s v="Binding wire"/>
    <n v="50"/>
    <n v="78.8"/>
    <n v="3940"/>
    <m/>
  </r>
  <r>
    <n v="801"/>
    <d v="2026-04-18T00:00:00"/>
    <x v="2"/>
    <x v="3"/>
    <s v="Bhongir"/>
    <s v="Valigonda"/>
    <s v="Tools For RL Team"/>
    <m/>
    <m/>
    <m/>
    <n v="1455"/>
    <m/>
  </r>
  <r>
    <n v="802"/>
    <d v="2026-04-18T00:00:00"/>
    <x v="2"/>
    <x v="26"/>
    <s v="Janagaon"/>
    <s v="Palakurthi"/>
    <s v="12 MM aggreggate 4 tons"/>
    <s v="12 MM Aggregate"/>
    <n v="4"/>
    <n v="450"/>
    <n v="1800"/>
    <m/>
  </r>
  <r>
    <n v="803"/>
    <d v="2026-04-18T00:00:00"/>
    <x v="2"/>
    <x v="10"/>
    <s v="Hanamkonda"/>
    <s v="Hub"/>
    <s v="AP26BZ3361 Tractor Deisel payment"/>
    <m/>
    <n v="26.177083333333332"/>
    <n v="96"/>
    <n v="2513"/>
    <m/>
  </r>
  <r>
    <n v="804"/>
    <d v="2026-04-18T00:00:00"/>
    <x v="2"/>
    <x v="14"/>
    <s v="Hanamkonda"/>
    <s v="Wardhannapet"/>
    <s v="10 Bags * 290"/>
    <s v="Cement"/>
    <n v="10"/>
    <n v="290"/>
    <n v="2900"/>
    <m/>
  </r>
  <r>
    <n v="805"/>
    <d v="2026-04-18T00:00:00"/>
    <x v="2"/>
    <x v="2"/>
    <s v="Kamareddy"/>
    <s v="Domakonda"/>
    <s v="5 litres"/>
    <m/>
    <m/>
    <m/>
    <n v="360"/>
    <m/>
  </r>
  <r>
    <n v="806"/>
    <d v="2026-04-18T00:00:00"/>
    <x v="2"/>
    <x v="14"/>
    <s v="Kamareddy"/>
    <s v="Domakonda"/>
    <s v="For PUMP"/>
    <s v="Cement"/>
    <n v="1"/>
    <n v="280"/>
    <n v="280"/>
    <m/>
  </r>
  <r>
    <n v="807"/>
    <d v="2026-04-18T00:00:00"/>
    <x v="2"/>
    <x v="8"/>
    <s v="Kamareddy"/>
    <s v="Domakonda"/>
    <s v="steel loading"/>
    <m/>
    <m/>
    <m/>
    <n v="500"/>
    <m/>
  </r>
  <r>
    <n v="808"/>
    <d v="2026-04-18T00:00:00"/>
    <x v="2"/>
    <x v="10"/>
    <s v="Janagaon"/>
    <s v="Palakurthi"/>
    <s v="8093 Tractor Diesel"/>
    <m/>
    <n v="20.833333333333332"/>
    <n v="96"/>
    <n v="2000"/>
    <m/>
  </r>
  <r>
    <n v="809"/>
    <d v="2026-04-18T00:00:00"/>
    <x v="2"/>
    <x v="10"/>
    <s v="Hanamkonda"/>
    <s v="Dharmasagar"/>
    <s v="Tractor Diesel"/>
    <m/>
    <n v="20.833333333333332"/>
    <n v="96"/>
    <n v="2000"/>
    <m/>
  </r>
  <r>
    <n v="810"/>
    <d v="2026-04-18T00:00:00"/>
    <x v="2"/>
    <x v="10"/>
    <s v="Siddipet"/>
    <s v="Doultabad"/>
    <s v="TS 32 T 1002 Tractor Diesel"/>
    <m/>
    <n v="20.833333333333332"/>
    <n v="96"/>
    <n v="2000"/>
    <m/>
  </r>
  <r>
    <n v="811"/>
    <d v="2026-04-18T00:00:00"/>
    <x v="2"/>
    <x v="32"/>
    <s v="Kamareddy"/>
    <s v="Nagireddypet"/>
    <s v="Nails"/>
    <m/>
    <m/>
    <m/>
    <n v="850"/>
    <m/>
  </r>
  <r>
    <n v="812"/>
    <d v="2026-04-18T00:00:00"/>
    <x v="2"/>
    <x v="11"/>
    <s v="Hanamkonda"/>
    <s v="Hub"/>
    <s v="TS 34 T 3804 Shivareddy Auger Vehicle Diesel "/>
    <m/>
    <n v="31.25"/>
    <n v="96"/>
    <n v="3000"/>
    <m/>
  </r>
  <r>
    <n v="813"/>
    <d v="2026-04-18T00:00:00"/>
    <x v="3"/>
    <x v="10"/>
    <s v="Kamareddy"/>
    <s v="Domakonda"/>
    <s v="AP04KW7346 Domakonda Tractor deisel purched"/>
    <m/>
    <n v="31.25"/>
    <n v="96"/>
    <n v="3000"/>
    <m/>
  </r>
  <r>
    <n v="814"/>
    <d v="2026-04-18T00:00:00"/>
    <x v="3"/>
    <x v="3"/>
    <s v="Hanamkonda"/>
    <s v="Hub"/>
    <s v="sub metirials(dakaralu+chelagaparalu)"/>
    <m/>
    <m/>
    <m/>
    <n v="940"/>
    <m/>
  </r>
  <r>
    <n v="815"/>
    <d v="2026-04-18T00:00:00"/>
    <x v="3"/>
    <x v="3"/>
    <s v="Hanamkonda"/>
    <s v="Dharmasagar"/>
    <s v="sub metirials(thappies+l dharam)"/>
    <m/>
    <m/>
    <m/>
    <n v="280"/>
    <m/>
  </r>
  <r>
    <n v="816"/>
    <d v="2026-04-18T00:00:00"/>
    <x v="3"/>
    <x v="10"/>
    <s v="Hanamkonda"/>
    <s v="Hub"/>
    <s v="TS03UB7556  Tractor Diesel"/>
    <m/>
    <n v="20.833333333333332"/>
    <n v="96"/>
    <n v="2000"/>
    <m/>
  </r>
  <r>
    <n v="817"/>
    <d v="2026-04-19T00:00:00"/>
    <x v="2"/>
    <x v="38"/>
    <s v="Hanamkonda"/>
    <s v="Hub"/>
    <s v="Shuttering Making Shivam Chauhan"/>
    <m/>
    <m/>
    <m/>
    <n v="25000"/>
    <m/>
  </r>
  <r>
    <n v="818"/>
    <d v="2026-04-19T00:00:00"/>
    <x v="2"/>
    <x v="38"/>
    <s v="Hanamkonda"/>
    <s v="Hub"/>
    <s v="Shuttering Making Shivam Chauhan"/>
    <m/>
    <m/>
    <m/>
    <n v="25000"/>
    <m/>
  </r>
  <r>
    <n v="819"/>
    <d v="2026-04-19T00:00:00"/>
    <x v="2"/>
    <x v="5"/>
    <s v="Kamareddy"/>
    <s v="Birkoor"/>
    <s v="Narendra Expesnes"/>
    <m/>
    <m/>
    <m/>
    <n v="2250"/>
    <m/>
  </r>
  <r>
    <n v="820"/>
    <d v="2026-04-19T00:00:00"/>
    <x v="2"/>
    <x v="10"/>
    <s v="Hanamkonda"/>
    <s v="Nadikuda"/>
    <s v="AP 40 DC 0089 TRACTOR Diesel"/>
    <m/>
    <n v="20.833333333333332"/>
    <n v="96"/>
    <n v="2000"/>
    <m/>
  </r>
  <r>
    <n v="821"/>
    <d v="2026-04-19T00:00:00"/>
    <x v="2"/>
    <x v="56"/>
    <s v="Hanamkonda"/>
    <s v="Narsampet"/>
    <s v="1 Trip Sand For Model House"/>
    <m/>
    <m/>
    <m/>
    <n v="5050"/>
    <m/>
  </r>
  <r>
    <n v="822"/>
    <d v="2026-04-19T00:00:00"/>
    <x v="2"/>
    <x v="56"/>
    <s v="Hanamkonda"/>
    <s v="Narsampet"/>
    <s v="Cement For Model House"/>
    <m/>
    <n v="10"/>
    <n v="296"/>
    <n v="2960"/>
    <m/>
  </r>
  <r>
    <n v="823"/>
    <d v="2026-04-19T00:00:00"/>
    <x v="2"/>
    <x v="26"/>
    <s v="Bhongir"/>
    <s v="Valigonda"/>
    <s v="12 mm 1 Trip"/>
    <s v="12 MM Aggregate"/>
    <n v="4"/>
    <n v="687.5"/>
    <n v="2750"/>
    <m/>
  </r>
  <r>
    <n v="824"/>
    <d v="2026-04-19T00:00:00"/>
    <x v="2"/>
    <x v="34"/>
    <s v="Kamareddy"/>
    <s v="Banswada"/>
    <s v="Binding Wire"/>
    <s v="Binding wire"/>
    <n v="50"/>
    <n v="80"/>
    <n v="4000"/>
    <m/>
  </r>
  <r>
    <n v="825"/>
    <d v="2026-04-19T00:00:00"/>
    <x v="2"/>
    <x v="27"/>
    <s v="Kamareddy"/>
    <s v="Banswada"/>
    <s v="1.5  Ton Iron &amp; 10 kgs Binding Wire"/>
    <m/>
    <m/>
    <m/>
    <n v="99000"/>
    <m/>
  </r>
  <r>
    <n v="826"/>
    <d v="2026-04-19T00:00:00"/>
    <x v="2"/>
    <x v="10"/>
    <s v="Hanamkonda"/>
    <s v="Hub"/>
    <s v="TS03EE4571 DIESEL PAYMENT"/>
    <m/>
    <n v="34.645833333333336"/>
    <n v="96"/>
    <n v="3326"/>
    <m/>
  </r>
  <r>
    <n v="827"/>
    <d v="2026-04-19T00:00:00"/>
    <x v="2"/>
    <x v="10"/>
    <s v="Bhongir"/>
    <s v="Valigonda"/>
    <s v="Tractor Diesel"/>
    <m/>
    <n v="31.25"/>
    <n v="96"/>
    <n v="3000"/>
    <m/>
  </r>
  <r>
    <n v="828"/>
    <d v="2026-04-19T00:00:00"/>
    <x v="2"/>
    <x v="22"/>
    <s v="Hanamkonda"/>
    <s v="Hub"/>
    <s v="Site ELECTRICAl Items"/>
    <m/>
    <m/>
    <m/>
    <n v="2700"/>
    <m/>
  </r>
  <r>
    <n v="829"/>
    <d v="2026-04-19T00:00:00"/>
    <x v="2"/>
    <x v="10"/>
    <s v="Kamareddy"/>
    <s v="Nagireddypet"/>
    <s v="Tractor Diesel"/>
    <m/>
    <n v="20.833333333333332"/>
    <n v="96"/>
    <n v="2000"/>
    <m/>
  </r>
  <r>
    <n v="830"/>
    <d v="2026-04-19T00:00:00"/>
    <x v="2"/>
    <x v="10"/>
    <s v="Hanamkonda"/>
    <s v="Hub"/>
    <s v="Tractor Diesel"/>
    <m/>
    <n v="31.322916666666668"/>
    <n v="96"/>
    <n v="3007"/>
    <m/>
  </r>
  <r>
    <n v="831"/>
    <d v="2026-04-19T00:00:00"/>
    <x v="2"/>
    <x v="34"/>
    <s v="Kamareddy"/>
    <s v="Nagireddypet"/>
    <s v="Binding Wire &amp; Blades"/>
    <s v="Binding wire"/>
    <n v="25"/>
    <m/>
    <n v="2905"/>
    <m/>
  </r>
  <r>
    <n v="832"/>
    <d v="2026-04-19T00:00:00"/>
    <x v="3"/>
    <x v="10"/>
    <s v="Kamareddy"/>
    <s v="Birkoor"/>
    <s v="TS06ER8668 Ajax Vehicle Deisel Payment"/>
    <m/>
    <n v="20.833333333333332"/>
    <n v="96"/>
    <n v="2000"/>
    <m/>
  </r>
  <r>
    <n v="833"/>
    <d v="2026-04-19T00:00:00"/>
    <x v="3"/>
    <x v="10"/>
    <s v="Hanamkonda"/>
    <s v="Hub"/>
    <s v="AP5315AC AVS Reddy Augur vehicle deisel payment "/>
    <m/>
    <n v="51.145833333333336"/>
    <n v="96"/>
    <n v="4910"/>
    <m/>
  </r>
  <r>
    <n v="834"/>
    <d v="2026-04-19T00:00:00"/>
    <x v="3"/>
    <x v="14"/>
    <s v="Hanamkonda"/>
    <s v="Kyathamapalle"/>
    <s v="10*290 Cement Bags purchased for keythanapalli RL works"/>
    <s v="Cement"/>
    <n v="10"/>
    <n v="290"/>
    <n v="2900"/>
    <m/>
  </r>
  <r>
    <n v="835"/>
    <d v="2026-04-19T00:00:00"/>
    <x v="3"/>
    <x v="10"/>
    <s v="Kamareddy"/>
    <s v="Birkoor"/>
    <s v="AP40KF2843 TRACTOR DEISEL PAYMENT"/>
    <m/>
    <n v="20.833333333333332"/>
    <n v="96"/>
    <n v="2000"/>
    <m/>
  </r>
  <r>
    <n v="836"/>
    <d v="2026-04-19T00:00:00"/>
    <x v="3"/>
    <x v="10"/>
    <s v="Hanamkonda"/>
    <s v="Hub"/>
    <s v="TS 34 T 3804 Shivareddy Auger Vehicle Diesel "/>
    <m/>
    <n v="10.416666666666666"/>
    <n v="96"/>
    <n v="1000"/>
    <m/>
  </r>
  <r>
    <n v="837"/>
    <d v="2026-04-19T00:00:00"/>
    <x v="3"/>
    <x v="10"/>
    <s v="Janagaon"/>
    <s v="Palakurthy"/>
    <s v="TS27D8093 TRACTOR DEISEL PAYMENT"/>
    <m/>
    <n v="20.833333333333332"/>
    <n v="96"/>
    <n v="2000"/>
    <m/>
  </r>
  <r>
    <n v="838"/>
    <d v="2026-04-19T00:00:00"/>
    <x v="3"/>
    <x v="23"/>
    <s v="Hanamkonda"/>
    <s v="Hub"/>
    <s v="Prabhu car Driver Advance"/>
    <m/>
    <m/>
    <m/>
    <n v="1000"/>
    <m/>
  </r>
  <r>
    <n v="839"/>
    <d v="2026-04-19T00:00:00"/>
    <x v="3"/>
    <x v="10"/>
    <s v="Hanamkonda"/>
    <s v="Hub"/>
    <s v="APJJ1001 VEHICLE DEISEL PAYMENT"/>
    <m/>
    <n v="10.416666666666666"/>
    <n v="96"/>
    <n v="1000"/>
    <m/>
  </r>
  <r>
    <n v="840"/>
    <d v="2026-04-19T00:00:00"/>
    <x v="3"/>
    <x v="10"/>
    <s v="Hanamkonda"/>
    <s v="Hub"/>
    <s v="APJJ1001 VEHICLE DEISEL PAYMENT"/>
    <m/>
    <n v="10.416666666666666"/>
    <n v="96"/>
    <n v="1000"/>
    <m/>
  </r>
  <r>
    <n v="841"/>
    <d v="2026-04-20T00:00:00"/>
    <x v="2"/>
    <x v="7"/>
    <s v="Hanamkonda"/>
    <s v="Hub"/>
    <s v="Ummidi Ramana"/>
    <m/>
    <m/>
    <m/>
    <n v="68000"/>
    <m/>
  </r>
  <r>
    <n v="842"/>
    <d v="2026-04-20T00:00:00"/>
    <x v="2"/>
    <x v="10"/>
    <s v="Kamareddy"/>
    <s v="Banswada"/>
    <s v="Tractor Diesel"/>
    <m/>
    <n v="20.833333333333332"/>
    <n v="96"/>
    <n v="2000"/>
    <m/>
  </r>
  <r>
    <n v="843"/>
    <d v="2026-04-20T00:00:00"/>
    <x v="2"/>
    <x v="53"/>
    <s v="Kamareddy"/>
    <s v="Banswada"/>
    <s v="5 Tractors Sand For Banswada Mandal"/>
    <m/>
    <m/>
    <m/>
    <n v="16500"/>
    <m/>
  </r>
  <r>
    <n v="844"/>
    <d v="2026-04-20T00:00:00"/>
    <x v="2"/>
    <x v="32"/>
    <s v="Kamareddy"/>
    <s v="Nagireddypet"/>
    <s v="10 Kg Nails"/>
    <m/>
    <m/>
    <m/>
    <n v="850"/>
    <m/>
  </r>
  <r>
    <n v="845"/>
    <d v="2026-04-20T00:00:00"/>
    <x v="2"/>
    <x v="11"/>
    <s v="Hanamkonda"/>
    <s v="Hub"/>
    <s v="TS 34 T 3804 Shivareddy Auger Vehicle Diesel "/>
    <m/>
    <n v="31.25"/>
    <n v="96"/>
    <n v="3000"/>
    <m/>
  </r>
  <r>
    <n v="846"/>
    <d v="2026-04-20T00:00:00"/>
    <x v="3"/>
    <x v="10"/>
    <s v="Kamareddy"/>
    <s v="Banswada"/>
    <s v="VENKAT RAO AUGUR VEHICAL DEISEL PAYMENT"/>
    <m/>
    <n v="50.0625"/>
    <n v="96"/>
    <n v="4806"/>
    <m/>
  </r>
  <r>
    <n v="847"/>
    <d v="2026-04-20T00:00:00"/>
    <x v="3"/>
    <x v="10"/>
    <s v="Hanamkonda"/>
    <s v="Kyathamapalle"/>
    <s v="TS25C1579 Tractor Diesel payment"/>
    <m/>
    <n v="20.833333333333332"/>
    <n v="96"/>
    <n v="2000"/>
    <m/>
  </r>
  <r>
    <n v="848"/>
    <d v="2026-04-20T00:00:00"/>
    <x v="3"/>
    <x v="18"/>
    <s v="Hanamkonda"/>
    <s v="Hub"/>
    <s v="RMC TRIP CHARGES "/>
    <m/>
    <m/>
    <m/>
    <n v="1300"/>
    <m/>
  </r>
  <r>
    <n v="849"/>
    <d v="2026-04-20T00:00:00"/>
    <x v="3"/>
    <x v="10"/>
    <s v="Hanamkonda"/>
    <s v="Hub"/>
    <s v="TS03EE4571 DIESEL PAYMENT"/>
    <m/>
    <n v="5.208333333333333"/>
    <n v="96"/>
    <n v="500"/>
    <m/>
  </r>
  <r>
    <n v="850"/>
    <d v="2026-04-20T00:00:00"/>
    <x v="3"/>
    <x v="3"/>
    <s v="Hanamkonda"/>
    <s v="Hub"/>
    <s v="RC Work Meterials (katoni-2,8mm liver-1)  payment"/>
    <m/>
    <m/>
    <m/>
    <n v="1400"/>
    <m/>
  </r>
  <r>
    <n v="851"/>
    <d v="2026-04-20T00:00:00"/>
    <x v="3"/>
    <x v="0"/>
    <s v="Kamareddy"/>
    <s v="DOMAKONDA"/>
    <s v="MEDAK TO DOMAKONDA  LABOUR SHIFITING AUTO RENT"/>
    <m/>
    <m/>
    <m/>
    <n v="3000"/>
    <m/>
  </r>
  <r>
    <n v="852"/>
    <d v="2026-04-20T00:00:00"/>
    <x v="3"/>
    <x v="18"/>
    <s v="Kamareddy"/>
    <s v="Ramareddy"/>
    <s v="LINGAMPET TO RAMAREDDY MDL PLAYWOOD SITE Unloading AND 3 RMC TRIP CHARGES"/>
    <m/>
    <m/>
    <m/>
    <n v="1950"/>
    <m/>
  </r>
  <r>
    <n v="853"/>
    <d v="2026-04-20T00:00:00"/>
    <x v="3"/>
    <x v="22"/>
    <s v="Kothagudem"/>
    <s v="Yellandu"/>
    <s v="ELLANDU LABOUR ACCOMODITATION FANS PURCHASED "/>
    <m/>
    <m/>
    <m/>
    <n v="5400"/>
    <m/>
  </r>
  <r>
    <n v="854"/>
    <d v="2026-04-20T00:00:00"/>
    <x v="3"/>
    <x v="38"/>
    <s v="Hanamkonda"/>
    <s v="Hub"/>
    <s v="BALAJI WOOD WORKS 16 CENTRING PLY WORK PAYMENT "/>
    <m/>
    <m/>
    <m/>
    <n v="2400"/>
    <m/>
  </r>
  <r>
    <n v="855"/>
    <d v="2026-04-21T00:00:00"/>
    <x v="2"/>
    <x v="8"/>
    <s v="Hanamkonda"/>
    <s v="Hub"/>
    <s v="Centering Wood Unloading "/>
    <m/>
    <m/>
    <m/>
    <n v="3500"/>
    <m/>
  </r>
  <r>
    <n v="856"/>
    <d v="2026-04-21T00:00:00"/>
    <x v="2"/>
    <x v="32"/>
    <s v="Kamareddy"/>
    <s v="Banswada"/>
    <s v="2.5 INChs Nails AT bbANSWADA"/>
    <m/>
    <m/>
    <m/>
    <n v="920"/>
    <m/>
  </r>
  <r>
    <n v="857"/>
    <d v="2026-04-21T00:00:00"/>
    <x v="2"/>
    <x v="22"/>
    <s v="Kamareddy"/>
    <s v="Nagireddypet"/>
    <s v="For LABOUR"/>
    <m/>
    <m/>
    <m/>
    <n v="370"/>
    <m/>
  </r>
  <r>
    <n v="858"/>
    <d v="2026-04-21T00:00:00"/>
    <x v="2"/>
    <x v="3"/>
    <s v="Hanamkonda"/>
    <s v="Hub"/>
    <s v="Tools &amp; Machines Purchased For Hanamkonda"/>
    <m/>
    <m/>
    <m/>
    <n v="13800"/>
    <m/>
  </r>
  <r>
    <n v="859"/>
    <d v="2026-04-21T00:00:00"/>
    <x v="2"/>
    <x v="10"/>
    <s v="Kamareddy"/>
    <s v="Birkoor"/>
    <s v="Ajax Diesel "/>
    <m/>
    <n v="31.25"/>
    <n v="96"/>
    <n v="3000"/>
    <m/>
  </r>
  <r>
    <n v="860"/>
    <d v="2026-04-21T00:00:00"/>
    <x v="2"/>
    <x v="53"/>
    <s v="Kamareddy"/>
    <s v="Banswada"/>
    <s v="5 Tractors Sand For Banswada Mandal"/>
    <m/>
    <m/>
    <m/>
    <n v="15000"/>
    <m/>
  </r>
  <r>
    <n v="861"/>
    <d v="2026-04-21T00:00:00"/>
    <x v="2"/>
    <x v="10"/>
    <s v="Kamareddy"/>
    <s v="Nagireddypet"/>
    <s v="Tractor Diesel"/>
    <m/>
    <n v="20.833333333333332"/>
    <n v="96"/>
    <n v="2000"/>
    <m/>
  </r>
  <r>
    <n v="862"/>
    <d v="2026-04-21T00:00:00"/>
    <x v="2"/>
    <x v="10"/>
    <s v="Medak"/>
    <s v="Narsapur"/>
    <s v="Tractor Diesel"/>
    <m/>
    <n v="20.833333333333332"/>
    <n v="96"/>
    <n v="2000"/>
    <m/>
  </r>
  <r>
    <n v="863"/>
    <d v="2026-04-21T00:00:00"/>
    <x v="2"/>
    <x v="10"/>
    <s v="Hanamkonda"/>
    <s v="Hub"/>
    <s v="TS03UB7556  Tractor Diesel"/>
    <m/>
    <n v="31.25"/>
    <n v="96"/>
    <n v="3000"/>
    <m/>
  </r>
  <r>
    <n v="864"/>
    <d v="2026-04-21T00:00:00"/>
    <x v="2"/>
    <x v="46"/>
    <s v="Hanamkonda"/>
    <s v="Hub"/>
    <m/>
    <m/>
    <m/>
    <m/>
    <n v="10000"/>
    <m/>
  </r>
  <r>
    <n v="865"/>
    <d v="2026-04-22T00:00:00"/>
    <x v="2"/>
    <x v="34"/>
    <s v="Kamareddy"/>
    <s v="Lingampet"/>
    <s v="Binding Wire 25 kg and Nails 10 kg"/>
    <s v="Binding wire"/>
    <n v="25"/>
    <m/>
    <n v="2980"/>
    <m/>
  </r>
  <r>
    <n v="866"/>
    <d v="2026-04-22T00:00:00"/>
    <x v="2"/>
    <x v="14"/>
    <s v="Kamareddy"/>
    <s v="Lingampet"/>
    <s v="cement for pumos"/>
    <s v="Cement"/>
    <n v="4"/>
    <n v="250"/>
    <n v="1000"/>
    <m/>
  </r>
  <r>
    <n v="867"/>
    <d v="2026-04-22T00:00:00"/>
    <x v="2"/>
    <x v="51"/>
    <s v="Kamareddy"/>
    <s v="Lingampet"/>
    <s v="Labour Shifting"/>
    <m/>
    <m/>
    <m/>
    <n v="1200"/>
    <m/>
  </r>
  <r>
    <n v="868"/>
    <d v="2026-04-22T00:00:00"/>
    <x v="2"/>
    <x v="9"/>
    <s v="Kamareddy"/>
    <s v="Lingampet"/>
    <s v="Labour Room Rent"/>
    <m/>
    <m/>
    <m/>
    <n v="5000"/>
    <m/>
  </r>
  <r>
    <n v="869"/>
    <d v="2026-04-22T00:00:00"/>
    <x v="2"/>
    <x v="8"/>
    <s v="Kamareddy"/>
    <s v="Lingampet"/>
    <s v="1 FEET SHEETS LOADING"/>
    <m/>
    <m/>
    <m/>
    <n v="3000"/>
    <m/>
  </r>
  <r>
    <n v="870"/>
    <d v="2026-04-22T00:00:00"/>
    <x v="2"/>
    <x v="0"/>
    <s v="Hanamkonda"/>
    <s v="Hub"/>
    <s v="Hanamkonda To Wardhannapet Labour Shifting"/>
    <m/>
    <m/>
    <m/>
    <n v="1500"/>
    <m/>
  </r>
  <r>
    <n v="871"/>
    <d v="2026-04-22T00:00:00"/>
    <x v="2"/>
    <x v="10"/>
    <s v="Kamareddy"/>
    <s v="Banswada"/>
    <s v="Ajax Diesel "/>
    <m/>
    <n v="26.041666666666668"/>
    <n v="96"/>
    <n v="2500"/>
    <m/>
  </r>
  <r>
    <n v="872"/>
    <d v="2026-04-22T00:00:00"/>
    <x v="2"/>
    <x v="56"/>
    <s v="Hanamkonda"/>
    <s v="Sangem"/>
    <s v="6 Trips Back Filling"/>
    <m/>
    <m/>
    <m/>
    <n v="3000"/>
    <m/>
  </r>
  <r>
    <n v="873"/>
    <d v="2026-04-22T00:00:00"/>
    <x v="2"/>
    <x v="53"/>
    <s v="Kamareddy"/>
    <s v="Banswada"/>
    <s v="4 Trip Sand"/>
    <m/>
    <m/>
    <m/>
    <n v="12000"/>
    <m/>
  </r>
  <r>
    <n v="874"/>
    <d v="2026-04-22T00:00:00"/>
    <x v="2"/>
    <x v="4"/>
    <s v="Kamareddy"/>
    <s v="Banswada"/>
    <s v="Food For Ajax  5 Days"/>
    <m/>
    <m/>
    <m/>
    <n v="1250"/>
    <m/>
  </r>
  <r>
    <n v="875"/>
    <d v="2026-04-22T00:00:00"/>
    <x v="2"/>
    <x v="57"/>
    <s v="Kamareddy"/>
    <s v="Banswada"/>
    <s v="3 Days Tractor Driver"/>
    <m/>
    <m/>
    <m/>
    <n v="3000"/>
    <m/>
  </r>
  <r>
    <n v="876"/>
    <d v="2026-04-22T00:00:00"/>
    <x v="2"/>
    <x v="14"/>
    <s v="Hanamkonda"/>
    <s v="Dharmasagar"/>
    <s v="50 bags * 260"/>
    <s v="Cement"/>
    <n v="50"/>
    <n v="260"/>
    <n v="13000"/>
    <m/>
  </r>
  <r>
    <n v="877"/>
    <d v="2026-04-22T00:00:00"/>
    <x v="2"/>
    <x v="10"/>
    <s v="Hanamkonda"/>
    <s v="Hub"/>
    <s v="TS03EE4571 DIESEL PAYMENT"/>
    <m/>
    <n v="30.208333333333332"/>
    <n v="96"/>
    <n v="2900"/>
    <m/>
  </r>
  <r>
    <n v="878"/>
    <d v="2026-04-22T00:00:00"/>
    <x v="2"/>
    <x v="56"/>
    <s v="Warangal"/>
    <s v="Duggondi"/>
    <s v="Sand  1 Trip For Duggondi Model House"/>
    <m/>
    <m/>
    <m/>
    <n v="6000"/>
    <m/>
  </r>
  <r>
    <n v="879"/>
    <d v="2026-04-22T00:00:00"/>
    <x v="2"/>
    <x v="38"/>
    <s v="Hanamkonda"/>
    <s v="Hub"/>
    <s v="Hir Singh"/>
    <m/>
    <m/>
    <m/>
    <n v="38000"/>
    <m/>
  </r>
  <r>
    <n v="880"/>
    <d v="2026-04-22T00:00:00"/>
    <x v="2"/>
    <x v="3"/>
    <s v="Hanamkonda"/>
    <s v="Hub"/>
    <s v="Tools &amp; Machines Purchased For Hanamkonda"/>
    <m/>
    <m/>
    <m/>
    <n v="20000"/>
    <m/>
  </r>
  <r>
    <n v="881"/>
    <d v="2026-04-22T00:00:00"/>
    <x v="2"/>
    <x v="56"/>
    <s v="Warangal"/>
    <s v="Duggondi"/>
    <s v="Wetmix For Duggondi Model House"/>
    <m/>
    <m/>
    <m/>
    <n v="2400"/>
    <m/>
  </r>
  <r>
    <n v="882"/>
    <d v="2026-04-22T00:00:00"/>
    <x v="2"/>
    <x v="56"/>
    <s v="Warangal"/>
    <s v="Duggondi"/>
    <s v="Nirmith Kendram to Doggondi Transport"/>
    <m/>
    <m/>
    <m/>
    <n v="3400"/>
    <m/>
  </r>
  <r>
    <n v="883"/>
    <d v="2026-04-22T00:00:00"/>
    <x v="2"/>
    <x v="11"/>
    <s v="Hanamkonda"/>
    <s v="Hub"/>
    <s v="TS 34 T 3804 Shivareddy Auger Vehicle Diesel "/>
    <m/>
    <n v="25.333333333333332"/>
    <n v="96"/>
    <n v="2432"/>
    <m/>
  </r>
  <r>
    <n v="884"/>
    <d v="2026-04-22T00:00:00"/>
    <x v="3"/>
    <x v="26"/>
    <s v="Hanamkonda"/>
    <s v="Kyathamapalle"/>
    <s v="DUST AGREEGATE PAYMENT BY K GOVINDU DATE ON21-04-2026"/>
    <s v="Msand"/>
    <n v="6"/>
    <n v="866.66666666666663"/>
    <n v="5200"/>
    <m/>
  </r>
  <r>
    <n v="885"/>
    <d v="2026-04-22T00:00:00"/>
    <x v="3"/>
    <x v="10"/>
    <s v="Kamareddy"/>
    <s v="Ramareddy"/>
    <s v="AP5315AC AVS REDDY AUGUR VEHICLE DEISEL PAYMENT"/>
    <m/>
    <n v="52.40625"/>
    <n v="96"/>
    <n v="5031"/>
    <m/>
  </r>
  <r>
    <n v="886"/>
    <d v="2026-04-23T00:00:00"/>
    <x v="2"/>
    <x v="9"/>
    <s v="Kamareddy"/>
    <s v="Lingampet"/>
    <s v="Lingampet Labour Room Rent"/>
    <m/>
    <m/>
    <m/>
    <n v="5000"/>
    <m/>
  </r>
  <r>
    <n v="887"/>
    <d v="2026-04-23T00:00:00"/>
    <x v="2"/>
    <x v="53"/>
    <s v="Kamareddy"/>
    <s v="Banswada"/>
    <s v="5 Tractors Sand For Banswada Mandal"/>
    <m/>
    <m/>
    <m/>
    <n v="17000"/>
    <m/>
  </r>
  <r>
    <n v="888"/>
    <d v="2026-04-23T00:00:00"/>
    <x v="2"/>
    <x v="10"/>
    <s v="Hanamkonda"/>
    <s v="Hub"/>
    <s v="AP39TH0913 DCM Vehical Diesel Payment "/>
    <m/>
    <n v="140.625"/>
    <n v="96"/>
    <n v="13500"/>
    <m/>
  </r>
  <r>
    <n v="889"/>
    <d v="2026-04-23T00:00:00"/>
    <x v="2"/>
    <x v="3"/>
    <s v="Kothagudem"/>
    <s v="Yellandu"/>
    <s v="Bl Teams Expesnes "/>
    <m/>
    <m/>
    <m/>
    <n v="25000"/>
    <m/>
  </r>
  <r>
    <n v="890"/>
    <d v="2026-04-23T00:00:00"/>
    <x v="2"/>
    <x v="49"/>
    <s v="Hanamkonda"/>
    <s v="Hub"/>
    <s v="MOU Prints"/>
    <m/>
    <m/>
    <m/>
    <n v="300"/>
    <m/>
  </r>
  <r>
    <n v="891"/>
    <d v="2026-04-23T00:00:00"/>
    <x v="2"/>
    <x v="56"/>
    <s v="Hanamkonda"/>
    <s v="Hub"/>
    <s v="8 Bags Cement"/>
    <m/>
    <n v="8"/>
    <n v="300"/>
    <n v="2400"/>
    <m/>
  </r>
  <r>
    <n v="892"/>
    <d v="2026-04-23T00:00:00"/>
    <x v="2"/>
    <x v="56"/>
    <s v="Hanamkonda"/>
    <s v="Hub"/>
    <s v="8 Bags Cement AND 1 Trip SAND "/>
    <m/>
    <m/>
    <m/>
    <n v="6000"/>
    <m/>
  </r>
  <r>
    <n v="893"/>
    <d v="2026-04-23T00:00:00"/>
    <x v="2"/>
    <x v="10"/>
    <s v="Janagaon"/>
    <s v="Palakurthi"/>
    <s v="8093 Tractor Diesel"/>
    <m/>
    <n v="20.833333333333332"/>
    <n v="96"/>
    <n v="2000"/>
    <m/>
  </r>
  <r>
    <n v="894"/>
    <d v="2026-04-23T00:00:00"/>
    <x v="2"/>
    <x v="10"/>
    <s v="Hanamkonda"/>
    <s v="Hub"/>
    <s v="TS03FE1304  Tractor Diesel Payment"/>
    <m/>
    <n v="34.458333333333336"/>
    <n v="96"/>
    <n v="3308"/>
    <m/>
  </r>
  <r>
    <n v="895"/>
    <d v="2026-04-23T00:00:00"/>
    <x v="2"/>
    <x v="10"/>
    <s v="Hanamkonda"/>
    <s v="Hub"/>
    <s v="AP 39 WB 2967 Tractor Diesel"/>
    <m/>
    <n v="31.25"/>
    <n v="96"/>
    <n v="3000"/>
    <m/>
  </r>
  <r>
    <n v="896"/>
    <d v="2026-04-23T00:00:00"/>
    <x v="3"/>
    <x v="9"/>
    <s v="Janagaon"/>
    <s v="Tharigoppula"/>
    <s v="House Rent payment  in Tharigoppula  by chennuboiyana sreekanth"/>
    <m/>
    <m/>
    <m/>
    <n v="1000"/>
    <m/>
  </r>
  <r>
    <n v="897"/>
    <d v="2026-04-23T00:00:00"/>
    <x v="3"/>
    <x v="55"/>
    <s v="Kamareddy"/>
    <s v="Banswada"/>
    <s v="JCB Rent for Ajacs (TS06ER8668) Stuck Problem  solved"/>
    <m/>
    <m/>
    <m/>
    <n v="2500"/>
    <m/>
  </r>
  <r>
    <n v="898"/>
    <d v="2026-04-23T00:00:00"/>
    <x v="3"/>
    <x v="10"/>
    <s v="Kamareddy"/>
    <s v="NagireddyPet"/>
    <s v="Venkat Rao Augur vehicle deisel payment"/>
    <m/>
    <n v="41.666666666666664"/>
    <n v="96"/>
    <n v="4000"/>
    <m/>
  </r>
  <r>
    <n v="899"/>
    <d v="2026-04-23T00:00:00"/>
    <x v="3"/>
    <x v="3"/>
    <s v="Hanamkonda"/>
    <s v="Hub"/>
    <s v="welding Metrials purchased"/>
    <m/>
    <m/>
    <m/>
    <n v="700"/>
    <m/>
  </r>
  <r>
    <n v="900"/>
    <d v="2026-04-23T00:00:00"/>
    <x v="3"/>
    <x v="10"/>
    <s v="Hanamkonda"/>
    <s v="Wardhannapet"/>
    <s v="TS24T8355 TRACTOR DEISEL PAYMENT"/>
    <m/>
    <n v="20.833333333333332"/>
    <n v="96"/>
    <n v="2000"/>
    <m/>
  </r>
  <r>
    <n v="901"/>
    <d v="2026-04-23T00:00:00"/>
    <x v="3"/>
    <x v="3"/>
    <s v="Hanamkonda"/>
    <s v="Kyathamapalle"/>
    <s v="RL Contruction stands and side Boxes Rent purpose Date on 19-04-2026"/>
    <m/>
    <m/>
    <m/>
    <n v="1360"/>
    <m/>
  </r>
  <r>
    <n v="902"/>
    <d v="2026-04-23T00:00:00"/>
    <x v="3"/>
    <x v="10"/>
    <s v="Kamareddy"/>
    <s v="Banswada"/>
    <s v="TS06ER8668 Ajax Vehicle Deisel payment "/>
    <m/>
    <n v="20.229166666666668"/>
    <n v="96"/>
    <n v="1942"/>
    <m/>
  </r>
  <r>
    <n v="903"/>
    <d v="2026-04-23T00:00:00"/>
    <x v="3"/>
    <x v="18"/>
    <s v="Kamareddy"/>
    <s v="NagireddyPet"/>
    <s v="RMC Trip charges"/>
    <m/>
    <m/>
    <m/>
    <n v="300"/>
    <m/>
  </r>
  <r>
    <n v="904"/>
    <d v="2026-04-23T00:00:00"/>
    <x v="3"/>
    <x v="0"/>
    <s v="Kothagudem"/>
    <s v="Yellandu"/>
    <s v="Ellandu Metrial shiffing labour  charges"/>
    <m/>
    <m/>
    <m/>
    <n v="2600"/>
    <m/>
  </r>
  <r>
    <n v="905"/>
    <d v="2026-04-23T00:00:00"/>
    <x v="3"/>
    <x v="9"/>
    <s v="Bhongir"/>
    <s v="Valigonda"/>
    <s v="Valigonda room rent payment"/>
    <m/>
    <m/>
    <m/>
    <n v="5000"/>
    <m/>
  </r>
  <r>
    <n v="906"/>
    <d v="2026-04-23T00:00:00"/>
    <x v="3"/>
    <x v="10"/>
    <s v="Hanamkonda"/>
    <s v="Hub"/>
    <s v="AP39DC3351 Diesel Payment From Giddaloor To Hanamkonda"/>
    <m/>
    <n v="52.083333333333336"/>
    <n v="96"/>
    <n v="5000"/>
    <m/>
  </r>
  <r>
    <n v="907"/>
    <d v="2026-04-23T00:00:00"/>
    <x v="3"/>
    <x v="10"/>
    <s v="Hanamkonda"/>
    <s v="Hub"/>
    <s v="AP39DC3351 Diesel Payment From Giddaloor To Hanamkonda"/>
    <m/>
    <n v="52.083333333333336"/>
    <n v="96"/>
    <n v="5000"/>
    <m/>
  </r>
  <r>
    <n v="908"/>
    <d v="2026-04-23T00:00:00"/>
    <x v="3"/>
    <x v="10"/>
    <s v="Hanamkonda"/>
    <s v="Hub"/>
    <s v="AP27UB0957 Diesel Payment From Giddaloor To Hanamkonda"/>
    <m/>
    <n v="52.083333333333336"/>
    <n v="96"/>
    <n v="5000"/>
    <m/>
  </r>
  <r>
    <n v="909"/>
    <d v="2026-04-23T00:00:00"/>
    <x v="3"/>
    <x v="32"/>
    <s v="Kamareddy"/>
    <s v="NagireddyPet"/>
    <s v="Nails-10kg purchased by budda suresh"/>
    <m/>
    <m/>
    <m/>
    <n v="800"/>
    <m/>
  </r>
  <r>
    <n v="910"/>
    <d v="2026-04-23T00:00:00"/>
    <x v="3"/>
    <x v="56"/>
    <s v="Hanamkonda"/>
    <s v="Sangem"/>
    <s v="Sand payment by G venkat rao at sagyam"/>
    <m/>
    <m/>
    <m/>
    <n v="6982"/>
    <m/>
  </r>
  <r>
    <n v="911"/>
    <d v="2026-04-24T00:00:00"/>
    <x v="2"/>
    <x v="8"/>
    <s v="Hanamkonda"/>
    <s v="Hub"/>
    <s v="Vizag To Warangal Shuttering Sheets"/>
    <m/>
    <m/>
    <m/>
    <n v="5000"/>
    <m/>
  </r>
  <r>
    <n v="912"/>
    <d v="2026-04-24T00:00:00"/>
    <x v="3"/>
    <x v="10"/>
    <s v="Hanamkonda"/>
    <s v="Hub"/>
    <s v="AP27UB0957 Diesel Payment From Giddaloor To Hanamkonda"/>
    <m/>
    <n v="52.083333333333336"/>
    <n v="96"/>
    <n v="5000"/>
    <m/>
  </r>
  <r>
    <n v="913"/>
    <d v="2026-04-24T00:00:00"/>
    <x v="3"/>
    <x v="32"/>
    <s v="Kamareddy"/>
    <s v="NagireddyPet"/>
    <s v="Nails-10kg purchased by budda suresh"/>
    <m/>
    <m/>
    <m/>
    <n v="800"/>
    <m/>
  </r>
  <r>
    <n v="914"/>
    <d v="2026-04-24T00:00:00"/>
    <x v="3"/>
    <x v="56"/>
    <s v="Hanamkonda"/>
    <s v="Sangem"/>
    <s v="Sand payment by G venkat rao at sagyam"/>
    <m/>
    <m/>
    <m/>
    <n v="6982"/>
    <m/>
  </r>
  <r>
    <n v="915"/>
    <d v="2026-04-24T00:00:00"/>
    <x v="3"/>
    <x v="14"/>
    <s v="Hanamkonda"/>
    <s v="Hub"/>
    <s v="Cement 50 bags purchased by venkat rao"/>
    <s v="Cement"/>
    <n v="50"/>
    <n v="260"/>
    <n v="13000"/>
    <m/>
  </r>
  <r>
    <n v="916"/>
    <d v="2026-04-24T00:00:00"/>
    <x v="3"/>
    <x v="2"/>
    <s v="Kamareddy"/>
    <s v="NagireddyPet"/>
    <s v="waste oil-15lts purchased by G Gowri naidu"/>
    <m/>
    <m/>
    <m/>
    <n v="600"/>
    <m/>
  </r>
  <r>
    <n v="917"/>
    <d v="2026-04-24T00:00:00"/>
    <x v="3"/>
    <x v="9"/>
    <s v="Janagaon"/>
    <s v="Tharigoppula"/>
    <s v="House Rent payment  in Tharigoppula  by gangapatla kishore"/>
    <m/>
    <m/>
    <m/>
    <n v="2500"/>
    <m/>
  </r>
  <r>
    <n v="918"/>
    <d v="2026-04-24T00:00:00"/>
    <x v="3"/>
    <x v="2"/>
    <s v="Janagaon"/>
    <s v="Palakurthy"/>
    <s v="mud oil-30lts  purchased by Gangapatla Kishore"/>
    <m/>
    <m/>
    <m/>
    <n v="1500"/>
    <m/>
  </r>
  <r>
    <n v="919"/>
    <d v="2026-04-24T00:00:00"/>
    <x v="3"/>
    <x v="3"/>
    <s v="Hanamkonda"/>
    <s v="Hub"/>
    <s v="Welding rod purchased by AVS Reddy at nirmithkendr"/>
    <m/>
    <m/>
    <m/>
    <n v="700"/>
    <m/>
  </r>
  <r>
    <n v="920"/>
    <d v="2026-04-24T00:00:00"/>
    <x v="3"/>
    <x v="10"/>
    <s v="Kamareddy"/>
    <s v="Banswada"/>
    <s v="AP 40 KE 2834 Tractor Diesel"/>
    <m/>
    <n v="20.833333333333332"/>
    <n v="96"/>
    <n v="2000"/>
    <m/>
  </r>
  <r>
    <n v="921"/>
    <d v="2026-04-24T00:00:00"/>
    <x v="3"/>
    <x v="10"/>
    <s v="Kamareddy"/>
    <s v="NagireddyPet"/>
    <s v="TS17T6540 tarctor Deidel payment bybudda suresh"/>
    <m/>
    <n v="20.833333333333332"/>
    <n v="96"/>
    <n v="2000"/>
    <m/>
  </r>
  <r>
    <n v="922"/>
    <d v="2026-04-24T00:00:00"/>
    <x v="3"/>
    <x v="10"/>
    <s v="Kamareddy"/>
    <s v="Banswada"/>
    <s v="TS06ER8668 Ajax Deisel payment by k srinivasulu Reddy"/>
    <m/>
    <n v="20.833333333333332"/>
    <n v="96"/>
    <n v="2000"/>
    <m/>
  </r>
  <r>
    <n v="923"/>
    <d v="2026-04-24T00:00:00"/>
    <x v="3"/>
    <x v="0"/>
    <s v="Hanamkonda"/>
    <s v="Banglore"/>
    <s v=" Mou Douments proffisinal courriar service charges by prasanna"/>
    <m/>
    <m/>
    <m/>
    <n v="2055"/>
    <m/>
  </r>
  <r>
    <n v="924"/>
    <d v="2026-04-25T00:00:00"/>
    <x v="2"/>
    <x v="56"/>
    <s v="Warangal"/>
    <s v="Nekkonda"/>
    <s v="Bricks Unloading Nekkonda Model House"/>
    <m/>
    <m/>
    <m/>
    <n v="3500"/>
    <m/>
  </r>
  <r>
    <n v="925"/>
    <d v="2026-04-25T00:00:00"/>
    <x v="2"/>
    <x v="0"/>
    <s v="Hanamkonda"/>
    <s v="Hub"/>
    <s v="hanamkonda To Palakurthy Transport Chemical"/>
    <m/>
    <m/>
    <m/>
    <n v="3000"/>
    <m/>
  </r>
  <r>
    <n v="926"/>
    <d v="2026-04-25T00:00:00"/>
    <x v="2"/>
    <x v="14"/>
    <s v="Hanamkonda"/>
    <s v="Hub"/>
    <s v="50 bags * 260"/>
    <s v="Cement"/>
    <n v="50"/>
    <n v="260"/>
    <n v="13000"/>
    <m/>
  </r>
  <r>
    <n v="927"/>
    <d v="2026-04-25T00:00:00"/>
    <x v="2"/>
    <x v="10"/>
    <s v="Hanamkonda"/>
    <s v="Hub"/>
    <s v="TS03EE4571 DIESEL PAYMENT"/>
    <m/>
    <n v="28.333333333333332"/>
    <n v="96"/>
    <n v="2720"/>
    <m/>
  </r>
  <r>
    <n v="928"/>
    <d v="2026-04-25T00:00:00"/>
    <x v="2"/>
    <x v="10"/>
    <s v="Hanamkonda"/>
    <s v="Hub"/>
    <s v="TS25C1579 Tractor Diesel payment"/>
    <m/>
    <n v="20.833333333333332"/>
    <n v="96"/>
    <n v="2000"/>
    <m/>
  </r>
  <r>
    <n v="929"/>
    <d v="2026-04-25T00:00:00"/>
    <x v="3"/>
    <x v="3"/>
    <s v="Hanamkonda"/>
    <s v="Hub"/>
    <s v="Electric line man charges by g suresh in nirmithkendr date"/>
    <m/>
    <m/>
    <m/>
    <n v="200"/>
    <m/>
  </r>
  <r>
    <n v="930"/>
    <d v="2026-04-25T00:00:00"/>
    <x v="3"/>
    <x v="9"/>
    <s v="Hanamkonda"/>
    <s v="Hub"/>
    <s v="Hanumakonda urbun Room Rent  payment by G Suresh"/>
    <m/>
    <m/>
    <m/>
    <n v="6000"/>
    <m/>
  </r>
  <r>
    <n v="931"/>
    <d v="2026-04-25T00:00:00"/>
    <x v="3"/>
    <x v="18"/>
    <s v="Hanamkonda"/>
    <s v="Hub"/>
    <s v="rmc trip charges and Rl work Stands rent payment by G Suresh"/>
    <m/>
    <m/>
    <m/>
    <n v="1450"/>
    <m/>
  </r>
  <r>
    <n v="932"/>
    <d v="2026-04-25T00:00:00"/>
    <x v="3"/>
    <x v="3"/>
    <s v="Hanamkonda"/>
    <s v="Hub"/>
    <s v="RL TOOLS Purched by kabitha mondal Through AVS reddy"/>
    <m/>
    <m/>
    <m/>
    <n v="725"/>
    <m/>
  </r>
  <r>
    <n v="933"/>
    <d v="2026-04-25T00:00:00"/>
    <x v="3"/>
    <x v="10"/>
    <s v="Kothagudem"/>
    <s v="Yellandu"/>
    <s v="TS 34 T 3804 Shivareddy Auger Vehicle Diesel "/>
    <m/>
    <n v="31.25"/>
    <n v="96"/>
    <n v="3000"/>
    <m/>
  </r>
  <r>
    <n v="934"/>
    <d v="2026-04-25T00:00:00"/>
    <x v="3"/>
    <x v="10"/>
    <s v="Kothagudem"/>
    <s v="Yellandu"/>
    <s v="TS 34 T 3804 Shivareddy Auger Vehicle Diesel "/>
    <m/>
    <n v="31.25"/>
    <n v="96"/>
    <n v="3000"/>
    <m/>
  </r>
  <r>
    <n v="935"/>
    <d v="2026-04-25T00:00:00"/>
    <x v="3"/>
    <x v="10"/>
    <s v="Kothagudem"/>
    <s v="Yellandu"/>
    <s v="AP39SA5465 TRACTOR Desiel(for labour transport purpose) payment by manikanta "/>
    <m/>
    <n v="15.625"/>
    <n v="96"/>
    <n v="1500"/>
    <m/>
  </r>
  <r>
    <n v="936"/>
    <d v="2026-04-25T00:00:00"/>
    <x v="3"/>
    <x v="3"/>
    <s v="Hanamkonda"/>
    <s v="Hub"/>
    <s v="Bodagutta Site Rl Work metrials purchased by Sri Rama Murthy"/>
    <m/>
    <m/>
    <m/>
    <n v="1600"/>
    <m/>
  </r>
  <r>
    <n v="937"/>
    <d v="2026-04-25T00:00:00"/>
    <x v="3"/>
    <x v="10"/>
    <s v="Hanamkonda"/>
    <s v="Hub"/>
    <s v="AP5315AC Augur vehicle Desiel payment by hanumanthu"/>
    <m/>
    <n v="20.833333333333332"/>
    <n v="96"/>
    <n v="2000"/>
    <m/>
  </r>
  <r>
    <n v="938"/>
    <d v="2026-04-25T00:00:00"/>
    <x v="3"/>
    <x v="10"/>
    <s v="Hanamkonda"/>
    <s v="Hub"/>
    <s v="AP 40 DC 0089 TRACTOR Diesel"/>
    <m/>
    <n v="20.833333333333332"/>
    <n v="96"/>
    <n v="2000"/>
    <m/>
  </r>
  <r>
    <n v="939"/>
    <d v="2026-04-25T00:00:00"/>
    <x v="3"/>
    <x v="10"/>
    <s v="Hanamkonda"/>
    <s v="Hub"/>
    <s v="AP39DC3351  Tractor Deisel Payment By Hanumanthu"/>
    <m/>
    <n v="20.833333333333332"/>
    <n v="96"/>
    <n v="2000"/>
    <m/>
  </r>
  <r>
    <n v="940"/>
    <d v="2026-04-26T00:00:00"/>
    <x v="3"/>
    <x v="0"/>
    <s v="Kothagudem"/>
    <s v="Yellandu"/>
    <s v="Aughuring bullets LR(Transport Charges) By u manikanta"/>
    <m/>
    <m/>
    <m/>
    <n v="240"/>
    <m/>
  </r>
  <r>
    <n v="941"/>
    <d v="2026-04-26T00:00:00"/>
    <x v="3"/>
    <x v="10"/>
    <s v="Hanamkonda"/>
    <s v="Hub"/>
    <s v="TS03UB7556  Tractor Diesel"/>
    <m/>
    <n v="20.833333333333332"/>
    <n v="96"/>
    <n v="2000"/>
    <m/>
  </r>
  <r>
    <n v="942"/>
    <d v="2026-04-26T00:00:00"/>
    <x v="3"/>
    <x v="10"/>
    <s v="Hanamkonda"/>
    <s v="Wardhannapet"/>
    <s v="TS24T8355 TRACTOR DEISEL PAYMENT"/>
    <m/>
    <n v="20.833333333333332"/>
    <n v="96"/>
    <n v="2000"/>
    <m/>
  </r>
  <r>
    <n v="943"/>
    <d v="2026-04-26T00:00:00"/>
    <x v="3"/>
    <x v="32"/>
    <s v="Kamareddy"/>
    <s v="NagireddyPet"/>
    <s v="Nails and Cutting plates purched by Budda Suresh"/>
    <m/>
    <m/>
    <m/>
    <n v="1900"/>
    <m/>
  </r>
  <r>
    <n v="944"/>
    <d v="2026-04-26T00:00:00"/>
    <x v="3"/>
    <x v="10"/>
    <s v="Medak"/>
    <s v="Narsapur"/>
    <s v="venkatrao augur vehicle  and local tractor-AP39AJ4615 Deisel payment by vishnuvardhan"/>
    <m/>
    <n v="75.739583333333329"/>
    <n v="96"/>
    <n v="7271"/>
    <m/>
  </r>
  <r>
    <n v="945"/>
    <d v="2026-04-26T00:00:00"/>
    <x v="3"/>
    <x v="10"/>
    <s v="Hanamkonda"/>
    <s v="Hub"/>
    <s v="TG037439 TRACTOR Deisel Payment By nanada kishore"/>
    <m/>
    <n v="20.833333333333332"/>
    <n v="96"/>
    <n v="2000"/>
    <m/>
  </r>
  <r>
    <n v="946"/>
    <d v="2026-04-26T00:00:00"/>
    <x v="3"/>
    <x v="10"/>
    <s v="Hanamkonda"/>
    <s v="Hub"/>
    <s v="AP26BZ3361 Tractor Deisel payment"/>
    <m/>
    <n v="20.833333333333332"/>
    <n v="96"/>
    <n v="2000"/>
    <m/>
  </r>
  <r>
    <n v="947"/>
    <d v="2026-04-26T00:00:00"/>
    <x v="3"/>
    <x v="10"/>
    <s v="Hanamkonda"/>
    <s v="Hub"/>
    <s v="AP26BZ3361 Tractor Deisel payment"/>
    <m/>
    <n v="3.6354166666666665"/>
    <n v="96"/>
    <n v="349"/>
    <m/>
  </r>
  <r>
    <n v="948"/>
    <d v="2026-04-26T00:00:00"/>
    <x v="3"/>
    <x v="10"/>
    <s v="Hanamkonda"/>
    <s v="Hub"/>
    <s v="AP27UB0957 Tractor Deisel Payment"/>
    <m/>
    <n v="26.041666666666668"/>
    <n v="96"/>
    <n v="2500"/>
    <m/>
  </r>
  <r>
    <n v="949"/>
    <d v="2026-04-26T00:00:00"/>
    <x v="3"/>
    <x v="10"/>
    <s v="Kamareddy"/>
    <s v="Banswada"/>
    <s v="TS06ER8668 Deisel Payment by korupolu Siva"/>
    <m/>
    <n v="20.833333333333332"/>
    <n v="96"/>
    <n v="2000"/>
    <m/>
  </r>
  <r>
    <n v="950"/>
    <d v="2026-04-26T00:00:00"/>
    <x v="3"/>
    <x v="56"/>
    <s v="Hanamkonda"/>
    <s v="Sangem"/>
    <s v="Sangem mandal model house washroom Meterials purchased by G venkat rao"/>
    <m/>
    <m/>
    <m/>
    <n v="920"/>
    <m/>
  </r>
  <r>
    <n v="951"/>
    <d v="2026-04-26T00:00:00"/>
    <x v="3"/>
    <x v="56"/>
    <s v="Hanamkonda"/>
    <s v="Sangem"/>
    <s v="Sand For Sangam Mandal model house  construction Purpose payment by G venkat rao"/>
    <m/>
    <m/>
    <m/>
    <n v="2920"/>
    <m/>
  </r>
  <r>
    <n v="952"/>
    <d v="2026-04-26T00:00:00"/>
    <x v="3"/>
    <x v="22"/>
    <s v="Kothagudem"/>
    <s v="Yellandu"/>
    <s v="15m current Wire Tester,iron Cutters-5 purchased By manikanta"/>
    <m/>
    <m/>
    <m/>
    <n v="650"/>
    <m/>
  </r>
  <r>
    <n v="953"/>
    <d v="2026-04-26T00:00:00"/>
    <x v="3"/>
    <x v="18"/>
    <s v="Kamareddy"/>
    <s v="NagireddyPet"/>
    <s v="RMC Trip Charges By Budda Suresh"/>
    <m/>
    <m/>
    <m/>
    <n v="300"/>
    <m/>
  </r>
  <r>
    <n v="954"/>
    <d v="2026-04-27T00:00:00"/>
    <x v="2"/>
    <x v="56"/>
    <s v="Warangal"/>
    <s v="Nekkonda"/>
    <s v="Sand  1 Trip For Nekkonda Model House"/>
    <m/>
    <m/>
    <m/>
    <n v="5400"/>
    <m/>
  </r>
  <r>
    <n v="955"/>
    <d v="2026-04-27T00:00:00"/>
    <x v="3"/>
    <x v="10"/>
    <s v="Hanamkonda"/>
    <s v="Hub"/>
    <s v="AP5315AC Augur Vehicle Deisel payment By Hanumanth"/>
    <m/>
    <n v="20.833333333333332"/>
    <n v="96"/>
    <n v="2000"/>
    <m/>
  </r>
  <r>
    <n v="956"/>
    <d v="2026-04-27T00:00:00"/>
    <x v="3"/>
    <x v="10"/>
    <s v="Hanamkonda"/>
    <s v="Hub"/>
    <s v="TS17T6540 Nagireddipet tractor Deisel Payment By Budda sure"/>
    <m/>
    <n v="20.833333333333332"/>
    <n v="96"/>
    <n v="2000"/>
    <m/>
  </r>
  <r>
    <n v="957"/>
    <d v="2026-04-27T00:00:00"/>
    <x v="3"/>
    <x v="9"/>
    <s v="Kothagudem"/>
    <s v="Yellandu"/>
    <s v="Room rent for ellandu by Manikanta"/>
    <m/>
    <m/>
    <m/>
    <n v="3000"/>
    <m/>
  </r>
  <r>
    <n v="958"/>
    <d v="2026-04-27T00:00:00"/>
    <x v="3"/>
    <x v="30"/>
    <s v="Hanamkonda"/>
    <s v="Hub"/>
    <s v="Sand payment by g venkat rao for  Lintels&amp; windows prams"/>
    <m/>
    <m/>
    <m/>
    <n v="5000"/>
    <m/>
  </r>
  <r>
    <n v="959"/>
    <d v="2026-04-27T00:00:00"/>
    <x v="3"/>
    <x v="22"/>
    <s v="Kamareddy"/>
    <s v="Banswada"/>
    <s v="wood Cutting Mechine problem repair charges by K Srivasulu Reddy"/>
    <m/>
    <m/>
    <m/>
    <n v="300"/>
    <m/>
  </r>
  <r>
    <n v="960"/>
    <d v="2026-04-27T00:00:00"/>
    <x v="3"/>
    <x v="26"/>
    <s v="Kamareddy"/>
    <s v="Banswada"/>
    <s v="20mm agreegate payment by K Srinivasulu Reddy date on26-04-2026"/>
    <s v="20 MM Aggregate"/>
    <n v="4"/>
    <n v="945"/>
    <n v="3780"/>
    <m/>
  </r>
  <r>
    <n v="961"/>
    <d v="2026-04-27T00:00:00"/>
    <x v="3"/>
    <x v="10"/>
    <s v="Kamareddy"/>
    <s v="Bhiknoor"/>
    <s v="AP39CT7040 AUGUR VEHICLE DEISEL PAYMENT"/>
    <s v="Diesel"/>
    <n v="41.666666666666664"/>
    <n v="96"/>
    <n v="4000"/>
    <m/>
  </r>
  <r>
    <n v="962"/>
    <d v="2026-04-27T00:00:00"/>
    <x v="3"/>
    <x v="32"/>
    <s v="Kamareddy"/>
    <s v="Banswada"/>
    <s v="21/2&quot; Nails purchesed by K Srinivasulu"/>
    <m/>
    <m/>
    <m/>
    <n v="450"/>
    <m/>
  </r>
  <r>
    <n v="963"/>
    <d v="2026-04-27T00:00:00"/>
    <x v="3"/>
    <x v="26"/>
    <s v="Kamareddy"/>
    <s v="Banswada"/>
    <s v="20mm agreegate payment by K Srinivasulu Reddy date on25-04-2026"/>
    <s v="20 MM Aggregate"/>
    <n v="4.5"/>
    <n v="964"/>
    <n v="4338"/>
    <m/>
  </r>
  <r>
    <n v="964"/>
    <d v="2026-04-27T00:00:00"/>
    <x v="3"/>
    <x v="26"/>
    <s v="Kamareddy"/>
    <s v="Banswada"/>
    <s v="20mm agreegate payment by K Srinivasulu Reddy date on25-04-2026"/>
    <s v="20 MM Aggregate"/>
    <n v="4.5"/>
    <n v="940"/>
    <n v="4230"/>
    <m/>
  </r>
  <r>
    <n v="965"/>
    <d v="2026-04-28T00:00:00"/>
    <x v="3"/>
    <x v="14"/>
    <s v="Medak"/>
    <s v="Narsapur"/>
    <s v="Cement Bages-2 purchased By d Vishnuvardhan Reddy"/>
    <s v="Cement"/>
    <n v="2"/>
    <n v="260"/>
    <n v="520"/>
    <m/>
  </r>
  <r>
    <n v="966"/>
    <d v="2026-04-28T00:00:00"/>
    <x v="3"/>
    <x v="10"/>
    <s v="Kothagudem"/>
    <s v="Yellandu"/>
    <s v="TS 34 T 3804 Shivareddy Auger Vehicle Diesel "/>
    <m/>
    <n v="40.625"/>
    <n v="96"/>
    <n v="3900"/>
    <m/>
  </r>
  <r>
    <n v="967"/>
    <d v="2026-04-28T00:00:00"/>
    <x v="3"/>
    <x v="3"/>
    <s v="Kamareddy"/>
    <s v="Domakonda"/>
    <s v="BL Working labour meterial Purchased by p pavan kumar"/>
    <m/>
    <m/>
    <m/>
    <n v="3090"/>
    <m/>
  </r>
  <r>
    <n v="968"/>
    <d v="2026-04-28T00:00:00"/>
    <x v="3"/>
    <x v="3"/>
    <s v="Medak"/>
    <s v="Narsapur"/>
    <s v="10inches pipe RMC Shoot purchased by by D vishnuvardhan reddy"/>
    <m/>
    <m/>
    <m/>
    <n v="4500"/>
    <m/>
  </r>
  <r>
    <n v="969"/>
    <d v="2026-04-28T00:00:00"/>
    <x v="3"/>
    <x v="3"/>
    <s v="Hanamkonda"/>
    <s v="Kyathamapalle"/>
    <s v="stands,side Boxes Rent purpose Payment By k govindu for RL Works"/>
    <m/>
    <m/>
    <m/>
    <n v="544"/>
    <m/>
  </r>
  <r>
    <n v="970"/>
    <d v="2026-04-28T00:00:00"/>
    <x v="3"/>
    <x v="34"/>
    <s v="Hanamkonda"/>
    <s v="Parvathagiri"/>
    <s v="Binding wire Purchased By G Nagaraju for Bl Works"/>
    <s v="Binding wire"/>
    <n v="10"/>
    <m/>
    <n v="900"/>
    <m/>
  </r>
  <r>
    <n v="971"/>
    <d v="2026-04-28T00:00:00"/>
    <x v="3"/>
    <x v="3"/>
    <s v="Medak"/>
    <s v="Narsapur"/>
    <s v="Hammer,Big 1p,small 1p Purchsed by D vishnu Vardhan Reddy"/>
    <m/>
    <m/>
    <m/>
    <n v="450"/>
    <m/>
  </r>
  <r>
    <n v="972"/>
    <d v="2026-04-28T00:00:00"/>
    <x v="3"/>
    <x v="10"/>
    <s v="Kamareddy"/>
    <s v="Banswada"/>
    <s v="TS06ER8668 Ajax vehicle Deisel payment By K srinivasulu reddy"/>
    <m/>
    <n v="26.041666666666668"/>
    <n v="96"/>
    <n v="2500"/>
    <m/>
  </r>
  <r>
    <n v="973"/>
    <d v="2026-04-28T00:00:00"/>
    <x v="3"/>
    <x v="0"/>
    <s v="Hanamkonda"/>
    <s v="Banglore"/>
    <s v="MOU's proffisinal courier  charges by prasanna"/>
    <m/>
    <m/>
    <m/>
    <n v="650"/>
    <m/>
  </r>
  <r>
    <n v="974"/>
    <d v="2026-04-28T00:00:00"/>
    <x v="3"/>
    <x v="5"/>
    <s v="Kamareddy"/>
    <s v="Birkoor"/>
    <s v="1 feet bl completed payment paid to pawar Eswaramma by AVS Reddy "/>
    <m/>
    <m/>
    <m/>
    <n v="1400"/>
    <m/>
  </r>
  <r>
    <n v="975"/>
    <d v="2026-04-28T00:00:00"/>
    <x v="3"/>
    <x v="10"/>
    <s v="Bhongir"/>
    <s v="Valigonda"/>
    <s v="AP39FC8298 TRACTOR DEISEL PAYMENT "/>
    <m/>
    <n v="41.145833333333336"/>
    <n v="96"/>
    <n v="3950"/>
    <m/>
  </r>
  <r>
    <n v="976"/>
    <d v="2026-04-28T00:00:00"/>
    <x v="3"/>
    <x v="10"/>
    <s v="Kothagudem"/>
    <s v="Yellandu"/>
    <s v="AP39DU3351 Desiel payment by  U Manikanta at yelladu"/>
    <m/>
    <n v="10.416666666666666"/>
    <n v="96"/>
    <n v="1000"/>
    <m/>
  </r>
  <r>
    <n v="977"/>
    <d v="2026-04-28T00:00:00"/>
    <x v="3"/>
    <x v="10"/>
    <s v="Hanamkonda"/>
    <s v="Parvathagiri"/>
    <s v="AP 40 DC 0089 TRACTOR Diesel"/>
    <m/>
    <n v="6.25"/>
    <n v="96"/>
    <n v="600"/>
    <m/>
  </r>
  <r>
    <n v="978"/>
    <d v="2026-04-28T00:00:00"/>
    <x v="3"/>
    <x v="10"/>
    <s v="Hanamkonda"/>
    <s v="Hub"/>
    <s v="AP5315AC Augur vehical Desiel payment by Hanumanth"/>
    <m/>
    <n v="20.833333333333332"/>
    <n v="96"/>
    <n v="2000"/>
    <m/>
  </r>
  <r>
    <n v="979"/>
    <d v="2026-04-29T00:00:00"/>
    <x v="2"/>
    <x v="14"/>
    <s v="Kamareddy"/>
    <s v="Banswada"/>
    <s v="18 BAGS *270   +100"/>
    <s v="Cement"/>
    <n v="18"/>
    <n v="270"/>
    <n v="4960"/>
    <m/>
  </r>
  <r>
    <n v="980"/>
    <d v="2026-04-29T00:00:00"/>
    <x v="3"/>
    <x v="4"/>
    <s v="Kamareddy"/>
    <s v="Banswada"/>
    <s v="Ajax Driver Food Expenses  payment by K Srinivasulu Reddy"/>
    <m/>
    <m/>
    <m/>
    <n v="1850"/>
    <m/>
  </r>
  <r>
    <n v="981"/>
    <d v="2026-04-29T00:00:00"/>
    <x v="3"/>
    <x v="58"/>
    <s v="Kamareddy"/>
    <s v="Banswada"/>
    <s v="Local Tractor Driver Daily labour payment by K Srinivasulu Reddy"/>
    <m/>
    <m/>
    <m/>
    <n v="8000"/>
    <m/>
  </r>
  <r>
    <n v="982"/>
    <d v="2026-04-29T00:00:00"/>
    <x v="3"/>
    <x v="10"/>
    <s v="Hanamkonda"/>
    <s v="Parvathagiri"/>
    <s v="AP 40 DC 0089 TRACTOR Diesel"/>
    <m/>
    <n v="4.375"/>
    <n v="96"/>
    <n v="420"/>
    <m/>
  </r>
  <r>
    <n v="983"/>
    <d v="2026-04-29T00:00:00"/>
    <x v="3"/>
    <x v="10"/>
    <s v="Kamareddy"/>
    <s v="Banswada"/>
    <s v="AP 40 KF 2837 Tractor Diesel"/>
    <m/>
    <n v="34.697916666666664"/>
    <n v="96"/>
    <n v="3331"/>
    <m/>
  </r>
  <r>
    <n v="984"/>
    <d v="2026-04-29T00:00:00"/>
    <x v="3"/>
    <x v="3"/>
    <s v="Kothagudem"/>
    <s v="Yellandu"/>
    <s v="Yellandu Bl work meterial purchased by U Manikanta"/>
    <m/>
    <m/>
    <m/>
    <n v="1850"/>
    <m/>
  </r>
  <r>
    <n v="985"/>
    <d v="2026-04-29T00:00:00"/>
    <x v="3"/>
    <x v="10"/>
    <s v="Hanamkonda"/>
    <s v="Hub"/>
    <s v="AP 39 WB 2967 Tractor Diesel"/>
    <m/>
    <n v="43.875"/>
    <n v="96"/>
    <n v="4212"/>
    <m/>
  </r>
  <r>
    <n v="986"/>
    <d v="2026-04-29T00:00:00"/>
    <x v="3"/>
    <x v="10"/>
    <s v="Kamareddy"/>
    <s v="Bhiknoor"/>
    <s v="AP39CT7040 AUGUR VEHICLE DEISEL PAYMENT"/>
    <s v="Diesel"/>
    <n v="20.833333333333332"/>
    <n v="96"/>
    <n v="2000"/>
    <m/>
  </r>
  <r>
    <n v="987"/>
    <d v="2026-04-29T00:00:00"/>
    <x v="3"/>
    <x v="3"/>
    <s v="Kothagudem"/>
    <s v="Yellandu"/>
    <s v="20 feet pvc pump shoot for BL  work purchased by U Manikanta"/>
    <m/>
    <m/>
    <m/>
    <n v="5500"/>
    <m/>
  </r>
  <r>
    <n v="988"/>
    <d v="2026-04-29T00:00:00"/>
    <x v="3"/>
    <x v="10"/>
    <s v="Kamareddy"/>
    <s v="Banswada"/>
    <s v="AP40KF2843 Deisel Payment by K Srinivasulu Reddy"/>
    <m/>
    <n v="20.833333333333332"/>
    <n v="96"/>
    <n v="2000"/>
    <m/>
  </r>
  <r>
    <n v="989"/>
    <d v="2026-04-29T00:00:00"/>
    <x v="3"/>
    <x v="10"/>
    <s v="Kamareddy"/>
    <s v="Banswada"/>
    <s v="TS06ER8668 Ajax Vehicle Deisel payment By K Srivasulu Reddy in Banswada"/>
    <m/>
    <n v="20.833333333333332"/>
    <n v="96"/>
    <n v="2000"/>
    <m/>
  </r>
  <r>
    <n v="990"/>
    <d v="2026-04-29T00:00:00"/>
    <x v="3"/>
    <x v="10"/>
    <s v="Kothagudem"/>
    <s v="Yellandu"/>
    <s v="TS28TA0709 Tranport charges For Runners and pump shoot transport from Yellandu to kamepalli"/>
    <m/>
    <n v="10.416666666666666"/>
    <n v="96"/>
    <n v="1000"/>
    <m/>
  </r>
  <r>
    <n v="991"/>
    <d v="2026-04-29T00:00:00"/>
    <x v="3"/>
    <x v="10"/>
    <s v="Janagaon"/>
    <s v="Palakurthy"/>
    <s v="AP27UB0957 Tractor Deisel Payment"/>
    <m/>
    <n v="20.833333333333332"/>
    <n v="96"/>
    <n v="2000"/>
    <m/>
  </r>
  <r>
    <n v="992"/>
    <d v="2026-04-29T00:00:00"/>
    <x v="3"/>
    <x v="3"/>
    <s v="Janagaon"/>
    <s v="Palakurthy"/>
    <s v="8 MM Dog purchased by Gangapatla Kishore FOR RL work in Theegaram"/>
    <m/>
    <m/>
    <m/>
    <n v="250"/>
    <m/>
  </r>
  <r>
    <n v="993"/>
    <d v="2026-04-29T00:00:00"/>
    <x v="3"/>
    <x v="10"/>
    <s v="Hanamkonda"/>
    <s v="Kyathamapalle"/>
    <s v="TS25C1579 Tractor Diesel payment"/>
    <m/>
    <n v="20.833333333333332"/>
    <n v="96"/>
    <n v="2000"/>
    <m/>
  </r>
  <r>
    <n v="994"/>
    <d v="2026-04-29T00:00:00"/>
    <x v="3"/>
    <x v="10"/>
    <s v="Hanamkonda"/>
    <s v="Hub"/>
    <s v="AP39DC3351 Tractor Deisel Payment Nandakishore"/>
    <m/>
    <n v="18.958333333333332"/>
    <n v="96"/>
    <n v="1820"/>
    <m/>
  </r>
  <r>
    <n v="995"/>
    <d v="2026-04-30T00:00:00"/>
    <x v="3"/>
    <x v="4"/>
    <s v="Kamareddy"/>
    <s v="Domakonda"/>
    <s v="labour tiffen charges payment By chennuboyina Sreekanth"/>
    <m/>
    <m/>
    <m/>
    <n v="250"/>
    <m/>
  </r>
  <r>
    <n v="996"/>
    <d v="2026-04-30T00:00:00"/>
    <x v="3"/>
    <x v="3"/>
    <s v="Hanamkonda"/>
    <s v="Parvathagiri"/>
    <s v="20lits plastic can purchased by g nagaraju for desiel purchase purpose"/>
    <m/>
    <m/>
    <m/>
    <n v="160"/>
    <m/>
  </r>
  <r>
    <n v="997"/>
    <d v="2026-04-30T00:00:00"/>
    <x v="3"/>
    <x v="34"/>
    <s v="Hanamkonda"/>
    <s v="Parvathagiri"/>
    <s v="Binding wire for bl work  purchased by G Nagaraju at parvathagiri"/>
    <s v="Binding wire"/>
    <n v="5"/>
    <m/>
    <n v="450"/>
    <m/>
  </r>
  <r>
    <n v="998"/>
    <d v="2026-04-30T00:00:00"/>
    <x v="3"/>
    <x v="10"/>
    <s v="Hanamkonda"/>
    <s v="Parvathagiri"/>
    <s v="AP 40 DC 0089 TRACTOR Diesel"/>
    <m/>
    <n v="19.864583333333332"/>
    <n v="96"/>
    <n v="1907"/>
    <m/>
  </r>
  <r>
    <n v="999"/>
    <d v="2026-04-30T00:00:00"/>
    <x v="3"/>
    <x v="26"/>
    <s v="Janagaon"/>
    <s v="Palakurthy"/>
    <s v="12mm agreegate chips purchased by  gangapatla kishore"/>
    <s v="12 MM Aggregate"/>
    <n v="4"/>
    <n v="450"/>
    <n v="1800"/>
    <m/>
  </r>
  <r>
    <n v="1000"/>
    <d v="2026-04-30T00:00:00"/>
    <x v="3"/>
    <x v="26"/>
    <s v="Janagaon"/>
    <s v="Palakurthy"/>
    <s v="12mm agreegate chips purchased by  gangapatla kishore"/>
    <s v="12 MM Aggregate"/>
    <n v="4"/>
    <n v="450"/>
    <n v="1800"/>
    <m/>
  </r>
  <r>
    <n v="1001"/>
    <d v="2026-04-30T00:00:00"/>
    <x v="3"/>
    <x v="10"/>
    <s v="Kamareddy"/>
    <s v="NagireddyPet"/>
    <s v="TS17T6540 Local Troctor  deisel payment by pavan kumar at Nagireddipet"/>
    <m/>
    <n v="20.833333333333332"/>
    <n v="96"/>
    <n v="2000"/>
    <m/>
  </r>
  <r>
    <n v="1002"/>
    <d v="2026-04-30T00:00:00"/>
    <x v="3"/>
    <x v="9"/>
    <s v="Kamareddy"/>
    <s v="Rajampet"/>
    <s v="Rajampet room rent by K Srinivasulu reddy"/>
    <m/>
    <m/>
    <m/>
    <n v="3000"/>
    <m/>
  </r>
  <r>
    <n v="1003"/>
    <d v="2026-04-30T00:00:00"/>
    <x v="3"/>
    <x v="18"/>
    <s v="Hanamkonda"/>
    <s v="Parvathagiri"/>
    <s v="Rmc  trip charges by pitta neelaiah"/>
    <m/>
    <m/>
    <m/>
    <n v="150"/>
    <m/>
  </r>
  <r>
    <n v="1004"/>
    <d v="2026-04-30T00:00:00"/>
    <x v="3"/>
    <x v="59"/>
    <s v="Hanamkonda"/>
    <s v="Hub"/>
    <s v="To made 2 beneficiary notaries by laywer in warangal court"/>
    <m/>
    <m/>
    <m/>
    <n v="500"/>
    <m/>
  </r>
  <r>
    <n v="1005"/>
    <d v="2026-04-30T00:00:00"/>
    <x v="3"/>
    <x v="56"/>
    <s v="Warangal"/>
    <s v="Narsampet"/>
    <s v="paints purchased by Avs Reddy for Narasannapet Model House "/>
    <m/>
    <m/>
    <m/>
    <n v="7020"/>
    <m/>
  </r>
  <r>
    <n v="1006"/>
    <d v="2026-04-30T00:00:00"/>
    <x v="3"/>
    <x v="18"/>
    <s v="Hanamkonda"/>
    <s v="Parvathagiri"/>
    <s v="Rmc  trip charges&amp; pump Charges by pitta neelaiah"/>
    <m/>
    <m/>
    <m/>
    <n v="250"/>
    <m/>
  </r>
  <r>
    <n v="1007"/>
    <d v="2026-04-30T00:00:00"/>
    <x v="3"/>
    <x v="10"/>
    <s v="Hanamkonda"/>
    <s v="Hub"/>
    <s v="AP 40 DC 0089 TRACTOR Diesel"/>
    <m/>
    <n v="35.4375"/>
    <n v="96"/>
    <n v="3402"/>
    <m/>
  </r>
  <r>
    <n v="1008"/>
    <d v="2026-04-30T00:00:00"/>
    <x v="3"/>
    <x v="10"/>
    <s v="Kothagudem"/>
    <s v="Yellandu"/>
    <s v="AP39SA5465 Tractor deisel payment by U Manikanta at yellandu"/>
    <m/>
    <n v="10.416666666666666"/>
    <n v="96"/>
    <n v="1000"/>
    <m/>
  </r>
  <r>
    <n v="1009"/>
    <d v="2026-04-30T00:00:00"/>
    <x v="3"/>
    <x v="5"/>
    <s v="Hanamkonda"/>
    <s v="Hub"/>
    <s v="om sai welding works-hanumakonda payment by AVS reddy for litchaes welding-8pices "/>
    <m/>
    <m/>
    <m/>
    <n v="2400"/>
    <m/>
  </r>
  <r>
    <n v="1010"/>
    <d v="2026-05-01T00:00:00"/>
    <x v="2"/>
    <x v="10"/>
    <s v="Hanamkonda"/>
    <s v="Wardhannapet"/>
    <s v="Diesel"/>
    <m/>
    <n v="41.666666666666664"/>
    <n v="96"/>
    <n v="4000"/>
    <m/>
  </r>
  <r>
    <n v="1011"/>
    <d v="2026-05-01T00:00:00"/>
    <x v="2"/>
    <x v="1"/>
    <s v="Hanamkonda"/>
    <s v="Wardhannapet"/>
    <s v="10 Days * 2000"/>
    <m/>
    <m/>
    <m/>
    <n v="20000"/>
    <m/>
  </r>
  <r>
    <n v="1012"/>
    <d v="2026-05-01T00:00:00"/>
    <x v="2"/>
    <x v="23"/>
    <s v="Hanamkonda"/>
    <s v="Hub"/>
    <s v="Supervisor's Salaries    April-2026"/>
    <m/>
    <m/>
    <m/>
    <n v="1367510"/>
    <m/>
  </r>
  <r>
    <n v="1013"/>
    <d v="2026-05-01T00:00:00"/>
    <x v="2"/>
    <x v="1"/>
    <s v="Hanamkonda"/>
    <s v="Hub"/>
    <s v="Vehicles Rents  April-2026 "/>
    <m/>
    <m/>
    <m/>
    <n v="658167"/>
    <m/>
  </r>
  <r>
    <n v="1014"/>
    <d v="2026-05-01T00:00:00"/>
    <x v="3"/>
    <x v="10"/>
    <s v="Hanamkonda"/>
    <s v="Hub"/>
    <s v="AP39JJ1001 Car Deisel payment by AVS Reddy"/>
    <m/>
    <n v="51.041666666666664"/>
    <n v="96"/>
    <n v="4900"/>
    <m/>
  </r>
  <r>
    <n v="1015"/>
    <d v="2026-05-01T00:00:00"/>
    <x v="3"/>
    <x v="2"/>
    <s v="Kamareddy"/>
    <s v="Domakonda"/>
    <s v="waste oil-10 lits purched by ch sreekanth for centring sheets"/>
    <m/>
    <m/>
    <m/>
    <n v="500"/>
    <m/>
  </r>
  <r>
    <n v="1016"/>
    <d v="2026-05-01T00:00:00"/>
    <x v="3"/>
    <x v="9"/>
    <s v="Kamareddy"/>
    <s v="Rajampet"/>
    <s v="Rajampet Room Rent balance amount paid by k srinivasulu Reddy"/>
    <m/>
    <m/>
    <m/>
    <n v="1000"/>
    <m/>
  </r>
  <r>
    <n v="1017"/>
    <d v="2026-05-01T00:00:00"/>
    <x v="3"/>
    <x v="30"/>
    <s v="Kamareddy"/>
    <s v="Banswada"/>
    <s v="Banswada sand payment by K Srivasulu reddy"/>
    <m/>
    <m/>
    <m/>
    <n v="15000"/>
    <m/>
  </r>
  <r>
    <n v="1018"/>
    <d v="2026-05-01T00:00:00"/>
    <x v="3"/>
    <x v="32"/>
    <s v="Kamareddy"/>
    <s v="Domakonda"/>
    <s v="2.5 inchess nails purchased by  chennubiona srikanth"/>
    <m/>
    <m/>
    <m/>
    <n v="400"/>
    <m/>
  </r>
  <r>
    <n v="1019"/>
    <d v="2026-05-01T00:00:00"/>
    <x v="3"/>
    <x v="8"/>
    <s v="Kamareddy"/>
    <s v="Bhiknoor"/>
    <s v="centring,steel Unloading charges by padala bhanu parasad at Bhiknoor"/>
    <m/>
    <m/>
    <m/>
    <n v="3500"/>
    <m/>
  </r>
  <r>
    <n v="1020"/>
    <d v="2026-05-01T00:00:00"/>
    <x v="3"/>
    <x v="10"/>
    <s v="Kamareddy"/>
    <s v="Banswada"/>
    <s v="AP 40 KF 2837 Tractor Diesel"/>
    <m/>
    <n v="20.833333333333332"/>
    <n v="96"/>
    <n v="2000"/>
    <m/>
  </r>
  <r>
    <n v="1021"/>
    <d v="2026-05-01T00:00:00"/>
    <x v="3"/>
    <x v="10"/>
    <s v="Kamareddy"/>
    <s v="Domakonda"/>
    <s v="AP39TH0913 DCM Vehical Diesel Payment "/>
    <m/>
    <n v="104.16666666666667"/>
    <n v="96"/>
    <n v="10000"/>
    <m/>
  </r>
  <r>
    <n v="1022"/>
    <d v="2026-05-01T00:00:00"/>
    <x v="3"/>
    <x v="10"/>
    <s v="Kamareddy"/>
    <s v="Domakonda"/>
    <s v="AP39TH0913 DCM Vehical Diesel Payment "/>
    <m/>
    <n v="52.083333333333336"/>
    <n v="96"/>
    <n v="5000"/>
    <m/>
  </r>
  <r>
    <n v="1023"/>
    <d v="2026-05-01T00:00:00"/>
    <x v="3"/>
    <x v="10"/>
    <s v="Kamareddy"/>
    <s v="Domakonda"/>
    <s v="AP39TH0913 DCM Vehical Diesel Payment "/>
    <m/>
    <n v="16.666666666666668"/>
    <n v="96"/>
    <n v="1600"/>
    <m/>
  </r>
  <r>
    <n v="1024"/>
    <d v="2026-05-02T00:00:00"/>
    <x v="3"/>
    <x v="58"/>
    <s v="Kamareddy"/>
    <s v="Banswada"/>
    <s v="Bansuwada local Tractor Driver Day charge payment By  K Srinivasulu Reddy"/>
    <m/>
    <m/>
    <m/>
    <n v="3500"/>
    <m/>
  </r>
  <r>
    <n v="1025"/>
    <d v="2026-05-02T00:00:00"/>
    <x v="3"/>
    <x v="4"/>
    <s v="Kamareddy"/>
    <s v="Banswada"/>
    <s v="Ajax Driver food Expences payment by K Srinivasulu Reddy"/>
    <m/>
    <m/>
    <m/>
    <n v="750"/>
    <m/>
  </r>
  <r>
    <n v="1026"/>
    <d v="2026-05-02T00:00:00"/>
    <x v="3"/>
    <x v="18"/>
    <s v="Hanamkonda"/>
    <s v="Hub"/>
    <s v="Rmc Trip &amp; labour shifting and diver food expenses payment by  G Suresh"/>
    <m/>
    <m/>
    <m/>
    <n v="1050"/>
    <m/>
  </r>
  <r>
    <n v="1027"/>
    <d v="2026-05-02T00:00:00"/>
    <x v="3"/>
    <x v="9"/>
    <s v="Kamareddy"/>
    <s v="Lingampet"/>
    <s v="march and april room Rent payment by g gowri naidu at lingampet"/>
    <m/>
    <m/>
    <m/>
    <n v="8000"/>
    <m/>
  </r>
  <r>
    <n v="1028"/>
    <d v="2026-05-02T00:00:00"/>
    <x v="3"/>
    <x v="10"/>
    <s v="Kamareddy"/>
    <s v="NagireddyPet"/>
    <s v="venkat Rao Augur vehicle Diesel Payment By p pavan kumar"/>
    <m/>
    <n v="47.75"/>
    <n v="96"/>
    <n v="4584"/>
    <m/>
  </r>
  <r>
    <n v="1029"/>
    <d v="2026-05-02T00:00:00"/>
    <x v="3"/>
    <x v="56"/>
    <s v="Hanamkonda"/>
    <s v="Atmakur"/>
    <s v="15 cement Bags"/>
    <m/>
    <n v="15"/>
    <n v="260"/>
    <n v="3900"/>
    <m/>
  </r>
  <r>
    <n v="1030"/>
    <d v="2026-05-02T00:00:00"/>
    <x v="3"/>
    <x v="56"/>
    <s v="Hanamkonda"/>
    <s v="Atmakur"/>
    <s v="15 cement Bags and auto Charges by Baddi Somesh for Atmakur Model House"/>
    <m/>
    <m/>
    <m/>
    <n v="500"/>
    <m/>
  </r>
  <r>
    <n v="1031"/>
    <d v="2026-05-02T00:00:00"/>
    <x v="3"/>
    <x v="14"/>
    <s v="Hanamkonda"/>
    <s v="Hub"/>
    <s v="50 cement  bags Purchased By sure krishna reddy"/>
    <s v="Cement"/>
    <n v="50"/>
    <n v="260"/>
    <n v="13000"/>
    <m/>
  </r>
  <r>
    <n v="1032"/>
    <d v="2026-05-02T00:00:00"/>
    <x v="3"/>
    <x v="10"/>
    <s v="Janagaon"/>
    <s v="Palakurthy"/>
    <s v="TS27T6494  TractorDeisel Payment By kishore at PalaKurthy"/>
    <m/>
    <n v="20.833333333333332"/>
    <n v="96"/>
    <n v="2000"/>
    <m/>
  </r>
  <r>
    <n v="1033"/>
    <d v="2026-05-02T00:00:00"/>
    <x v="3"/>
    <x v="10"/>
    <s v="Hanamkonda"/>
    <s v="Hub"/>
    <s v="TS03UB7556  Tractor Diesel"/>
    <m/>
    <n v="30.208333333333332"/>
    <n v="96"/>
    <n v="2900"/>
    <m/>
  </r>
  <r>
    <n v="1034"/>
    <d v="2026-05-02T00:00:00"/>
    <x v="3"/>
    <x v="3"/>
    <s v="Hanamkonda"/>
    <s v="Hub"/>
    <s v="one sponge,two Big Sweepers Purchased By Baddi Somesh"/>
    <m/>
    <m/>
    <m/>
    <n v="200"/>
    <m/>
  </r>
  <r>
    <n v="1035"/>
    <d v="2026-05-02T00:00:00"/>
    <x v="3"/>
    <x v="56"/>
    <s v="Hanamkonda"/>
    <s v="Atmakur"/>
    <s v="Sand payment By  Baddi Somesh For Atmakur model house"/>
    <m/>
    <m/>
    <m/>
    <n v="3200"/>
    <m/>
  </r>
  <r>
    <n v="1036"/>
    <d v="2026-05-02T00:00:00"/>
    <x v="3"/>
    <x v="10"/>
    <s v="Janagaon"/>
    <s v="Palakurthy"/>
    <s v="AP27UB0957 Tractor Deisel Payment"/>
    <m/>
    <n v="20.833333333333332"/>
    <n v="96"/>
    <n v="2000"/>
    <m/>
  </r>
  <r>
    <n v="1037"/>
    <d v="2026-05-02T00:00:00"/>
    <x v="3"/>
    <x v="10"/>
    <s v="Kothagudem"/>
    <s v="Yellandu"/>
    <s v="TS28B9289 Tractor Deisel Payment By  U Manikanta at Yellandu"/>
    <m/>
    <n v="10.416666666666666"/>
    <n v="96"/>
    <n v="1000"/>
    <m/>
  </r>
  <r>
    <n v="1038"/>
    <d v="2026-05-02T00:00:00"/>
    <x v="3"/>
    <x v="56"/>
    <s v="Warangal"/>
    <s v="Narsampet"/>
    <s v="Narasampeta Model House painting Labour payment by G Nagaraju"/>
    <m/>
    <m/>
    <m/>
    <n v="4000"/>
    <m/>
  </r>
  <r>
    <n v="1039"/>
    <d v="2026-05-02T00:00:00"/>
    <x v="3"/>
    <x v="56"/>
    <s v="Warangal"/>
    <s v="Duggondi"/>
    <s v="Duggondi Model House paintings purchased by AVS Reddy"/>
    <m/>
    <m/>
    <m/>
    <n v="5784"/>
    <m/>
  </r>
  <r>
    <n v="1040"/>
    <d v="2026-05-02T00:00:00"/>
    <x v="3"/>
    <x v="0"/>
    <s v="Hanamkonda"/>
    <s v="Hub"/>
    <s v="Auto Charges by Sure Krishna Reddy For purchased metirals  Arriving Nirmithkendra"/>
    <m/>
    <m/>
    <m/>
    <n v="350"/>
    <m/>
  </r>
  <r>
    <n v="1041"/>
    <d v="2026-05-02T00:00:00"/>
    <x v="1"/>
    <x v="42"/>
    <s v="Hanamkonda"/>
    <s v="Hub"/>
    <s v="SS MAchines 4"/>
    <m/>
    <m/>
    <m/>
    <n v="42000"/>
    <m/>
  </r>
  <r>
    <n v="1042"/>
    <d v="2026-05-02T00:00:00"/>
    <x v="1"/>
    <x v="3"/>
    <s v="Hanamkonda"/>
    <s v="Hub"/>
    <s v="16 flatbit,14 cutting wheels 40"/>
    <m/>
    <m/>
    <m/>
    <n v="5400"/>
    <m/>
  </r>
  <r>
    <n v="1043"/>
    <d v="2026-05-02T00:00:00"/>
    <x v="1"/>
    <x v="3"/>
    <s v="Hanamkonda"/>
    <s v="Hub"/>
    <s v="2400W Vibrator,SS drill"/>
    <m/>
    <m/>
    <m/>
    <n v="25200"/>
    <m/>
  </r>
  <r>
    <n v="1044"/>
    <d v="2026-05-02T00:00:00"/>
    <x v="1"/>
    <x v="3"/>
    <s v="Hanamkonda"/>
    <s v="Hub"/>
    <s v="Rings, Taapi Steel"/>
    <m/>
    <m/>
    <m/>
    <n v="4800"/>
    <m/>
  </r>
  <r>
    <n v="1045"/>
    <d v="2026-05-02T00:00:00"/>
    <x v="1"/>
    <x v="3"/>
    <s v="Hanamkonda"/>
    <s v="Hub"/>
    <s v="Clam H/W"/>
    <m/>
    <m/>
    <m/>
    <n v="2340"/>
    <m/>
  </r>
  <r>
    <n v="1046"/>
    <d v="2026-05-02T00:00:00"/>
    <x v="1"/>
    <x v="3"/>
    <s v="Hanamkonda"/>
    <s v="Hub"/>
    <s v="SSmixer,Editop,Mixer dca 2 "/>
    <m/>
    <m/>
    <m/>
    <n v="16700"/>
    <m/>
  </r>
  <r>
    <n v="1047"/>
    <d v="2026-05-02T00:00:00"/>
    <x v="1"/>
    <x v="17"/>
    <s v="Hanamkonda"/>
    <s v="Hub"/>
    <s v="MCPBL4,TCTSS20"/>
    <m/>
    <m/>
    <m/>
    <n v="17800"/>
    <m/>
  </r>
  <r>
    <n v="1048"/>
    <d v="2026-05-02T00:00:00"/>
    <x v="1"/>
    <x v="3"/>
    <s v="Hanamkonda"/>
    <s v="Hub"/>
    <s v="Nuts,Bolts,Vachers"/>
    <m/>
    <m/>
    <m/>
    <n v="13750"/>
    <m/>
  </r>
  <r>
    <n v="1049"/>
    <d v="2026-05-02T00:00:00"/>
    <x v="1"/>
    <x v="0"/>
    <s v="Hanamkonda"/>
    <s v="Hub"/>
    <s v="Transport for above"/>
    <m/>
    <m/>
    <m/>
    <n v="800"/>
    <m/>
  </r>
  <r>
    <n v="1050"/>
    <d v="2026-05-02T00:00:00"/>
    <x v="1"/>
    <x v="3"/>
    <s v="Hanamkonda"/>
    <s v="Hub"/>
    <s v="Tap 15mtr"/>
    <m/>
    <m/>
    <m/>
    <n v="700"/>
    <m/>
  </r>
  <r>
    <n v="1051"/>
    <d v="2026-05-02T00:00:00"/>
    <x v="1"/>
    <x v="47"/>
    <s v="Hanamkonda"/>
    <s v="Hub"/>
    <s v="Diesel for augering"/>
    <m/>
    <m/>
    <m/>
    <n v="5514"/>
    <m/>
  </r>
  <r>
    <n v="1052"/>
    <d v="2026-05-02T00:00:00"/>
    <x v="1"/>
    <x v="15"/>
    <s v="Hanamkonda"/>
    <s v="Hub"/>
    <s v="Sand "/>
    <m/>
    <m/>
    <m/>
    <n v="6840"/>
    <m/>
  </r>
  <r>
    <n v="1053"/>
    <d v="2026-05-02T00:00:00"/>
    <x v="1"/>
    <x v="14"/>
    <s v="Hanamkonda"/>
    <s v="Hub"/>
    <s v="Cement 20*300 incl transport"/>
    <m/>
    <n v="20"/>
    <n v="300"/>
    <n v="6000"/>
    <m/>
  </r>
  <r>
    <n v="1054"/>
    <d v="2026-05-02T00:00:00"/>
    <x v="1"/>
    <x v="15"/>
    <s v="Hanamkonda"/>
    <s v="Hub"/>
    <s v="Steel 8mm "/>
    <m/>
    <m/>
    <m/>
    <n v="10480"/>
    <m/>
  </r>
  <r>
    <n v="1055"/>
    <d v="2026-05-02T00:00:00"/>
    <x v="1"/>
    <x v="0"/>
    <s v="Hanamkonda"/>
    <s v="Hub"/>
    <s v="Theegaram to valigonda plywood transport"/>
    <m/>
    <m/>
    <m/>
    <n v="6700"/>
    <m/>
  </r>
  <r>
    <n v="1056"/>
    <d v="2026-05-03T00:00:00"/>
    <x v="3"/>
    <x v="9"/>
    <s v="Kamareddy"/>
    <s v="Kamareddy"/>
    <s v="House Rent in Kamareddy Payment By Sudhakar Reddy"/>
    <m/>
    <m/>
    <m/>
    <n v="15000"/>
    <m/>
  </r>
  <r>
    <n v="1057"/>
    <d v="2026-05-03T00:00:00"/>
    <x v="3"/>
    <x v="10"/>
    <s v="Kamareddy"/>
    <s v="NagireddyPet"/>
    <s v="TS17T6540 Tractor Deisel Payment By P Pavankumar for Nagireddipet"/>
    <m/>
    <n v="20.833333333333332"/>
    <n v="96"/>
    <n v="2000"/>
    <m/>
  </r>
  <r>
    <n v="1058"/>
    <d v="2026-05-03T00:00:00"/>
    <x v="3"/>
    <x v="4"/>
    <s v="Kothagudem"/>
    <s v="Yellandu"/>
    <s v="Labour shiffing yellandu to Kamareddy and Tiffen Expenses payment by gorella Suresh"/>
    <m/>
    <m/>
    <m/>
    <n v="660"/>
    <m/>
  </r>
  <r>
    <n v="1059"/>
    <d v="2026-05-03T00:00:00"/>
    <x v="3"/>
    <x v="10"/>
    <s v="Kamareddy"/>
    <s v="Domakonda"/>
    <s v="Vendor Ramakrishna  Tractor Deisel Payment By CH Sreekanth"/>
    <m/>
    <n v="20.833333333333332"/>
    <n v="96"/>
    <n v="2000"/>
    <m/>
  </r>
  <r>
    <n v="1060"/>
    <d v="2026-05-03T00:00:00"/>
    <x v="3"/>
    <x v="34"/>
    <s v="Kamareddy"/>
    <s v="NagireddyPet"/>
    <s v="30kg Binding Wire,Nails purchased By P Pavan kumar"/>
    <s v="Binding wire"/>
    <n v="30"/>
    <n v="113.33333333333333"/>
    <n v="3400"/>
    <m/>
  </r>
  <r>
    <n v="1061"/>
    <d v="2026-05-03T00:00:00"/>
    <x v="3"/>
    <x v="30"/>
    <s v="Bhongir"/>
    <s v="Valigonda"/>
    <s v="Sand Meterial purchased by s prasad at valigonda"/>
    <m/>
    <m/>
    <m/>
    <n v="750"/>
    <m/>
  </r>
  <r>
    <n v="1062"/>
    <d v="2026-05-03T00:00:00"/>
    <x v="3"/>
    <x v="34"/>
    <s v="Kamareddy"/>
    <s v="Domakonda"/>
    <s v="Binding Wire and Nails purchased by Ch Sreekanth at Domakonda"/>
    <s v="Binding wire"/>
    <n v="20"/>
    <m/>
    <n v="1500"/>
    <m/>
  </r>
  <r>
    <n v="1063"/>
    <d v="2026-05-03T00:00:00"/>
    <x v="3"/>
    <x v="32"/>
    <s v="Kamareddy"/>
    <s v="Domakonda"/>
    <s v="Binding Wire and Nails purchased by Ch Sreekanth at Domakonda"/>
    <m/>
    <m/>
    <m/>
    <n v="740"/>
    <m/>
  </r>
  <r>
    <n v="1064"/>
    <d v="2026-05-03T00:00:00"/>
    <x v="3"/>
    <x v="32"/>
    <s v="Kamareddy"/>
    <s v="Domakonda"/>
    <s v="Binding Wire and Nails purchased by AVS Reddy for kamareddy BLwork at Domakonda"/>
    <m/>
    <m/>
    <m/>
    <n v="17500"/>
    <m/>
  </r>
  <r>
    <n v="1065"/>
    <d v="2026-05-03T00:00:00"/>
    <x v="3"/>
    <x v="10"/>
    <s v="Kamareddy"/>
    <s v="Domakonda"/>
    <s v="AP39CT7040 AUGUR VEHICLE DEISEL PAYMENT"/>
    <s v="Diesel"/>
    <n v="31.25"/>
    <n v="96"/>
    <n v="3000"/>
    <m/>
  </r>
  <r>
    <n v="1066"/>
    <d v="2026-05-03T00:00:00"/>
    <x v="3"/>
    <x v="10"/>
    <s v="Khammam"/>
    <s v="Kamepalli"/>
    <s v="AP39DC3351 Tractor Deisel Payment by  U Manikanta  at Kamepalli"/>
    <m/>
    <n v="31.25"/>
    <n v="96"/>
    <n v="3000"/>
    <m/>
  </r>
  <r>
    <n v="1067"/>
    <d v="2026-05-03T00:00:00"/>
    <x v="3"/>
    <x v="0"/>
    <s v="Kamareddy"/>
    <s v="Bhiknoor"/>
    <s v="Steel Shifting  and Expenses payment By korupolu Siva at Bikhnoor"/>
    <m/>
    <m/>
    <m/>
    <n v="2405"/>
    <m/>
  </r>
  <r>
    <n v="1068"/>
    <d v="2026-05-04T00:00:00"/>
    <x v="2"/>
    <x v="8"/>
    <s v="Kamareddy"/>
    <s v="Birkoor"/>
    <s v="Shuttering Loading"/>
    <m/>
    <m/>
    <m/>
    <n v="4600"/>
    <m/>
  </r>
  <r>
    <n v="1069"/>
    <d v="2026-05-04T00:00:00"/>
    <x v="3"/>
    <x v="3"/>
    <s v="Hanamkonda"/>
    <s v="Parvathagiri"/>
    <s v="Cutting blades puyrchased by pitta Neelaiah"/>
    <m/>
    <m/>
    <m/>
    <n v="295"/>
    <m/>
  </r>
  <r>
    <n v="1070"/>
    <d v="2026-05-04T00:00:00"/>
    <x v="3"/>
    <x v="10"/>
    <s v="Hanamkonda"/>
    <s v="Hub"/>
    <s v="AP40T1195 Tractor Deisel Payment"/>
    <m/>
    <n v="48.739583333333336"/>
    <n v="96"/>
    <n v="4679"/>
    <m/>
  </r>
  <r>
    <n v="1071"/>
    <d v="2026-05-04T00:00:00"/>
    <x v="3"/>
    <x v="10"/>
    <s v="Hanamkonda"/>
    <s v="Hub"/>
    <s v="AP40JW7532 Tractor Deisel payment By Sure krishna Reddy"/>
    <m/>
    <n v="43.270833333333336"/>
    <n v="96"/>
    <n v="4154"/>
    <m/>
  </r>
  <r>
    <n v="1072"/>
    <d v="2026-05-04T00:00:00"/>
    <x v="3"/>
    <x v="10"/>
    <s v="Hanamkonda"/>
    <s v="Hub"/>
    <s v="TG037489  Tractor Deisel Payment By surte krishna reddy"/>
    <m/>
    <n v="35.604166666666664"/>
    <n v="96"/>
    <n v="3418"/>
    <m/>
  </r>
  <r>
    <n v="1073"/>
    <d v="2026-05-04T00:00:00"/>
    <x v="3"/>
    <x v="3"/>
    <s v="Khammam"/>
    <s v="Kamepalli"/>
    <s v="wood Cutting blades for  BL purpose purchased by Manikanta at kamepally"/>
    <m/>
    <m/>
    <m/>
    <n v="800"/>
    <m/>
  </r>
  <r>
    <n v="1074"/>
    <d v="2026-05-04T00:00:00"/>
    <x v="3"/>
    <x v="32"/>
    <s v="Medak"/>
    <s v="Narsapur"/>
    <s v="3 inches nails purched by D Vishnu vardhan reddy"/>
    <m/>
    <m/>
    <m/>
    <n v="1750"/>
    <m/>
  </r>
  <r>
    <n v="1075"/>
    <d v="2026-05-04T00:00:00"/>
    <x v="3"/>
    <x v="30"/>
    <s v="Hanamkonda"/>
    <s v="Kyathamapalle"/>
    <s v="Sand payment by K Govindhu at Keythampalli"/>
    <m/>
    <m/>
    <m/>
    <n v="2500"/>
    <m/>
  </r>
  <r>
    <n v="1076"/>
    <d v="2026-05-04T00:00:00"/>
    <x v="3"/>
    <x v="56"/>
    <s v="Hanamkonda"/>
    <s v="Wardhannapet"/>
    <s v="Painting Meterials payment by G Nagaraju  for Wardhanopet Model house painting Purpose"/>
    <m/>
    <m/>
    <m/>
    <n v="480"/>
    <m/>
  </r>
  <r>
    <n v="1077"/>
    <d v="2026-05-04T00:00:00"/>
    <x v="3"/>
    <x v="2"/>
    <s v="Kamareddy"/>
    <s v="Bhiknoor"/>
    <s v="waste oil  purchased by padala Bhanu prasad"/>
    <m/>
    <m/>
    <m/>
    <n v="1000"/>
    <m/>
  </r>
  <r>
    <n v="1078"/>
    <d v="2026-05-04T00:00:00"/>
    <x v="3"/>
    <x v="49"/>
    <s v="Hanamkonda"/>
    <s v="Hub"/>
    <s v="Indiramma Indllu Tractors fexi printing payment by AVS Reddy"/>
    <m/>
    <m/>
    <m/>
    <n v="5000"/>
    <m/>
  </r>
  <r>
    <n v="1079"/>
    <d v="2026-05-04T00:00:00"/>
    <x v="3"/>
    <x v="4"/>
    <s v="Hanamkonda"/>
    <s v="Wardhannapet"/>
    <s v="Wardhapet  painting  labours food Expenses by G nagaraju "/>
    <m/>
    <m/>
    <m/>
    <n v="340"/>
    <m/>
  </r>
  <r>
    <n v="1080"/>
    <d v="2026-05-04T00:00:00"/>
    <x v="3"/>
    <x v="10"/>
    <s v="Hanamkonda"/>
    <s v="Hub"/>
    <s v="TS25C1579 Tractor Diesel payment"/>
    <m/>
    <n v="38.541666666666664"/>
    <n v="96"/>
    <n v="3700"/>
    <m/>
  </r>
  <r>
    <n v="1081"/>
    <d v="2026-05-04T00:00:00"/>
    <x v="3"/>
    <x v="10"/>
    <s v="Hanamkonda"/>
    <s v="Hub"/>
    <s v="TS03FE1304  Tractor Diesel Payment"/>
    <m/>
    <n v="32.552083333333336"/>
    <n v="96"/>
    <n v="3125"/>
    <m/>
  </r>
  <r>
    <n v="1082"/>
    <d v="2026-05-04T00:00:00"/>
    <x v="3"/>
    <x v="14"/>
    <s v="Warangal"/>
    <s v="Atmakur"/>
    <s v="5 cement Bags  and Auto charges Payment By Baddi somesh for atmakur Model House "/>
    <s v="Cement"/>
    <n v="5"/>
    <n v="320"/>
    <n v="1600"/>
    <m/>
  </r>
  <r>
    <n v="1083"/>
    <d v="2026-05-04T00:00:00"/>
    <x v="3"/>
    <x v="8"/>
    <s v="Hanamkonda"/>
    <s v="Wardhannapet"/>
    <s v="wardhanpet model house painting labours payment by g nagaraju"/>
    <m/>
    <m/>
    <m/>
    <n v="4000"/>
    <m/>
  </r>
  <r>
    <n v="1084"/>
    <d v="2026-05-04T00:00:00"/>
    <x v="3"/>
    <x v="10"/>
    <s v="Kamareddy"/>
    <s v="NagireddyPet"/>
    <s v="TS17T6540 Tractor Deisel payment By G Gowri naidu at Nagireddipet"/>
    <m/>
    <n v="10.416666666666666"/>
    <n v="96"/>
    <n v="1000"/>
    <m/>
  </r>
  <r>
    <n v="1085"/>
    <d v="2026-05-04T00:00:00"/>
    <x v="3"/>
    <x v="0"/>
    <s v="Kamareddy"/>
    <s v="Birkoor"/>
    <s v="centring shifting birkur to warngal and labour loading charges payment by korupolu Siva"/>
    <m/>
    <m/>
    <m/>
    <n v="4600"/>
    <m/>
  </r>
  <r>
    <n v="1086"/>
    <d v="2026-05-04T00:00:00"/>
    <x v="3"/>
    <x v="10"/>
    <s v="Kamareddy"/>
    <s v="Birkoor"/>
    <s v="AP39TH0913 DCM Vehical Diesel Payment "/>
    <m/>
    <n v="36.458333333333336"/>
    <n v="96"/>
    <n v="3500"/>
    <m/>
  </r>
  <r>
    <n v="1087"/>
    <d v="2026-05-04T00:00:00"/>
    <x v="3"/>
    <x v="10"/>
    <s v="Kamareddy"/>
    <s v="Birkoor"/>
    <s v="AP39TH0913 DCM Vehical Diesel Payment "/>
    <m/>
    <n v="36.458333333333336"/>
    <n v="96"/>
    <n v="3500"/>
    <m/>
  </r>
  <r>
    <n v="1088"/>
    <d v="2026-05-04T00:00:00"/>
    <x v="3"/>
    <x v="10"/>
    <s v="Kamareddy"/>
    <s v="Birkoor"/>
    <s v="AP39TH0913 DCM Vehical Diesel Payment "/>
    <m/>
    <n v="18.885416666666668"/>
    <n v="96"/>
    <n v="1813"/>
    <m/>
  </r>
  <r>
    <n v="1089"/>
    <d v="2026-05-04T00:00:00"/>
    <x v="3"/>
    <x v="10"/>
    <s v="Kamareddy"/>
    <s v="Birkoor"/>
    <s v="AP39TH0913 DCM Vehical Diesel Payment "/>
    <m/>
    <n v="15.625"/>
    <n v="96"/>
    <n v="1500"/>
    <m/>
  </r>
  <r>
    <n v="1090"/>
    <d v="2026-05-04T00:00:00"/>
    <x v="3"/>
    <x v="10"/>
    <s v="Kamareddy"/>
    <s v="Birkoor"/>
    <s v="AP39TH0913 DCM Vehical Diesel Payment "/>
    <m/>
    <n v="36.458333333333336"/>
    <n v="96"/>
    <n v="3500"/>
    <m/>
  </r>
  <r>
    <n v="1091"/>
    <d v="2026-05-04T00:00:00"/>
    <x v="3"/>
    <x v="18"/>
    <s v="Hanamkonda"/>
    <s v="Elkurthy"/>
    <s v="RMC trip charges and pump charges payment by Bablu"/>
    <m/>
    <m/>
    <m/>
    <n v="750"/>
    <m/>
  </r>
  <r>
    <n v="1092"/>
    <d v="2026-05-05T00:00:00"/>
    <x v="3"/>
    <x v="10"/>
    <s v="Janagaon"/>
    <s v="Palakurthy"/>
    <s v="AP27UB0957 Tractor Deisel Payment"/>
    <m/>
    <n v="20.833333333333332"/>
    <n v="96"/>
    <n v="2000"/>
    <m/>
  </r>
  <r>
    <n v="1093"/>
    <d v="2026-05-05T00:00:00"/>
    <x v="3"/>
    <x v="18"/>
    <s v="Medak"/>
    <s v="Narsapur"/>
    <s v="RMC Trip charges &amp; Driver Betas,Meterial Purchases By Y Srihari at Narasapur"/>
    <m/>
    <m/>
    <m/>
    <n v="5560"/>
    <m/>
  </r>
  <r>
    <n v="1094"/>
    <d v="2026-05-05T00:00:00"/>
    <x v="3"/>
    <x v="18"/>
    <s v="Hanamkonda"/>
    <s v="Parvathagiri"/>
    <s v="RMC Trip charges &amp; 2-Cement Bgas purchased By G Nagaraju at parvathagiri date on:02-04-2026"/>
    <m/>
    <n v="2"/>
    <m/>
    <n v="1100"/>
    <m/>
  </r>
  <r>
    <n v="1095"/>
    <d v="2026-05-05T00:00:00"/>
    <x v="3"/>
    <x v="14"/>
    <s v="Janagaon"/>
    <s v="Palakurthy"/>
    <s v="5 Cement Bags purchased By G kishore at Palakurthy mdl"/>
    <s v="Cement"/>
    <n v="5"/>
    <n v="275"/>
    <n v="1375"/>
    <m/>
  </r>
  <r>
    <n v="1096"/>
    <d v="2026-05-05T00:00:00"/>
    <x v="3"/>
    <x v="3"/>
    <s v="Hanamkonda"/>
    <s v="Hub"/>
    <s v="News paper 18kg Purched by G Suresh at hanumakonda"/>
    <m/>
    <m/>
    <m/>
    <n v="457"/>
    <m/>
  </r>
  <r>
    <n v="1097"/>
    <d v="2026-05-05T00:00:00"/>
    <x v="3"/>
    <x v="26"/>
    <s v="Kamareddy"/>
    <s v="Banswada"/>
    <s v="20mm Agreegate Purchased By K srinivasulu Reddy at Banswada Date on:28-04-2026"/>
    <s v="20 MM Aggregate"/>
    <n v="4.5"/>
    <n v="928"/>
    <n v="4176"/>
    <m/>
  </r>
  <r>
    <n v="1098"/>
    <d v="2026-05-05T00:00:00"/>
    <x v="3"/>
    <x v="32"/>
    <s v="Hanamkonda"/>
    <s v="Hub"/>
    <s v="2&amp;4 inches Nails -3kg purchased by R Sriramamurthy"/>
    <m/>
    <m/>
    <m/>
    <n v="300"/>
    <m/>
  </r>
  <r>
    <n v="1099"/>
    <d v="2026-05-05T00:00:00"/>
    <x v="3"/>
    <x v="56"/>
    <s v="Warangal"/>
    <s v="Narsampet"/>
    <s v="Painting metirials purchased By R sriramamurthy for narasmpet model house"/>
    <m/>
    <m/>
    <m/>
    <n v="2040"/>
    <m/>
  </r>
  <r>
    <n v="1100"/>
    <d v="2026-05-05T00:00:00"/>
    <x v="3"/>
    <x v="0"/>
    <s v="Hanamkonda"/>
    <s v="Wardhannapet"/>
    <s v="Auto Charges paid by Sri Rama Murthy For paints Shifted  Hanumakonda to wardhanpet date on:02-05-2026"/>
    <m/>
    <m/>
    <m/>
    <n v="700"/>
    <m/>
  </r>
  <r>
    <n v="1101"/>
    <d v="2026-05-05T00:00:00"/>
    <x v="3"/>
    <x v="56"/>
    <s v="Warangal"/>
    <s v="Duggondi"/>
    <s v="paints purchased byAVS Reddy  for Duggondi Model House Date on:04-05-2026"/>
    <m/>
    <m/>
    <m/>
    <n v="6131"/>
    <m/>
  </r>
  <r>
    <n v="1102"/>
    <d v="2026-05-05T00:00:00"/>
    <x v="3"/>
    <x v="8"/>
    <s v="Siddipet"/>
    <s v="Mulug"/>
    <s v=" Meterial unloding charges for labour &amp; Room lock purchased by Budda Suresh "/>
    <m/>
    <m/>
    <m/>
    <n v="1500"/>
    <m/>
  </r>
  <r>
    <n v="1103"/>
    <d v="2026-05-05T00:00:00"/>
    <x v="3"/>
    <x v="18"/>
    <s v="Hanamkonda"/>
    <s v="Parvathagiri"/>
    <s v="RMC Trip charges payment By pitta Neelaiah"/>
    <m/>
    <m/>
    <m/>
    <n v="150"/>
    <m/>
  </r>
  <r>
    <n v="1104"/>
    <d v="2026-05-05T00:00:00"/>
    <x v="3"/>
    <x v="26"/>
    <s v="Siddipet"/>
    <s v="Mulug"/>
    <s v="40MM Agreegate Payment By Budda Suresh"/>
    <s v="40 MM Aggregate"/>
    <n v="8"/>
    <n v="643.75"/>
    <n v="5150"/>
    <m/>
  </r>
  <r>
    <n v="1105"/>
    <d v="2026-05-05T00:00:00"/>
    <x v="3"/>
    <x v="3"/>
    <s v="Hanamkonda"/>
    <s v="Parvathagiri"/>
    <s v="Cutting Blades Purchased By Pitta Neelaiah"/>
    <m/>
    <m/>
    <m/>
    <n v="60"/>
    <m/>
  </r>
  <r>
    <n v="1106"/>
    <d v="2026-05-05T00:00:00"/>
    <x v="3"/>
    <x v="10"/>
    <s v="Kamareddy"/>
    <s v="Domakonda"/>
    <s v="AP39CT7040 AUGUR VEHICLE DEISEL PAYMENT"/>
    <s v="Diesel"/>
    <n v="31.25"/>
    <n v="96"/>
    <n v="3000"/>
    <m/>
  </r>
  <r>
    <n v="1107"/>
    <d v="2026-05-05T00:00:00"/>
    <x v="3"/>
    <x v="34"/>
    <s v="Kamareddy"/>
    <s v="Domakonda"/>
    <s v="Binding Wire-50kg  Purchased By P Padala Bhanu Prasad"/>
    <s v="Binding wire"/>
    <n v="50"/>
    <n v="83"/>
    <n v="4150"/>
    <m/>
  </r>
  <r>
    <n v="1108"/>
    <d v="2026-05-05T00:00:00"/>
    <x v="3"/>
    <x v="26"/>
    <s v="Siddipet"/>
    <s v="Mulug"/>
    <s v="40MM Agreegate Payment By Budda Suresh"/>
    <s v="40 MM Aggregate"/>
    <n v="8"/>
    <n v="638.75"/>
    <n v="5110"/>
    <m/>
  </r>
  <r>
    <n v="1109"/>
    <d v="2026-05-05T00:00:00"/>
    <x v="3"/>
    <x v="14"/>
    <s v="Hanamkonda"/>
    <s v="Hub"/>
    <s v="Cement Bags-50 purchased by Sure Krishna Reddy at Hanumakonda for Nirmithkendr"/>
    <s v="Cement"/>
    <n v="50"/>
    <n v="260"/>
    <n v="13000"/>
    <m/>
  </r>
  <r>
    <n v="1110"/>
    <d v="2026-05-05T00:00:00"/>
    <x v="3"/>
    <x v="49"/>
    <s v="Hanamkonda"/>
    <s v="Hub"/>
    <s v="Indiramma indllu Flexi Printing(shanthi Ads) Blance  charges By G suresh at Hanumakonda"/>
    <m/>
    <m/>
    <m/>
    <n v="1000"/>
    <m/>
  </r>
  <r>
    <n v="1111"/>
    <d v="2026-05-05T00:00:00"/>
    <x v="3"/>
    <x v="32"/>
    <s v="Hanamkonda"/>
    <s v="Elkurthy"/>
    <s v="2.5,3 inches Nials purchased By Modi naidu at Elekurthy"/>
    <m/>
    <m/>
    <m/>
    <n v="2200"/>
    <m/>
  </r>
  <r>
    <n v="1112"/>
    <d v="2026-05-06T00:00:00"/>
    <x v="3"/>
    <x v="10"/>
    <s v="Kamareddy"/>
    <s v="Bhiknoor"/>
    <s v="AP 40 KE 2834 Tractor Diesel"/>
    <m/>
    <n v="20.833333333333332"/>
    <n v="96"/>
    <n v="2000"/>
    <m/>
  </r>
  <r>
    <n v="1113"/>
    <d v="2026-05-06T00:00:00"/>
    <x v="3"/>
    <x v="14"/>
    <s v="Janagaon"/>
    <s v="Palakurthy"/>
    <s v="RL AND RC Meterial and Cement bags Purchased By  G Kishore at Palakurthy"/>
    <s v="Cement"/>
    <n v="53"/>
    <n v="275"/>
    <n v="14560"/>
    <m/>
  </r>
  <r>
    <n v="1114"/>
    <d v="2026-05-06T00:00:00"/>
    <x v="3"/>
    <x v="26"/>
    <s v="Hanamkonda"/>
    <s v="Dharmasagar"/>
    <s v="40mm agreegate payment by K Govindu at  keythampalli (vi) Dharmasagar(Mdl)"/>
    <s v="40 MM Aggregate"/>
    <n v="4"/>
    <n v="625"/>
    <n v="2500"/>
    <m/>
  </r>
  <r>
    <n v="1115"/>
    <d v="2026-05-06T00:00:00"/>
    <x v="3"/>
    <x v="26"/>
    <s v="Siddipet"/>
    <s v="Mulug"/>
    <s v="40mm agreegate payment by Budda Suresh at sheelasagar,mulugu"/>
    <s v="40 MM Aggregate"/>
    <n v="8"/>
    <n v="632.5"/>
    <n v="5060"/>
    <m/>
  </r>
  <r>
    <n v="1116"/>
    <d v="2026-05-06T00:00:00"/>
    <x v="3"/>
    <x v="18"/>
    <s v="Kamareddy"/>
    <s v="Domakonda"/>
    <s v="RMC trip Charges,meterial shifting,labour shifing,labour medical bill Expences By P Pavan kumar"/>
    <m/>
    <m/>
    <m/>
    <n v="3100"/>
    <m/>
  </r>
  <r>
    <n v="1117"/>
    <d v="2026-05-06T00:00:00"/>
    <x v="3"/>
    <x v="3"/>
    <s v="Bhongir"/>
    <s v="Valigonda"/>
    <s v="RL Work Meterials purchased by S prasad at avligonda"/>
    <m/>
    <m/>
    <m/>
    <n v="2500"/>
    <m/>
  </r>
  <r>
    <n v="1118"/>
    <d v="2026-05-06T00:00:00"/>
    <x v="3"/>
    <x v="10"/>
    <s v="Hanamkonda"/>
    <s v="Dharmasagar"/>
    <s v="TS03EE4571 DIESEL PAYMENT"/>
    <m/>
    <n v="31.25"/>
    <n v="96"/>
    <n v="3000"/>
    <m/>
  </r>
  <r>
    <n v="1119"/>
    <d v="2026-05-06T00:00:00"/>
    <x v="3"/>
    <x v="10"/>
    <s v="Hanamkonda"/>
    <s v="Hub"/>
    <s v="AP39JJ1001 Deisel payment By AVS Reddy at Hanumakonda"/>
    <m/>
    <n v="47.84375"/>
    <n v="96"/>
    <n v="4593"/>
    <m/>
  </r>
  <r>
    <n v="1120"/>
    <d v="2026-05-06T00:00:00"/>
    <x v="3"/>
    <x v="18"/>
    <s v="Kamareddy"/>
    <s v="NagireddyPet"/>
    <s v="RMC Trip Charges,wasteoil,sponge payment By G Gowri Naidu at Nagireddipet"/>
    <m/>
    <m/>
    <m/>
    <n v="890"/>
    <m/>
  </r>
  <r>
    <n v="1121"/>
    <d v="2026-05-06T00:00:00"/>
    <x v="3"/>
    <x v="49"/>
    <s v="Hanamkonda"/>
    <s v="Hub"/>
    <s v="stationery Purchased By N Malyadri reddy at Hanumakonda"/>
    <m/>
    <m/>
    <m/>
    <n v="1300"/>
    <m/>
  </r>
  <r>
    <n v="1122"/>
    <d v="2026-05-06T00:00:00"/>
    <x v="3"/>
    <x v="26"/>
    <s v="Siddipet"/>
    <s v="Mulug"/>
    <s v="10mm Chips,M sand  payment by Budda Suresh for Sheelasagar"/>
    <s v="Msand"/>
    <n v="4"/>
    <n v="675"/>
    <n v="2700"/>
    <m/>
  </r>
  <r>
    <n v="1123"/>
    <d v="2026-05-06T00:00:00"/>
    <x v="3"/>
    <x v="18"/>
    <s v="Kamareddy"/>
    <s v="Domakonda"/>
    <s v="RMC Trip Charges  payment By Ch Sreekanth at Domakonda"/>
    <m/>
    <m/>
    <m/>
    <n v="150"/>
    <m/>
  </r>
  <r>
    <n v="1124"/>
    <d v="2026-05-06T00:00:00"/>
    <x v="3"/>
    <x v="26"/>
    <s v="Siddipet"/>
    <s v="Mulug"/>
    <s v="12 MM Aggregate"/>
    <s v="12 MM Aggregate"/>
    <n v="4"/>
    <n v="675"/>
    <n v="2700"/>
    <m/>
  </r>
  <r>
    <n v="1125"/>
    <d v="2026-05-06T00:00:00"/>
    <x v="3"/>
    <x v="26"/>
    <s v="Bhongir"/>
    <s v="Valigonda"/>
    <s v="12 mm Agreegate payment By S Prasad at valigonda"/>
    <s v="12 MM Aggregate"/>
    <n v="4"/>
    <n v="675"/>
    <n v="2700"/>
    <m/>
  </r>
  <r>
    <n v="1126"/>
    <d v="2026-05-06T00:00:00"/>
    <x v="3"/>
    <x v="18"/>
    <s v="Hanamkonda"/>
    <s v="Parvathagiri"/>
    <s v="RMC Trip chages Payment By Pitta neelaiah"/>
    <m/>
    <m/>
    <m/>
    <n v="150"/>
    <m/>
  </r>
  <r>
    <n v="1127"/>
    <d v="2026-05-06T00:00:00"/>
    <x v="3"/>
    <x v="18"/>
    <s v="Hanamkonda"/>
    <s v="Dharmasagar"/>
    <s v="40mm agreegate payment by K Govindu For Keytham palli"/>
    <m/>
    <m/>
    <m/>
    <n v="2500"/>
    <m/>
  </r>
  <r>
    <n v="1128"/>
    <d v="2026-05-06T00:00:00"/>
    <x v="3"/>
    <x v="10"/>
    <s v="Siddipet"/>
    <s v="Mulug"/>
    <s v="AP40JW7532 Tractor Deisel Payment By Budda Suresh at sheela sagar"/>
    <m/>
    <n v="31.25"/>
    <n v="96"/>
    <n v="3000"/>
    <m/>
  </r>
  <r>
    <n v="1129"/>
    <d v="2026-05-06T00:00:00"/>
    <x v="3"/>
    <x v="10"/>
    <s v="Siddipet"/>
    <s v="Mulug"/>
    <s v="AP40T1195 Tractor Deisel Payment"/>
    <m/>
    <n v="31.25"/>
    <n v="96"/>
    <n v="3000"/>
    <m/>
  </r>
  <r>
    <n v="1130"/>
    <d v="2026-05-06T00:00:00"/>
    <x v="3"/>
    <x v="3"/>
    <s v="Kamareddy"/>
    <s v="Domakonda"/>
    <s v="Cutting Mechine Repair Charges Payment By ch Sreekanth"/>
    <m/>
    <m/>
    <m/>
    <n v="400"/>
    <m/>
  </r>
  <r>
    <n v="1131"/>
    <d v="2026-05-06T00:00:00"/>
    <x v="3"/>
    <x v="26"/>
    <s v="Siddipet"/>
    <s v="Mulug"/>
    <s v="10mm Chips,M sand  payment by Budda Suresh for Sheelasagar"/>
    <s v="12 MM Aggregate"/>
    <n v="8"/>
    <n v="697.5"/>
    <n v="5580"/>
    <m/>
  </r>
  <r>
    <n v="1132"/>
    <d v="2026-05-06T00:00:00"/>
    <x v="3"/>
    <x v="10"/>
    <s v="Bhongir"/>
    <s v="Valigonda"/>
    <s v="AP39FC8298 TRACTOR DEISEL PAYMENT "/>
    <m/>
    <n v="20.833333333333332"/>
    <n v="96"/>
    <n v="2000"/>
    <m/>
  </r>
  <r>
    <n v="1133"/>
    <d v="2026-05-06T00:00:00"/>
    <x v="3"/>
    <x v="56"/>
    <s v="Warangal"/>
    <s v="Duggondi"/>
    <s v="Paininting Brushes Purchased Bby G venkat rao at Duggonda"/>
    <m/>
    <m/>
    <m/>
    <n v="200"/>
    <m/>
  </r>
  <r>
    <n v="1134"/>
    <d v="2026-05-06T00:00:00"/>
    <x v="3"/>
    <x v="49"/>
    <s v="Hanamkonda"/>
    <s v="Hub"/>
    <s v="office rigestes and acount books purchased by N Malyadri reddy at Hanumakonda"/>
    <m/>
    <m/>
    <m/>
    <n v="1300"/>
    <m/>
  </r>
  <r>
    <n v="1135"/>
    <d v="2026-05-07T00:00:00"/>
    <x v="3"/>
    <x v="56"/>
    <s v="Warangal"/>
    <s v="Duggondi"/>
    <s v="Duggoni model House painter advance payment &amp; food Expences"/>
    <m/>
    <m/>
    <m/>
    <n v="2980"/>
    <m/>
  </r>
  <r>
    <n v="1136"/>
    <d v="2026-05-07T00:00:00"/>
    <x v="3"/>
    <x v="26"/>
    <s v="Siddipet"/>
    <s v="Mulug"/>
    <s v="12 MM"/>
    <s v="12 MM Aggregate"/>
    <n v="4"/>
    <n v="700"/>
    <n v="2800"/>
    <m/>
  </r>
  <r>
    <n v="1137"/>
    <d v="2026-05-07T00:00:00"/>
    <x v="3"/>
    <x v="32"/>
    <s v="Hanamkonda"/>
    <s v="Hub"/>
    <s v="4 inche nails-50kg Purchased by G Suresh for RC Centring"/>
    <m/>
    <m/>
    <m/>
    <n v="3800"/>
    <m/>
  </r>
  <r>
    <n v="1138"/>
    <d v="2026-05-07T00:00:00"/>
    <x v="3"/>
    <x v="56"/>
    <s v="Hanamkonda"/>
    <s v="Nekkonda"/>
    <s v="Nekkonda Model house 2- door Freams ,1- ventilitor purchased by G Suresah"/>
    <m/>
    <m/>
    <m/>
    <n v="2600"/>
    <m/>
  </r>
  <r>
    <n v="1139"/>
    <d v="2026-05-07T00:00:00"/>
    <x v="3"/>
    <x v="56"/>
    <s v="Hanamkonda"/>
    <s v="Nekkonda"/>
    <s v="Nekkonda Model house Sand Payment by G Venkat Rao"/>
    <m/>
    <m/>
    <m/>
    <n v="5600"/>
    <m/>
  </r>
  <r>
    <n v="1140"/>
    <d v="2026-05-07T00:00:00"/>
    <x v="3"/>
    <x v="45"/>
    <s v="Hanamkonda"/>
    <s v="Hub"/>
    <s v="AP39TH0913 DCM Eicher Vehicle Fastag Recharge"/>
    <m/>
    <m/>
    <m/>
    <n v="1000"/>
    <m/>
  </r>
  <r>
    <n v="1141"/>
    <d v="2026-05-07T00:00:00"/>
    <x v="3"/>
    <x v="3"/>
    <s v="Kamareddy"/>
    <s v="Ramareddy"/>
    <s v="220lits-2, 250lits Durms  purchesed By g gowi Naidu at Ramareddy"/>
    <m/>
    <m/>
    <m/>
    <n v="2500"/>
    <m/>
  </r>
  <r>
    <n v="1142"/>
    <d v="2026-05-07T00:00:00"/>
    <x v="3"/>
    <x v="56"/>
    <s v="Warangal"/>
    <s v="Duggondi"/>
    <s v="Doggoni painter payment By G Venkat Rao"/>
    <m/>
    <m/>
    <m/>
    <n v="2000"/>
    <m/>
  </r>
  <r>
    <n v="1143"/>
    <d v="2026-05-07T00:00:00"/>
    <x v="3"/>
    <x v="18"/>
    <s v="Kamareddy"/>
    <s v="Domakonda"/>
    <s v="RMC Trip Charges By Ch Sreekanth at domakonda"/>
    <m/>
    <m/>
    <m/>
    <n v="150"/>
    <m/>
  </r>
  <r>
    <n v="1144"/>
    <d v="2026-05-07T00:00:00"/>
    <x v="3"/>
    <x v="8"/>
    <s v="Bhongir"/>
    <s v="Valigonda"/>
    <s v="Chemical Bags Unloading Steel Unloading,food expenses  payment by suram Prasd Reddy"/>
    <m/>
    <m/>
    <m/>
    <n v="2605"/>
    <m/>
  </r>
  <r>
    <n v="1145"/>
    <d v="2026-05-07T00:00:00"/>
    <x v="3"/>
    <x v="56"/>
    <s v="Hanamkonda"/>
    <s v="Sangem"/>
    <s v="Sangam model House Painting Meterials Purchased by Venkat rao"/>
    <m/>
    <m/>
    <m/>
    <n v="6058"/>
    <m/>
  </r>
  <r>
    <n v="1146"/>
    <d v="2026-05-07T00:00:00"/>
    <x v="3"/>
    <x v="8"/>
    <s v="Hanamkonda"/>
    <s v="Hub"/>
    <s v="chemical Bags Unloading charges by Sure Krishna Reddy"/>
    <m/>
    <m/>
    <m/>
    <n v="1625"/>
    <m/>
  </r>
  <r>
    <n v="1147"/>
    <d v="2026-05-08T00:00:00"/>
    <x v="3"/>
    <x v="10"/>
    <s v="Medak"/>
    <s v="Narsapur"/>
    <s v="AP23AJ4615 Tractor Deisel Payment By terra srihari at narasapur mdl"/>
    <m/>
    <n v="31.25"/>
    <n v="96"/>
    <n v="3000"/>
    <m/>
  </r>
  <r>
    <n v="1148"/>
    <d v="2026-05-08T00:00:00"/>
    <x v="3"/>
    <x v="10"/>
    <s v="Kamareddy"/>
    <s v="Bhiknoor"/>
    <s v="AP40KF2843 Tractor Diesel Payment By padala Bhanu prasad at Bhiknoor"/>
    <m/>
    <n v="20.833333333333332"/>
    <n v="96"/>
    <n v="2000"/>
    <m/>
  </r>
  <r>
    <n v="1149"/>
    <d v="2026-05-08T00:00:00"/>
    <x v="3"/>
    <x v="10"/>
    <s v="Kamareddy"/>
    <s v="Domakonda"/>
    <s v="AP40KW7346 tractor Deisel Payment by Ch Sreekanth at domakonda"/>
    <m/>
    <n v="31.25"/>
    <n v="96"/>
    <n v="3000"/>
    <m/>
  </r>
  <r>
    <n v="1150"/>
    <d v="2026-05-08T00:00:00"/>
    <x v="3"/>
    <x v="0"/>
    <s v="Hanamkonda"/>
    <s v="Hub"/>
    <s v="AP39WQ0186 Wood karra Lorry freight payment by R Sriramamurthy at Nirmithkendr,Hanumakonda"/>
    <m/>
    <m/>
    <m/>
    <n v="24000"/>
    <m/>
  </r>
  <r>
    <n v="1151"/>
    <d v="2026-05-08T00:00:00"/>
    <x v="3"/>
    <x v="0"/>
    <s v="Hanamkonda"/>
    <s v="Hub"/>
    <s v="AP39WQ0186 Wood Unloading mamullu  by R Sriramamurthy at Nirmithkendr,Hanumakonda"/>
    <m/>
    <m/>
    <m/>
    <n v="400"/>
    <m/>
  </r>
  <r>
    <n v="1152"/>
    <d v="2026-05-08T00:00:00"/>
    <x v="3"/>
    <x v="0"/>
    <s v="Hanamkonda"/>
    <s v="Hub"/>
    <s v="nirmithkendr to duggondi,nirmithkendr to sangam paints auto charges,concreat tape -4 purched by sri ram murthy"/>
    <m/>
    <m/>
    <m/>
    <n v="1900"/>
    <m/>
  </r>
  <r>
    <n v="1153"/>
    <d v="2026-05-08T00:00:00"/>
    <x v="3"/>
    <x v="8"/>
    <s v="Bhongir"/>
    <s v="Thurkapally"/>
    <s v="3500 chemical Bags Unloding labour Charges payment by Budda Suresh"/>
    <m/>
    <m/>
    <m/>
    <n v="3500"/>
    <m/>
  </r>
  <r>
    <n v="1154"/>
    <d v="2026-05-08T00:00:00"/>
    <x v="3"/>
    <x v="18"/>
    <s v="Kamareddy"/>
    <s v="Domakonda"/>
    <s v="RMC Trip charges payment By Ch Sreekanth at  Domakonda"/>
    <m/>
    <m/>
    <m/>
    <n v="150"/>
    <m/>
  </r>
  <r>
    <n v="1155"/>
    <d v="2026-05-07T00:00:00"/>
    <x v="3"/>
    <x v="26"/>
    <s v="Siddipet"/>
    <s v="Mulug"/>
    <s v="Msand "/>
    <s v="Msand"/>
    <n v="4"/>
    <n v="700"/>
    <n v="2800"/>
    <m/>
  </r>
  <r>
    <n v="1156"/>
    <d v="2026-05-08T00:00:00"/>
    <x v="3"/>
    <x v="26"/>
    <s v="Bhongir"/>
    <s v="Thurkapally"/>
    <s v="40mm agreegate payment by budda sureh at vasalamarry"/>
    <s v="40 MM Aggregate"/>
    <n v="8"/>
    <n v="625"/>
    <n v="5000"/>
    <m/>
  </r>
  <r>
    <n v="1157"/>
    <d v="2026-05-08T00:00:00"/>
    <x v="3"/>
    <x v="8"/>
    <s v="Hanamkonda"/>
    <s v="Hub"/>
    <s v="AP39WQ0186 Wood Karra unloding charges for labours payment by sure Krieshna Reddy date on:07-05-2026"/>
    <m/>
    <m/>
    <m/>
    <n v="4000"/>
    <m/>
  </r>
  <r>
    <n v="1158"/>
    <d v="2026-05-08T00:00:00"/>
    <x v="3"/>
    <x v="34"/>
    <s v="Kamareddy"/>
    <s v="Ramareddy"/>
    <s v="nails-15kg,Binding Wire-25kg,purchased by G  Gowri Naidu at Ramareddi"/>
    <s v="Binding wire"/>
    <n v="25"/>
    <m/>
    <n v="3400"/>
    <m/>
  </r>
  <r>
    <n v="1159"/>
    <d v="2026-05-08T00:00:00"/>
    <x v="3"/>
    <x v="10"/>
    <s v="Kamareddy"/>
    <s v="Rajampet"/>
    <s v="AP39CT7040 AUGUR VEHICLE DEISEL PAYMENT"/>
    <s v="Diesel"/>
    <n v="31.25"/>
    <n v="96"/>
    <n v="3000"/>
    <m/>
  </r>
  <r>
    <n v="1160"/>
    <d v="2026-05-08T00:00:00"/>
    <x v="3"/>
    <x v="10"/>
    <s v="Hanamkonda"/>
    <s v="Hub"/>
    <s v="AP26BZ3361 Tractor Deisel payment"/>
    <m/>
    <n v="37.333333333333336"/>
    <n v="96"/>
    <n v="3584"/>
    <m/>
  </r>
  <r>
    <n v="1161"/>
    <d v="2026-05-08T00:00:00"/>
    <x v="3"/>
    <x v="3"/>
    <s v="Medak"/>
    <s v="Kulcharam"/>
    <s v="BL work Metirial purchased by  Y Srihari at kulcharam"/>
    <m/>
    <m/>
    <m/>
    <n v="1690"/>
    <m/>
  </r>
  <r>
    <n v="1162"/>
    <d v="2026-05-08T00:00:00"/>
    <x v="3"/>
    <x v="56"/>
    <s v="Hanamkonda"/>
    <s v="Sangem"/>
    <s v="sangam model house labour advanced Payment by R srirama murthy"/>
    <m/>
    <m/>
    <m/>
    <n v="3000"/>
    <m/>
  </r>
  <r>
    <n v="1163"/>
    <d v="2026-05-08T00:00:00"/>
    <x v="3"/>
    <x v="10"/>
    <s v="Kamareddy"/>
    <s v="Kamareddy"/>
    <s v="AP39TH0913 DCM Vehical Diesel Payment "/>
    <m/>
    <n v="143.75"/>
    <n v="96"/>
    <n v="13800"/>
    <m/>
  </r>
  <r>
    <n v="1164"/>
    <d v="2026-05-08T00:00:00"/>
    <x v="3"/>
    <x v="56"/>
    <s v="Warangal"/>
    <s v="Atmakur"/>
    <s v="paints purched by R sriramamurthy for Atmaklur Model house"/>
    <m/>
    <m/>
    <m/>
    <n v="7400"/>
    <m/>
  </r>
  <r>
    <n v="1165"/>
    <d v="2026-05-08T00:00:00"/>
    <x v="3"/>
    <x v="18"/>
    <s v="Medak"/>
    <s v="Narsapur"/>
    <s v="RMC  Trip Charges ,Labour Food Expenses payment by Yarra Sri Hari"/>
    <m/>
    <m/>
    <m/>
    <n v="1050"/>
    <m/>
  </r>
  <r>
    <n v="1166"/>
    <d v="2026-05-09T00:00:00"/>
    <x v="2"/>
    <x v="14"/>
    <s v="Hanamkonda"/>
    <s v="Hub"/>
    <s v="50 bags * 260"/>
    <s v="Cement"/>
    <n v="50"/>
    <n v="260"/>
    <n v="13000"/>
    <m/>
  </r>
  <r>
    <n v="1167"/>
    <d v="2026-05-09T00:00:00"/>
    <x v="2"/>
    <x v="53"/>
    <s v="Hanamkonda"/>
    <s v="Hub"/>
    <s v="Plasting Sand 29.630 * 1450"/>
    <m/>
    <m/>
    <m/>
    <n v="42963.5"/>
    <m/>
  </r>
  <r>
    <n v="1168"/>
    <d v="2026-05-09T00:00:00"/>
    <x v="3"/>
    <x v="32"/>
    <s v="Kamareddy"/>
    <s v="Domakonda"/>
    <s v="2.5 inches -5kg nails purched by Ch Sreekanth at domakonda"/>
    <m/>
    <m/>
    <m/>
    <n v="400"/>
    <m/>
  </r>
  <r>
    <n v="1169"/>
    <d v="2026-05-09T00:00:00"/>
    <x v="3"/>
    <x v="56"/>
    <s v="Hanamkonda"/>
    <s v="Sangem"/>
    <s v="paints meterial shiffed Sangam to Atmakur Auto Charges payment by K bablu  "/>
    <m/>
    <m/>
    <m/>
    <n v="800"/>
    <m/>
  </r>
  <r>
    <n v="1170"/>
    <d v="2026-05-09T00:00:00"/>
    <x v="3"/>
    <x v="26"/>
    <s v="Bhongir"/>
    <s v="Thurkapally"/>
    <s v="40mm  agreegate  payment by Budda Suresh"/>
    <s v="40 MM Aggregate"/>
    <n v="8"/>
    <n v="687.5"/>
    <n v="5500"/>
    <m/>
  </r>
  <r>
    <n v="1171"/>
    <d v="2026-05-09T00:00:00"/>
    <x v="3"/>
    <x v="10"/>
    <s v="Hanamkonda"/>
    <s v="Nadikuda"/>
    <s v="AP27UB0957 Tractor Deisel Payment"/>
    <m/>
    <n v="43.75"/>
    <n v="96"/>
    <n v="4200"/>
    <m/>
  </r>
  <r>
    <n v="1172"/>
    <d v="2026-05-09T00:00:00"/>
    <x v="3"/>
    <x v="10"/>
    <s v="Hanamkonda"/>
    <s v="Hub"/>
    <s v="TS03UB7556  Tractor Diesel"/>
    <m/>
    <n v="37.5"/>
    <n v="96"/>
    <n v="3600"/>
    <m/>
  </r>
  <r>
    <n v="1173"/>
    <d v="2026-05-09T00:00:00"/>
    <x v="3"/>
    <x v="60"/>
    <s v="Hanamkonda"/>
    <s v="Hub"/>
    <s v="plastring meterial purchased by Sure Krishna Reddy for ward no.33"/>
    <m/>
    <m/>
    <m/>
    <n v="525"/>
    <m/>
  </r>
  <r>
    <n v="1174"/>
    <d v="2026-05-09T00:00:00"/>
    <x v="3"/>
    <x v="18"/>
    <s v="Kamareddy"/>
    <s v="Rajampet"/>
    <s v="RMC Trip Charges By K Srinivasulu Reddy at rajampet"/>
    <m/>
    <m/>
    <m/>
    <n v="450"/>
    <m/>
  </r>
  <r>
    <n v="1175"/>
    <d v="2026-05-09T00:00:00"/>
    <x v="3"/>
    <x v="8"/>
    <s v="Kamareddy"/>
    <s v="Rajampet"/>
    <s v="AP40KF2837 Daily Tractor  Driver Payment By  K Srinivasulu Reddy at Rajampet"/>
    <m/>
    <m/>
    <m/>
    <n v="2400"/>
    <m/>
  </r>
  <r>
    <n v="1176"/>
    <d v="2026-05-09T00:00:00"/>
    <x v="3"/>
    <x v="56"/>
    <s v="Hanamkonda"/>
    <s v="Sangem"/>
    <s v="Sengem model House Expenses By R Srirama murthy"/>
    <m/>
    <m/>
    <m/>
    <n v="3480"/>
    <m/>
  </r>
  <r>
    <n v="1177"/>
    <d v="2026-05-09T00:00:00"/>
    <x v="3"/>
    <x v="42"/>
    <s v="Hanamkonda"/>
    <s v="Hub"/>
    <s v="BL Work Metirials  payment By Sure Krishna reddy For Nirmithkendr,Hanumakonda"/>
    <m/>
    <m/>
    <m/>
    <n v="45000"/>
    <m/>
  </r>
  <r>
    <n v="1178"/>
    <d v="2026-05-09T00:00:00"/>
    <x v="3"/>
    <x v="26"/>
    <s v="Bhongir"/>
    <s v="Thurkapally"/>
    <s v="Msand "/>
    <s v="Msand"/>
    <n v="4"/>
    <n v="637.5"/>
    <n v="2550"/>
    <n v="2550"/>
  </r>
  <r>
    <n v="1179"/>
    <d v="2026-05-09T00:00:00"/>
    <x v="3"/>
    <x v="26"/>
    <s v="Bhongir"/>
    <s v="Thurkapally"/>
    <s v="12 MM"/>
    <s v="12 MM Aggregate"/>
    <n v="4"/>
    <n v="637.5"/>
    <n v="2550"/>
    <m/>
  </r>
  <r>
    <n v="1180"/>
    <d v="2026-05-09T00:00:00"/>
    <x v="3"/>
    <x v="18"/>
    <s v="Kamareddy"/>
    <s v="Domakonda"/>
    <s v="RMC Trip Charges By padala bhanu prasad at bhiknoor &amp; Anthampalli Date:06-05-206 To 08-05-2026 "/>
    <m/>
    <m/>
    <m/>
    <n v="600"/>
    <m/>
  </r>
  <r>
    <n v="1181"/>
    <d v="2026-05-09T00:00:00"/>
    <x v="3"/>
    <x v="56"/>
    <s v="Hanamkonda"/>
    <s v="Nekkonda"/>
    <s v="Cement bricks Purchased By AVS Reddy for nekkonda model house"/>
    <m/>
    <m/>
    <m/>
    <n v="17600"/>
    <m/>
  </r>
  <r>
    <n v="1182"/>
    <d v="2026-05-09T00:00:00"/>
    <x v="3"/>
    <x v="10"/>
    <s v="Bhongir"/>
    <s v="Thurkapally"/>
    <s v="AP40T1195 Tractor Deisel payment"/>
    <m/>
    <n v="62.5"/>
    <n v="96"/>
    <n v="6000"/>
    <m/>
  </r>
  <r>
    <n v="1183"/>
    <d v="2026-05-10T00:00:00"/>
    <x v="3"/>
    <x v="10"/>
    <s v="Hanamkonda"/>
    <s v="Hub"/>
    <s v="TG037489 Tractor Deisel Paymeny by sure Krishna reddy at Hanumakonda"/>
    <m/>
    <n v="34.666666666666664"/>
    <n v="96"/>
    <n v="3328"/>
    <m/>
  </r>
  <r>
    <n v="1184"/>
    <d v="2026-05-10T00:00:00"/>
    <x v="3"/>
    <x v="10"/>
    <s v="Hanamkonda"/>
    <s v="Hub"/>
    <s v="AP39JQ0377 Tractor Deisel"/>
    <m/>
    <n v="20.833333333333332"/>
    <n v="96"/>
    <n v="2000"/>
    <m/>
  </r>
  <r>
    <n v="1185"/>
    <d v="2026-05-10T00:00:00"/>
    <x v="3"/>
    <x v="0"/>
    <s v="Hanamkonda"/>
    <s v="Hub"/>
    <s v="waste oil-20lits,auto charges  payment by sure krishna reddy "/>
    <m/>
    <m/>
    <m/>
    <n v="1200"/>
    <m/>
  </r>
  <r>
    <n v="1186"/>
    <d v="2026-05-10T00:00:00"/>
    <x v="3"/>
    <x v="18"/>
    <s v="Kamareddy"/>
    <s v="Domakonda"/>
    <s v="RMC Trip charges By Ch sreekanth at someswar,Domakonda mdl"/>
    <m/>
    <m/>
    <m/>
    <n v="150"/>
    <m/>
  </r>
  <r>
    <n v="1187"/>
    <d v="2026-05-10T00:00:00"/>
    <x v="3"/>
    <x v="34"/>
    <s v="Kamareddy"/>
    <s v="Domakonda"/>
    <s v="Cement Bags-2,Binding Wire,Nails purchased by Ch Sreekanth at Domakonda"/>
    <s v="Binding wire"/>
    <n v="25"/>
    <m/>
    <n v="3300"/>
    <m/>
  </r>
  <r>
    <n v="1188"/>
    <d v="2026-05-10T00:00:00"/>
    <x v="3"/>
    <x v="32"/>
    <s v="Kamareddy"/>
    <s v="Ramareddy"/>
    <s v="Nails-7.5kg purchased by G Gowri Naidu at Ramareddipet"/>
    <m/>
    <m/>
    <m/>
    <n v="600"/>
    <m/>
  </r>
  <r>
    <n v="1189"/>
    <d v="2026-05-10T00:00:00"/>
    <x v="3"/>
    <x v="26"/>
    <s v="Bhongir"/>
    <s v="Thurkapally"/>
    <s v="Msand "/>
    <s v="Msand"/>
    <n v="4"/>
    <n v="643.75"/>
    <n v="2575"/>
    <n v="1287.5"/>
  </r>
  <r>
    <n v="1190"/>
    <d v="2026-05-10T00:00:00"/>
    <x v="3"/>
    <x v="26"/>
    <s v="Bhongir"/>
    <s v="Thurkapally"/>
    <s v="12 mm"/>
    <s v="12 MM Aggregate"/>
    <n v="4"/>
    <n v="643.75"/>
    <n v="2575"/>
    <m/>
  </r>
  <r>
    <n v="1191"/>
    <d v="2026-05-10T00:00:00"/>
    <x v="3"/>
    <x v="34"/>
    <s v="Hanamkonda"/>
    <s v="Hub"/>
    <s v="Binding Wire-25kg,nails,power backs purchased by Sure krishna reddy"/>
    <s v="Binding wire"/>
    <n v="50"/>
    <m/>
    <n v="13500"/>
    <m/>
  </r>
  <r>
    <n v="1192"/>
    <d v="2026-05-10T00:00:00"/>
    <x v="3"/>
    <x v="0"/>
    <s v="Hanamkonda"/>
    <s v="Hub"/>
    <s v="vinjamur to hanumakonda Shettaring sheets Van Fright By R sriramamurthy"/>
    <m/>
    <m/>
    <m/>
    <n v="17000"/>
    <m/>
  </r>
  <r>
    <n v="1193"/>
    <d v="2026-05-10T00:00:00"/>
    <x v="3"/>
    <x v="0"/>
    <s v="Hanamkonda"/>
    <s v="Hub"/>
    <s v="Hanumakonda Shettring Charges Unloading Charges By Sure krishna Reddy"/>
    <m/>
    <m/>
    <m/>
    <n v="4000"/>
    <m/>
  </r>
  <r>
    <n v="1194"/>
    <d v="2026-05-10T00:00:00"/>
    <x v="3"/>
    <x v="18"/>
    <s v="Kamareddy"/>
    <s v="Ramareddy"/>
    <s v="RMC Trip Charges ,Ramareddy mdl Room Rent Advanced amount paid by G Gowri Naidu"/>
    <m/>
    <m/>
    <m/>
    <n v="4050"/>
    <m/>
  </r>
  <r>
    <n v="1195"/>
    <d v="2026-05-10T00:00:00"/>
    <x v="3"/>
    <x v="18"/>
    <s v="Kamareddy"/>
    <s v="Domakonda"/>
    <s v="Cement Bags-2,Binding Wire,Nails purchased by Ch Sreekanth at Domakonda"/>
    <m/>
    <m/>
    <m/>
    <n v="200"/>
    <m/>
  </r>
  <r>
    <n v="1196"/>
    <d v="2026-05-10T00:00:00"/>
    <x v="3"/>
    <x v="26"/>
    <s v="Hanamkonda"/>
    <s v="Kyathamapalle"/>
    <s v="40mm Mixing Agreegate puirchased by K Govindu for keythampalli"/>
    <s v="40 MM Aggregate"/>
    <n v="4"/>
    <n v="625"/>
    <n v="2500"/>
    <m/>
  </r>
  <r>
    <n v="1197"/>
    <d v="2026-05-10T00:00:00"/>
    <x v="3"/>
    <x v="18"/>
    <s v="Kamareddy"/>
    <s v="Domakonda"/>
    <s v="RMC Trrip charges and Pump Charges payment by Ch Sreekanth at ingupalli,Domakonda"/>
    <m/>
    <m/>
    <m/>
    <n v="150"/>
    <m/>
  </r>
  <r>
    <n v="1198"/>
    <d v="2026-05-10T00:00:00"/>
    <x v="3"/>
    <x v="3"/>
    <s v="Medak"/>
    <s v="Narsapur"/>
    <s v="Poly tarapaulin purchased by Y srihari at Narasapur for centring Sheets Protection Purpose"/>
    <m/>
    <m/>
    <m/>
    <n v="1750"/>
    <m/>
  </r>
  <r>
    <n v="1199"/>
    <d v="2026-05-10T00:00:00"/>
    <x v="3"/>
    <x v="10"/>
    <s v="Kamareddy"/>
    <s v="Ramareddy"/>
    <s v="TS23B5215 Tractor Deisel Payment By korupolu Siva At ramareddi mdl"/>
    <m/>
    <n v="20.833333333333332"/>
    <n v="96"/>
    <n v="2000"/>
    <m/>
  </r>
  <r>
    <n v="1200"/>
    <d v="2026-05-11T00:00:00"/>
    <x v="2"/>
    <x v="28"/>
    <s v="Kamareddy"/>
    <s v="Domakonda"/>
    <s v="Iron Purchase 20 Tons"/>
    <m/>
    <m/>
    <m/>
    <n v="1150000"/>
    <m/>
  </r>
  <r>
    <n v="1201"/>
    <d v="2026-05-11T00:00:00"/>
    <x v="3"/>
    <x v="10"/>
    <s v="Hanamkonda"/>
    <s v="Hub"/>
    <s v="AP5315AC AUGUR Vehical (AVS Reddy) Deisel Payment by Sure Krishna Reddy at Hanumakonda"/>
    <m/>
    <n v="56"/>
    <n v="96"/>
    <n v="5376"/>
    <m/>
  </r>
  <r>
    <n v="1202"/>
    <d v="2026-05-11T00:00:00"/>
    <x v="3"/>
    <x v="14"/>
    <s v="Hanamkonda"/>
    <s v="Hub"/>
    <s v="Cement Bgas -100 purchased By Sure Krishna Reddy at Hanumakonda for Nirmithkendr"/>
    <s v="Cement"/>
    <n v="100"/>
    <n v="260"/>
    <n v="26000"/>
    <m/>
  </r>
  <r>
    <n v="1203"/>
    <d v="2026-05-11T00:00:00"/>
    <x v="3"/>
    <x v="26"/>
    <s v="Bhongir"/>
    <s v="Thurkapally"/>
    <s v="40 mm Agreegate Payment By Budda Prasad at vasalamarri"/>
    <s v="40 MM Aggregate"/>
    <n v="8"/>
    <n v="587.5"/>
    <n v="4700"/>
    <m/>
  </r>
  <r>
    <n v="1204"/>
    <d v="2026-05-11T00:00:00"/>
    <x v="3"/>
    <x v="5"/>
    <s v="Kamareddy"/>
    <s v="Domakonda"/>
    <s v="Cutting Mechine Repair Charges payment by Ch sreekanth At Domakonda"/>
    <m/>
    <m/>
    <m/>
    <n v="250"/>
    <m/>
  </r>
  <r>
    <n v="1205"/>
    <d v="2026-05-11T00:00:00"/>
    <x v="3"/>
    <x v="26"/>
    <s v="Bhongir"/>
    <s v="Thurkapally"/>
    <s v="40 mm Agreegate Payment By Budda Prasad at vasalamarri"/>
    <s v="40 MM Aggregate"/>
    <n v="8"/>
    <n v="575"/>
    <n v="4600"/>
    <m/>
  </r>
  <r>
    <n v="1206"/>
    <d v="2026-05-11T00:00:00"/>
    <x v="3"/>
    <x v="2"/>
    <s v="Hanamkonda"/>
    <s v="Parakal"/>
    <s v="waste oil-20lits Purchased By karanam modinaidu at parakala"/>
    <m/>
    <m/>
    <m/>
    <n v="1000"/>
    <m/>
  </r>
  <r>
    <n v="1207"/>
    <d v="2026-05-11T00:00:00"/>
    <x v="3"/>
    <x v="10"/>
    <s v="Khammam"/>
    <s v="Kamepalli"/>
    <s v="AP39DC3351 Tractor Deisel payment By U Manikanta "/>
    <m/>
    <n v="36.458333333333336"/>
    <n v="96"/>
    <n v="3500"/>
    <m/>
  </r>
  <r>
    <n v="1208"/>
    <d v="2026-05-11T00:00:00"/>
    <x v="3"/>
    <x v="10"/>
    <s v="Kamareddy"/>
    <s v="Domakonda"/>
    <s v="AP40KW7346 Tractor Deisel Payment by N Nandha kishore"/>
    <m/>
    <n v="42.802083333333336"/>
    <n v="96"/>
    <n v="4109"/>
    <m/>
  </r>
  <r>
    <n v="1209"/>
    <d v="2026-05-11T00:00:00"/>
    <x v="3"/>
    <x v="18"/>
    <s v="Hanamkonda"/>
    <s v="Elkurthy"/>
    <s v="RMCTrip&amp; pump Charges By Bablu  at Palakurthy "/>
    <m/>
    <m/>
    <m/>
    <n v="900"/>
    <m/>
  </r>
  <r>
    <n v="1210"/>
    <d v="2026-05-12T00:00:00"/>
    <x v="3"/>
    <x v="10"/>
    <s v="Medak"/>
    <s v="Kulcharam"/>
    <s v="AP39CT7040 AUGUR VEHICLE DEISEL PAYMENT"/>
    <s v="Diesel"/>
    <n v="31.25"/>
    <n v="96"/>
    <n v="3000"/>
    <m/>
  </r>
  <r>
    <n v="1211"/>
    <d v="2026-05-12T00:00:00"/>
    <x v="3"/>
    <x v="10"/>
    <s v="Bhongir"/>
    <s v="Valigonda"/>
    <s v="AP39FC8298 TRACTOR DEISEL PAYMENT "/>
    <m/>
    <n v="31.25"/>
    <n v="96"/>
    <n v="3000"/>
    <m/>
  </r>
  <r>
    <n v="1212"/>
    <d v="2026-05-12T00:00:00"/>
    <x v="3"/>
    <x v="26"/>
    <s v="Bhongir"/>
    <s v="Valigonda"/>
    <s v="12 mm Agreegate chip Purchased By S Prasad at valigonda Date on:06-05-2026"/>
    <s v="12 MM Aggregate"/>
    <n v="4.5"/>
    <n v="633.33333333333337"/>
    <n v="2850"/>
    <m/>
  </r>
  <r>
    <n v="1213"/>
    <d v="2026-05-12T00:00:00"/>
    <x v="3"/>
    <x v="26"/>
    <s v="Bhongir"/>
    <s v="Thurkapally"/>
    <s v="40mm Agreegate Purchased by Ganesh for vasalamarri  Through Budda Suresh"/>
    <s v="40 MM Aggregate"/>
    <n v="8"/>
    <n v="637.5"/>
    <n v="5100"/>
    <m/>
  </r>
  <r>
    <n v="1214"/>
    <d v="2026-05-12T00:00:00"/>
    <x v="3"/>
    <x v="10"/>
    <s v="Hanamkonda"/>
    <s v="Parvathagiri"/>
    <s v="AP 40 DC 0089 TRACTOR Diesel"/>
    <m/>
    <n v="63.541666666666664"/>
    <n v="96"/>
    <n v="6100"/>
    <m/>
  </r>
  <r>
    <n v="1215"/>
    <d v="2026-05-12T00:00:00"/>
    <x v="3"/>
    <x v="10"/>
    <s v="Kothagudem"/>
    <s v="Yellandu"/>
    <s v="TS 34 T 3804 Shivareddy Auger Vehicle Diesel "/>
    <m/>
    <n v="41.666666666666664"/>
    <n v="96"/>
    <n v="4000"/>
    <m/>
  </r>
  <r>
    <n v="1216"/>
    <d v="2026-05-12T00:00:00"/>
    <x v="3"/>
    <x v="10"/>
    <s v="Kamareddy"/>
    <s v="Ramareddy"/>
    <s v="AP 40 KF 2837 Tractor Diesel"/>
    <m/>
    <n v="20.833333333333332"/>
    <n v="96"/>
    <n v="2000"/>
    <m/>
  </r>
  <r>
    <n v="1217"/>
    <d v="2026-05-12T00:00:00"/>
    <x v="3"/>
    <x v="10"/>
    <s v="Bhongir"/>
    <s v="Thurkapally"/>
    <s v="APJW7532 Tractor Deisel Payment  by Ganesh at Vasalamarri Through Budda Suresh"/>
    <m/>
    <n v="31.25"/>
    <n v="96"/>
    <n v="3000"/>
    <m/>
  </r>
  <r>
    <n v="1218"/>
    <d v="2026-05-09T00:00:00"/>
    <x v="3"/>
    <x v="10"/>
    <s v="Bhongir"/>
    <s v="Thurkapally"/>
    <s v="AP40JW 7532 Tractor Deisel payment"/>
    <m/>
    <n v="62.5"/>
    <n v="96"/>
    <n v="6000"/>
    <m/>
  </r>
  <r>
    <n v="1219"/>
    <d v="2026-05-12T00:00:00"/>
    <x v="3"/>
    <x v="10"/>
    <s v="Bhongir"/>
    <s v="Thurkapally"/>
    <s v="AP40T1195 Tractor Deisel Payment"/>
    <m/>
    <n v="31.25"/>
    <n v="96"/>
    <n v="3000"/>
    <m/>
  </r>
  <r>
    <n v="1220"/>
    <d v="2026-05-12T00:00:00"/>
    <x v="3"/>
    <x v="18"/>
    <s v="Kamareddy"/>
    <s v="Domakonda"/>
    <s v="rmc trip charges by ch Sreekanth in linuampally at Domakonda"/>
    <m/>
    <m/>
    <m/>
    <n v="150"/>
    <m/>
  </r>
  <r>
    <n v="1221"/>
    <d v="2026-05-12T00:00:00"/>
    <x v="3"/>
    <x v="26"/>
    <s v="Bhongir"/>
    <s v="Thurkapally"/>
    <s v="10mm Agreegate purched  by Ganesh,payment Through Budda suresh"/>
    <s v="12 MM Aggregate"/>
    <n v="8"/>
    <n v="612.5"/>
    <n v="4900"/>
    <m/>
  </r>
  <r>
    <n v="1222"/>
    <d v="2026-05-12T00:00:00"/>
    <x v="3"/>
    <x v="18"/>
    <s v="Kamareddy"/>
    <s v="Domakonda"/>
    <s v="Rmc Trip &amp; pump Charges By Ch Sreekanth At Domakonda"/>
    <m/>
    <m/>
    <m/>
    <n v="200"/>
    <m/>
  </r>
  <r>
    <n v="1223"/>
    <d v="2026-05-12T00:00:00"/>
    <x v="3"/>
    <x v="10"/>
    <s v="Janagaon"/>
    <s v="Palakurthy"/>
    <s v="TS27T6494 Tractor Deisel Payment By G kishore For palakurthy mdl"/>
    <m/>
    <n v="20.833333333333332"/>
    <n v="96"/>
    <n v="2000"/>
    <m/>
  </r>
  <r>
    <n v="1224"/>
    <d v="2026-05-12T00:00:00"/>
    <x v="3"/>
    <x v="32"/>
    <s v="Kamareddy"/>
    <s v="Domakonda"/>
    <s v="Nails-2.5kg,Binding Wire -25kg tape-03 purchased by Ch Sreekanth"/>
    <m/>
    <m/>
    <m/>
    <n v="2760"/>
    <m/>
  </r>
  <r>
    <n v="1225"/>
    <d v="2026-05-12T00:00:00"/>
    <x v="3"/>
    <x v="9"/>
    <s v="Kamareddy"/>
    <s v="Lingampet"/>
    <s v="Lingampet Room Advance Payment By G gowri Naidu for Labour"/>
    <m/>
    <m/>
    <m/>
    <n v="3000"/>
    <m/>
  </r>
  <r>
    <n v="1226"/>
    <d v="2026-05-12T00:00:00"/>
    <x v="3"/>
    <x v="3"/>
    <s v="Khammam"/>
    <s v="Kamepalli"/>
    <s v="Cuting Blades purchased By U Manikanta at kamepalli"/>
    <m/>
    <m/>
    <m/>
    <n v="150"/>
    <m/>
  </r>
  <r>
    <n v="1227"/>
    <d v="2026-05-12T00:00:00"/>
    <x v="3"/>
    <x v="18"/>
    <s v="Kamareddy"/>
    <s v="Domakonda"/>
    <s v="rmc trip charges by ch Sreekanth in Sitarampally at Domakonda"/>
    <m/>
    <m/>
    <m/>
    <n v="150"/>
    <m/>
  </r>
  <r>
    <n v="1228"/>
    <d v="2026-05-12T00:00:00"/>
    <x v="3"/>
    <x v="26"/>
    <s v="Bhongir"/>
    <s v="Valigonda"/>
    <s v="12 mm Agreegate chip Purchased By S Prasad at valigonda"/>
    <s v="12 MM Aggregate"/>
    <n v="4"/>
    <n v="700"/>
    <n v="2800"/>
    <m/>
  </r>
  <r>
    <n v="1229"/>
    <d v="2026-05-13T00:00:00"/>
    <x v="3"/>
    <x v="10"/>
    <s v="Kamareddy"/>
    <s v="Domakonda"/>
    <s v="AP 40 KE 2834 Tractor Diesel"/>
    <m/>
    <n v="20.833333333333332"/>
    <n v="96"/>
    <n v="2000"/>
    <m/>
  </r>
  <r>
    <n v="1230"/>
    <d v="2026-05-13T00:00:00"/>
    <x v="3"/>
    <x v="10"/>
    <s v="Hanamkonda"/>
    <s v="Hub"/>
    <s v="TG037489  Tractor Deisel Payment By Sure Krishna Reddy at Hanumakonda"/>
    <m/>
    <n v="22.21875"/>
    <n v="96"/>
    <n v="2133"/>
    <m/>
  </r>
  <r>
    <n v="1231"/>
    <d v="2026-05-13T00:00:00"/>
    <x v="3"/>
    <x v="10"/>
    <s v="Hanamkonda"/>
    <s v="Hub"/>
    <s v="AP39JQ0377 Tractor Deisel"/>
    <m/>
    <n v="32.385416666666664"/>
    <n v="96"/>
    <n v="3109"/>
    <m/>
  </r>
  <r>
    <n v="1232"/>
    <d v="2026-05-13T00:00:00"/>
    <x v="3"/>
    <x v="26"/>
    <s v="Bhongir"/>
    <s v="Thurkapally"/>
    <s v="Msand "/>
    <s v="Msand"/>
    <n v="4"/>
    <n v="612.5"/>
    <n v="2450"/>
    <n v="1225"/>
  </r>
  <r>
    <n v="1233"/>
    <d v="2026-05-13T00:00:00"/>
    <x v="3"/>
    <x v="26"/>
    <s v="Bhongir"/>
    <s v="Thurkapally"/>
    <s v="10 mm Agreegate  &amp; M sand purchased by Ganesh,payment througu Budda Suresh at Vasalamarri"/>
    <s v="12 MM Aggregate"/>
    <n v="4"/>
    <n v="612.5"/>
    <n v="2450"/>
    <m/>
  </r>
  <r>
    <n v="1234"/>
    <d v="2026-05-13T00:00:00"/>
    <x v="3"/>
    <x v="61"/>
    <s v="Hanamkonda"/>
    <s v="Hub"/>
    <s v="8 mm Steel Bundel Purchased By Sure krishna Reddy at Hanumakonda"/>
    <m/>
    <m/>
    <m/>
    <n v="13020"/>
    <m/>
  </r>
  <r>
    <n v="1235"/>
    <d v="2026-05-13T00:00:00"/>
    <x v="3"/>
    <x v="34"/>
    <s v="Hanamkonda"/>
    <s v="Parvathagiri"/>
    <s v="Binding wire Purchaed By G Nagaraju at Parvathagiri"/>
    <s v="Binding wire"/>
    <n v="5"/>
    <m/>
    <n v="450"/>
    <m/>
  </r>
  <r>
    <n v="1236"/>
    <d v="2026-05-13T00:00:00"/>
    <x v="3"/>
    <x v="3"/>
    <s v="Kamareddy"/>
    <s v="Lingampet"/>
    <s v="RL Team Work metirial purchased by G Gowri  naidu at lingumpet purchased by G Gowri Naidu"/>
    <m/>
    <m/>
    <m/>
    <n v="3070"/>
    <m/>
  </r>
  <r>
    <n v="1237"/>
    <d v="2026-05-13T00:00:00"/>
    <x v="3"/>
    <x v="10"/>
    <s v="Siddipet"/>
    <s v="Mulug"/>
    <s v="AP39CT7040 AUGUR VEHICLE DEISEL PAYMENT"/>
    <s v="Diesel"/>
    <n v="20.833333333333332"/>
    <n v="96"/>
    <n v="2000"/>
    <m/>
  </r>
  <r>
    <n v="1238"/>
    <d v="2026-05-13T00:00:00"/>
    <x v="3"/>
    <x v="14"/>
    <s v="Hanamkonda"/>
    <s v="Damera"/>
    <s v="Cement Bag purchased by simhachalam at oorukonda"/>
    <s v="Cement"/>
    <n v="1"/>
    <n v="310"/>
    <n v="310"/>
    <m/>
  </r>
  <r>
    <n v="1239"/>
    <d v="2026-05-13T00:00:00"/>
    <x v="3"/>
    <x v="10"/>
    <s v="Kamareddy"/>
    <s v="Lingampet"/>
    <s v="TS17T66540 Tractor Deisel payment by G Gowri Naidu at Lingumpet"/>
    <m/>
    <n v="20.833333333333332"/>
    <n v="96"/>
    <n v="2000"/>
    <m/>
  </r>
  <r>
    <n v="1240"/>
    <d v="2026-05-13T00:00:00"/>
    <x v="3"/>
    <x v="18"/>
    <s v="Hanamkonda"/>
    <s v="Nadikuda"/>
    <s v="RMC Trip Charges  By  K modi naidu at nadikuda"/>
    <m/>
    <m/>
    <m/>
    <n v="150"/>
    <m/>
  </r>
  <r>
    <n v="1241"/>
    <d v="2026-05-13T00:00:00"/>
    <x v="3"/>
    <x v="26"/>
    <s v="Bhongir"/>
    <s v="Thurkapally"/>
    <s v="Msand "/>
    <s v="Msand"/>
    <n v="4"/>
    <n v="637.5"/>
    <n v="2550"/>
    <n v="1275"/>
  </r>
  <r>
    <n v="1242"/>
    <d v="2026-05-13T00:00:00"/>
    <x v="3"/>
    <x v="26"/>
    <s v="Bhongir"/>
    <s v="Thurkapally"/>
    <s v="12 M"/>
    <s v="12 MM Aggregate"/>
    <n v="4"/>
    <n v="637.5"/>
    <n v="2550"/>
    <m/>
  </r>
  <r>
    <n v="1243"/>
    <d v="2026-05-13T00:00:00"/>
    <x v="3"/>
    <x v="3"/>
    <s v="Hanamkonda"/>
    <s v="Hub"/>
    <s v="Tools purchesd By AVS Reddy at nirmithkenram,Hanumakonda"/>
    <m/>
    <m/>
    <m/>
    <n v="3720"/>
    <m/>
  </r>
  <r>
    <n v="1244"/>
    <d v="2026-05-13T00:00:00"/>
    <x v="3"/>
    <x v="14"/>
    <s v="Bhongir"/>
    <s v="Valigonda"/>
    <s v="Cement Bgas -10 Purchased By S Prasd  at valigonda"/>
    <s v="Cement"/>
    <n v="10"/>
    <n v="280"/>
    <n v="2800"/>
    <m/>
  </r>
  <r>
    <n v="1245"/>
    <d v="2026-05-13T00:00:00"/>
    <x v="3"/>
    <x v="3"/>
    <s v="Kamareddy"/>
    <s v="Lingampet"/>
    <s v="Cutting Mechine and tools Purched by G Gowrinaidu in Lingumpet"/>
    <m/>
    <m/>
    <m/>
    <n v="3255"/>
    <m/>
  </r>
  <r>
    <n v="1246"/>
    <d v="2026-05-13T00:00:00"/>
    <x v="3"/>
    <x v="3"/>
    <s v="Bhongir"/>
    <s v="Valigonda"/>
    <s v="rl meterial purchased by suram prasad reddy at valigonda Date:13-05-2026"/>
    <m/>
    <m/>
    <m/>
    <n v="24190"/>
    <m/>
  </r>
  <r>
    <n v="1247"/>
    <d v="2026-05-14T00:00:00"/>
    <x v="2"/>
    <x v="62"/>
    <s v="Kamareddy"/>
    <s v="Kamareddy"/>
    <s v="Gunupati Naresh account Sudhakara Sir Monthly"/>
    <m/>
    <m/>
    <m/>
    <n v="50000"/>
    <m/>
  </r>
  <r>
    <n v="1248"/>
    <d v="2026-05-14T00:00:00"/>
    <x v="2"/>
    <x v="10"/>
    <s v="Hanamkonda"/>
    <s v="Hub"/>
    <s v="1001 Car Diesel"/>
    <m/>
    <n v="20.833333333333332"/>
    <n v="96"/>
    <n v="2000"/>
    <m/>
  </r>
  <r>
    <n v="1249"/>
    <d v="2026-05-14T00:00:00"/>
    <x v="3"/>
    <x v="22"/>
    <s v="Hanamkonda"/>
    <s v="Hub"/>
    <s v="U bends,Tape,Gum Bottels Purchased By Sure Krishna Reddy For Nirmithkendr  Hanumakonda"/>
    <m/>
    <m/>
    <m/>
    <n v="440"/>
    <m/>
  </r>
  <r>
    <n v="1250"/>
    <d v="2026-05-14T00:00:00"/>
    <x v="3"/>
    <x v="2"/>
    <s v="Hanamkonda"/>
    <s v="Hub"/>
    <s v="Waste oil-10lits Purchased By Sure Krishna Reddy  for Nirmithkendr,Hanumakonda"/>
    <m/>
    <m/>
    <m/>
    <n v="500"/>
    <m/>
  </r>
  <r>
    <n v="1251"/>
    <d v="2026-05-14T00:00:00"/>
    <x v="3"/>
    <x v="10"/>
    <s v="Kamareddy"/>
    <s v="Rajampet"/>
    <s v="AP39JQ0377 Tractor Deisel"/>
    <m/>
    <n v="20.833333333333332"/>
    <n v="96"/>
    <n v="2000"/>
    <m/>
  </r>
  <r>
    <n v="1252"/>
    <d v="2026-05-14T00:00:00"/>
    <x v="3"/>
    <x v="26"/>
    <s v="Bhongir"/>
    <s v="Thurkapally"/>
    <s v="400mm agreegate purched by Ganesh,Payment By Budda Suresh"/>
    <s v="40 MM Aggregate"/>
    <n v="8"/>
    <n v="618.75"/>
    <n v="4950"/>
    <m/>
  </r>
  <r>
    <n v="1253"/>
    <d v="2026-05-14T00:00:00"/>
    <x v="3"/>
    <x v="2"/>
    <s v="Hanamkonda"/>
    <s v="Geesukonda"/>
    <s v="Waste oil-20lits Purchased By K Bablu at Gesukonda"/>
    <m/>
    <m/>
    <m/>
    <n v="1000"/>
    <m/>
  </r>
  <r>
    <n v="1254"/>
    <d v="2026-05-14T00:00:00"/>
    <x v="3"/>
    <x v="18"/>
    <s v="Hanamkonda"/>
    <s v="Parvathagiri"/>
    <s v="RMC Trip Charges,Waste Oil Purchased by G nagaraju At Parvathagiri Dateon:10,12,13-05-2026"/>
    <m/>
    <m/>
    <m/>
    <n v="1450"/>
    <m/>
  </r>
  <r>
    <n v="1255"/>
    <d v="2026-05-14T00:00:00"/>
    <x v="3"/>
    <x v="50"/>
    <s v="Hanamkonda"/>
    <s v="Hub"/>
    <s v="Electricity Bill Payment BY N Malyadri reddy at Hanumakonda"/>
    <m/>
    <m/>
    <m/>
    <n v="629"/>
    <m/>
  </r>
  <r>
    <n v="1256"/>
    <d v="2026-05-14T00:00:00"/>
    <x v="3"/>
    <x v="10"/>
    <s v="Kamareddy"/>
    <s v="Ramareddy"/>
    <s v="AP 40 KF 2837 Tractor Diesel"/>
    <m/>
    <n v="20.833333333333332"/>
    <n v="96"/>
    <n v="2000"/>
    <m/>
  </r>
  <r>
    <n v="1257"/>
    <d v="2026-05-14T00:00:00"/>
    <x v="3"/>
    <x v="3"/>
    <s v="Janagaon"/>
    <s v="Palakurthy"/>
    <s v="Rl Team Work meterial purchased by Gangapatla kishore at palakurthy"/>
    <m/>
    <m/>
    <m/>
    <n v="6200"/>
    <m/>
  </r>
  <r>
    <n v="1258"/>
    <d v="2026-05-14T00:00:00"/>
    <x v="3"/>
    <x v="10"/>
    <s v="Bhongir"/>
    <s v="Thurkapally"/>
    <s v="AP40JW7532 TractorDeisel Payment by  ganesh for  Nagulapalli Thanda"/>
    <m/>
    <n v="31.25"/>
    <n v="96"/>
    <n v="3000"/>
    <m/>
  </r>
  <r>
    <n v="1259"/>
    <d v="2026-05-14T00:00:00"/>
    <x v="3"/>
    <x v="10"/>
    <s v="Bhongir"/>
    <s v="Thurkapally"/>
    <s v="AP40T1195 Tractor Deisel Payment"/>
    <m/>
    <n v="31.25"/>
    <n v="96"/>
    <n v="3000"/>
    <m/>
  </r>
  <r>
    <n v="1260"/>
    <d v="2026-05-14T00:00:00"/>
    <x v="3"/>
    <x v="10"/>
    <s v="Hanamkonda"/>
    <s v="Elkurthy"/>
    <s v="AP 39 WB 2967 Tractor Diesel"/>
    <m/>
    <n v="20.833333333333332"/>
    <n v="96"/>
    <n v="2000"/>
    <m/>
  </r>
  <r>
    <n v="1261"/>
    <d v="2026-05-14T00:00:00"/>
    <x v="3"/>
    <x v="10"/>
    <s v="Hanamkonda"/>
    <s v="Nadikuda"/>
    <s v="AP5315AC Augur Vehicle Deisel Payment by Hanumanth at Nadikuda"/>
    <m/>
    <n v="53.260416666666664"/>
    <n v="96"/>
    <n v="5113"/>
    <m/>
  </r>
  <r>
    <n v="1262"/>
    <d v="2026-05-14T00:00:00"/>
    <x v="3"/>
    <x v="26"/>
    <s v="Bhongir"/>
    <s v="Thurkapally"/>
    <s v="10mm Agreegate and M sand Purchased by  Ganesh payment  Budda Suresh"/>
    <s v="12 MM Aggregate"/>
    <n v="8"/>
    <n v="650"/>
    <n v="5200"/>
    <m/>
  </r>
  <r>
    <n v="1263"/>
    <d v="2026-05-14T00:00:00"/>
    <x v="3"/>
    <x v="14"/>
    <s v="Bhongir"/>
    <s v="Valigonda"/>
    <s v="13 Cement Bags purchased by S Prasad at valigonda"/>
    <s v="Cement"/>
    <n v="13"/>
    <n v="280"/>
    <n v="3640"/>
    <m/>
  </r>
  <r>
    <n v="1264"/>
    <d v="2026-05-14T00:00:00"/>
    <x v="3"/>
    <x v="3"/>
    <s v="Hanamkonda"/>
    <s v="Hub"/>
    <s v="Welding roads Sets Payment By AVS Reddy"/>
    <m/>
    <m/>
    <m/>
    <n v="560"/>
    <m/>
  </r>
  <r>
    <n v="1265"/>
    <d v="2026-05-14T00:00:00"/>
    <x v="3"/>
    <x v="22"/>
    <s v="Hanamkonda"/>
    <s v="Hub"/>
    <s v="Electrical Tools Purchased By Sure Krishna Reddy at Hanumakonda"/>
    <m/>
    <m/>
    <m/>
    <n v="7850"/>
    <m/>
  </r>
  <r>
    <n v="1266"/>
    <d v="2026-05-15T00:00:00"/>
    <x v="3"/>
    <x v="10"/>
    <s v="Hanamkonda"/>
    <s v="Hub"/>
    <s v="TS03FE1304  Tractor Diesel Payment"/>
    <m/>
    <n v="41.083333333333336"/>
    <n v="96"/>
    <n v="3944"/>
    <m/>
  </r>
  <r>
    <n v="1267"/>
    <d v="2026-05-15T00:00:00"/>
    <x v="3"/>
    <x v="3"/>
    <s v="Medak"/>
    <s v="Kulcharam"/>
    <s v="Yellow rope Purchased By Y Krishna reddy at kulaharam"/>
    <m/>
    <m/>
    <m/>
    <n v="1350"/>
    <m/>
  </r>
  <r>
    <n v="1268"/>
    <d v="2026-05-15T00:00:00"/>
    <x v="3"/>
    <x v="9"/>
    <s v="Kamareddy"/>
    <s v="Rajampet"/>
    <s v="labour Room Rent payment By konireddy Srinivasulu Reddy at Rajampet"/>
    <m/>
    <m/>
    <m/>
    <n v="1000"/>
    <m/>
  </r>
  <r>
    <n v="1269"/>
    <d v="2026-05-15T00:00:00"/>
    <x v="3"/>
    <x v="10"/>
    <s v="Bhongir"/>
    <s v="Valigonda"/>
    <s v="AP39FC8298 TRACTOR DEISEL PAYMENT "/>
    <m/>
    <n v="31.25"/>
    <n v="96"/>
    <n v="3000"/>
    <m/>
  </r>
  <r>
    <n v="1270"/>
    <d v="2026-05-15T00:00:00"/>
    <x v="3"/>
    <x v="10"/>
    <s v="Kamareddy"/>
    <s v="Bhiknoor"/>
    <s v="Venkat rao auguring Deisel Payment by  P Pavankumar at Bhiknoor"/>
    <m/>
    <n v="62.5"/>
    <n v="96"/>
    <n v="6000"/>
    <m/>
  </r>
  <r>
    <n v="1271"/>
    <d v="2026-05-15T00:00:00"/>
    <x v="3"/>
    <x v="18"/>
    <s v="Hanamkonda"/>
    <s v="Geesukonda"/>
    <s v="RMC Trip charges &amp; Pump Charges payment By simhasalam at Oorukonda Dtae on:13-05-2026"/>
    <m/>
    <m/>
    <m/>
    <n v="250"/>
    <m/>
  </r>
  <r>
    <n v="1272"/>
    <d v="2026-05-15T00:00:00"/>
    <x v="3"/>
    <x v="8"/>
    <s v="Kamareddy"/>
    <s v="Domakonda"/>
    <s v="Iron Unloading Charges,RMC Trip Charges payment By AVS Reddy At Domakonda"/>
    <m/>
    <m/>
    <m/>
    <n v="9000"/>
    <m/>
  </r>
  <r>
    <n v="1273"/>
    <d v="2026-05-15T00:00:00"/>
    <x v="3"/>
    <x v="3"/>
    <s v="Hanamkonda"/>
    <s v="Hub"/>
    <s v="200kg News Paper Purchased  Sure Krishna Reddy for Nirmithkendra,lentals Purpose"/>
    <m/>
    <m/>
    <m/>
    <n v="6000"/>
    <m/>
  </r>
  <r>
    <n v="1274"/>
    <d v="2026-05-15T00:00:00"/>
    <x v="3"/>
    <x v="10"/>
    <s v="Bhongir"/>
    <s v="Valigonda"/>
    <s v="TS30B7694 Tractor Deisel Payment By S prasad At Valigonda"/>
    <m/>
    <n v="20.833333333333332"/>
    <n v="96"/>
    <n v="2000"/>
    <m/>
  </r>
  <r>
    <n v="1275"/>
    <d v="2026-05-15T00:00:00"/>
    <x v="3"/>
    <x v="8"/>
    <s v="Kamareddy"/>
    <s v="Lingampet"/>
    <s v="Sand labour Payment By G Gowri Naidu At Lingumpet"/>
    <m/>
    <m/>
    <m/>
    <n v="800"/>
    <m/>
  </r>
  <r>
    <n v="1276"/>
    <d v="2026-05-15T00:00:00"/>
    <x v="3"/>
    <x v="61"/>
    <s v="Hanamkonda"/>
    <s v="Hub"/>
    <s v="steel purchsed by sure krishna reddy at hanumakonda for nirmith kendra"/>
    <m/>
    <m/>
    <m/>
    <n v="45720"/>
    <m/>
  </r>
  <r>
    <n v="1277"/>
    <d v="2026-05-16T00:00:00"/>
    <x v="3"/>
    <x v="5"/>
    <s v="Hanamkonda"/>
    <s v="Nadikuda"/>
    <s v="Butter Milk for labour,Purchased By  K Modi naidu"/>
    <m/>
    <m/>
    <m/>
    <n v="150"/>
    <m/>
  </r>
  <r>
    <n v="1278"/>
    <d v="2026-05-16T00:00:00"/>
    <x v="3"/>
    <x v="26"/>
    <s v="Bhongir"/>
    <s v="Valigonda"/>
    <s v="12 mm Agreegate Purchased By RL works Date on:15-05-2026"/>
    <s v="12 MM Aggregate"/>
    <n v="4"/>
    <n v="725"/>
    <n v="2900"/>
    <m/>
  </r>
  <r>
    <n v="1279"/>
    <d v="2026-05-16T00:00:00"/>
    <x v="3"/>
    <x v="14"/>
    <s v="Bhongir"/>
    <s v="Valigonda"/>
    <s v="200 Bags Cement Purchased by Suram Prasad reddy at Valigonda"/>
    <s v="Cement"/>
    <m/>
    <m/>
    <n v="2000"/>
    <m/>
  </r>
  <r>
    <n v="1280"/>
    <d v="2026-05-16T00:00:00"/>
    <x v="3"/>
    <x v="10"/>
    <s v="Hanamkonda"/>
    <s v="Hub"/>
    <s v="TS03UB7556  Tractor Diesel"/>
    <m/>
    <n v="42.947916666666664"/>
    <n v="96"/>
    <n v="4123"/>
    <m/>
  </r>
  <r>
    <n v="1281"/>
    <d v="2026-05-16T00:00:00"/>
    <x v="3"/>
    <x v="8"/>
    <s v="Bhongir"/>
    <s v="Valigonda"/>
    <s v="Bricks Labour Unloading charges&amp;labour Food Expenses payment By S Prasad"/>
    <m/>
    <m/>
    <m/>
    <n v="1300"/>
    <m/>
  </r>
  <r>
    <n v="1282"/>
    <d v="2026-05-16T00:00:00"/>
    <x v="3"/>
    <x v="10"/>
    <s v="Kamareddy"/>
    <s v="Domakonda"/>
    <s v="AP40KW7346 Tractor Deisel Payment By N Nandha kieshore at Domakonda"/>
    <m/>
    <n v="20.833333333333332"/>
    <n v="96"/>
    <n v="2000"/>
    <m/>
  </r>
  <r>
    <n v="1283"/>
    <d v="2026-05-16T00:00:00"/>
    <x v="3"/>
    <x v="10"/>
    <s v="Kamareddy"/>
    <s v="Domakonda"/>
    <s v="AP39JQ0377 Tractor Deisel"/>
    <m/>
    <n v="20.833333333333332"/>
    <n v="96"/>
    <n v="2000"/>
    <m/>
  </r>
  <r>
    <n v="1284"/>
    <d v="2026-05-16T00:00:00"/>
    <x v="3"/>
    <x v="32"/>
    <s v="Medak"/>
    <s v="Kulcharam"/>
    <s v="Nails-10kg &amp; Glouses Purchased By  Y Srihari at Kulcharam"/>
    <m/>
    <m/>
    <m/>
    <n v="1000"/>
    <m/>
  </r>
  <r>
    <n v="1285"/>
    <d v="2026-05-16T00:00:00"/>
    <x v="3"/>
    <x v="18"/>
    <s v="Kamareddy"/>
    <s v="kamareddy Rular"/>
    <s v="Rmc Trip Charges  by Ch Sreekanth At Kyasmpalli Thanda,Kamareddy rular"/>
    <m/>
    <m/>
    <m/>
    <n v="150"/>
    <m/>
  </r>
  <r>
    <n v="1286"/>
    <d v="2026-05-16T00:00:00"/>
    <x v="3"/>
    <x v="10"/>
    <s v="Janagaon"/>
    <s v="Palakurthy"/>
    <s v="TS27T6494 Tractor Deisel Payment By  G Kishore"/>
    <m/>
    <n v="20.833333333333332"/>
    <n v="96"/>
    <n v="2000"/>
    <m/>
  </r>
  <r>
    <n v="1287"/>
    <d v="2026-05-16T00:00:00"/>
    <x v="3"/>
    <x v="26"/>
    <s v="Hanamkonda"/>
    <s v="Kyathamapalle"/>
    <s v="40mm Agreegate Mixing Payment By k govind At Kyathampalli"/>
    <s v="40 MM Aggregate"/>
    <n v="4"/>
    <n v="650"/>
    <n v="2600"/>
    <m/>
  </r>
  <r>
    <n v="1288"/>
    <d v="2026-05-16T00:00:00"/>
    <x v="3"/>
    <x v="18"/>
    <s v="Kamareddy"/>
    <s v="kamareddy Rular"/>
    <s v="2 Rmc  Trip Charges By Ch Sreekanth At kyasampalli,kamareddy rular"/>
    <m/>
    <m/>
    <m/>
    <n v="150"/>
    <m/>
  </r>
  <r>
    <n v="1289"/>
    <d v="2026-05-16T00:00:00"/>
    <x v="3"/>
    <x v="10"/>
    <s v="Hanamkonda"/>
    <s v="Kyathamapalle"/>
    <s v="TS25C1579 Tractor Diesel payment"/>
    <m/>
    <n v="20.833333333333332"/>
    <n v="96"/>
    <n v="2000"/>
    <m/>
  </r>
  <r>
    <n v="1290"/>
    <d v="2026-05-16T00:00:00"/>
    <x v="3"/>
    <x v="26"/>
    <s v="Hanamkonda"/>
    <s v="Kyathamapalle"/>
    <s v="40 mm Agreegate Mixing Payment By K Govindu at Keythampalli"/>
    <s v="40 MM Aggregate"/>
    <n v="4"/>
    <n v="650"/>
    <n v="2600"/>
    <m/>
  </r>
  <r>
    <n v="1291"/>
    <d v="2026-05-16T00:00:00"/>
    <x v="3"/>
    <x v="2"/>
    <s v="Hanamkonda"/>
    <s v="Hub"/>
    <s v="Waste oil Purchased By Sure Krishna Reddy at Hanumakonda"/>
    <m/>
    <m/>
    <m/>
    <n v="700"/>
    <m/>
  </r>
  <r>
    <n v="1292"/>
    <d v="2026-05-16T00:00:00"/>
    <x v="3"/>
    <x v="3"/>
    <s v="Kamareddy"/>
    <s v="Ramareddy"/>
    <s v="BL Work Meterial Purchased By korupolu Siva at Ramareddy"/>
    <m/>
    <m/>
    <m/>
    <n v="2180"/>
    <m/>
  </r>
  <r>
    <n v="1293"/>
    <d v="2026-05-16T00:00:00"/>
    <x v="3"/>
    <x v="22"/>
    <s v="Kamareddy"/>
    <s v="Domakonda"/>
    <s v="Power Backs,Switch Boards Payment ch Sreekanth at Domakonda"/>
    <m/>
    <m/>
    <m/>
    <n v="1730"/>
    <m/>
  </r>
  <r>
    <n v="1294"/>
    <d v="2026-05-16T00:00:00"/>
    <x v="3"/>
    <x v="5"/>
    <s v="Hanamkonda"/>
    <s v="Parvathagiri"/>
    <s v="Site Expences BY Nagaraju at parvathagiri"/>
    <m/>
    <m/>
    <m/>
    <n v="1959"/>
    <m/>
  </r>
  <r>
    <n v="1295"/>
    <d v="2026-05-16T00:00:00"/>
    <x v="3"/>
    <x v="14"/>
    <s v="Hanamkonda"/>
    <s v="Hub"/>
    <s v="100 cement bags purchasd by sure krishna reddy at hanumakonda for nirmith kendram"/>
    <s v="Cement"/>
    <n v="100"/>
    <n v="260"/>
    <n v="26000"/>
    <m/>
  </r>
  <r>
    <n v="1296"/>
    <d v="2026-05-17T00:00:00"/>
    <x v="3"/>
    <x v="10"/>
    <s v="Hanamkonda"/>
    <s v="Hub"/>
    <s v="AP39TH0913 DCM Vehical Diesel Payment "/>
    <m/>
    <n v="119.79166666666667"/>
    <n v="96"/>
    <n v="11500"/>
    <m/>
  </r>
  <r>
    <n v="1297"/>
    <d v="2026-05-17T00:00:00"/>
    <x v="3"/>
    <x v="55"/>
    <s v="Hanamkonda"/>
    <s v="Hub"/>
    <s v="AP39JJ1001 CAR Service Charges by S Prasad"/>
    <m/>
    <m/>
    <m/>
    <n v="12600"/>
    <m/>
  </r>
  <r>
    <n v="1298"/>
    <d v="2026-05-17T00:00:00"/>
    <x v="3"/>
    <x v="5"/>
    <s v="Hanamkonda"/>
    <s v="Nadikuda"/>
    <s v="butter milk and food Expenses for labour  payment By karanam Modi Naidu at nadikuda"/>
    <m/>
    <m/>
    <m/>
    <n v="235"/>
    <m/>
  </r>
  <r>
    <n v="1299"/>
    <d v="2026-05-17T00:00:00"/>
    <x v="3"/>
    <x v="18"/>
    <s v="Hanamkonda"/>
    <s v="Nadikuda"/>
    <s v="RMC Trip and Pump Charges and 3 Cement Bags payment By modi naidu at nadikuda"/>
    <m/>
    <m/>
    <m/>
    <n v="1650"/>
    <m/>
  </r>
  <r>
    <n v="1300"/>
    <d v="2026-05-17T00:00:00"/>
    <x v="3"/>
    <x v="34"/>
    <s v="Kamareddy"/>
    <s v="Domakonda"/>
    <s v="Cutting Blades and &amp; binding Wire Purchased By Ch Sreekanth purchased By Ch Sreekanth At Domakonda"/>
    <s v="Binding wire"/>
    <n v="25"/>
    <m/>
    <n v="2530"/>
    <m/>
  </r>
  <r>
    <n v="1301"/>
    <d v="2026-05-17T00:00:00"/>
    <x v="3"/>
    <x v="14"/>
    <s v="Hanamkonda"/>
    <s v="Kyathamapalle"/>
    <s v="Cement Bages-5 purchased By K Govindh at Keythampalli"/>
    <s v="Cement"/>
    <n v="5"/>
    <n v="300"/>
    <n v="1500"/>
    <m/>
  </r>
  <r>
    <n v="1302"/>
    <d v="2026-05-17T00:00:00"/>
    <x v="3"/>
    <x v="34"/>
    <s v="Kamareddy"/>
    <s v="Bhiknoor"/>
    <s v="Binding Wire-50kg purchased By ponnubiana Pavan Kumar"/>
    <s v="Binding wire"/>
    <n v="50"/>
    <n v="78"/>
    <n v="3900"/>
    <m/>
  </r>
  <r>
    <n v="1303"/>
    <d v="2026-05-17T00:00:00"/>
    <x v="3"/>
    <x v="10"/>
    <s v="Kamareddy"/>
    <s v="Ramareddy"/>
    <s v="AP 40 KF 2837 Tractor Diesel"/>
    <m/>
    <n v="20.833333333333332"/>
    <n v="96"/>
    <n v="2000"/>
    <m/>
  </r>
  <r>
    <n v="1304"/>
    <d v="2026-05-17T00:00:00"/>
    <x v="3"/>
    <x v="18"/>
    <s v="Kamareddy"/>
    <s v="Domakonda"/>
    <s v="RMC Trip and Pump Charges payment by Nandakishore"/>
    <m/>
    <m/>
    <m/>
    <n v="600"/>
    <m/>
  </r>
  <r>
    <n v="1305"/>
    <d v="2026-05-17T00:00:00"/>
    <x v="3"/>
    <x v="5"/>
    <s v="Kamareddy"/>
    <s v="Ramareddy"/>
    <s v="site expences Payment By korupolu Siva at Ramareddy mdl"/>
    <m/>
    <m/>
    <m/>
    <n v="3090"/>
    <m/>
  </r>
  <r>
    <n v="1306"/>
    <d v="2026-05-17T00:00:00"/>
    <x v="3"/>
    <x v="26"/>
    <s v="Bhongir"/>
    <s v="Valigonda"/>
    <s v="12mm agreegate Purchased by suram prasad reddy at valigonda"/>
    <s v="12 MM Aggregate"/>
    <n v="4"/>
    <n v="637.5"/>
    <n v="2550"/>
    <m/>
  </r>
  <r>
    <n v="1307"/>
    <d v="2026-05-17T00:00:00"/>
    <x v="3"/>
    <x v="26"/>
    <s v="Bhongir"/>
    <s v="Valigonda"/>
    <s v="12mm agreegate Purchased by suram prasad reddy at valigonda"/>
    <s v="12 MM Aggregate"/>
    <n v="4"/>
    <n v="700"/>
    <n v="2800"/>
    <m/>
  </r>
  <r>
    <n v="1308"/>
    <d v="2026-05-18T00:00:00"/>
    <x v="3"/>
    <x v="5"/>
    <s v="Kamareddy"/>
    <s v="Ramareddy"/>
    <s v="Electrician Charges by korupolusiva at Ramareddy  date on:16-05-2026"/>
    <m/>
    <m/>
    <m/>
    <n v="200"/>
    <m/>
  </r>
  <r>
    <n v="1309"/>
    <d v="2026-05-18T00:00:00"/>
    <x v="3"/>
    <x v="10"/>
    <s v="Kamareddy"/>
    <s v="Ramareddy"/>
    <s v="AP 40 KF 2837 Tractor Diesel"/>
    <m/>
    <n v="2.0833333333333335"/>
    <n v="96"/>
    <n v="200"/>
    <m/>
  </r>
  <r>
    <n v="1310"/>
    <d v="2026-05-18T00:00:00"/>
    <x v="3"/>
    <x v="18"/>
    <s v="Hanamkonda"/>
    <s v="Geesukonda"/>
    <s v="RMC Trip Charges by Simhachalam At oorukonda Date on:16-05-2026"/>
    <m/>
    <m/>
    <m/>
    <n v="300"/>
    <m/>
  </r>
  <r>
    <n v="1311"/>
    <d v="2026-05-18T00:00:00"/>
    <x v="3"/>
    <x v="2"/>
    <s v="Hanamkonda"/>
    <s v="Geesukonda"/>
    <s v="Waste oil-6lits,purchased by simhachalam at oorukonda Date on:15-05-2026"/>
    <m/>
    <m/>
    <m/>
    <n v="300"/>
    <m/>
  </r>
  <r>
    <n v="1312"/>
    <d v="2026-05-18T00:00:00"/>
    <x v="3"/>
    <x v="4"/>
    <s v="Hanamkonda"/>
    <s v="Geesukonda"/>
    <s v="curd for labours payment by simhachalam at oorukonda15-05-2026"/>
    <m/>
    <m/>
    <m/>
    <n v="100"/>
    <m/>
  </r>
  <r>
    <n v="1313"/>
    <d v="2026-05-18T00:00:00"/>
    <x v="3"/>
    <x v="5"/>
    <s v="Hanamkonda"/>
    <s v="Hub"/>
    <s v="Site Expenses By sure krishna reddy at nirmithkendra,Hanumakonda date:02-05-2026 to 05-05-2026"/>
    <m/>
    <m/>
    <m/>
    <n v="3785"/>
    <m/>
  </r>
  <r>
    <n v="1314"/>
    <d v="2026-05-18T00:00:00"/>
    <x v="3"/>
    <x v="22"/>
    <s v="Bhongir"/>
    <s v="Valigonda"/>
    <s v="RL Works Electrical meterials purchased BY Suram prasad at valigonda date:16-05-2026"/>
    <m/>
    <m/>
    <m/>
    <n v="1200"/>
    <m/>
  </r>
  <r>
    <n v="1315"/>
    <d v="2026-05-18T00:00:00"/>
    <x v="3"/>
    <x v="10"/>
    <s v="Kamareddy"/>
    <s v="Bhiknoor"/>
    <s v="AP 40 KE 2834 Tractor Diesel"/>
    <m/>
    <n v="31.25"/>
    <n v="96"/>
    <n v="3000"/>
    <m/>
  </r>
  <r>
    <n v="1316"/>
    <d v="2026-05-18T00:00:00"/>
    <x v="3"/>
    <x v="10"/>
    <s v="Kamareddy"/>
    <s v="Lingampet"/>
    <s v="TS17T6540 Tractor Deisel Payment By Ggowri Naidu at Lingumpet"/>
    <m/>
    <n v="20.833333333333332"/>
    <n v="96"/>
    <n v="2000"/>
    <m/>
  </r>
  <r>
    <n v="1317"/>
    <d v="2026-05-18T00:00:00"/>
    <x v="3"/>
    <x v="10"/>
    <s v="Hanamkonda"/>
    <s v="Damera"/>
    <s v="TS03EE4571 DIESEL PAYMENT"/>
    <m/>
    <n v="37.260416666666664"/>
    <n v="96"/>
    <n v="3577"/>
    <m/>
  </r>
  <r>
    <n v="1318"/>
    <d v="2026-05-18T00:00:00"/>
    <x v="3"/>
    <x v="10"/>
    <s v="Kamareddy"/>
    <s v="Domakonda"/>
    <s v="AP40KW7346 Tractor Deisel Payment By N Nandakishore at Domakonda"/>
    <m/>
    <n v="20.833333333333332"/>
    <n v="96"/>
    <n v="2000"/>
    <m/>
  </r>
  <r>
    <n v="1319"/>
    <d v="2026-05-18T00:00:00"/>
    <x v="3"/>
    <x v="3"/>
    <s v="Hanamkonda"/>
    <s v="Bheemadevarapalli"/>
    <s v="RL Works Electrical meterials purchsed by Shameer(Sure KrishnaReddy) at Bheemdevarapalli"/>
    <m/>
    <m/>
    <m/>
    <n v="1900"/>
    <m/>
  </r>
  <r>
    <n v="1320"/>
    <d v="2026-05-18T00:00:00"/>
    <x v="3"/>
    <x v="30"/>
    <s v="Kamareddy"/>
    <s v="Lingampet"/>
    <s v="Sand Purchased for 13pbs payment by G Gowri Naidu At Lingumpet mdl Date Between 12-05-2026 to 16-05-2026,five loads"/>
    <m/>
    <m/>
    <m/>
    <n v="21500"/>
    <m/>
  </r>
  <r>
    <n v="1321"/>
    <d v="2026-05-18T00:00:00"/>
    <x v="3"/>
    <x v="10"/>
    <s v="Bhongir"/>
    <s v="Valigonda"/>
    <s v="AP39FC8298 TRACTOR DEISEL PAYMENT "/>
    <m/>
    <n v="31.25"/>
    <n v="96"/>
    <n v="3000"/>
    <m/>
  </r>
  <r>
    <n v="1322"/>
    <d v="2026-05-18T00:00:00"/>
    <x v="3"/>
    <x v="56"/>
    <s v="Hanamkonda"/>
    <s v="Nekkonda"/>
    <s v="Cement Bricks Purchased for Nekkonda Model House Payment By AVS Reddy Date:10-05-2026 to11-05-2026"/>
    <m/>
    <m/>
    <m/>
    <n v="17600"/>
    <m/>
  </r>
  <r>
    <n v="1323"/>
    <d v="2026-05-18T00:00:00"/>
    <x v="3"/>
    <x v="10"/>
    <s v="Khammam"/>
    <s v="Kamepalli"/>
    <s v="AP39DC3351 Tractor Deisekl Payment By U Manikanta For Metirial Shifting and Labour Shifting"/>
    <m/>
    <n v="41.666666666666664"/>
    <n v="96"/>
    <n v="4000"/>
    <m/>
  </r>
  <r>
    <n v="1324"/>
    <d v="2026-05-18T00:00:00"/>
    <x v="3"/>
    <x v="10"/>
    <s v="Medak"/>
    <s v="Kulcharam"/>
    <s v="AP39CT7040 AUGUR VEHICLE DEISEL PAYMENT"/>
    <s v="Diesel"/>
    <n v="31.25"/>
    <n v="96"/>
    <n v="3000"/>
    <m/>
  </r>
  <r>
    <n v="1325"/>
    <d v="2026-05-18T00:00:00"/>
    <x v="3"/>
    <x v="1"/>
    <s v="Kamareddy"/>
    <s v="Birkoor"/>
    <s v="For N prasad Dcm Vehical Advance Payment by S Prasad"/>
    <m/>
    <m/>
    <m/>
    <n v="5000"/>
    <m/>
  </r>
  <r>
    <n v="1326"/>
    <d v="2026-05-18T00:00:00"/>
    <x v="3"/>
    <x v="49"/>
    <s v="Siddipet"/>
    <s v="Siddipet"/>
    <s v="Xerox Cpopies By Suryateja From Siddipet"/>
    <m/>
    <m/>
    <m/>
    <n v="500"/>
    <m/>
  </r>
  <r>
    <n v="1327"/>
    <d v="2026-05-18T00:00:00"/>
    <x v="3"/>
    <x v="10"/>
    <s v="Janagaon"/>
    <s v="Palakurthy"/>
    <s v="TS27T6494 Tractor Diesel Payment BY  K Venkatesh By k venkateswar Rao at Theegaram"/>
    <m/>
    <n v="31.25"/>
    <n v="96"/>
    <n v="3000"/>
    <m/>
  </r>
  <r>
    <n v="1328"/>
    <d v="2026-05-19T00:00:00"/>
    <x v="2"/>
    <x v="10"/>
    <s v="Bhongir"/>
    <s v="Valigonda"/>
    <s v="05-03-2026 to 18-03-2026 Diesel Payments"/>
    <m/>
    <n v="122.91666666666667"/>
    <n v="96"/>
    <n v="11800"/>
    <m/>
  </r>
  <r>
    <n v="1329"/>
    <d v="2026-05-19T00:00:00"/>
    <x v="2"/>
    <x v="18"/>
    <s v="Kamareddy"/>
    <s v="Lingampet"/>
    <s v="rmc bet"/>
    <m/>
    <m/>
    <m/>
    <n v="2000"/>
    <m/>
  </r>
  <r>
    <n v="1330"/>
    <d v="2026-05-19T00:00:00"/>
    <x v="2"/>
    <x v="9"/>
    <s v="Kamareddy"/>
    <s v="Lingampet"/>
    <s v="April ROOM Rent"/>
    <m/>
    <m/>
    <m/>
    <n v="4000"/>
    <m/>
  </r>
  <r>
    <n v="1331"/>
    <d v="2026-05-19T00:00:00"/>
    <x v="3"/>
    <x v="10"/>
    <s v="Bhongir"/>
    <s v="Valigonda"/>
    <s v="TS39T0898 Tractor Deisel Payment By Suram Prasad Reddy at Valigonda"/>
    <m/>
    <n v="20.833333333333332"/>
    <n v="96"/>
    <n v="2000"/>
    <m/>
  </r>
  <r>
    <n v="1332"/>
    <d v="2026-05-19T00:00:00"/>
    <x v="3"/>
    <x v="10"/>
    <s v="Kamareddy"/>
    <s v="Banswada"/>
    <s v="AP39JQ0377 Tractor Deisel"/>
    <m/>
    <n v="20.833333333333332"/>
    <n v="96"/>
    <n v="2000"/>
    <m/>
  </r>
  <r>
    <n v="1333"/>
    <d v="2026-05-19T00:00:00"/>
    <x v="3"/>
    <x v="3"/>
    <s v="Kamareddy"/>
    <s v="Banswada"/>
    <s v="1ft PB RL work purpose Meterials Purchased By k Srinivasulu Reddy at Banswada"/>
    <m/>
    <m/>
    <m/>
    <n v="2500"/>
    <m/>
  </r>
  <r>
    <n v="1334"/>
    <d v="2026-05-19T00:00:00"/>
    <x v="3"/>
    <x v="8"/>
    <s v="Kamareddy"/>
    <s v="Birkoor"/>
    <s v="Brick Unloading Charges by k narendra at Birkoor"/>
    <m/>
    <m/>
    <m/>
    <n v="1200"/>
    <m/>
  </r>
  <r>
    <n v="1335"/>
    <d v="2026-05-19T00:00:00"/>
    <x v="3"/>
    <x v="32"/>
    <s v="Kamareddy"/>
    <s v="Domakonda"/>
    <s v="2.5 inches Nails,tapes Purchased By N Nandakishore"/>
    <m/>
    <m/>
    <m/>
    <n v="640"/>
    <m/>
  </r>
  <r>
    <n v="1336"/>
    <d v="2026-05-19T00:00:00"/>
    <x v="3"/>
    <x v="10"/>
    <s v="Medak"/>
    <s v="Kulcharam"/>
    <s v="4615 Tractor Deisel Payment By  G venkat Rao at Rangampet"/>
    <m/>
    <n v="15.625"/>
    <n v="96"/>
    <n v="1500"/>
    <m/>
  </r>
  <r>
    <n v="1337"/>
    <d v="2026-05-19T00:00:00"/>
    <x v="3"/>
    <x v="10"/>
    <s v="Hanamkonda"/>
    <s v="Parvathagiri"/>
    <s v="AP 40 DC 0089 TRACTOR Diesel"/>
    <m/>
    <n v="54.6875"/>
    <n v="96"/>
    <n v="5250"/>
    <m/>
  </r>
  <r>
    <n v="1338"/>
    <d v="2026-05-19T00:00:00"/>
    <x v="3"/>
    <x v="4"/>
    <s v="Hanamkonda"/>
    <s v="Damera"/>
    <s v="Brick Unloading labours Snackes Payment By Baddi somesh"/>
    <m/>
    <m/>
    <m/>
    <n v="440"/>
    <m/>
  </r>
  <r>
    <n v="1339"/>
    <d v="2026-05-19T00:00:00"/>
    <x v="3"/>
    <x v="8"/>
    <s v="Hanamkonda"/>
    <s v="Hub"/>
    <s v="Brick Unloading Labour Payment By Baddi Somesh AT ward no:2 Warangal Urban"/>
    <m/>
    <m/>
    <m/>
    <n v="4000"/>
    <m/>
  </r>
  <r>
    <n v="1340"/>
    <d v="2026-05-19T00:00:00"/>
    <x v="3"/>
    <x v="26"/>
    <s v="Hanamkonda"/>
    <s v="Velair"/>
    <s v="Dust Purchased BY K Govindu at Picharaa"/>
    <s v="Msand"/>
    <n v="4"/>
    <n v="775"/>
    <n v="3100"/>
    <m/>
  </r>
  <r>
    <n v="1341"/>
    <d v="2026-05-19T00:00:00"/>
    <x v="3"/>
    <x v="3"/>
    <s v="Janagaon"/>
    <s v="Tharigoppula"/>
    <s v="RL Work Blades -9 BY K Venkateswarao At Tharigoppula"/>
    <m/>
    <m/>
    <m/>
    <n v="270"/>
    <m/>
  </r>
  <r>
    <n v="1342"/>
    <d v="2026-05-19T00:00:00"/>
    <x v="3"/>
    <x v="14"/>
    <s v="Kamareddy"/>
    <s v="Banswada"/>
    <s v="Cement Bags-30, gamelas-08,Hamali charges payment BY k srinivasulu Reddy at Banswada"/>
    <s v="Cement"/>
    <n v="30"/>
    <n v="311.66666666666669"/>
    <n v="9350"/>
    <m/>
  </r>
  <r>
    <n v="1343"/>
    <d v="2026-05-19T00:00:00"/>
    <x v="3"/>
    <x v="3"/>
    <s v="Kamareddy"/>
    <s v="Banswada"/>
    <s v="1ft PB RL work purpose Meterials Purchased By k Srinivasulu Reddy at Banswada"/>
    <m/>
    <m/>
    <m/>
    <n v="1200"/>
    <m/>
  </r>
  <r>
    <n v="1344"/>
    <d v="2026-05-19T00:00:00"/>
    <x v="3"/>
    <x v="34"/>
    <s v="Hanamkonda"/>
    <s v="Hub"/>
    <s v="100kg Binding Wire purchased by G Suresh at Hanumakonda"/>
    <s v="Binding wire"/>
    <n v="100"/>
    <n v="88"/>
    <n v="8800"/>
    <m/>
  </r>
  <r>
    <n v="1345"/>
    <d v="2026-05-19T00:00:00"/>
    <x v="3"/>
    <x v="22"/>
    <s v="Janagaon"/>
    <s v="Palakurthy"/>
    <s v="Electrical purchased by Kurumpu Venkateswar rao at palkurthy,theegaram vi"/>
    <m/>
    <m/>
    <m/>
    <n v="400"/>
    <m/>
  </r>
  <r>
    <n v="1346"/>
    <d v="2026-05-19T00:00:00"/>
    <x v="3"/>
    <x v="32"/>
    <s v="Janagaon"/>
    <s v="Palakurthy"/>
    <s v="Nails Purchased by kurumpu Vekateswarlurao at Teegaram"/>
    <m/>
    <m/>
    <m/>
    <n v="500"/>
    <m/>
  </r>
  <r>
    <n v="1347"/>
    <d v="2026-05-19T00:00:00"/>
    <x v="3"/>
    <x v="10"/>
    <s v="Hanamkonda"/>
    <s v="Hub"/>
    <s v="AP27UB0957 Tractor Deisel Payment"/>
    <m/>
    <n v="36.979166666666664"/>
    <n v="96"/>
    <n v="3550"/>
    <m/>
  </r>
  <r>
    <n v="1348"/>
    <d v="2026-05-19T00:00:00"/>
    <x v="3"/>
    <x v="0"/>
    <s v="Hanamkonda"/>
    <s v="Hub"/>
    <s v="Chemical Bags Shiffting Nirmithkendram to tarigoppula,advanced fuel payment by G Suresh from Hanumakonda"/>
    <m/>
    <m/>
    <m/>
    <n v="2000"/>
    <m/>
  </r>
  <r>
    <n v="1349"/>
    <d v="2026-05-19T00:00:00"/>
    <x v="3"/>
    <x v="2"/>
    <s v="Hanamkonda"/>
    <s v="Damera"/>
    <s v="Waste oil Purchased by Baddi Somesh Date:19-05-2026"/>
    <m/>
    <m/>
    <m/>
    <n v="200"/>
    <m/>
  </r>
  <r>
    <n v="1350"/>
    <d v="2026-05-20T00:00:00"/>
    <x v="2"/>
    <x v="3"/>
    <s v="Kamareddy"/>
    <s v="Ramareddy"/>
    <s v="Cutting BladesPurchases"/>
    <m/>
    <m/>
    <m/>
    <n v="2320"/>
    <m/>
  </r>
  <r>
    <n v="1351"/>
    <d v="2026-05-20T00:00:00"/>
    <x v="2"/>
    <x v="10"/>
    <s v="Hanamkonda"/>
    <s v="Hub"/>
    <s v="TS36TA1891 TRACTOR Diesel Payment"/>
    <s v="Diesel"/>
    <n v="49.793125000000003"/>
    <n v="96"/>
    <n v="4780.1400000000003"/>
    <m/>
  </r>
  <r>
    <n v="1352"/>
    <d v="2026-05-20T00:00:00"/>
    <x v="2"/>
    <x v="26"/>
    <s v="Kamareddy"/>
    <s v="Lingampet"/>
    <s v="M Sand 1 Trip"/>
    <s v="Msand"/>
    <n v="4"/>
    <n v="625"/>
    <n v="2500"/>
    <m/>
  </r>
  <r>
    <n v="1353"/>
    <d v="2026-05-20T00:00:00"/>
    <x v="3"/>
    <x v="10"/>
    <s v="Kamareddy"/>
    <s v="Domakonda"/>
    <s v="AP40KW7346 Tractor Deisel Payment By nanda kishore at Domakonda"/>
    <m/>
    <n v="20.833333333333332"/>
    <n v="96"/>
    <n v="2000"/>
    <m/>
  </r>
  <r>
    <n v="1354"/>
    <d v="2026-05-20T00:00:00"/>
    <x v="3"/>
    <x v="10"/>
    <s v="Hanamkonda"/>
    <s v="Parvathagiri"/>
    <s v="AP531AC Augur Vehicle Deisel payment by sai for Enugallu,parvathagiri"/>
    <m/>
    <n v="44.645833333333336"/>
    <n v="96"/>
    <n v="4286"/>
    <m/>
  </r>
  <r>
    <n v="1355"/>
    <d v="2026-05-20T00:00:00"/>
    <x v="3"/>
    <x v="10"/>
    <s v="Hanamkonda"/>
    <s v="Kyathamapalle"/>
    <s v="TS25C1579 Tractor Diesel payment"/>
    <m/>
    <n v="48.479166666666664"/>
    <n v="96"/>
    <n v="4654"/>
    <m/>
  </r>
  <r>
    <n v="1356"/>
    <d v="2026-05-20T00:00:00"/>
    <x v="3"/>
    <x v="10"/>
    <s v="Kamareddy"/>
    <s v="Birkoor"/>
    <s v="AP39TH0913 DCM Vehical Diesel Payment "/>
    <m/>
    <n v="161.45833333333334"/>
    <n v="96"/>
    <n v="15500"/>
    <m/>
  </r>
  <r>
    <n v="1357"/>
    <d v="2026-05-20T00:00:00"/>
    <x v="3"/>
    <x v="8"/>
    <s v="Kamareddy"/>
    <s v="Birkoor"/>
    <s v="Bricks Unloading labour Charges by Kottana Narenrda at birkoor"/>
    <m/>
    <m/>
    <m/>
    <n v="1440"/>
    <m/>
  </r>
  <r>
    <n v="1358"/>
    <d v="2026-05-20T00:00:00"/>
    <x v="3"/>
    <x v="9"/>
    <s v="Siddipet"/>
    <s v="Mulug"/>
    <s v="Labour room advenced payment by Budda Suresh at CheelaSagar Date:20-05-2026"/>
    <m/>
    <m/>
    <m/>
    <n v="6000"/>
    <m/>
  </r>
  <r>
    <n v="1359"/>
    <d v="2026-05-20T00:00:00"/>
    <x v="3"/>
    <x v="9"/>
    <s v="Hanamkonda"/>
    <s v="Velair"/>
    <s v="Labour room advenced payment by Budda Suresh at Pichara Date:18-05-2026"/>
    <m/>
    <m/>
    <m/>
    <n v="2000"/>
    <m/>
  </r>
  <r>
    <n v="1360"/>
    <d v="2026-05-20T00:00:00"/>
    <x v="3"/>
    <x v="10"/>
    <s v="Kamareddy"/>
    <s v="Lingampet"/>
    <s v="TS17T6540 Tractor  Deisel Payment By G Gowrinaidu at Lingumpet"/>
    <m/>
    <n v="20.833333333333332"/>
    <n v="96"/>
    <n v="2000"/>
    <m/>
  </r>
  <r>
    <n v="1361"/>
    <d v="2026-05-20T00:00:00"/>
    <x v="3"/>
    <x v="10"/>
    <s v="Bhongir"/>
    <s v="Valigonda"/>
    <s v="TS39T0898 TRACTOR Deisel payment by suram prasad at valigonda"/>
    <m/>
    <n v="31.25"/>
    <n v="96"/>
    <n v="3000"/>
    <m/>
  </r>
  <r>
    <n v="1362"/>
    <d v="2026-05-20T00:00:00"/>
    <x v="3"/>
    <x v="4"/>
    <s v="Hanamkonda"/>
    <s v="Hub"/>
    <s v="kanakaiah mess- Non veg curries"/>
    <m/>
    <m/>
    <m/>
    <n v="900"/>
    <m/>
  </r>
  <r>
    <n v="1363"/>
    <d v="2026-05-20T00:00:00"/>
    <x v="3"/>
    <x v="10"/>
    <s v="Hanamkonda"/>
    <s v="Bheemadevarapalli"/>
    <s v="TG037489 Tractor Deisel Payment By sure krishna reddy"/>
    <m/>
    <n v="43.697916666666664"/>
    <n v="96"/>
    <n v="4195"/>
    <m/>
  </r>
  <r>
    <n v="1364"/>
    <d v="2026-05-20T00:00:00"/>
    <x v="3"/>
    <x v="18"/>
    <s v="Kamareddy"/>
    <s v="Ramareddy"/>
    <s v="RMC Trip charges by nanda kishore at peddamallareddy"/>
    <m/>
    <m/>
    <m/>
    <n v="300"/>
    <m/>
  </r>
  <r>
    <n v="1365"/>
    <d v="2026-05-20T00:00:00"/>
    <x v="3"/>
    <x v="10"/>
    <s v="Siddipet"/>
    <s v="Mulug"/>
    <s v="AP40T1195 Tractor Deisel Payment"/>
    <m/>
    <n v="31.25"/>
    <n v="96"/>
    <n v="3000"/>
    <m/>
  </r>
  <r>
    <n v="1366"/>
    <d v="2026-05-20T00:00:00"/>
    <x v="3"/>
    <x v="10"/>
    <s v="Siddipet"/>
    <s v="Mulug"/>
    <s v="AP40JW7532  Tractor Deisel Payment by Budda Suresh at Cheelasagar"/>
    <m/>
    <n v="40.625"/>
    <n v="96"/>
    <n v="3900"/>
    <m/>
  </r>
  <r>
    <n v="1367"/>
    <d v="2026-05-21T00:00:00"/>
    <x v="2"/>
    <x v="26"/>
    <s v="Kamareddy"/>
    <s v="Lingampet"/>
    <s v="Aggregate 2 Trips"/>
    <s v="Msand"/>
    <n v="8"/>
    <n v="625"/>
    <n v="5000"/>
    <m/>
  </r>
  <r>
    <n v="1368"/>
    <d v="2026-05-21T00:00:00"/>
    <x v="2"/>
    <x v="26"/>
    <s v="Kamareddy"/>
    <s v="Lingampet"/>
    <s v="12 mm 1 Trip"/>
    <s v="12 MM Aggregate"/>
    <n v="4"/>
    <n v="625"/>
    <n v="2500"/>
    <m/>
  </r>
  <r>
    <n v="1369"/>
    <d v="2026-05-21T00:00:00"/>
    <x v="3"/>
    <x v="14"/>
    <s v="Siddipet"/>
    <s v="Mulug"/>
    <s v="Cement bags purchased by Budda Suresh at Cheela Sagar"/>
    <s v="Cement"/>
    <n v="28"/>
    <n v="300"/>
    <n v="8400"/>
    <m/>
  </r>
  <r>
    <n v="1370"/>
    <d v="2026-05-21T00:00:00"/>
    <x v="3"/>
    <x v="3"/>
    <s v="Siddipet"/>
    <s v="Mulug"/>
    <s v="3 Buckets Purchased by Budda Suresh for CheelaSagar"/>
    <m/>
    <m/>
    <m/>
    <n v="300"/>
    <m/>
  </r>
  <r>
    <n v="1371"/>
    <d v="2026-05-21T00:00:00"/>
    <x v="3"/>
    <x v="18"/>
    <s v="Hanamkonda"/>
    <s v="Damera"/>
    <s v="RMC Trip Charges Payment By simhachalam At oorugonda"/>
    <m/>
    <m/>
    <m/>
    <n v="500"/>
    <m/>
  </r>
  <r>
    <n v="1372"/>
    <d v="2026-05-21T00:00:00"/>
    <x v="3"/>
    <x v="22"/>
    <s v="Kamareddy"/>
    <s v="Birkoor"/>
    <s v="Electricals purchased by konireddy Srinivasulu Reddy at Birkoor"/>
    <m/>
    <m/>
    <m/>
    <n v="245"/>
    <m/>
  </r>
  <r>
    <n v="1373"/>
    <d v="2026-05-21T00:00:00"/>
    <x v="3"/>
    <x v="10"/>
    <s v="Hanamkonda"/>
    <s v="Hub"/>
    <s v="JCB Deisel payment by Sai at Hanumakonda for Nirmithkendra"/>
    <m/>
    <n v="38.541666666666664"/>
    <n v="96"/>
    <n v="3700"/>
    <m/>
  </r>
  <r>
    <n v="1374"/>
    <d v="2026-05-21T00:00:00"/>
    <x v="3"/>
    <x v="14"/>
    <s v="Kamareddy"/>
    <s v="Birkoor"/>
    <s v="30-Cement Bags Purchased by konireddy Srinivasulu Reddy at Banswada"/>
    <s v="Cement"/>
    <n v="30"/>
    <n v="285"/>
    <n v="8550"/>
    <m/>
  </r>
  <r>
    <n v="1375"/>
    <d v="2026-05-21T00:00:00"/>
    <x v="3"/>
    <x v="10"/>
    <s v="Hanamkonda"/>
    <s v="Hub"/>
    <s v="AP26BZ3361 Tractor Deisel payment"/>
    <m/>
    <n v="25.833333333333332"/>
    <n v="96"/>
    <n v="2480"/>
    <m/>
  </r>
  <r>
    <n v="1376"/>
    <d v="2026-05-21T00:00:00"/>
    <x v="3"/>
    <x v="8"/>
    <s v="Kamareddy"/>
    <s v="Birkoor"/>
    <s v="Brick 2nd Unloading labour Charges and Sand Loading Chares by K Narendra"/>
    <m/>
    <m/>
    <m/>
    <n v="1940"/>
    <m/>
  </r>
  <r>
    <n v="1377"/>
    <d v="2026-05-21T00:00:00"/>
    <x v="3"/>
    <x v="3"/>
    <s v="Kamareddy"/>
    <s v="Banswada"/>
    <s v="2-senams Purchased by K Narendra at Banswada for Birkoor 1ft BLWork"/>
    <m/>
    <m/>
    <m/>
    <n v="240"/>
    <m/>
  </r>
  <r>
    <n v="1378"/>
    <d v="2026-05-21T00:00:00"/>
    <x v="3"/>
    <x v="3"/>
    <s v="Hanamkonda"/>
    <s v="Velair"/>
    <s v="WaterCAns-2 Purchased By k govindu  at peecharaa for Rl Labour Team"/>
    <m/>
    <m/>
    <m/>
    <n v="440"/>
    <m/>
  </r>
  <r>
    <n v="1379"/>
    <d v="2026-05-22T00:00:00"/>
    <x v="3"/>
    <x v="10"/>
    <s v="Kamareddy"/>
    <s v="Domakonda"/>
    <s v="AP40KW7346 Tractor Deisel Payment by Nandakishore at Domakonda"/>
    <m/>
    <n v="31.25"/>
    <n v="96"/>
    <n v="3000"/>
    <m/>
  </r>
  <r>
    <n v="1380"/>
    <d v="2026-05-22T00:00:00"/>
    <x v="3"/>
    <x v="32"/>
    <s v="Medak"/>
    <s v="Kulcharam"/>
    <s v="Nails Purchased By y Srihari at Kulcharam"/>
    <m/>
    <m/>
    <m/>
    <n v="1900"/>
    <m/>
  </r>
  <r>
    <n v="1381"/>
    <d v="2026-05-22T00:00:00"/>
    <x v="3"/>
    <x v="3"/>
    <s v="Hanamkonda"/>
    <s v="Bheemadevarapalli"/>
    <s v="RL Work Meterial purchased by Sammer through AVS Reddy at Beemdevapalli"/>
    <m/>
    <m/>
    <m/>
    <n v="6700"/>
    <m/>
  </r>
  <r>
    <n v="1382"/>
    <d v="2026-05-22T00:00:00"/>
    <x v="3"/>
    <x v="3"/>
    <s v="Hanamkonda"/>
    <s v="Bheemadevarapalli"/>
    <s v="RL Work Meterial purchased by Sammer through AVS Reddy at Beemdevapalli"/>
    <m/>
    <m/>
    <m/>
    <n v="1090"/>
    <m/>
  </r>
  <r>
    <n v="1383"/>
    <d v="2026-05-22T00:00:00"/>
    <x v="3"/>
    <x v="10"/>
    <s v="Kamareddy"/>
    <s v="Domakonda"/>
    <s v="TS17T9640 Tractor Deisel Payment BY Nanda kishore At Domakonda date:21-05-2026"/>
    <m/>
    <n v="10.416666666666666"/>
    <n v="96"/>
    <n v="1000"/>
    <m/>
  </r>
  <r>
    <n v="1384"/>
    <d v="2026-05-22T00:00:00"/>
    <x v="3"/>
    <x v="10"/>
    <s v="Kamareddy"/>
    <s v="Bhiknoor"/>
    <s v="Venkatrao Augur Vehicle Deisel Payment By Hanumanthu At Bhiknoor"/>
    <m/>
    <n v="55.208333333333336"/>
    <n v="96"/>
    <n v="5300"/>
    <m/>
  </r>
  <r>
    <n v="1385"/>
    <d v="2026-05-22T00:00:00"/>
    <x v="3"/>
    <x v="10"/>
    <s v="Kamareddy"/>
    <s v="Lingampet"/>
    <s v="TS17T6540 Deisel Payment By K srinivasulu Reddy at lingumpet"/>
    <m/>
    <n v="20.833333333333332"/>
    <n v="96"/>
    <n v="2000"/>
    <m/>
  </r>
  <r>
    <n v="1386"/>
    <d v="2026-05-22T00:00:00"/>
    <x v="3"/>
    <x v="26"/>
    <s v="Hanamkonda"/>
    <s v="Velair"/>
    <s v="12 mm Chips Payment By  K Govind"/>
    <s v="12 MM Aggregate"/>
    <n v="4"/>
    <n v="700"/>
    <n v="2800"/>
    <m/>
  </r>
  <r>
    <n v="1387"/>
    <d v="2026-05-22T00:00:00"/>
    <x v="3"/>
    <x v="26"/>
    <s v="Hanamkonda"/>
    <s v="Bheemadevarapalli"/>
    <s v="12 MM"/>
    <s v="12 MM Aggregate"/>
    <n v="4"/>
    <n v="700"/>
    <n v="2800"/>
    <m/>
  </r>
  <r>
    <n v="1388"/>
    <d v="2026-05-22T00:00:00"/>
    <x v="3"/>
    <x v="3"/>
    <s v="Kamareddy"/>
    <s v="Banswada"/>
    <s v="RL Work meterials Purchasedd by Konireddy Srinivasulu Reddy At Lingumpet"/>
    <m/>
    <m/>
    <m/>
    <n v="3100"/>
    <m/>
  </r>
  <r>
    <n v="1389"/>
    <d v="2026-05-22T00:00:00"/>
    <x v="3"/>
    <x v="10"/>
    <s v="Hanamkonda"/>
    <s v="Hub"/>
    <s v="TS03UB7556  Tractor Diesel"/>
    <m/>
    <n v="39.760416666666664"/>
    <n v="96"/>
    <n v="3817"/>
    <m/>
  </r>
  <r>
    <n v="1390"/>
    <d v="2026-05-22T00:00:00"/>
    <x v="3"/>
    <x v="10"/>
    <s v="Hanamkonda"/>
    <s v="Hub"/>
    <s v="TG271336 Deisel Patment By Sure Krishna Reddy At Hanumakonda"/>
    <m/>
    <n v="49.53125"/>
    <n v="96"/>
    <n v="4755"/>
    <m/>
  </r>
  <r>
    <n v="1391"/>
    <d v="2026-05-22T00:00:00"/>
    <x v="3"/>
    <x v="10"/>
    <s v="Hanamkonda"/>
    <s v="Nadikuda"/>
    <s v="AP5315AC Augur Vehical Deisel Payment By Sai in Nadikuda"/>
    <m/>
    <n v="39.583333333333336"/>
    <n v="96"/>
    <n v="3800"/>
    <m/>
  </r>
  <r>
    <n v="1392"/>
    <d v="2026-05-22T00:00:00"/>
    <x v="3"/>
    <x v="61"/>
    <s v="Siddipet"/>
    <s v="Mulug"/>
    <s v="Steel Purchased by AVS Reddy through Budda Suresh"/>
    <m/>
    <m/>
    <m/>
    <n v="13874"/>
    <m/>
  </r>
  <r>
    <n v="1393"/>
    <d v="2026-05-22T00:00:00"/>
    <x v="3"/>
    <x v="42"/>
    <s v="Hanamkonda"/>
    <s v="Hub"/>
    <s v="Chemical Mixer machine  Purchased By Avs Reddy for RL Team"/>
    <m/>
    <m/>
    <m/>
    <n v="11500"/>
    <m/>
  </r>
  <r>
    <n v="1394"/>
    <d v="2026-05-22T00:00:00"/>
    <x v="3"/>
    <x v="4"/>
    <s v="Hanamkonda"/>
    <s v="Hub"/>
    <s v="Rice Bag Purchased By AVS Reddy For Hanumakonda Office"/>
    <m/>
    <m/>
    <m/>
    <n v="1925"/>
    <m/>
  </r>
  <r>
    <n v="1395"/>
    <d v="2026-05-22T00:00:00"/>
    <x v="3"/>
    <x v="8"/>
    <s v="Kamareddy"/>
    <s v="Birkoor"/>
    <s v="Brick Unloading and Sand loading payment by K Narendra at Birkoor Date:21-05-2026"/>
    <m/>
    <m/>
    <m/>
    <n v="1940"/>
    <m/>
  </r>
  <r>
    <n v="1396"/>
    <d v="2026-05-22T00:00:00"/>
    <x v="3"/>
    <x v="10"/>
    <s v="Bhongir"/>
    <s v="Valigonda"/>
    <s v="AP39FC8298 TRACTOR DEISEL PAYMENT "/>
    <m/>
    <n v="31.25"/>
    <n v="96"/>
    <n v="3000"/>
    <m/>
  </r>
  <r>
    <n v="1397"/>
    <d v="2026-05-22T00:00:00"/>
    <x v="3"/>
    <x v="26"/>
    <s v="Hanamkonda"/>
    <s v="Bheemadevarapalli"/>
    <s v="Msand"/>
    <s v="Msand"/>
    <n v="4"/>
    <n v="700"/>
    <n v="2800"/>
    <m/>
  </r>
  <r>
    <n v="1398"/>
    <d v="2026-05-22T00:00:00"/>
    <x v="3"/>
    <x v="26"/>
    <s v="Hanamkonda"/>
    <s v="Velair"/>
    <s v="12 mm Chips Payment By  K Govind at picharaa"/>
    <s v="12 MM Aggregate"/>
    <n v="4"/>
    <n v="562.5"/>
    <n v="2250"/>
    <m/>
  </r>
  <r>
    <n v="1399"/>
    <d v="2026-05-22T00:00:00"/>
    <x v="3"/>
    <x v="8"/>
    <s v="Janagaon"/>
    <s v="Tharigoppula"/>
    <s v="shifted Chemical Bags  transport charges balance payment by sriramamurthy"/>
    <m/>
    <m/>
    <m/>
    <n v="2000"/>
    <m/>
  </r>
  <r>
    <n v="1400"/>
    <d v="2026-05-22T00:00:00"/>
    <x v="3"/>
    <x v="8"/>
    <s v="Hanamkonda"/>
    <s v="Bheemadevarapalli"/>
    <s v="6 inches Bricks Shifting keythampalli to Bheemdevarapalli by g sursh"/>
    <m/>
    <m/>
    <m/>
    <n v="500"/>
    <m/>
  </r>
  <r>
    <n v="1401"/>
    <d v="2026-05-22T00:00:00"/>
    <x v="3"/>
    <x v="26"/>
    <s v="Hanamkonda"/>
    <s v="Velair"/>
    <s v="12 mm Chips Payment By  K Govind at picharaa"/>
    <s v="12 MM Aggregate"/>
    <n v="4"/>
    <m/>
    <n v="300"/>
    <m/>
  </r>
  <r>
    <n v="1402"/>
    <d v="2026-05-22T00:00:00"/>
    <x v="3"/>
    <x v="4"/>
    <s v="Hanamkonda"/>
    <s v="Hub"/>
    <s v="cook -rajitha -3 days work Payment by n malyadri"/>
    <m/>
    <m/>
    <m/>
    <n v="700"/>
    <m/>
  </r>
  <r>
    <n v="1403"/>
    <d v="2026-05-22T00:00:00"/>
    <x v="3"/>
    <x v="3"/>
    <s v="Hanamkonda"/>
    <s v="Hub"/>
    <s v="all site rl work meterials payment by AVS Reddy at Hanumakonda"/>
    <m/>
    <m/>
    <m/>
    <n v="12500"/>
    <m/>
  </r>
  <r>
    <n v="1404"/>
    <d v="2026-05-22T00:00:00"/>
    <x v="3"/>
    <x v="3"/>
    <s v="Hanamkonda"/>
    <s v="Hub"/>
    <s v="all site rl work meterials payment by AVS Reddy at Hanumakonda"/>
    <m/>
    <m/>
    <m/>
    <n v="200"/>
    <m/>
  </r>
  <r>
    <n v="1405"/>
    <d v="2026-05-23T00:00:00"/>
    <x v="2"/>
    <x v="28"/>
    <s v="Janagaon"/>
    <s v="Palakurthi"/>
    <m/>
    <m/>
    <m/>
    <m/>
    <n v="58700"/>
    <m/>
  </r>
  <r>
    <n v="1406"/>
    <d v="2026-05-23T00:00:00"/>
    <x v="3"/>
    <x v="18"/>
    <s v="Hanamkonda"/>
    <s v="Parvathagiri"/>
    <s v="rmc trip charges by g Nagaraju at pavathagiri"/>
    <m/>
    <m/>
    <m/>
    <n v="150"/>
    <m/>
  </r>
  <r>
    <n v="1407"/>
    <d v="2026-05-23T00:00:00"/>
    <x v="3"/>
    <x v="8"/>
    <s v="Hanamkonda"/>
    <s v="Parvathagiri"/>
    <s v="Auto charges for labour shifting kalleda to Enugallu payment by G NAGARAJU Date:22-05-2026"/>
    <m/>
    <m/>
    <m/>
    <n v="400"/>
    <m/>
  </r>
  <r>
    <n v="1408"/>
    <d v="2026-05-23T00:00:00"/>
    <x v="3"/>
    <x v="34"/>
    <s v="Kothagudem"/>
    <s v="Yellandu"/>
    <s v="Binding wire-10kg Purchesed By  manikanta at yellandu "/>
    <s v="Binding wire"/>
    <n v="10"/>
    <n v="85"/>
    <n v="850"/>
    <m/>
  </r>
  <r>
    <n v="1409"/>
    <d v="2026-05-23T00:00:00"/>
    <x v="3"/>
    <x v="10"/>
    <s v="Medak"/>
    <s v="Kulcharam"/>
    <s v="AP23AJ4615 Tractor Deisel Payment by Shri hari at Kulcharam"/>
    <m/>
    <n v="2.0833333333333335"/>
    <n v="96"/>
    <n v="200"/>
    <m/>
  </r>
  <r>
    <n v="1410"/>
    <d v="2026-05-23T00:00:00"/>
    <x v="3"/>
    <x v="10"/>
    <s v="Kothagudem"/>
    <s v="Yellandu"/>
    <s v="AP39DC3351 Tractor Deisel Payment By Manikanta at yellandu"/>
    <m/>
    <n v="18.75"/>
    <n v="96"/>
    <n v="1800"/>
    <m/>
  </r>
  <r>
    <n v="1411"/>
    <d v="2026-05-23T00:00:00"/>
    <x v="3"/>
    <x v="10"/>
    <s v="Medak"/>
    <s v="kulcharam"/>
    <s v="AP23AJ4615 Tractor Deisel Payment by Shri hari at Kulcharam"/>
    <m/>
    <n v="31.25"/>
    <n v="96"/>
    <n v="3000"/>
    <m/>
  </r>
  <r>
    <n v="1412"/>
    <d v="2026-05-23T00:00:00"/>
    <x v="3"/>
    <x v="8"/>
    <s v="Kamareddy"/>
    <s v="Birkoor"/>
    <s v="brick Unloading and sand loading charges by k Narendra"/>
    <m/>
    <m/>
    <m/>
    <n v="1440"/>
    <m/>
  </r>
  <r>
    <n v="1413"/>
    <d v="2026-05-23T00:00:00"/>
    <x v="3"/>
    <x v="3"/>
    <s v="Kamareddy"/>
    <s v="Lingampet"/>
    <s v="RL Work meterial purchased by konireddy Srinivasulu Reddy"/>
    <m/>
    <m/>
    <m/>
    <n v="580"/>
    <m/>
  </r>
  <r>
    <n v="1414"/>
    <d v="2026-05-23T00:00:00"/>
    <x v="3"/>
    <x v="10"/>
    <s v="Siddipet"/>
    <s v="RAIPOLE"/>
    <s v="New Augur Vehical Tractor Deeisel Payment By Angireddy Durga Prasad"/>
    <m/>
    <n v="31.25"/>
    <n v="96"/>
    <n v="3000"/>
    <m/>
  </r>
  <r>
    <n v="1415"/>
    <d v="2026-05-23T00:00:00"/>
    <x v="3"/>
    <x v="18"/>
    <s v="Kamareddy"/>
    <s v="Bhiknoor"/>
    <s v="Rmc trip and pump charges payment by p pavan kumar  at bhiknoor"/>
    <m/>
    <m/>
    <m/>
    <n v="1170"/>
    <m/>
  </r>
  <r>
    <n v="1416"/>
    <d v="2026-05-23T00:00:00"/>
    <x v="3"/>
    <x v="26"/>
    <s v="Siddipet"/>
    <s v="RAIPOLE"/>
    <s v="m sand,10mm agreegate payment by a durgaprasad at rayapol"/>
    <s v="Msand &amp; 12 mm Aggregate"/>
    <n v="4"/>
    <n v="550"/>
    <n v="2200"/>
    <m/>
  </r>
  <r>
    <n v="1417"/>
    <d v="2026-05-23T00:00:00"/>
    <x v="3"/>
    <x v="18"/>
    <s v="Kamareddy"/>
    <s v="Bhiknoor"/>
    <s v="Rmc trip and pump charges and labour chiken payment by p pavan kumar  at bhiknoor"/>
    <m/>
    <m/>
    <m/>
    <n v="2500"/>
    <m/>
  </r>
  <r>
    <n v="1418"/>
    <d v="2026-05-23T00:00:00"/>
    <x v="3"/>
    <x v="10"/>
    <s v="Kamareddy"/>
    <s v="Banswada"/>
    <s v="AP39JQ0377 Tractor Deisel"/>
    <m/>
    <n v="31.020833333333332"/>
    <n v="96"/>
    <n v="2978"/>
    <m/>
  </r>
  <r>
    <n v="1419"/>
    <d v="2026-05-23T00:00:00"/>
    <x v="3"/>
    <x v="14"/>
    <s v="Kamareddy"/>
    <s v="Banswada"/>
    <s v="Cement Bags-35  Purchased by K Narendra at Banswada"/>
    <s v="Cement"/>
    <n v="35"/>
    <n v="285.14285714285717"/>
    <n v="9980"/>
    <m/>
  </r>
  <r>
    <n v="1420"/>
    <d v="2026-05-23T00:00:00"/>
    <x v="3"/>
    <x v="26"/>
    <s v="Siddipet"/>
    <s v="RAIPOLE"/>
    <s v="m sand,10mm agreegate payment by a durgaprasad at rayapol"/>
    <s v="Msand &amp; 12 mm Aggregate"/>
    <n v="4"/>
    <n v="520"/>
    <n v="2080"/>
    <m/>
  </r>
  <r>
    <n v="1421"/>
    <d v="2026-05-23T00:00:00"/>
    <x v="3"/>
    <x v="26"/>
    <s v="Hanamkonda"/>
    <s v="Velair"/>
    <s v="Dust purchased by K Govind at Picharaa"/>
    <s v="Msand"/>
    <n v="4"/>
    <n v="850"/>
    <n v="3400"/>
    <m/>
  </r>
  <r>
    <n v="1422"/>
    <d v="2026-05-23T00:00:00"/>
    <x v="3"/>
    <x v="3"/>
    <s v="Kamareddy"/>
    <s v="Domakonda"/>
    <s v="Bl work Meterial Purchased by N Nanda kishore at Domakonda"/>
    <m/>
    <m/>
    <m/>
    <n v="3240"/>
    <m/>
  </r>
  <r>
    <n v="1423"/>
    <d v="2026-05-23T00:00:00"/>
    <x v="3"/>
    <x v="26"/>
    <s v="Siddipet"/>
    <s v="RAIPOLE"/>
    <s v="Dust purchased by Angi reddy Durgaprasad at roypole"/>
    <s v="Msand"/>
    <n v="4"/>
    <n v="590"/>
    <n v="2360"/>
    <m/>
  </r>
  <r>
    <n v="1424"/>
    <d v="2026-05-23T00:00:00"/>
    <x v="3"/>
    <x v="18"/>
    <s v="Hanamkonda"/>
    <s v="Parvathagiri"/>
    <s v="Rmc trip charges by g Nagaraju at pavathagiri"/>
    <m/>
    <m/>
    <m/>
    <n v="150"/>
    <m/>
  </r>
  <r>
    <n v="1425"/>
    <d v="2026-05-23T00:00:00"/>
    <x v="3"/>
    <x v="10"/>
    <s v="Kothagudem"/>
    <s v="Yellandu"/>
    <s v="AP39DC3351 Tractor Deisel Payment By Manikanta at yellandu"/>
    <m/>
    <n v="41.666666666666664"/>
    <n v="96"/>
    <n v="4000"/>
    <m/>
  </r>
  <r>
    <n v="1426"/>
    <d v="2026-05-24T00:00:00"/>
    <x v="3"/>
    <x v="10"/>
    <s v="Kamareddy"/>
    <s v="Domakonda"/>
    <s v="AP40KW7346 Tractor deisel payment by N Nanadakishore ay Domakonda"/>
    <m/>
    <n v="31.25"/>
    <n v="96"/>
    <n v="3000"/>
    <m/>
  </r>
  <r>
    <n v="1427"/>
    <d v="2026-05-24T00:00:00"/>
    <x v="3"/>
    <x v="10"/>
    <s v="Kamareddy"/>
    <s v="Birkoor"/>
    <s v="AP39TH0913 DCM Vehical Diesel Payment "/>
    <m/>
    <n v="142.86458333333334"/>
    <n v="96"/>
    <n v="13715"/>
    <m/>
  </r>
  <r>
    <n v="1428"/>
    <d v="2026-05-24T00:00:00"/>
    <x v="3"/>
    <x v="26"/>
    <s v="Siddipet"/>
    <s v="RAIPOLE"/>
    <s v="M Sand purchased by Angireddy Durga Prasad at raypole"/>
    <s v="Msand"/>
    <n v="4"/>
    <n v="575"/>
    <n v="2300"/>
    <m/>
  </r>
  <r>
    <n v="1429"/>
    <d v="2026-05-24T00:00:00"/>
    <x v="3"/>
    <x v="26"/>
    <s v="Siddipet"/>
    <s v="RAIPOLE"/>
    <s v="10 mm purchsed by A Durga prasad at Raypole"/>
    <s v="12 MM Aggregate"/>
    <n v="4"/>
    <n v="537.5"/>
    <n v="2150"/>
    <m/>
  </r>
  <r>
    <n v="1430"/>
    <d v="2026-05-24T00:00:00"/>
    <x v="3"/>
    <x v="10"/>
    <s v="Kamareddy"/>
    <s v="Ramareddy"/>
    <s v="AP 40 KF 2837 Tractor Diesel"/>
    <m/>
    <n v="20.833333333333332"/>
    <n v="96"/>
    <n v="2000"/>
    <m/>
  </r>
  <r>
    <n v="1431"/>
    <d v="2026-05-24T00:00:00"/>
    <x v="3"/>
    <x v="10"/>
    <s v="Kamareddy"/>
    <s v="Ramareddy"/>
    <s v="AP 40 KF 2837 Tractor Diesel"/>
    <m/>
    <n v="3.125"/>
    <n v="96"/>
    <n v="300"/>
    <m/>
  </r>
  <r>
    <n v="1432"/>
    <d v="2026-05-24T00:00:00"/>
    <x v="3"/>
    <x v="10"/>
    <s v="Bhongir"/>
    <s v="Valigonda"/>
    <s v="TS39T0898 Tractor Deisel Payment by Suram prasad Reddy"/>
    <m/>
    <n v="10.416666666666666"/>
    <n v="96"/>
    <n v="1000"/>
    <m/>
  </r>
  <r>
    <n v="1433"/>
    <d v="2026-05-24T00:00:00"/>
    <x v="3"/>
    <x v="14"/>
    <s v="Hanamkonda"/>
    <s v="Hub"/>
    <s v="50 Cement Bags purchased by Sure Krishna Reddy"/>
    <s v="Cement"/>
    <n v="50"/>
    <n v="260"/>
    <n v="13000"/>
    <m/>
  </r>
  <r>
    <n v="1434"/>
    <d v="2026-05-24T00:00:00"/>
    <x v="3"/>
    <x v="10"/>
    <s v="Janagaon"/>
    <s v="Tharigoppula"/>
    <s v="TS36TA1891 TRACTOR Diesel Payment"/>
    <s v="Diesel"/>
    <n v="20.833333333333332"/>
    <n v="96"/>
    <n v="2000"/>
    <m/>
  </r>
  <r>
    <n v="1435"/>
    <d v="2026-05-24T00:00:00"/>
    <x v="3"/>
    <x v="26"/>
    <s v="Siddipet"/>
    <s v="RAIPOLE"/>
    <s v="10 mm purchsed by A Durga prasad at Raypole"/>
    <s v="12 MM Aggregate"/>
    <n v="4"/>
    <n v="537.5"/>
    <n v="2150"/>
    <m/>
  </r>
  <r>
    <n v="1436"/>
    <d v="2026-05-24T00:00:00"/>
    <x v="3"/>
    <x v="8"/>
    <s v="Kamareddy"/>
    <s v="Domakonda"/>
    <s v="Chemical Bags Unloading labour Charges  by N Nanada kishore at Domakonda"/>
    <m/>
    <m/>
    <m/>
    <n v="1500"/>
    <m/>
  </r>
  <r>
    <n v="1437"/>
    <d v="2026-05-24T00:00:00"/>
    <x v="3"/>
    <x v="8"/>
    <s v="Kamareddy"/>
    <s v="Domakonda"/>
    <s v="Chemical Bags Unloading Driver Charges  by N Nanada kishore at Domakonda"/>
    <m/>
    <m/>
    <m/>
    <n v="500"/>
    <m/>
  </r>
  <r>
    <n v="1438"/>
    <d v="2026-05-24T00:00:00"/>
    <x v="3"/>
    <x v="26"/>
    <s v="Khammam"/>
    <s v="kamepalli"/>
    <s v="12 mm agreegate payment by u manikanta at kamepalli"/>
    <s v="12 MM Aggregate"/>
    <n v="16"/>
    <n v="723.5"/>
    <n v="11576"/>
    <m/>
  </r>
  <r>
    <n v="1439"/>
    <d v="2026-05-24T00:00:00"/>
    <x v="3"/>
    <x v="0"/>
    <s v="Khammam"/>
    <s v="Kamepalli"/>
    <s v="AP39TS7316 vehicle Transport Charges for Agreegate payment By U manikanta"/>
    <m/>
    <m/>
    <m/>
    <n v="4500"/>
    <m/>
  </r>
  <r>
    <n v="1440"/>
    <d v="2026-05-24T00:00:00"/>
    <x v="3"/>
    <x v="10"/>
    <s v="Khammam"/>
    <s v="Kamepalli"/>
    <s v="AP39TS7316 vehicle Driver beta  By U manikanta"/>
    <m/>
    <n v="2.0833333333333335"/>
    <n v="96"/>
    <n v="200"/>
    <m/>
  </r>
  <r>
    <n v="1441"/>
    <d v="2026-05-24T00:00:00"/>
    <x v="3"/>
    <x v="8"/>
    <s v="Kamareddy"/>
    <s v="Domakonda"/>
    <s v="Chemical bags lorry Driver Extra Charges by N Nandakishore At Domakonda"/>
    <m/>
    <m/>
    <m/>
    <n v="1500"/>
    <m/>
  </r>
  <r>
    <n v="1442"/>
    <d v="2026-05-24T00:00:00"/>
    <x v="3"/>
    <x v="3"/>
    <s v="Kamareddy"/>
    <s v="Lingampet"/>
    <s v="RL Work  Meterials Purchased by K Srinivasulu Reddy at Lingampet"/>
    <m/>
    <m/>
    <m/>
    <n v="600"/>
    <m/>
  </r>
  <r>
    <n v="1443"/>
    <d v="2026-05-24T00:00:00"/>
    <x v="3"/>
    <x v="18"/>
    <s v="Hanamkonda"/>
    <s v="Nadikuda"/>
    <s v="Rmc Trip and pump Charges and cement bag purchased by karanam modi naidu"/>
    <m/>
    <m/>
    <m/>
    <n v="850"/>
    <m/>
  </r>
  <r>
    <n v="1444"/>
    <d v="2026-05-24T00:00:00"/>
    <x v="3"/>
    <x v="10"/>
    <s v="Hanamkonda"/>
    <s v="Damera"/>
    <s v="TS03EE4571 DIESEL PAYMENT"/>
    <m/>
    <n v="36.46875"/>
    <n v="96"/>
    <n v="3501"/>
    <m/>
  </r>
  <r>
    <n v="1445"/>
    <d v="2026-05-24T00:00:00"/>
    <x v="3"/>
    <x v="3"/>
    <s v="Medak"/>
    <s v="kowdapalli"/>
    <s v="Labour room Needs Purchased by y srihari at kowdapalli"/>
    <m/>
    <m/>
    <m/>
    <n v="1030"/>
    <m/>
  </r>
  <r>
    <n v="1446"/>
    <d v="2026-05-24T00:00:00"/>
    <x v="3"/>
    <x v="8"/>
    <s v="Hanamkonda"/>
    <s v="Hub"/>
    <s v="site Meterials Unloading and loading charges payment by AVS Reddy at nirmithkendra,hanumakonda"/>
    <m/>
    <m/>
    <m/>
    <n v="10200"/>
    <m/>
  </r>
  <r>
    <n v="1447"/>
    <d v="2026-05-24T00:00:00"/>
    <x v="3"/>
    <x v="8"/>
    <s v="Kamareddy"/>
    <s v="Lingampet"/>
    <s v="Chemical bags(350*6) Unloading and loading Payment k srinivasulu reddy at lingumpet"/>
    <m/>
    <m/>
    <m/>
    <n v="2100"/>
    <m/>
  </r>
  <r>
    <n v="1448"/>
    <d v="2026-05-24T00:00:00"/>
    <x v="3"/>
    <x v="0"/>
    <s v="Hanamkonda"/>
    <s v="Hub"/>
    <s v="lental shifting(hanumakonda to Cheelasagar)Transport advance payment by AVS Reddy"/>
    <m/>
    <m/>
    <m/>
    <n v="6000"/>
    <m/>
  </r>
  <r>
    <n v="1449"/>
    <d v="2026-05-24T00:00:00"/>
    <x v="3"/>
    <x v="14"/>
    <s v="Kothagudem"/>
    <s v="Yellandu"/>
    <s v="100 cement bags purchased by u manikanta at yellandu"/>
    <s v="Cement"/>
    <n v="100"/>
    <n v="265"/>
    <n v="26500"/>
    <m/>
  </r>
  <r>
    <n v="1450"/>
    <d v="2026-05-25T00:00:00"/>
    <x v="2"/>
    <x v="38"/>
    <s v="Hanamkonda"/>
    <s v="Hub"/>
    <s v="Shuttering Makingg"/>
    <m/>
    <m/>
    <m/>
    <n v="20000"/>
    <m/>
  </r>
  <r>
    <n v="1451"/>
    <d v="2026-05-25T00:00:00"/>
    <x v="2"/>
    <x v="53"/>
    <s v="Khammam"/>
    <s v="Kamepalli"/>
    <s v="30.80  Tons * 1350"/>
    <m/>
    <m/>
    <m/>
    <n v="41580"/>
    <m/>
  </r>
  <r>
    <n v="1452"/>
    <d v="2026-05-25T00:00:00"/>
    <x v="3"/>
    <x v="8"/>
    <s v="Kamareddy"/>
    <s v="Birkoor"/>
    <s v="Brick Unloading,sand loading labour payment by K Narendra at Birkoor,Date:23-06-2026,24-05-2026(sand)"/>
    <m/>
    <m/>
    <m/>
    <n v="2440"/>
    <m/>
  </r>
  <r>
    <n v="1453"/>
    <d v="2026-05-25T00:00:00"/>
    <x v="3"/>
    <x v="8"/>
    <s v="Kamareddy"/>
    <s v="Birkoor"/>
    <s v="Brick Unloading labour payment by K Narendra at Birkoor,24-05-2026"/>
    <m/>
    <m/>
    <m/>
    <n v="1440"/>
    <m/>
  </r>
  <r>
    <n v="1454"/>
    <d v="2026-05-25T00:00:00"/>
    <x v="3"/>
    <x v="4"/>
    <s v="Kamareddy"/>
    <s v="Birkoor"/>
    <s v="Tractor Driver food Expenses Charges By K Srinivasulu Reddy at Birkoor,Between 14-05-2026 to 21-05-2026"/>
    <m/>
    <m/>
    <m/>
    <n v="1200"/>
    <m/>
  </r>
  <r>
    <n v="1455"/>
    <d v="2026-05-25T00:00:00"/>
    <x v="3"/>
    <x v="18"/>
    <s v="Kamareddy"/>
    <s v="Domakonda"/>
    <s v="Rmc Trip and Pump Charges  by  N Nandakishore at Domakonda"/>
    <m/>
    <m/>
    <m/>
    <n v="600"/>
    <m/>
  </r>
  <r>
    <n v="1456"/>
    <d v="2026-05-25T00:00:00"/>
    <x v="3"/>
    <x v="10"/>
    <s v="Bhongir"/>
    <s v="Valigonda"/>
    <s v="TS30B7694 Tractor Deisel Payment By P Vinay yadav at Valigonda"/>
    <m/>
    <n v="20.833333333333332"/>
    <n v="96"/>
    <n v="2000"/>
    <m/>
  </r>
  <r>
    <n v="1457"/>
    <d v="2026-05-25T00:00:00"/>
    <x v="3"/>
    <x v="10"/>
    <s v="Hanamkonda"/>
    <s v="Hub"/>
    <s v="TS03FE1304  Tractor Diesel Payment"/>
    <m/>
    <n v="44.416666666666664"/>
    <n v="96"/>
    <n v="4264"/>
    <m/>
  </r>
  <r>
    <n v="1458"/>
    <d v="2026-05-25T00:00:00"/>
    <x v="3"/>
    <x v="18"/>
    <s v="Hanamkonda"/>
    <s v="Parvathagiri"/>
    <s v="Rmc Trip charges by G Nagaraju at Enugallu"/>
    <m/>
    <m/>
    <m/>
    <n v="150"/>
    <m/>
  </r>
  <r>
    <n v="1459"/>
    <d v="2026-05-25T00:00:00"/>
    <x v="3"/>
    <x v="26"/>
    <s v="Siddipet"/>
    <s v="RAIPOLE"/>
    <s v="10mm Agreegate payment By Angireddy Durga Prasad at Raypole"/>
    <s v="12 MM Aggregate"/>
    <n v="4"/>
    <n v="505"/>
    <n v="2020"/>
    <m/>
  </r>
  <r>
    <n v="1460"/>
    <d v="2026-05-25T00:00:00"/>
    <x v="3"/>
    <x v="10"/>
    <s v="Hanamkonda"/>
    <s v="Hub"/>
    <s v="AP26BZ3361 Tractor Deisel payment"/>
    <m/>
    <n v="31.25"/>
    <n v="96"/>
    <n v="3000"/>
    <m/>
  </r>
  <r>
    <n v="1461"/>
    <d v="2026-05-25T00:00:00"/>
    <x v="3"/>
    <x v="3"/>
    <s v="Hanamkonda"/>
    <s v="Hub"/>
    <s v="Made for RL Work iron stands payment by Eswar rao Though AVS Reddy"/>
    <m/>
    <m/>
    <m/>
    <n v="15000"/>
    <m/>
  </r>
  <r>
    <n v="1462"/>
    <d v="2026-05-25T00:00:00"/>
    <x v="3"/>
    <x v="26"/>
    <s v="Siddipet"/>
    <s v="RAIPOLE"/>
    <s v="M Sand purched by Angireddy Durga Prasad at Roypole"/>
    <s v="Msand"/>
    <n v="4"/>
    <n v="505"/>
    <n v="2020"/>
    <m/>
  </r>
  <r>
    <n v="1463"/>
    <d v="2026-05-25T00:00:00"/>
    <x v="3"/>
    <x v="0"/>
    <s v="Kothagudem"/>
    <s v="Yellandu"/>
    <s v="Lintals Shiffting Hanumakonda to yellandu transport Charges Through AVS Reddy"/>
    <m/>
    <m/>
    <m/>
    <n v="11000"/>
    <m/>
  </r>
  <r>
    <n v="1464"/>
    <d v="2026-05-25T00:00:00"/>
    <x v="3"/>
    <x v="0"/>
    <s v="Siddipet"/>
    <s v="Mulug"/>
    <s v="lintals Shiffting Hanumakonda to CheelaSagar transport Charges balance payment  Through AVS Reddy"/>
    <m/>
    <m/>
    <m/>
    <n v="6000"/>
    <m/>
  </r>
  <r>
    <n v="1465"/>
    <d v="2026-05-25T00:00:00"/>
    <x v="3"/>
    <x v="3"/>
    <s v="Kamareddy"/>
    <s v="Domakonda"/>
    <s v="Rl Work team Meterials Payment By K Srinivasulu Reddy at Kamareddy"/>
    <m/>
    <m/>
    <m/>
    <n v="1680"/>
    <m/>
  </r>
  <r>
    <n v="1466"/>
    <d v="2026-05-25T00:00:00"/>
    <x v="3"/>
    <x v="10"/>
    <s v="Kamareddy"/>
    <s v="Domakonda"/>
    <s v="TS17T6540  Tractor Deisel Payment By K Srinivasulu Reddy"/>
    <m/>
    <n v="26.041666666666668"/>
    <n v="96"/>
    <n v="2500"/>
    <m/>
  </r>
  <r>
    <n v="1467"/>
    <d v="2026-05-25T00:00:00"/>
    <x v="3"/>
    <x v="3"/>
    <s v="Kamareddy"/>
    <s v="Domakonda"/>
    <s v="Rl Work Stands Purchased  By K Srinivasulu Reddy at Kamareddy"/>
    <m/>
    <m/>
    <m/>
    <n v="10000"/>
    <m/>
  </r>
  <r>
    <n v="1468"/>
    <d v="2026-05-25T00:00:00"/>
    <x v="3"/>
    <x v="3"/>
    <s v="Kamareddy"/>
    <s v="Domakonda"/>
    <s v="Rl Work Stands Purchased  By K Srinivasulu Reddy at Kamareddy- (Threads)"/>
    <m/>
    <m/>
    <m/>
    <n v="200"/>
    <m/>
  </r>
  <r>
    <n v="1469"/>
    <d v="2026-05-25T00:00:00"/>
    <x v="3"/>
    <x v="5"/>
    <s v="Medak"/>
    <s v="kulcharam"/>
    <s v="site Expenses Payment By Y Srihari at Kulcharam,Date:11-05-2026 to 24-05-2026"/>
    <m/>
    <m/>
    <m/>
    <n v="10795"/>
    <m/>
  </r>
  <r>
    <n v="1470"/>
    <d v="2026-05-25T00:00:00"/>
    <x v="3"/>
    <x v="10"/>
    <s v="Janagaon"/>
    <s v="Tharigoppula"/>
    <s v="TS36TA1891 TRACTOR Diesel Payment"/>
    <s v="Diesel"/>
    <n v="39.583333333333336"/>
    <n v="96"/>
    <n v="3800"/>
    <m/>
  </r>
  <r>
    <n v="1471"/>
    <d v="2026-05-25T00:00:00"/>
    <x v="3"/>
    <x v="8"/>
    <s v="Kothagudem"/>
    <s v="Yellandu"/>
    <s v="Brick Unloading Charges Payment By U Manikanta at Yellandu"/>
    <m/>
    <m/>
    <m/>
    <n v="500"/>
    <m/>
  </r>
  <r>
    <n v="1472"/>
    <d v="2026-05-25T00:00:00"/>
    <x v="3"/>
    <x v="22"/>
    <s v="Siddipet"/>
    <s v="Mulug"/>
    <s v="6 pretty blades puirchased by Budda Suresh"/>
    <m/>
    <m/>
    <m/>
    <n v="120"/>
    <m/>
  </r>
  <r>
    <n v="1473"/>
    <d v="2026-05-26T00:00:00"/>
    <x v="2"/>
    <x v="63"/>
    <s v="Hanamkonda"/>
    <s v="Hub"/>
    <s v="Sri Lakshmi Narasimha"/>
    <m/>
    <m/>
    <m/>
    <n v="80000"/>
    <m/>
  </r>
  <r>
    <n v="1474"/>
    <d v="2026-05-26T00:00:00"/>
    <x v="2"/>
    <x v="50"/>
    <s v="Hanamkonda"/>
    <s v="Hub"/>
    <s v="Electricity Bill March,April -2026"/>
    <m/>
    <m/>
    <m/>
    <n v="20354"/>
    <m/>
  </r>
  <r>
    <n v="1475"/>
    <d v="2026-05-26T00:00:00"/>
    <x v="3"/>
    <x v="5"/>
    <s v="Kothagudem"/>
    <s v="Yellandu"/>
    <s v="Dornakal Site visits transport charges and food Expenses,payment By U Manikanta"/>
    <m/>
    <m/>
    <m/>
    <n v="2690"/>
    <m/>
  </r>
  <r>
    <n v="1476"/>
    <d v="2026-05-26T00:00:00"/>
    <x v="3"/>
    <x v="5"/>
    <s v="Hanamkonda"/>
    <s v="Damera"/>
    <s v="site expences and rmc trip charges by baddisomesh Date:22-05-2026 to 23-05-2026"/>
    <m/>
    <m/>
    <m/>
    <n v="600"/>
    <m/>
  </r>
  <r>
    <n v="1477"/>
    <d v="2026-05-26T00:00:00"/>
    <x v="3"/>
    <x v="3"/>
    <s v="Siddipet"/>
    <s v="Mulug"/>
    <s v="Bathroom ventilations windows-6 purchased by budda suresh at CheelaSagar"/>
    <m/>
    <m/>
    <m/>
    <n v="1560"/>
    <m/>
  </r>
  <r>
    <n v="1478"/>
    <d v="2026-05-26T00:00:00"/>
    <x v="3"/>
    <x v="10"/>
    <s v="Medak"/>
    <s v="kowdapalli"/>
    <s v="AP23AJ4615 Tractor Deisel Payment By Y Srihari at Kowdapally"/>
    <m/>
    <n v="35.416666666666664"/>
    <n v="96"/>
    <n v="3400"/>
    <m/>
  </r>
  <r>
    <n v="1479"/>
    <d v="2026-05-26T00:00:00"/>
    <x v="3"/>
    <x v="10"/>
    <s v="Hanamkonda"/>
    <s v="Parvathagiri"/>
    <s v="AP 40 DC 0089 TRACTOR Diesel"/>
    <m/>
    <n v="60.416666666666664"/>
    <n v="96"/>
    <n v="5800"/>
    <m/>
  </r>
  <r>
    <n v="1480"/>
    <d v="2026-05-26T00:00:00"/>
    <x v="3"/>
    <x v="10"/>
    <s v="Hanamkonda"/>
    <s v="Hub"/>
    <s v="TG27T1336 Tracotr Deisel payment by Sure KrishnaReddy at Domakonda"/>
    <m/>
    <n v="46.5625"/>
    <n v="96"/>
    <n v="4470"/>
    <m/>
  </r>
  <r>
    <n v="1481"/>
    <d v="2026-05-26T00:00:00"/>
    <x v="3"/>
    <x v="26"/>
    <s v="Siddipet"/>
    <s v="RAIPOLE"/>
    <s v="M Sand purchased by Angireddy prasad at rayapole"/>
    <s v="Msand"/>
    <n v="4"/>
    <n v="615"/>
    <n v="2460"/>
    <m/>
  </r>
  <r>
    <n v="1482"/>
    <d v="2026-05-26T00:00:00"/>
    <x v="3"/>
    <x v="64"/>
    <s v="Janagaon"/>
    <s v="Palakurthy"/>
    <s v="RC Work metirials purchased by Sriramulu for Theegaram"/>
    <m/>
    <m/>
    <m/>
    <n v="9520"/>
    <m/>
  </r>
  <r>
    <n v="1483"/>
    <d v="2026-05-26T00:00:00"/>
    <x v="3"/>
    <x v="10"/>
    <s v="Bhongir"/>
    <s v="Valigonda"/>
    <s v="AP39FC8298 TRACTOR DEISEL PAYMENT "/>
    <m/>
    <n v="31.25"/>
    <n v="96"/>
    <n v="3000"/>
    <m/>
  </r>
  <r>
    <n v="1484"/>
    <d v="2026-05-26T00:00:00"/>
    <x v="3"/>
    <x v="10"/>
    <s v="Kamareddy"/>
    <s v="Bhiknoor"/>
    <s v="AP 40 KE 2834 Tractor Diesel"/>
    <m/>
    <n v="20.833333333333332"/>
    <n v="96"/>
    <n v="2000"/>
    <m/>
  </r>
  <r>
    <n v="1485"/>
    <d v="2026-05-26T00:00:00"/>
    <x v="3"/>
    <x v="18"/>
    <s v="Hanamkonda"/>
    <s v="Geesukonda"/>
    <s v="RMC and  Pump Charges  by bablu  at geesukonda date between 16-05-2026 to 24-05-2026"/>
    <m/>
    <m/>
    <m/>
    <n v="1100"/>
    <m/>
  </r>
  <r>
    <n v="1486"/>
    <d v="2026-05-26T00:00:00"/>
    <x v="3"/>
    <x v="10"/>
    <s v="Siddipet"/>
    <s v="RAIPOLE"/>
    <s v="New Tractor Deisel Payment By Angireddy Durga Prasad at Rayapole mdl"/>
    <m/>
    <n v="31.25"/>
    <n v="96"/>
    <n v="3000"/>
    <m/>
  </r>
  <r>
    <n v="1487"/>
    <d v="2026-05-26T00:00:00"/>
    <x v="3"/>
    <x v="3"/>
    <s v="Hanamkonda"/>
    <s v="Hub"/>
    <s v="RL Work Meterials Purchased by Sure Krishna Reddy at Nirmithkenram"/>
    <m/>
    <m/>
    <m/>
    <n v="7700"/>
    <m/>
  </r>
  <r>
    <n v="1488"/>
    <d v="2026-05-26T00:00:00"/>
    <x v="3"/>
    <x v="3"/>
    <s v="Siddipet"/>
    <s v="RAIPOLE"/>
    <s v="RL Work Meterials Purchased by Angireddy DurgaPrasad at Rayapole through Sriramamurthy"/>
    <m/>
    <m/>
    <m/>
    <n v="2400"/>
    <m/>
  </r>
  <r>
    <n v="1489"/>
    <d v="2026-05-26T00:00:00"/>
    <x v="3"/>
    <x v="26"/>
    <s v="Siddipet"/>
    <s v="RAIPOLE"/>
    <s v="10 mm Agreegate purchased by Angireddy Durgaprasad at rayapole"/>
    <s v="12 MM Aggregate"/>
    <n v="4"/>
    <n v="497.5"/>
    <n v="1990"/>
    <m/>
  </r>
  <r>
    <n v="1490"/>
    <d v="2026-05-26T00:00:00"/>
    <x v="3"/>
    <x v="26"/>
    <s v="Bhongir"/>
    <s v="Valigonda"/>
    <s v="12 mm agreegate purchased by p vinay at valigonda"/>
    <s v="12 MM Aggregate"/>
    <n v="8"/>
    <n v="681.25"/>
    <n v="5450"/>
    <m/>
  </r>
  <r>
    <n v="1491"/>
    <d v="2026-05-26T00:00:00"/>
    <x v="3"/>
    <x v="4"/>
    <s v="Warangal"/>
    <s v="Atmakur"/>
    <s v="labour food Expenses for Atmakur model house by b somesh"/>
    <m/>
    <m/>
    <m/>
    <n v="360"/>
    <m/>
  </r>
  <r>
    <n v="1492"/>
    <d v="2026-05-26T00:00:00"/>
    <x v="3"/>
    <x v="3"/>
    <s v="Hanamkonda"/>
    <s v="Parvathagiri"/>
    <s v="2-thapies purchased by Driver Mallikarjuna at mallikharjuna"/>
    <m/>
    <m/>
    <m/>
    <n v="160"/>
    <m/>
  </r>
  <r>
    <n v="1493"/>
    <d v="2026-05-26T00:00:00"/>
    <x v="3"/>
    <x v="26"/>
    <s v="Siddipet"/>
    <s v="RAIPOLE"/>
    <s v="10mm Amount parched by angireddy durga prasad at rayapole"/>
    <s v="12 MM Aggregate"/>
    <n v="4"/>
    <n v="550"/>
    <n v="2200"/>
    <m/>
  </r>
  <r>
    <n v="1494"/>
    <d v="2026-05-26T00:00:00"/>
    <x v="3"/>
    <x v="14"/>
    <s v="Hanamkonda"/>
    <s v="Parvathagiri"/>
    <s v="2-cement bags purchased by driver mallikharjuna through g nagaraju at parvathagiri for rmc work"/>
    <s v="Cement"/>
    <n v="2"/>
    <n v="300"/>
    <n v="600"/>
    <m/>
  </r>
  <r>
    <n v="1495"/>
    <d v="2026-05-26T00:00:00"/>
    <x v="3"/>
    <x v="26"/>
    <s v="Hanamkonda"/>
    <s v="Velair"/>
    <s v="m-sand,chips purchasded by K Govindu at picharaa"/>
    <s v="Msand"/>
    <n v="4"/>
    <n v="825"/>
    <n v="3300"/>
    <m/>
  </r>
  <r>
    <n v="1496"/>
    <d v="2026-05-26T00:00:00"/>
    <x v="3"/>
    <x v="32"/>
    <s v="Kamareddy"/>
    <s v="Ramareddy"/>
    <s v="Nails purchased by korupolu siva at ramareddy"/>
    <m/>
    <m/>
    <m/>
    <n v="850"/>
    <m/>
  </r>
  <r>
    <n v="1497"/>
    <d v="2026-05-26T00:00:00"/>
    <x v="2"/>
    <x v="27"/>
    <s v="Medak"/>
    <s v="KOWDIPALLY"/>
    <s v="12 MM stEEL"/>
    <s v="12 MM STEEL"/>
    <n v="1000"/>
    <n v="61"/>
    <n v="61000"/>
    <m/>
  </r>
  <r>
    <n v="1498"/>
    <d v="2026-05-26T00:00:00"/>
    <x v="2"/>
    <x v="27"/>
    <s v="Medak"/>
    <s v="KOWDIPALLY"/>
    <s v="10 MM STEEL"/>
    <s v="10 MM STEEL"/>
    <n v="500"/>
    <n v="62.5"/>
    <n v="31250"/>
    <m/>
  </r>
  <r>
    <n v="1499"/>
    <d v="2026-05-26T00:00:00"/>
    <x v="2"/>
    <x v="27"/>
    <s v="Medak"/>
    <s v="KOWDIPALLY"/>
    <s v="8 mm steel"/>
    <s v="8 MM STEEL"/>
    <n v="490"/>
    <n v="62.8"/>
    <n v="30772"/>
    <m/>
  </r>
  <r>
    <n v="1500"/>
    <d v="2026-05-26T00:00:00"/>
    <x v="2"/>
    <x v="34"/>
    <s v="Medak"/>
    <s v="KOWDIPALLY"/>
    <s v="Binding wire"/>
    <s v="Binding wire"/>
    <n v="25"/>
    <n v="90"/>
    <n v="2250"/>
    <m/>
  </r>
  <r>
    <n v="1501"/>
    <d v="2026-05-26T00:00:00"/>
    <x v="2"/>
    <x v="8"/>
    <s v="Medak"/>
    <s v="KOWDIPALLY"/>
    <s v="Steel Loading 2 Tons"/>
    <m/>
    <m/>
    <m/>
    <n v="300"/>
    <m/>
  </r>
  <r>
    <n v="1502"/>
    <d v="2026-05-26T00:00:00"/>
    <x v="2"/>
    <x v="0"/>
    <s v="Medak"/>
    <s v="KOWDIPALLY"/>
    <s v="Steel Transport"/>
    <m/>
    <m/>
    <m/>
    <n v="1000"/>
    <m/>
  </r>
  <r>
    <n v="1503"/>
    <d v="2026-05-27T00:00:00"/>
    <x v="2"/>
    <x v="65"/>
    <s v="Siddipet"/>
    <s v="SI"/>
    <s v="Biswajith Das"/>
    <m/>
    <m/>
    <m/>
    <n v="50000"/>
    <m/>
  </r>
  <r>
    <n v="1504"/>
    <d v="2026-05-27T00:00:00"/>
    <x v="2"/>
    <x v="10"/>
    <s v="Kothagudem"/>
    <s v="Yellandu"/>
    <s v="2614 Tractor Diesel"/>
    <m/>
    <n v="41.666666666666664"/>
    <n v="96"/>
    <n v="4000"/>
    <m/>
  </r>
  <r>
    <n v="1505"/>
    <d v="2026-05-27T00:00:00"/>
    <x v="2"/>
    <x v="10"/>
    <s v="Kamareddy"/>
    <s v="Domakonda"/>
    <s v="7346 Tractor Diesel"/>
    <m/>
    <n v="42.706145833333331"/>
    <n v="96"/>
    <n v="4099.79"/>
    <m/>
  </r>
  <r>
    <n v="1506"/>
    <d v="2026-05-27T00:00:00"/>
    <x v="3"/>
    <x v="9"/>
    <s v="Hanamkonda"/>
    <s v="Hub"/>
    <s v="supervisiors room rent and bricks Unloading labour expenses payment by G Suresh at Hanumakonda"/>
    <m/>
    <m/>
    <m/>
    <n v="6500"/>
    <m/>
  </r>
  <r>
    <n v="1507"/>
    <d v="2026-05-27T00:00:00"/>
    <x v="3"/>
    <x v="18"/>
    <s v="Kamareddy"/>
    <s v="Rajampet"/>
    <s v="Rmc Trip Charges by Ch sreekanth  at rajampet"/>
    <m/>
    <m/>
    <m/>
    <n v="450"/>
    <m/>
  </r>
  <r>
    <n v="1508"/>
    <d v="2026-05-27T00:00:00"/>
    <x v="3"/>
    <x v="14"/>
    <s v="Hanamkonda"/>
    <s v="Bheemadevarapalli"/>
    <s v="50-Cement bags purchased by Sure KrishnaReddy at Hanumakonda for Bheemdevarapalli,Date:26-05-2026"/>
    <s v="Cement"/>
    <n v="50"/>
    <n v="260"/>
    <n v="13000"/>
    <m/>
  </r>
  <r>
    <n v="1509"/>
    <d v="2026-05-27T00:00:00"/>
    <x v="3"/>
    <x v="30"/>
    <s v="Hanamkonda"/>
    <s v="Hub"/>
    <s v="Sand Payment By AVS Reddy at nirmithkendra,Hanumakonda"/>
    <m/>
    <m/>
    <m/>
    <n v="10000"/>
    <m/>
  </r>
  <r>
    <n v="1510"/>
    <d v="2026-05-27T00:00:00"/>
    <x v="3"/>
    <x v="10"/>
    <s v="Bhongir"/>
    <s v="Valigonda"/>
    <s v="TS30B7694 Tractor Deisel Payment By P Vinay Yadavat Valigonda"/>
    <m/>
    <n v="20.833333333333332"/>
    <n v="96"/>
    <n v="2000"/>
    <m/>
  </r>
  <r>
    <n v="1511"/>
    <d v="2026-05-27T00:00:00"/>
    <x v="3"/>
    <x v="26"/>
    <s v="Kamareddy"/>
    <s v="Lingampet"/>
    <s v="M Sand purchased by K Srinivasula reddy at Lingumpet"/>
    <s v="Msand"/>
    <n v="4"/>
    <n v="625"/>
    <n v="2500"/>
    <m/>
  </r>
  <r>
    <n v="1512"/>
    <d v="2026-05-27T00:00:00"/>
    <x v="3"/>
    <x v="34"/>
    <s v="Kamareddy"/>
    <s v="Lingampet"/>
    <s v="Binding Wire-3kg,news paper-100/- Purchased by Konireddy Srinivasulu Reddy"/>
    <s v="Binding wire"/>
    <n v="3"/>
    <m/>
    <n v="370"/>
    <m/>
  </r>
  <r>
    <n v="1513"/>
    <d v="2026-05-27T00:00:00"/>
    <x v="3"/>
    <x v="18"/>
    <s v="Hanamkonda"/>
    <s v="Parvathagiri"/>
    <s v="Rmc trip and pump charges payment by G Nagaraju at parvathagiri and waste oil-20lits purchased Date:26-05-2026"/>
    <m/>
    <m/>
    <m/>
    <n v="700"/>
    <m/>
  </r>
  <r>
    <n v="1514"/>
    <d v="2026-05-27T00:00:00"/>
    <x v="3"/>
    <x v="10"/>
    <s v="Kamareddy"/>
    <s v="Lingampet"/>
    <s v="TS17T6540 Tractor Deisel Payment by k srivasulu reddy at Lingumpet "/>
    <m/>
    <n v="20.833333333333332"/>
    <n v="96"/>
    <n v="2000"/>
    <m/>
  </r>
  <r>
    <n v="1515"/>
    <d v="2026-05-27T00:00:00"/>
    <x v="3"/>
    <x v="3"/>
    <s v="Kamareddy"/>
    <s v="Lingampet"/>
    <s v="RL Metierals purchased by konireddy Srivasulu reddy payment lingumpet"/>
    <m/>
    <m/>
    <m/>
    <n v="1675"/>
    <m/>
  </r>
  <r>
    <n v="1516"/>
    <d v="2026-05-27T00:00:00"/>
    <x v="3"/>
    <x v="3"/>
    <s v="Medak"/>
    <s v="kowdapalli"/>
    <s v="bl work meterial payment by y srihari at kowdapalli"/>
    <m/>
    <m/>
    <m/>
    <n v="4830"/>
    <m/>
  </r>
  <r>
    <n v="1517"/>
    <d v="2026-05-27T00:00:00"/>
    <x v="3"/>
    <x v="10"/>
    <s v="Kamareddy"/>
    <s v="Lingampet"/>
    <s v="AP40JW7532 Tractor Deisel Payment By konireddy Srinivasulu Reddy"/>
    <m/>
    <n v="5.208333333333333"/>
    <n v="96"/>
    <n v="500"/>
    <m/>
  </r>
  <r>
    <n v="1518"/>
    <d v="2026-05-27T00:00:00"/>
    <x v="3"/>
    <x v="10"/>
    <s v="Siddipet"/>
    <s v="RAIPOLE"/>
    <s v="New Tractor deisel payment by angireddy Durgaprasad at rayapole"/>
    <m/>
    <n v="38.489583333333336"/>
    <n v="96"/>
    <n v="3695"/>
    <m/>
  </r>
  <r>
    <n v="1519"/>
    <d v="2026-05-27T00:00:00"/>
    <x v="3"/>
    <x v="3"/>
    <s v="Kamareddy"/>
    <s v="Rajampet"/>
    <s v="bl work meterial payment by ch sreekanth for rajampet"/>
    <m/>
    <m/>
    <m/>
    <n v="1980"/>
    <m/>
  </r>
  <r>
    <n v="1520"/>
    <d v="2026-05-27T00:00:00"/>
    <x v="3"/>
    <x v="3"/>
    <s v="Medak"/>
    <s v="kowdapalli"/>
    <s v="cutting blades purchesed by y srihari at kowdapalli"/>
    <m/>
    <m/>
    <m/>
    <n v="360"/>
    <m/>
  </r>
  <r>
    <n v="1521"/>
    <d v="2026-05-27T00:00:00"/>
    <x v="3"/>
    <x v="10"/>
    <s v="Kamareddy"/>
    <s v="Lingampet"/>
    <s v="AP40JW7532 Tractor Deisel Payment By konireddy Srinivasulu Reddy"/>
    <m/>
    <n v="20.833333333333332"/>
    <n v="96"/>
    <n v="2000"/>
    <m/>
  </r>
  <r>
    <n v="1522"/>
    <d v="2026-05-27T00:00:00"/>
    <x v="3"/>
    <x v="26"/>
    <s v="Kamareddy"/>
    <s v="Lingampet"/>
    <s v="M Sand purchased by K Srinivasula reddy at Lingumpet"/>
    <s v="Msand"/>
    <n v="4"/>
    <n v="575"/>
    <n v="2300"/>
    <m/>
  </r>
  <r>
    <n v="1523"/>
    <d v="2026-05-27T00:00:00"/>
    <x v="3"/>
    <x v="10"/>
    <s v="Kamareddy"/>
    <s v="Ramareddy"/>
    <s v="AP 40 KF 2837 Tractor Diesel"/>
    <m/>
    <n v="20.833333333333332"/>
    <n v="96"/>
    <n v="2000"/>
    <m/>
  </r>
  <r>
    <n v="1524"/>
    <d v="2026-05-27T00:00:00"/>
    <x v="3"/>
    <x v="26"/>
    <s v="Bhongir"/>
    <s v="Valigonda"/>
    <s v="M Sand purchased by p vinay yadav at valigonda"/>
    <s v="Msand"/>
    <n v="6"/>
    <n v="808.33333333333337"/>
    <n v="4850"/>
    <m/>
  </r>
  <r>
    <n v="1525"/>
    <d v="2026-05-27T00:00:00"/>
    <x v="3"/>
    <x v="10"/>
    <s v="Khammam"/>
    <s v="kamepalli"/>
    <s v="AP39DC3351 Tractor Deisel payment by u manikanta at kamepalli"/>
    <m/>
    <n v="41.666666666666664"/>
    <n v="96"/>
    <n v="4000"/>
    <m/>
  </r>
  <r>
    <n v="1526"/>
    <d v="2026-05-27T00:00:00"/>
    <x v="3"/>
    <x v="26"/>
    <s v="Kamareddy"/>
    <s v="Lingampet"/>
    <s v="10mm agreegate chips purchesed by konireddy srinivasulu reddy for linugampet"/>
    <s v="12 MM Aggregate"/>
    <n v="4"/>
    <n v="575"/>
    <n v="2300"/>
    <m/>
  </r>
  <r>
    <n v="1527"/>
    <d v="2026-05-27T00:00:00"/>
    <x v="3"/>
    <x v="10"/>
    <s v="Kamareddy"/>
    <s v="Lingampet"/>
    <s v="AP40JW7532 Tractor Deisel Payment By konireddy Srinivasulu Reddy at lingumpet"/>
    <m/>
    <n v="10.416666666666666"/>
    <n v="96"/>
    <n v="1000"/>
    <m/>
  </r>
  <r>
    <n v="1528"/>
    <d v="2026-05-27T00:00:00"/>
    <x v="3"/>
    <x v="3"/>
    <s v="Hanamkonda"/>
    <s v="Nadikuda"/>
    <s v="Bl work meterial payment by sure krishnareddy for nadikuda"/>
    <m/>
    <m/>
    <m/>
    <n v="7800"/>
    <m/>
  </r>
  <r>
    <n v="1529"/>
    <d v="2026-05-27T00:00:00"/>
    <x v="3"/>
    <x v="10"/>
    <s v="Kamareddy"/>
    <s v="machareddy"/>
    <s v="venkat rao auguring vehicle deisel payment by padala bhanu prasad  at machareddy"/>
    <m/>
    <n v="20.833333333333332"/>
    <n v="96"/>
    <n v="2000"/>
    <m/>
  </r>
  <r>
    <n v="1530"/>
    <d v="2026-05-27T00:00:00"/>
    <x v="3"/>
    <x v="10"/>
    <s v="Kamareddy"/>
    <s v="Birkoor"/>
    <s v="AP39JQ0377 Tractor Deisel"/>
    <m/>
    <n v="44.270833333333336"/>
    <n v="96"/>
    <n v="4250"/>
    <m/>
  </r>
  <r>
    <n v="1531"/>
    <d v="2026-05-28T00:00:00"/>
    <x v="2"/>
    <x v="10"/>
    <s v="Hanamkonda"/>
    <s v="Hub"/>
    <s v="AP39TH0913 DCM Vehical Diesel Payment "/>
    <m/>
    <n v="148.64072916666666"/>
    <n v="96"/>
    <n v="14269.51"/>
    <m/>
  </r>
  <r>
    <n v="1532"/>
    <d v="2026-05-28T00:00:00"/>
    <x v="3"/>
    <x v="5"/>
    <s v="Kamareddy"/>
    <s v="Ramareddy"/>
    <s v="site Expenses by korupolu Siva At ramareddy mdl date between 19-05-2026 to 24-0-2026"/>
    <m/>
    <m/>
    <m/>
    <n v="2700"/>
    <m/>
  </r>
  <r>
    <n v="1533"/>
    <d v="2026-05-28T00:00:00"/>
    <x v="3"/>
    <x v="14"/>
    <s v="Siddipet"/>
    <s v="RAIPOLE"/>
    <s v="cement bags-20 purchased by angireddy durgaprasd at rayapole"/>
    <s v="Cement"/>
    <n v="20"/>
    <n v="270"/>
    <n v="5400"/>
    <m/>
  </r>
  <r>
    <n v="1534"/>
    <d v="2026-05-28T00:00:00"/>
    <x v="3"/>
    <x v="10"/>
    <s v="Bhongir"/>
    <s v="Valigonda"/>
    <s v="TS30B7697 Tractor Deisel payment by p vinay yadav at valigonda"/>
    <m/>
    <n v="20.833333333333332"/>
    <n v="96"/>
    <n v="2000"/>
    <m/>
  </r>
  <r>
    <n v="1535"/>
    <d v="2026-05-28T00:00:00"/>
    <x v="3"/>
    <x v="10"/>
    <s v="Kothagudem"/>
    <s v="Yellandu"/>
    <s v="TS 34 T 3804 Shivareddy Auger Vehicle Diesel "/>
    <m/>
    <n v="43.229166666666664"/>
    <n v="96"/>
    <n v="4150"/>
    <m/>
  </r>
  <r>
    <n v="1536"/>
    <d v="2026-05-28T00:00:00"/>
    <x v="3"/>
    <x v="3"/>
    <s v="Kamareddy"/>
    <s v="Lingampet"/>
    <s v="Rl work Meterial purchased by konireddy srinivasulu reddy at lingumpet"/>
    <m/>
    <m/>
    <m/>
    <n v="350"/>
    <m/>
  </r>
  <r>
    <n v="1537"/>
    <d v="2026-05-28T00:00:00"/>
    <x v="3"/>
    <x v="26"/>
    <s v="Hanamkonda"/>
    <s v="Velair"/>
    <s v="12 mm Chips purchased by k govind for picharaa rl work"/>
    <s v="12 MM Aggregate"/>
    <n v="4"/>
    <n v="600"/>
    <n v="2400"/>
    <m/>
  </r>
  <r>
    <n v="1538"/>
    <d v="2026-05-28T00:00:00"/>
    <x v="3"/>
    <x v="26"/>
    <s v="Bhongir"/>
    <s v="Valigonda"/>
    <s v="M sand purchased by p vinay yadav at valigonda"/>
    <s v="Msand"/>
    <n v="4"/>
    <n v="600"/>
    <n v="2400"/>
    <m/>
  </r>
  <r>
    <n v="1539"/>
    <d v="2026-05-28T00:00:00"/>
    <x v="3"/>
    <x v="2"/>
    <s v="Hanamkonda"/>
    <s v="Nadikuda"/>
    <s v="Waste oil Purchased by Setti Suiresh"/>
    <m/>
    <m/>
    <m/>
    <n v="200"/>
    <m/>
  </r>
  <r>
    <n v="1540"/>
    <d v="2026-05-28T00:00:00"/>
    <x v="3"/>
    <x v="8"/>
    <s v="Kothagudem"/>
    <s v="Yellandu"/>
    <s v="Chemical bags-275 unloding charges payment by manikanta"/>
    <m/>
    <m/>
    <m/>
    <n v="1100"/>
    <m/>
  </r>
  <r>
    <n v="1541"/>
    <d v="2026-05-28T00:00:00"/>
    <x v="3"/>
    <x v="26"/>
    <s v="Hanamkonda"/>
    <s v="Hub"/>
    <s v="Robo sand  payment throgh AVS Reddy at Nirmith Kendra ,hanumakonda"/>
    <s v="Msand"/>
    <n v="8"/>
    <n v="750"/>
    <n v="6000"/>
    <m/>
  </r>
  <r>
    <n v="1542"/>
    <d v="2026-05-28T00:00:00"/>
    <x v="3"/>
    <x v="8"/>
    <s v="Warangal"/>
    <s v="Atmakur"/>
    <s v="painter labour payment by AVS Reddy for Atmakur Model House"/>
    <m/>
    <m/>
    <m/>
    <n v="4500"/>
    <m/>
  </r>
  <r>
    <n v="1543"/>
    <d v="2026-05-28T00:00:00"/>
    <x v="3"/>
    <x v="26"/>
    <s v="Siddipet"/>
    <s v="RAIPOLE"/>
    <s v="10mm Agrigate payment by angireddy Durga Prasd at Rayapole"/>
    <s v="12 MM Aggregate"/>
    <n v="4"/>
    <n v="557.5"/>
    <n v="2230"/>
    <m/>
  </r>
  <r>
    <n v="1544"/>
    <d v="2026-05-28T00:00:00"/>
    <x v="3"/>
    <x v="10"/>
    <s v="Hanamkonda"/>
    <s v="Parvathagiri"/>
    <s v="AP5315AC Augur Vehical Deisel Payment By Driver Sai at Enugallu"/>
    <m/>
    <n v="44.4375"/>
    <n v="96"/>
    <n v="4266"/>
    <m/>
  </r>
  <r>
    <n v="1545"/>
    <d v="2026-05-28T00:00:00"/>
    <x v="3"/>
    <x v="55"/>
    <s v="Kothagudem"/>
    <s v="Yellandu"/>
    <s v="Tractor tier puncher Repair Charges at Yellandu"/>
    <m/>
    <m/>
    <m/>
    <n v="500"/>
    <m/>
  </r>
  <r>
    <n v="1546"/>
    <d v="2026-05-28T00:00:00"/>
    <x v="3"/>
    <x v="22"/>
    <s v="Kamareddy"/>
    <s v="Bhiknoor"/>
    <s v="Cutting Blades purchased by p pavan kumar at Bhiknoor"/>
    <m/>
    <m/>
    <m/>
    <n v="900"/>
    <m/>
  </r>
  <r>
    <n v="1547"/>
    <d v="2026-05-28T00:00:00"/>
    <x v="3"/>
    <x v="8"/>
    <s v="Kamareddy"/>
    <s v="Birkoor"/>
    <s v="Medak Brick loading Trip Charges Payment By dcm prasad Through Sudhakar Reddy at medak brick plant"/>
    <m/>
    <m/>
    <m/>
    <n v="1000"/>
    <m/>
  </r>
  <r>
    <n v="1548"/>
    <d v="2026-05-28T00:00:00"/>
    <x v="3"/>
    <x v="5"/>
    <s v="Kothagudem"/>
    <s v="Yellandu"/>
    <s v="Site Expenses by U ManikantaAt yellandu"/>
    <m/>
    <m/>
    <m/>
    <n v="6150"/>
    <m/>
  </r>
  <r>
    <n v="1549"/>
    <d v="2026-05-28T00:00:00"/>
    <x v="3"/>
    <x v="10"/>
    <s v="Hanamkonda"/>
    <s v="Hub"/>
    <s v="TS25C1579 Tractor Diesel payment"/>
    <m/>
    <n v="48.166666666666664"/>
    <n v="96"/>
    <n v="4624"/>
    <m/>
  </r>
  <r>
    <n v="1550"/>
    <d v="2026-05-28T00:00:00"/>
    <x v="3"/>
    <x v="8"/>
    <s v="Kamareddy"/>
    <s v="Birkoor"/>
    <s v="Brick Unloading and Sand Loading Charges payment by K Narendra at Birkoor,Banswada"/>
    <m/>
    <m/>
    <m/>
    <n v="6620"/>
    <m/>
  </r>
  <r>
    <n v="1551"/>
    <d v="2026-05-28T00:00:00"/>
    <x v="3"/>
    <x v="14"/>
    <s v="Hanamkonda"/>
    <s v="Hub"/>
    <s v="Cement Bags-75 purchased by Sure KrishnaReddy(50 bags-Hanumakonda,25 bags-keythampalli) at hanumakonda"/>
    <s v="Cement"/>
    <n v="75"/>
    <n v="260"/>
    <n v="19500"/>
    <m/>
  </r>
  <r>
    <n v="1552"/>
    <d v="2026-05-28T00:00:00"/>
    <x v="3"/>
    <x v="61"/>
    <s v="Siddipet"/>
    <s v="Mulug"/>
    <s v="steel purchased by budda suresh at mulugu"/>
    <m/>
    <m/>
    <m/>
    <n v="15392"/>
    <m/>
  </r>
  <r>
    <n v="1553"/>
    <d v="2026-05-28T00:00:00"/>
    <x v="3"/>
    <x v="14"/>
    <s v="Kamareddy"/>
    <s v="Banswada"/>
    <s v="cement bags-30 purchased by k narendra at Banswada"/>
    <s v="Cement"/>
    <n v="30"/>
    <n v="285"/>
    <n v="8550"/>
    <m/>
  </r>
  <r>
    <n v="1554"/>
    <d v="2026-05-28T00:00:00"/>
    <x v="3"/>
    <x v="3"/>
    <s v="Siddipet"/>
    <s v="RAIPOLE"/>
    <s v="RL work Meterial purchased by angireddy durgaprasad at rayapole"/>
    <m/>
    <m/>
    <m/>
    <n v="8470"/>
    <m/>
  </r>
  <r>
    <n v="1555"/>
    <d v="2026-05-29T00:00:00"/>
    <x v="3"/>
    <x v="10"/>
    <s v="Kothagudem"/>
    <s v="Yellandu"/>
    <s v="TS28TA2611 Tractor Deisel payment by U Manikanta at Yellandu"/>
    <m/>
    <n v="41.666666666666664"/>
    <n v="96"/>
    <n v="4000"/>
    <m/>
  </r>
  <r>
    <n v="1556"/>
    <d v="2026-05-29T00:00:00"/>
    <x v="3"/>
    <x v="8"/>
    <s v="Hanamkonda"/>
    <s v="Hub"/>
    <s v="brick Unloading labour charges and food expences by g suresh at Hanumakonda"/>
    <m/>
    <m/>
    <m/>
    <n v="2700"/>
    <m/>
  </r>
  <r>
    <n v="1557"/>
    <d v="2026-05-29T00:00:00"/>
    <x v="3"/>
    <x v="10"/>
    <s v="Bhongir"/>
    <s v="Valigonda"/>
    <s v="AP39FC8298 TRACTOR DEISEL PAYMENT "/>
    <m/>
    <n v="31.25"/>
    <n v="96"/>
    <n v="3000"/>
    <m/>
  </r>
  <r>
    <n v="1558"/>
    <d v="2026-05-29T00:00:00"/>
    <x v="3"/>
    <x v="10"/>
    <s v="Hanamkonda"/>
    <s v="Hub"/>
    <s v="TS03FE1304  Tractor Diesel Payment"/>
    <m/>
    <n v="41.947916666666664"/>
    <n v="96"/>
    <n v="4027"/>
    <m/>
  </r>
  <r>
    <n v="1559"/>
    <d v="2026-05-29T00:00:00"/>
    <x v="3"/>
    <x v="3"/>
    <s v="Hanamkonda"/>
    <s v="Hub"/>
    <s v="bl work meterials purchased by Sure Krishna reddy at hanumakonda"/>
    <m/>
    <m/>
    <m/>
    <n v="5700"/>
    <m/>
  </r>
  <r>
    <n v="1560"/>
    <d v="2026-05-29T00:00:00"/>
    <x v="3"/>
    <x v="14"/>
    <s v="Siddipet"/>
    <s v="Mulug"/>
    <s v="cement bags-20 bags purchased by buuda suresh,hamali charges and Auto Charges paid"/>
    <s v="Cement"/>
    <n v="20"/>
    <n v="290"/>
    <n v="5800"/>
    <m/>
  </r>
  <r>
    <n v="1561"/>
    <d v="2026-05-29T00:00:00"/>
    <x v="3"/>
    <x v="10"/>
    <s v="Hanamkonda"/>
    <s v="Elkurthy"/>
    <s v="AP 39 WB 2967 Tractor Diesel"/>
    <m/>
    <n v="31.25"/>
    <n v="96"/>
    <n v="3000"/>
    <m/>
  </r>
  <r>
    <n v="1562"/>
    <d v="2026-05-29T00:00:00"/>
    <x v="3"/>
    <x v="3"/>
    <s v="Kamareddy"/>
    <s v="Lingampet"/>
    <s v="3pc 2ft cement bricks cutting saws payment by G Gowri naidu at lingumpet"/>
    <m/>
    <m/>
    <m/>
    <n v="1800"/>
    <m/>
  </r>
  <r>
    <n v="1563"/>
    <d v="2026-05-29T00:00:00"/>
    <x v="3"/>
    <x v="42"/>
    <s v="Siddipet"/>
    <s v="RAIPOLE"/>
    <s v="powermatic mixing mechine and jaala kattalu purchased by angireddy Durgaprasad at raypole"/>
    <m/>
    <m/>
    <m/>
    <n v="2940"/>
    <m/>
  </r>
  <r>
    <n v="1564"/>
    <d v="2026-05-29T00:00:00"/>
    <x v="3"/>
    <x v="8"/>
    <s v="Hanamkonda"/>
    <s v="Hub"/>
    <s v="Centring sheets and runners loading labour charges payment by Ch sreekanth at domakonda  to hanumakonda nirmithkendr"/>
    <m/>
    <m/>
    <m/>
    <n v="2000"/>
    <m/>
  </r>
  <r>
    <n v="1565"/>
    <d v="2026-05-29T00:00:00"/>
    <x v="3"/>
    <x v="7"/>
    <s v="Medak"/>
    <s v="kowdapalli"/>
    <s v="runners purchased by g venkat rao at kowdapalli"/>
    <m/>
    <m/>
    <m/>
    <n v="4700"/>
    <m/>
  </r>
  <r>
    <n v="1566"/>
    <d v="2026-05-29T00:00:00"/>
    <x v="3"/>
    <x v="26"/>
    <s v="Bhongir"/>
    <s v="Valigonda"/>
    <s v="12mm chips payment by p vinay at valigonda"/>
    <s v="12 MM Aggregate"/>
    <n v="5"/>
    <n v="540"/>
    <n v="2700"/>
    <m/>
  </r>
  <r>
    <n v="1567"/>
    <d v="2026-05-29T00:00:00"/>
    <x v="3"/>
    <x v="14"/>
    <s v="Siddipet"/>
    <s v="RAIPOLE"/>
    <s v="Cement bags-20 bags purchased by angireddy Durgaprasad at rayapole"/>
    <s v="Cement"/>
    <n v="20"/>
    <n v="270"/>
    <n v="5400"/>
    <m/>
  </r>
  <r>
    <n v="1568"/>
    <d v="2026-05-29T00:00:00"/>
    <x v="3"/>
    <x v="49"/>
    <s v="Hanamkonda"/>
    <s v="Hub"/>
    <s v="Bank Account forms Zerox copies payment by Technical Team nagaiah"/>
    <m/>
    <m/>
    <m/>
    <n v="300"/>
    <m/>
  </r>
  <r>
    <n v="1569"/>
    <d v="2026-05-29T00:00:00"/>
    <x v="3"/>
    <x v="10"/>
    <s v="Kamareddy"/>
    <s v="Bhiknoor"/>
    <s v="Venkatrao augur vehical Deisel payment payment by padala bhanu prasad"/>
    <m/>
    <n v="20.833333333333332"/>
    <n v="96"/>
    <n v="2000"/>
    <m/>
  </r>
  <r>
    <n v="1570"/>
    <d v="2026-05-29T00:00:00"/>
    <x v="3"/>
    <x v="10"/>
    <s v="Kamareddy"/>
    <s v="Lingampet"/>
    <s v="TS17T6540 Tractor Deisel Payment by G gowri naidu at lingumpet"/>
    <m/>
    <n v="20.833333333333332"/>
    <n v="96"/>
    <n v="2000"/>
    <m/>
  </r>
  <r>
    <n v="1571"/>
    <d v="2026-05-29T00:00:00"/>
    <x v="3"/>
    <x v="42"/>
    <s v="Khammam"/>
    <s v="kamepalli"/>
    <s v="Cutting mechine,Cutting Blades purchased by U manikanta at kamepalli"/>
    <m/>
    <m/>
    <m/>
    <n v="3300"/>
    <m/>
  </r>
  <r>
    <n v="1572"/>
    <d v="2026-05-30T00:00:00"/>
    <x v="3"/>
    <x v="10"/>
    <s v="Hanamkonda"/>
    <s v="Hub"/>
    <s v="TS03UB7556  Tractor Diesel"/>
    <m/>
    <n v="40.270833333333336"/>
    <n v="96"/>
    <n v="3866"/>
    <m/>
  </r>
  <r>
    <n v="1573"/>
    <d v="2026-05-30T00:00:00"/>
    <x v="3"/>
    <x v="10"/>
    <s v="Kamareddy"/>
    <s v="Bhiknoor"/>
    <s v="AP 40 KE 2834 Tractor Diesel"/>
    <m/>
    <n v="20.833333333333332"/>
    <n v="96"/>
    <n v="2000"/>
    <m/>
  </r>
  <r>
    <n v="1574"/>
    <d v="2026-05-30T00:00:00"/>
    <x v="3"/>
    <x v="26"/>
    <s v="Hanamkonda"/>
    <s v="Velair"/>
    <s v="12mm agreegate chips payments by  K Govindu at peechara"/>
    <s v="12 MM Aggregate"/>
    <n v="4.8"/>
    <n v="648.95833333333337"/>
    <n v="3115"/>
    <m/>
  </r>
  <r>
    <n v="1575"/>
    <d v="2026-05-30T00:00:00"/>
    <x v="3"/>
    <x v="10"/>
    <s v="Janagaon"/>
    <s v="Palakurthy"/>
    <s v="TS27T6494 tractor Deisel payment by Madhushudhan Driver through G Kishore at theegaram"/>
    <m/>
    <n v="31.25"/>
    <n v="96"/>
    <n v="3000"/>
    <m/>
  </r>
  <r>
    <n v="1576"/>
    <d v="2026-05-30T00:00:00"/>
    <x v="3"/>
    <x v="14"/>
    <s v="Kamareddy"/>
    <s v="Banswada"/>
    <s v="Cement bags purchased by konireddy srinivasulu reddy at Banswada"/>
    <s v="Cement"/>
    <n v="13"/>
    <n v="285.38461538461536"/>
    <n v="3710"/>
    <m/>
  </r>
  <r>
    <n v="1577"/>
    <d v="2026-05-30T00:00:00"/>
    <x v="3"/>
    <x v="34"/>
    <s v="Kamareddy"/>
    <s v="Lingampet"/>
    <s v="Binding wire-5kg,Thapi purchsed by G Gowri naidu at Lingumpet"/>
    <s v="Binding wire"/>
    <n v="5"/>
    <m/>
    <n v="450"/>
    <m/>
  </r>
  <r>
    <n v="1578"/>
    <d v="2026-05-30T00:00:00"/>
    <x v="3"/>
    <x v="22"/>
    <s v="Mehaboobabad"/>
    <s v="Kothaguda"/>
    <s v="Extension box and wire purchsed by ghandi at kotthaguda"/>
    <m/>
    <m/>
    <m/>
    <n v="680"/>
    <m/>
  </r>
  <r>
    <n v="1579"/>
    <d v="2026-05-30T00:00:00"/>
    <x v="3"/>
    <x v="10"/>
    <s v="Hanamkonda"/>
    <s v="Hub"/>
    <s v="AP26BZ3361 Tractor Deisel payment"/>
    <m/>
    <n v="29.208333333333332"/>
    <n v="96"/>
    <n v="2804"/>
    <m/>
  </r>
  <r>
    <n v="1580"/>
    <d v="2026-05-30T00:00:00"/>
    <x v="3"/>
    <x v="10"/>
    <s v="Siddipet"/>
    <s v="Mulug"/>
    <s v="AP40T1195 Tractor Deisel Payment"/>
    <m/>
    <n v="31.25"/>
    <n v="96"/>
    <n v="3000"/>
    <m/>
  </r>
  <r>
    <n v="1581"/>
    <d v="2026-05-30T00:00:00"/>
    <x v="3"/>
    <x v="10"/>
    <s v="Janagaon"/>
    <s v="Tharigoppula"/>
    <s v="TS36TA1891 TRACTOR Diesel Payment"/>
    <s v="Diesel"/>
    <n v="26.041666666666668"/>
    <n v="96"/>
    <n v="2500"/>
    <m/>
  </r>
  <r>
    <n v="1582"/>
    <d v="2026-05-30T00:00:00"/>
    <x v="3"/>
    <x v="22"/>
    <s v="Siddipet"/>
    <s v="Mulug"/>
    <s v="Electrical metirial for labour room purchased by budda suresh at vasalamarri"/>
    <m/>
    <m/>
    <m/>
    <n v="1360"/>
    <m/>
  </r>
  <r>
    <n v="1583"/>
    <d v="2026-05-30T00:00:00"/>
    <x v="3"/>
    <x v="14"/>
    <s v="Siddipet"/>
    <s v="Mulug"/>
    <s v="30 cement bags purchased by Budda Suresh at vasalamarry"/>
    <s v="Cement"/>
    <n v="30"/>
    <n v="266"/>
    <n v="7980"/>
    <m/>
  </r>
  <r>
    <n v="1584"/>
    <d v="2026-05-30T00:00:00"/>
    <x v="3"/>
    <x v="10"/>
    <s v="Kamareddy"/>
    <s v="Bhiknoor"/>
    <s v="AP 40 KF 2837 Tractor Diesel"/>
    <m/>
    <n v="20.833333333333332"/>
    <n v="96"/>
    <n v="2000"/>
    <m/>
  </r>
  <r>
    <n v="1585"/>
    <d v="2026-05-30T00:00:00"/>
    <x v="3"/>
    <x v="22"/>
    <s v="Mehaboobabad"/>
    <s v="Kothaguda"/>
    <s v="Electrical tools Purchased by Ghandi at kothaguda for labour"/>
    <m/>
    <m/>
    <m/>
    <n v="1280"/>
    <m/>
  </r>
  <r>
    <n v="1586"/>
    <d v="2026-05-30T00:00:00"/>
    <x v="3"/>
    <x v="66"/>
    <s v="Kamareddy"/>
    <s v="Banswada"/>
    <s v="8 inches Bricks purchased by konireddy srinivasulu reddy at Banswada"/>
    <m/>
    <n v="81.666666666666671"/>
    <n v="30"/>
    <n v="2450"/>
    <m/>
  </r>
  <r>
    <n v="1587"/>
    <d v="2026-05-30T00:00:00"/>
    <x v="3"/>
    <x v="3"/>
    <s v="Kothagudem"/>
    <s v="Yellandu"/>
    <s v="Bl Work rings bending rod metirial and welding payment by ghandi at yellandu"/>
    <m/>
    <m/>
    <m/>
    <n v="250"/>
    <m/>
  </r>
  <r>
    <n v="1588"/>
    <d v="2026-05-30T00:00:00"/>
    <x v="3"/>
    <x v="5"/>
    <s v="Hanamkonda"/>
    <s v="Hub"/>
    <s v="logistic charges payment by Sure krishnareddy at Hanumakonda"/>
    <m/>
    <m/>
    <m/>
    <n v="150"/>
    <m/>
  </r>
  <r>
    <n v="1589"/>
    <d v="2026-05-30T00:00:00"/>
    <x v="3"/>
    <x v="2"/>
    <s v="Hanamkonda"/>
    <s v="Hub"/>
    <s v="Wate oil-10 lits purchased by Sure Krishna Reddy at Hanumakonda"/>
    <m/>
    <m/>
    <m/>
    <n v="500"/>
    <m/>
  </r>
  <r>
    <n v="1590"/>
    <d v="2026-05-30T00:00:00"/>
    <x v="3"/>
    <x v="22"/>
    <s v="Siddipet"/>
    <s v="Mulug"/>
    <s v="Electrical Wire,tepe,cutter payment by Budda Suresh at Vasalamarry"/>
    <m/>
    <m/>
    <m/>
    <n v="945"/>
    <m/>
  </r>
  <r>
    <n v="1591"/>
    <d v="2026-05-30T00:00:00"/>
    <x v="3"/>
    <x v="42"/>
    <s v="Hanamkonda"/>
    <s v="Hub"/>
    <s v="Iron cutting mechine purchased by AVS Reddy at hanumakonda"/>
    <m/>
    <m/>
    <m/>
    <n v="9500"/>
    <m/>
  </r>
  <r>
    <n v="1592"/>
    <d v="2026-05-30T00:00:00"/>
    <x v="3"/>
    <x v="3"/>
    <s v="Kamareddy"/>
    <s v="Ramareddy"/>
    <s v="Bl work metirial purchased by korupolu siva at Ramareddy,date:29-05-2026"/>
    <m/>
    <m/>
    <m/>
    <n v="3310"/>
    <m/>
  </r>
  <r>
    <n v="1593"/>
    <d v="2026-05-30T00:00:00"/>
    <x v="3"/>
    <x v="14"/>
    <s v="Hanamkonda"/>
    <s v="Hub"/>
    <s v="50 cement bags purchased by sure krishna reddy at hanumakonda for nirmithkendram"/>
    <s v="Cement"/>
    <n v="50"/>
    <n v="260"/>
    <n v="13000"/>
    <m/>
  </r>
  <r>
    <n v="1594"/>
    <d v="2026-05-31T00:00:00"/>
    <x v="2"/>
    <x v="4"/>
    <s v="Hanamkonda"/>
    <s v="Hub"/>
    <s v="Gas Expenses ForFlat"/>
    <m/>
    <m/>
    <m/>
    <n v="2200"/>
    <m/>
  </r>
  <r>
    <n v="1595"/>
    <d v="2026-05-31T00:00:00"/>
    <x v="3"/>
    <x v="30"/>
    <s v="Hanamkonda"/>
    <s v="Hub"/>
    <s v="sand payment by AVS Reddy at Nirmithkenr,Hanumakonda"/>
    <m/>
    <m/>
    <m/>
    <n v="10000"/>
    <m/>
  </r>
  <r>
    <n v="1596"/>
    <d v="2026-05-31T00:00:00"/>
    <x v="3"/>
    <x v="10"/>
    <s v="Kamareddy"/>
    <s v="Banswada"/>
    <s v="AP39JQ0377 Tractor Deisel"/>
    <m/>
    <n v="31.25"/>
    <n v="96"/>
    <n v="3000"/>
    <m/>
  </r>
  <r>
    <n v="1597"/>
    <d v="2026-05-31T00:00:00"/>
    <x v="3"/>
    <x v="3"/>
    <s v="Medak"/>
    <s v="kowdapalli"/>
    <s v="Bl work meterial payment by G Venkat rao at kowdapalli"/>
    <m/>
    <m/>
    <m/>
    <n v="750"/>
    <m/>
  </r>
  <r>
    <n v="1598"/>
    <d v="2026-05-31T00:00:00"/>
    <x v="3"/>
    <x v="26"/>
    <s v="Hanamkonda"/>
    <s v="Bheemadevarapalli"/>
    <s v="12mm agreegate Payment By Driver Sameer  Through AVS reddy at Bheemdevarapalli"/>
    <s v="12 MM Aggregate"/>
    <n v="4"/>
    <n v="700"/>
    <n v="2800"/>
    <m/>
  </r>
  <r>
    <n v="1599"/>
    <d v="2026-05-31T00:00:00"/>
    <x v="3"/>
    <x v="10"/>
    <s v="Kamareddy"/>
    <s v="Rajampet"/>
    <s v="Venkat augur Vehicle Deisel Payment by ch Sreekanth at rajampet"/>
    <m/>
    <n v="20.833333333333332"/>
    <n v="96"/>
    <n v="2000"/>
    <m/>
  </r>
  <r>
    <n v="1600"/>
    <d v="2026-05-31T00:00:00"/>
    <x v="3"/>
    <x v="9"/>
    <s v="Kamareddy"/>
    <s v="Rajampet"/>
    <s v="Room rent 18-04-2026 to18-05-2026 payment by Konireddy Srinivasulu Reddy at rajampet"/>
    <m/>
    <m/>
    <m/>
    <n v="4000"/>
    <m/>
  </r>
  <r>
    <n v="1601"/>
    <d v="2026-05-31T00:00:00"/>
    <x v="3"/>
    <x v="10"/>
    <s v="Kamareddy"/>
    <s v="Domakonda"/>
    <s v="TS17T6540 Tractor Deisel payment by G Gowri naidu at linumpet,Vehicle shifting to Domakonda Purpose"/>
    <m/>
    <n v="31.25"/>
    <n v="96"/>
    <n v="3000"/>
    <m/>
  </r>
  <r>
    <n v="1602"/>
    <d v="2026-05-31T00:00:00"/>
    <x v="3"/>
    <x v="26"/>
    <s v="Kamareddy"/>
    <s v="Lingampet"/>
    <s v="12 mm,m sand purchased by G Gowri naidu at lingumpet for rl work"/>
    <s v="12 MM Aggregate"/>
    <n v="8"/>
    <n v="575"/>
    <n v="4600"/>
    <m/>
  </r>
  <r>
    <n v="1603"/>
    <d v="2026-05-31T00:00:00"/>
    <x v="3"/>
    <x v="8"/>
    <s v="Kamareddy"/>
    <s v="Domakonda"/>
    <s v="lentals Unloading labour charges by Nanda Kishore at Domakonda"/>
    <m/>
    <m/>
    <m/>
    <n v="1500"/>
    <m/>
  </r>
  <r>
    <n v="1604"/>
    <d v="2026-05-31T00:00:00"/>
    <x v="3"/>
    <x v="10"/>
    <s v="Hanamkonda"/>
    <s v="Bheemadevarapalli"/>
    <s v="TG037489 Tractor Deisel Payment by Driver Sameer Through AVS Reddy at Bheemdevarapalli"/>
    <m/>
    <n v="48.760416666666664"/>
    <n v="96"/>
    <n v="4681"/>
    <m/>
  </r>
  <r>
    <n v="1605"/>
    <d v="2026-05-31T00:00:00"/>
    <x v="3"/>
    <x v="10"/>
    <s v="Hanamkonda"/>
    <s v="Nadikuda"/>
    <s v="AP5315AC Augur Vehicle Deisel Payment by Hanumanth at nadikuda"/>
    <m/>
    <n v="54.375"/>
    <n v="96"/>
    <n v="5220"/>
    <m/>
  </r>
  <r>
    <n v="1606"/>
    <d v="2026-05-31T00:00:00"/>
    <x v="3"/>
    <x v="10"/>
    <s v="Khammam"/>
    <s v="kamepalli"/>
    <s v="AP39DC3351 Tractor Deisel payment by u manikanta at kamepalli"/>
    <m/>
    <n v="41.666666666666664"/>
    <n v="96"/>
    <n v="4000"/>
    <m/>
  </r>
  <r>
    <n v="1607"/>
    <d v="2026-05-31T00:00:00"/>
    <x v="3"/>
    <x v="10"/>
    <s v="Siddipet"/>
    <s v="RAIPOLE"/>
    <s v="New Tractor Deisel payment by angireddy Durga prasad at rayapole"/>
    <m/>
    <n v="31.25"/>
    <n v="96"/>
    <n v="3000"/>
    <m/>
  </r>
  <r>
    <n v="1608"/>
    <d v="2026-05-31T00:00:00"/>
    <x v="3"/>
    <x v="10"/>
    <s v="Medak"/>
    <s v="kowdapalli"/>
    <s v="AP23AJ4615 Tractor Deisel Payment by G Venkat rao at Kowdapalli"/>
    <m/>
    <n v="26.041666666666668"/>
    <n v="96"/>
    <n v="2500"/>
    <m/>
  </r>
  <r>
    <n v="1609"/>
    <d v="2026-05-31T00:00:00"/>
    <x v="3"/>
    <x v="34"/>
    <s v="Medak"/>
    <s v="kowdapalli"/>
    <s v="Binding Wire-25kg Purchased by D vishnu vardhan reddy at kowdapalli"/>
    <s v="Binding wire"/>
    <n v="25"/>
    <n v="95"/>
    <n v="2375"/>
    <m/>
  </r>
  <r>
    <n v="1610"/>
    <d v="2026-05-31T00:00:00"/>
    <x v="3"/>
    <x v="18"/>
    <s v="Kamareddy"/>
    <s v="Rajampet"/>
    <s v="rmc trip charges payment by Nandakishore at rajampeta"/>
    <m/>
    <m/>
    <m/>
    <n v="300"/>
    <m/>
  </r>
  <r>
    <n v="1611"/>
    <d v="2026-05-31T00:00:00"/>
    <x v="3"/>
    <x v="8"/>
    <s v="Kamareddy"/>
    <s v="Lingampet"/>
    <s v="lentals,windows,poles Unloading labour Charges payment by G gowri naidu at lingumpet"/>
    <m/>
    <m/>
    <m/>
    <n v="6000"/>
    <m/>
  </r>
  <r>
    <n v="1612"/>
    <d v="2026-05-31T00:00:00"/>
    <x v="3"/>
    <x v="18"/>
    <s v="Medak"/>
    <s v="kowdapalli"/>
    <s v="rmc trip charges,labour Charges Payment by D Vishnuvardhanreddy at Kowdapalli"/>
    <m/>
    <m/>
    <m/>
    <n v="900"/>
    <m/>
  </r>
  <r>
    <n v="1613"/>
    <d v="2026-05-31T00:00:00"/>
    <x v="3"/>
    <x v="3"/>
    <s v="Kothagudem"/>
    <s v="Yellandu"/>
    <s v="bl and rl meterials purchased by u manikanta at yellandu"/>
    <m/>
    <m/>
    <m/>
    <n v="5050"/>
    <m/>
  </r>
  <r>
    <n v="1614"/>
    <d v="2026-05-31T00:00:00"/>
    <x v="3"/>
    <x v="61"/>
    <s v="Bhongir"/>
    <s v="Thurkapally"/>
    <s v="8 mm steel purchased by Budda Suresh  for vasalamarri,m thurakapalli for rl work"/>
    <m/>
    <m/>
    <m/>
    <n v="18360"/>
    <m/>
  </r>
  <r>
    <n v="1615"/>
    <d v="2026-06-01T00:00:00"/>
    <x v="2"/>
    <x v="23"/>
    <s v="Hanamkonda"/>
    <s v="Hub"/>
    <s v="Supervisor's Salaries   May- 2026"/>
    <m/>
    <m/>
    <m/>
    <n v="1447258"/>
    <m/>
  </r>
  <r>
    <n v="1616"/>
    <d v="2026-06-01T00:00:00"/>
    <x v="2"/>
    <x v="1"/>
    <s v="Hanamkonda"/>
    <s v="Hub"/>
    <s v="Vehicles Rents  May-2026 "/>
    <m/>
    <m/>
    <m/>
    <n v="1027059"/>
    <m/>
  </r>
  <r>
    <n v="1617"/>
    <d v="2026-06-01T00:00:00"/>
    <x v="3"/>
    <x v="10"/>
    <s v="Kamareddy"/>
    <s v="Lingampet"/>
    <s v="AP39TH0913 DCM Vehical Diesel Payment "/>
    <m/>
    <n v="151.04166666666666"/>
    <n v="96"/>
    <n v="14500"/>
    <m/>
  </r>
  <r>
    <n v="1618"/>
    <d v="2026-06-01T00:00:00"/>
    <x v="3"/>
    <x v="26"/>
    <s v="Kamareddy"/>
    <s v="Rajampet"/>
    <s v="m sand purchased by konireddy srinivasulu reddy at rajampet"/>
    <s v="Msand"/>
    <n v="4"/>
    <n v="575"/>
    <n v="2300"/>
    <m/>
  </r>
  <r>
    <n v="1619"/>
    <d v="2026-06-01T00:00:00"/>
    <x v="3"/>
    <x v="10"/>
    <s v="Kamareddy"/>
    <s v="Rajampet"/>
    <s v="AP40KW7346  Tractor Deisel payment  By N Nandakishore at rajampeta"/>
    <m/>
    <n v="48.958333333333336"/>
    <n v="96"/>
    <n v="4700"/>
    <m/>
  </r>
  <r>
    <n v="1620"/>
    <d v="2026-06-01T00:00:00"/>
    <x v="3"/>
    <x v="14"/>
    <s v="Medak"/>
    <s v="kowdapalli"/>
    <s v="Cement bags purchased by D Vishnuvardhan reddy at kowdapalli"/>
    <s v="Cement"/>
    <n v="1"/>
    <n v="300"/>
    <n v="300"/>
    <m/>
  </r>
  <r>
    <n v="1621"/>
    <d v="2026-06-01T00:00:00"/>
    <x v="3"/>
    <x v="34"/>
    <s v="Hanamkonda"/>
    <s v="Hub"/>
    <s v="4-sabbal,Binding Wire purchased by Sure krishna reddy at Hanumakonda"/>
    <s v="Binding wire"/>
    <n v="50"/>
    <m/>
    <n v="5800"/>
    <m/>
  </r>
  <r>
    <n v="1622"/>
    <d v="2026-06-01T00:00:00"/>
    <x v="3"/>
    <x v="26"/>
    <s v="Kamareddy"/>
    <s v="Rajampet"/>
    <s v="m sand purchased by konireddy srinivasulu reddy at rajampeta"/>
    <s v="Msand"/>
    <n v="4"/>
    <n v="575"/>
    <n v="2300"/>
    <m/>
  </r>
  <r>
    <n v="1623"/>
    <d v="2026-06-01T00:00:00"/>
    <x v="3"/>
    <x v="10"/>
    <s v="Bhongir"/>
    <s v="Thurkapally"/>
    <s v="TS30TA5073 Tractor Deisel payment by Ganesh at Vasalamarri"/>
    <m/>
    <n v="20.833333333333332"/>
    <n v="96"/>
    <n v="2000"/>
    <m/>
  </r>
  <r>
    <n v="1624"/>
    <d v="2026-06-01T00:00:00"/>
    <x v="3"/>
    <x v="26"/>
    <s v="Kamareddy"/>
    <s v="Lingampet"/>
    <s v="12 mm chip Purchased by G gowri naidu at lingumpet"/>
    <s v="12 MM Aggregate"/>
    <n v="4"/>
    <n v="575"/>
    <n v="2300"/>
    <m/>
  </r>
  <r>
    <n v="1625"/>
    <d v="2026-06-01T00:00:00"/>
    <x v="3"/>
    <x v="10"/>
    <s v="Kamareddy"/>
    <s v="Ramareddy"/>
    <s v="AP 40 KF 2837 Tractor Diesel"/>
    <m/>
    <n v="31.25"/>
    <n v="96"/>
    <n v="3000"/>
    <m/>
  </r>
  <r>
    <n v="1626"/>
    <d v="2026-06-01T00:00:00"/>
    <x v="3"/>
    <x v="10"/>
    <s v="Mehaboobabad"/>
    <s v="Kothaguda"/>
    <s v="TS 34 T 3804 Shivareddy Auger Vehicle Diesel "/>
    <m/>
    <n v="31.25"/>
    <n v="96"/>
    <n v="3000"/>
    <m/>
  </r>
  <r>
    <n v="1627"/>
    <d v="2026-06-01T00:00:00"/>
    <x v="3"/>
    <x v="18"/>
    <s v="Medak"/>
    <s v="kowdapalli"/>
    <s v="RMC trip charges and pump charges payment by D Vishnuvardhan reddy at kowdapalli"/>
    <m/>
    <m/>
    <m/>
    <n v="300"/>
    <m/>
  </r>
  <r>
    <n v="1628"/>
    <d v="2026-06-01T00:00:00"/>
    <x v="3"/>
    <x v="3"/>
    <s v="Bhongir"/>
    <s v="Thurkapally"/>
    <s v="Rl work meterials Purchased by g ganesh at vasalamarry"/>
    <m/>
    <m/>
    <m/>
    <n v="6000"/>
    <m/>
  </r>
  <r>
    <n v="1629"/>
    <d v="2026-06-01T00:00:00"/>
    <x v="3"/>
    <x v="10"/>
    <s v="Hanamkonda"/>
    <s v="Velair"/>
    <s v="TS25C1579 Tractor Diesel payment"/>
    <m/>
    <n v="31.25"/>
    <n v="96"/>
    <n v="3000"/>
    <m/>
  </r>
  <r>
    <n v="1630"/>
    <d v="2026-06-01T00:00:00"/>
    <x v="3"/>
    <x v="26"/>
    <s v="Kamareddy"/>
    <s v="Rajampet"/>
    <s v="m sand purchased by konireddy Srinivasulu reddy at rajampeta"/>
    <s v="Msand"/>
    <n v="4"/>
    <n v="575"/>
    <n v="2300"/>
    <m/>
  </r>
  <r>
    <n v="1631"/>
    <d v="2026-06-01T00:00:00"/>
    <x v="3"/>
    <x v="3"/>
    <s v="Bhongir"/>
    <s v="Thurkapally"/>
    <s v="Saw purchased by Ganesh at Vasalamarri"/>
    <m/>
    <m/>
    <m/>
    <n v="250"/>
    <m/>
  </r>
  <r>
    <n v="1632"/>
    <d v="2026-06-01T00:00:00"/>
    <x v="3"/>
    <x v="26"/>
    <s v="Hanamkonda"/>
    <s v="Parvathagiri"/>
    <s v="robosand purchased by  G Nagaraju at parvathagiri"/>
    <s v="Msand"/>
    <n v="4"/>
    <n v="890.75"/>
    <n v="3563"/>
    <m/>
  </r>
  <r>
    <n v="1633"/>
    <d v="2026-06-01T00:00:00"/>
    <x v="3"/>
    <x v="26"/>
    <s v="Hanamkonda"/>
    <s v="Parvathagiri"/>
    <s v="12 mm chip Purchased by G Nagaraju at parvathagiri"/>
    <s v="12 MM Aggregate"/>
    <n v="4"/>
    <n v="908.25"/>
    <n v="3633"/>
    <m/>
  </r>
  <r>
    <n v="1634"/>
    <d v="2026-06-01T00:00:00"/>
    <x v="3"/>
    <x v="3"/>
    <s v="Kamareddy"/>
    <s v="Ramareddy"/>
    <s v="Cutting wheels Purchased by korupolu Siva at ramareddy"/>
    <m/>
    <m/>
    <m/>
    <n v="280"/>
    <m/>
  </r>
  <r>
    <n v="1635"/>
    <d v="2026-06-01T00:00:00"/>
    <x v="3"/>
    <x v="18"/>
    <s v="Kamareddy"/>
    <s v="Bhiknoor"/>
    <s v="RMC trip charges by  p pavan kumar at bhiknoor"/>
    <m/>
    <m/>
    <m/>
    <n v="1200"/>
    <m/>
  </r>
  <r>
    <n v="1636"/>
    <d v="2026-06-01T00:00:00"/>
    <x v="3"/>
    <x v="18"/>
    <s v="Kamareddy"/>
    <s v="Rajampet"/>
    <s v="rmc trip charges by Ch Sreekanth at rajampet"/>
    <m/>
    <m/>
    <m/>
    <n v="300"/>
    <m/>
  </r>
  <r>
    <n v="1637"/>
    <d v="2026-06-01T00:00:00"/>
    <x v="3"/>
    <x v="14"/>
    <s v="Kamareddy"/>
    <s v="Rajampet"/>
    <s v="40 cement bags purchased by konireddy Srinivasulu reddy at Rajampet"/>
    <s v="Cement"/>
    <n v="40"/>
    <n v="275"/>
    <n v="11000"/>
    <m/>
  </r>
  <r>
    <n v="1638"/>
    <d v="2026-06-01T00:00:00"/>
    <x v="3"/>
    <x v="3"/>
    <s v="Hanamkonda"/>
    <s v="Nadikuda"/>
    <s v="bl work meterial purchased by setti suresh at nadikuda"/>
    <m/>
    <m/>
    <m/>
    <n v="14570"/>
    <m/>
  </r>
  <r>
    <n v="1639"/>
    <d v="2026-06-02T00:00:00"/>
    <x v="3"/>
    <x v="10"/>
    <s v="Bhongir"/>
    <s v="Valigonda"/>
    <s v="TS39T0898 Tractor Deisel payment by Suram Prasad Reddy at valigonda"/>
    <m/>
    <n v="31.25"/>
    <n v="96"/>
    <n v="3000"/>
    <m/>
  </r>
  <r>
    <n v="1640"/>
    <d v="2026-06-02T00:00:00"/>
    <x v="3"/>
    <x v="10"/>
    <s v="Bhongir"/>
    <s v="Valigonda"/>
    <s v="AP39FC8298 TRACTOR DEISEL PAYMENT "/>
    <m/>
    <n v="31.25"/>
    <n v="96"/>
    <n v="3000"/>
    <m/>
  </r>
  <r>
    <n v="1641"/>
    <d v="2026-06-02T00:00:00"/>
    <x v="3"/>
    <x v="64"/>
    <s v="Janagaon"/>
    <s v="Palakurthy"/>
    <s v="RC Work meterials purchased by Sriramulu at Theegaram"/>
    <m/>
    <m/>
    <m/>
    <n v="2495"/>
    <m/>
  </r>
  <r>
    <n v="1642"/>
    <d v="2026-06-02T00:00:00"/>
    <x v="3"/>
    <x v="14"/>
    <s v="Hanamkonda"/>
    <s v="Parvathagiri"/>
    <s v="30 bags Cement purchased by G Nagaraju at parvathagiri"/>
    <s v="Cement"/>
    <n v="30"/>
    <n v="260"/>
    <n v="7800"/>
    <m/>
  </r>
  <r>
    <n v="1643"/>
    <d v="2026-06-02T00:00:00"/>
    <x v="3"/>
    <x v="5"/>
    <s v="Warangal"/>
    <s v="Atmakur"/>
    <s v="site expences payment by baddi somesh at Atmakur"/>
    <m/>
    <m/>
    <m/>
    <n v="470"/>
    <m/>
  </r>
  <r>
    <n v="1644"/>
    <d v="2026-06-02T00:00:00"/>
    <x v="3"/>
    <x v="10"/>
    <s v="Medak"/>
    <s v="kowdapalli"/>
    <s v="AP39CT7040 AUGUR VEHICLE DEISEL PAYMENT"/>
    <s v="Diesel"/>
    <n v="64.895833333333329"/>
    <n v="96"/>
    <n v="6230"/>
    <m/>
  </r>
  <r>
    <n v="1645"/>
    <d v="2026-06-02T00:00:00"/>
    <x v="3"/>
    <x v="9"/>
    <s v="Kamareddy"/>
    <s v="kamareddy"/>
    <s v="House rent in kamareddy  payment by Sudhakar reddy"/>
    <m/>
    <m/>
    <m/>
    <n v="15000"/>
    <m/>
  </r>
  <r>
    <n v="1646"/>
    <d v="2026-06-02T00:00:00"/>
    <x v="3"/>
    <x v="32"/>
    <s v="Bhongir"/>
    <s v="Thurkapally"/>
    <s v="threads,nails purchased by g Ganesh at vasalamarri"/>
    <m/>
    <m/>
    <m/>
    <n v="215"/>
    <m/>
  </r>
  <r>
    <n v="1647"/>
    <d v="2026-06-02T00:00:00"/>
    <x v="3"/>
    <x v="5"/>
    <s v="Kamareddy"/>
    <s v="Ramareddy"/>
    <s v="Site Expenses payment by korupolu siva at ramareddy Date:25th to 31st may 2026"/>
    <m/>
    <m/>
    <m/>
    <n v="4230"/>
    <m/>
  </r>
  <r>
    <n v="1648"/>
    <d v="2026-06-02T00:00:00"/>
    <x v="3"/>
    <x v="8"/>
    <s v="Kamareddy"/>
    <s v="Banswada"/>
    <s v="Brick Unloading,sand loading labour Charges payment by konireddy Srinivasulu reddy at banswadadate:28th,29th may2026"/>
    <m/>
    <m/>
    <m/>
    <n v="3440"/>
    <m/>
  </r>
  <r>
    <n v="1649"/>
    <d v="2026-06-02T00:00:00"/>
    <x v="3"/>
    <x v="5"/>
    <s v="Khammam"/>
    <s v="kamepalli"/>
    <s v="Site Expenses payment by u manikanta at kamepalli,date:28th to31st may 2026"/>
    <m/>
    <m/>
    <m/>
    <n v="1290"/>
    <m/>
  </r>
  <r>
    <n v="1650"/>
    <d v="2026-06-02T00:00:00"/>
    <x v="3"/>
    <x v="10"/>
    <s v="Bhongir"/>
    <s v="Valigonda"/>
    <s v="TS30B7694 Tractor Deisel payment by p vinay Through s prasad at valigonda,Date:30-05-2026"/>
    <m/>
    <n v="20.833333333333332"/>
    <n v="96"/>
    <n v="2000"/>
    <m/>
  </r>
  <r>
    <n v="1651"/>
    <d v="2026-06-02T00:00:00"/>
    <x v="3"/>
    <x v="3"/>
    <s v="Bhongir"/>
    <s v="Valigonda"/>
    <s v="2 buckets purchased by Suram Parasad reddy forRL Chemical mixing purpose,Date:28-05-2026"/>
    <m/>
    <m/>
    <m/>
    <n v="250"/>
    <m/>
  </r>
  <r>
    <n v="1652"/>
    <d v="2026-06-02T00:00:00"/>
    <x v="3"/>
    <x v="8"/>
    <s v="Hanamkonda"/>
    <s v="Hub"/>
    <s v="Brick Unloading and shifting labour charges payment by g Suresh at Hanumakonda,Date:31-05-2026"/>
    <m/>
    <m/>
    <m/>
    <n v="9250"/>
    <m/>
  </r>
  <r>
    <n v="1653"/>
    <d v="2026-06-02T00:00:00"/>
    <x v="3"/>
    <x v="10"/>
    <s v="Hanamkonda"/>
    <s v="Parvathagiri"/>
    <s v="AP 40 DC 0089 TRACTOR Diesel"/>
    <m/>
    <n v="65.625"/>
    <n v="96"/>
    <n v="6300"/>
    <m/>
  </r>
  <r>
    <n v="1654"/>
    <d v="2026-06-02T00:00:00"/>
    <x v="3"/>
    <x v="32"/>
    <s v="Kamareddy"/>
    <s v="Domakonda"/>
    <s v="Nails-10kg purchased by ch sreekanth at domakonda"/>
    <m/>
    <m/>
    <m/>
    <n v="800"/>
    <m/>
  </r>
  <r>
    <n v="1655"/>
    <d v="2026-06-02T00:00:00"/>
    <x v="3"/>
    <x v="3"/>
    <s v="Medak"/>
    <s v="kowdapalli"/>
    <s v="Bl Work meterials Purchased by G Venkat rao Kowdapalli"/>
    <m/>
    <m/>
    <m/>
    <n v="6000"/>
    <m/>
  </r>
  <r>
    <n v="1656"/>
    <d v="2026-06-02T00:00:00"/>
    <x v="3"/>
    <x v="10"/>
    <s v="Kamareddy"/>
    <s v="Domakonda"/>
    <s v="AP40JW7532 Tractor Deisel Payment by konireddy Srinivasulu Reddy at domakonda"/>
    <m/>
    <n v="36.510416666666664"/>
    <n v="96"/>
    <n v="3505"/>
    <m/>
  </r>
  <r>
    <n v="1657"/>
    <d v="2026-06-02T00:00:00"/>
    <x v="3"/>
    <x v="10"/>
    <s v="Kamareddy"/>
    <s v="Domakonda"/>
    <s v="AP39JQ0377 Tractor Deisel"/>
    <m/>
    <n v="55.104166666666664"/>
    <n v="96"/>
    <n v="5290"/>
    <m/>
  </r>
  <r>
    <n v="1658"/>
    <d v="2026-06-02T00:00:00"/>
    <x v="3"/>
    <x v="67"/>
    <s v="Hanamkonda"/>
    <s v="Hub"/>
    <s v="Fast tag Recharge by N Prasad DCM Driver"/>
    <m/>
    <m/>
    <m/>
    <n v="1000"/>
    <m/>
  </r>
  <r>
    <n v="1659"/>
    <d v="2026-06-02T00:00:00"/>
    <x v="3"/>
    <x v="26"/>
    <s v="Hanamkonda"/>
    <s v="Parvathagiri"/>
    <s v="Robo sand Purchage By G Nagaraju at parvathagiri"/>
    <s v="Msand"/>
    <n v="4"/>
    <n v="967.5"/>
    <n v="3870"/>
    <m/>
  </r>
  <r>
    <n v="1660"/>
    <d v="2026-06-02T00:00:00"/>
    <x v="3"/>
    <x v="3"/>
    <s v="Hanamkonda"/>
    <s v="Parvathagiri"/>
    <s v="RL labour Materials Purchased by Sriramamurthy at enugallu"/>
    <m/>
    <m/>
    <m/>
    <n v="3600"/>
    <m/>
  </r>
  <r>
    <n v="1661"/>
    <d v="2026-06-02T00:00:00"/>
    <x v="3"/>
    <x v="22"/>
    <s v="Hanamkonda"/>
    <s v="Parvathagiri"/>
    <s v="Electrical things purchased by payment by k govindhu at parvathagiri"/>
    <m/>
    <m/>
    <m/>
    <n v="1350"/>
    <m/>
  </r>
  <r>
    <n v="1662"/>
    <d v="2026-06-02T00:00:00"/>
    <x v="3"/>
    <x v="14"/>
    <s v="Hanamkonda"/>
    <s v="Hub"/>
    <s v="100 cement bags purchased by sure krishna reddy at hanumakonda for nirmith kendram"/>
    <s v="Cement"/>
    <n v="100"/>
    <n v="260"/>
    <n v="26000"/>
    <m/>
  </r>
  <r>
    <n v="1663"/>
    <d v="2026-06-02T00:00:00"/>
    <x v="1"/>
    <x v="20"/>
    <s v="Hanamkonda"/>
    <s v="Hub"/>
    <s v="Site cleaning JCB"/>
    <m/>
    <m/>
    <m/>
    <n v="1500"/>
    <m/>
  </r>
  <r>
    <n v="1664"/>
    <d v="2026-06-02T00:00:00"/>
    <x v="1"/>
    <x v="3"/>
    <s v="Janagaon"/>
    <s v="Palakurthy"/>
    <s v="Small Cutting machine"/>
    <m/>
    <m/>
    <m/>
    <n v="2600"/>
    <m/>
  </r>
  <r>
    <n v="1665"/>
    <d v="2026-06-02T00:00:00"/>
    <x v="1"/>
    <x v="15"/>
    <s v="Janagaon"/>
    <s v="Palakurthy"/>
    <s v="12mm Chips oad "/>
    <m/>
    <m/>
    <m/>
    <n v="1800"/>
    <m/>
  </r>
  <r>
    <n v="1666"/>
    <d v="2026-06-02T00:00:00"/>
    <x v="1"/>
    <x v="6"/>
    <s v="Janagaon"/>
    <s v="Palakurthy"/>
    <s v="20m wire,lights,regulators"/>
    <m/>
    <m/>
    <m/>
    <n v="1220"/>
    <m/>
  </r>
  <r>
    <n v="1667"/>
    <d v="2026-06-02T00:00:00"/>
    <x v="1"/>
    <x v="3"/>
    <s v="Hanamkonda"/>
    <s v="Hub"/>
    <s v="Nuts,Bolts,Vachers"/>
    <m/>
    <m/>
    <m/>
    <n v="900"/>
    <m/>
  </r>
  <r>
    <n v="1668"/>
    <d v="2026-06-02T00:00:00"/>
    <x v="1"/>
    <x v="10"/>
    <s v="Janagaon"/>
    <s v="Palakurthy"/>
    <s v="Diesel for Tractor"/>
    <m/>
    <n v="37.489583333333336"/>
    <n v="96"/>
    <n v="3599"/>
    <m/>
  </r>
  <r>
    <n v="1669"/>
    <d v="2026-06-02T00:00:00"/>
    <x v="1"/>
    <x v="3"/>
    <s v="Hanamkonda"/>
    <s v="Hub"/>
    <s v="Saw,10 Bleds "/>
    <m/>
    <m/>
    <m/>
    <n v="2850"/>
    <m/>
  </r>
  <r>
    <n v="1670"/>
    <d v="2026-06-02T00:00:00"/>
    <x v="1"/>
    <x v="10"/>
    <s v="Hanamkonda"/>
    <s v="Kyathamapalle"/>
    <s v="Diesel "/>
    <m/>
    <n v="10.416666666666666"/>
    <n v="96"/>
    <n v="1000"/>
    <m/>
  </r>
  <r>
    <n v="1671"/>
    <d v="2026-06-02T00:00:00"/>
    <x v="1"/>
    <x v="5"/>
    <s v="Hanamkonda"/>
    <s v="Hub"/>
    <s v="RMc beta, Nuts Bolts "/>
    <m/>
    <m/>
    <m/>
    <n v="250"/>
    <m/>
  </r>
  <r>
    <n v="1672"/>
    <d v="2026-06-02T00:00:00"/>
    <x v="1"/>
    <x v="5"/>
    <s v="Hanamkonda"/>
    <s v="Hub"/>
    <s v="Meku,RepairCM,RMC Lbr"/>
    <m/>
    <m/>
    <m/>
    <n v="690"/>
    <m/>
  </r>
  <r>
    <n v="1673"/>
    <d v="2026-06-02T00:00:00"/>
    <x v="1"/>
    <x v="8"/>
    <s v="Hanamkonda"/>
    <s v="Hub"/>
    <s v="Steel Unloading "/>
    <m/>
    <m/>
    <m/>
    <n v="2000"/>
    <m/>
  </r>
  <r>
    <n v="1674"/>
    <d v="2026-06-03T00:00:00"/>
    <x v="3"/>
    <x v="3"/>
    <s v="Medak"/>
    <s v="kowdapalli"/>
    <s v="BL work meterial payment by G Venkat rao at kowdapalli"/>
    <m/>
    <m/>
    <m/>
    <n v="1400"/>
    <m/>
  </r>
  <r>
    <n v="1675"/>
    <d v="2026-06-03T00:00:00"/>
    <x v="3"/>
    <x v="3"/>
    <s v="Mehaboobabad"/>
    <s v="Kothaguda"/>
    <s v="BL work meterial payment by Ghandi at kothaguda"/>
    <m/>
    <m/>
    <m/>
    <n v="980"/>
    <m/>
  </r>
  <r>
    <n v="1676"/>
    <d v="2026-06-03T00:00:00"/>
    <x v="3"/>
    <x v="26"/>
    <s v="Kamareddy"/>
    <s v="Domakonda"/>
    <s v="Msand"/>
    <s v="Msand"/>
    <n v="4"/>
    <n v="575"/>
    <n v="2300"/>
    <m/>
  </r>
  <r>
    <n v="1677"/>
    <d v="2026-06-03T00:00:00"/>
    <x v="3"/>
    <x v="26"/>
    <s v="Kamareddy"/>
    <s v="Domakonda"/>
    <s v="12 mm"/>
    <s v="12 MM Aggregate"/>
    <n v="4"/>
    <n v="575"/>
    <n v="2300"/>
    <m/>
  </r>
  <r>
    <n v="1678"/>
    <d v="2026-06-03T00:00:00"/>
    <x v="3"/>
    <x v="26"/>
    <s v="Hanamkonda"/>
    <s v="Parvathagiri"/>
    <s v="Robo Sand purchaed by g nagaraju at parvathagiri"/>
    <s v="Msand"/>
    <n v="4.3"/>
    <n v="846.51162790697674"/>
    <n v="3640"/>
    <m/>
  </r>
  <r>
    <n v="1679"/>
    <d v="2026-06-03T00:00:00"/>
    <x v="3"/>
    <x v="10"/>
    <s v="Hanamkonda"/>
    <s v="Nadikuda"/>
    <s v="TG27T1336 Tractor deisel payment by setty suresh at nadikuda"/>
    <m/>
    <n v="20.833333333333332"/>
    <n v="96"/>
    <n v="2000"/>
    <m/>
  </r>
  <r>
    <n v="1680"/>
    <d v="2026-06-03T00:00:00"/>
    <x v="3"/>
    <x v="61"/>
    <s v="Siddipet"/>
    <s v="Mulug"/>
    <s v="8 mm Steel,cement bags purchased by Budda Suresh at Cheelasagar"/>
    <m/>
    <m/>
    <m/>
    <n v="5620"/>
    <m/>
  </r>
  <r>
    <n v="1681"/>
    <d v="2026-06-03T00:00:00"/>
    <x v="3"/>
    <x v="34"/>
    <s v="Hanamkonda"/>
    <s v="Hub"/>
    <s v="Binding Wire,30mm water pipe purchased by sure krishnareddy at nirmithkendra,hanumakonda"/>
    <s v="Binding wire"/>
    <n v="50"/>
    <m/>
    <n v="5100"/>
    <m/>
  </r>
  <r>
    <n v="1682"/>
    <d v="2026-06-03T00:00:00"/>
    <x v="3"/>
    <x v="56"/>
    <s v="Hanamkonda"/>
    <s v="Nekkonda"/>
    <s v="Cement  purchased by Sriramamurthy for Nekkonda Model House at nekkonda"/>
    <m/>
    <m/>
    <m/>
    <n v="300"/>
    <m/>
  </r>
  <r>
    <n v="1683"/>
    <d v="2026-06-03T00:00:00"/>
    <x v="3"/>
    <x v="14"/>
    <s v="Hanamkonda"/>
    <s v="Parvathagiri"/>
    <s v="Cement bags -10 purchased by G nagaraju at parvathagiri"/>
    <s v="Cement"/>
    <n v="10"/>
    <n v="260"/>
    <n v="2600"/>
    <m/>
  </r>
  <r>
    <n v="1684"/>
    <d v="2026-06-03T00:00:00"/>
    <x v="3"/>
    <x v="32"/>
    <s v="Kamareddy"/>
    <s v="machareddy"/>
    <s v="Nails-10kg purchased by korupolu Siva at Machareddy"/>
    <m/>
    <m/>
    <m/>
    <n v="900"/>
    <m/>
  </r>
  <r>
    <n v="1685"/>
    <d v="2026-06-03T00:00:00"/>
    <x v="3"/>
    <x v="10"/>
    <s v="Warangal"/>
    <s v="Atmakur"/>
    <s v="TS03EE4571 DIESEL PAYMENT"/>
    <m/>
    <n v="40.625"/>
    <n v="96"/>
    <n v="3900"/>
    <m/>
  </r>
  <r>
    <n v="1686"/>
    <d v="2026-06-03T00:00:00"/>
    <x v="3"/>
    <x v="56"/>
    <s v="Hanamkonda"/>
    <s v="Nekkonda"/>
    <s v="bucket,jug purchased by sriramamurthy  for nekkonda model house"/>
    <m/>
    <m/>
    <m/>
    <n v="120"/>
    <m/>
  </r>
  <r>
    <n v="1687"/>
    <d v="2026-06-03T00:00:00"/>
    <x v="3"/>
    <x v="56"/>
    <s v="Hanamkonda"/>
    <s v="Nekkonda"/>
    <s v="paara purchased by R Sriramamurthy for nekkonda model house"/>
    <m/>
    <m/>
    <m/>
    <n v="250"/>
    <m/>
  </r>
  <r>
    <n v="1688"/>
    <d v="2026-06-03T00:00:00"/>
    <x v="3"/>
    <x v="10"/>
    <s v="Hanamkonda"/>
    <s v="Hub"/>
    <s v="AP39UQ7044 AVSReddy dcm vehicle deisel payment by AVS Reddy"/>
    <m/>
    <n v="157.30208333333334"/>
    <n v="96"/>
    <n v="15101"/>
    <m/>
  </r>
  <r>
    <n v="1689"/>
    <d v="2026-06-03T00:00:00"/>
    <x v="3"/>
    <x v="10"/>
    <s v="Siddipet"/>
    <s v="RAIPOLE"/>
    <s v="New tractor Deisel payment by Angireddy Durgaprasad at Rayapole"/>
    <m/>
    <n v="31.25"/>
    <n v="96"/>
    <n v="3000"/>
    <m/>
  </r>
  <r>
    <n v="1690"/>
    <d v="2026-06-03T00:00:00"/>
    <x v="3"/>
    <x v="14"/>
    <s v="Kamareddy"/>
    <s v="Domakonda"/>
    <s v="Cement bags purchased by konireddy sriinivasulu reddy at domakonda"/>
    <s v="Cement"/>
    <n v="10"/>
    <n v="256"/>
    <n v="2560"/>
    <m/>
  </r>
  <r>
    <n v="1691"/>
    <d v="2026-06-03T00:00:00"/>
    <x v="3"/>
    <x v="14"/>
    <s v="Hanamkonda"/>
    <s v="Nadikuda"/>
    <s v="cement bnags-7 purchased by setti suresh at nadikuda"/>
    <s v="Cement"/>
    <n v="7"/>
    <n v="292.85714285714283"/>
    <n v="2050"/>
    <m/>
  </r>
  <r>
    <n v="1692"/>
    <d v="2026-06-03T00:00:00"/>
    <x v="3"/>
    <x v="10"/>
    <s v="Hanamkonda"/>
    <s v="Hub"/>
    <s v="AP26BZ3361 Tractor Deisel payment"/>
    <m/>
    <n v="33.25"/>
    <n v="96"/>
    <n v="3192"/>
    <m/>
  </r>
  <r>
    <n v="1693"/>
    <d v="2026-06-03T00:00:00"/>
    <x v="3"/>
    <x v="10"/>
    <s v="Hanamkonda"/>
    <s v="Parvathagiri"/>
    <s v="AP5315AC Augur vehicle Deisel Payment by Hanumanth at parvathagiri"/>
    <m/>
    <n v="48.4375"/>
    <n v="96"/>
    <n v="4650"/>
    <m/>
  </r>
  <r>
    <n v="1694"/>
    <d v="2026-06-03T00:00:00"/>
    <x v="3"/>
    <x v="26"/>
    <s v="Kamareddy"/>
    <s v="Domakonda"/>
    <s v="Msand"/>
    <s v="Msand"/>
    <n v="4"/>
    <n v="575"/>
    <n v="2300"/>
    <m/>
  </r>
  <r>
    <n v="1695"/>
    <d v="2026-06-03T00:00:00"/>
    <x v="3"/>
    <x v="26"/>
    <s v="Kamareddy"/>
    <s v="Domakonda"/>
    <s v="12 mm"/>
    <s v="12 MM Aggregate"/>
    <n v="4"/>
    <n v="575"/>
    <n v="2300"/>
    <m/>
  </r>
  <r>
    <n v="1696"/>
    <d v="2026-06-03T00:00:00"/>
    <x v="3"/>
    <x v="3"/>
    <s v="Hanamkonda"/>
    <s v="Parvathagiri"/>
    <s v="water level pipe purhsed by G nagaraju at parvathagiri"/>
    <m/>
    <m/>
    <m/>
    <n v="350"/>
    <m/>
  </r>
  <r>
    <n v="1697"/>
    <d v="2026-06-03T00:00:00"/>
    <x v="3"/>
    <x v="34"/>
    <s v="Kamareddy"/>
    <s v="Bhiknoor"/>
    <s v="Binding wire purchased by padala bhanu prasad at Bhiknoor"/>
    <s v="Binding wire"/>
    <n v="10"/>
    <m/>
    <n v="850"/>
    <m/>
  </r>
  <r>
    <n v="1698"/>
    <d v="2026-06-03T00:00:00"/>
    <x v="3"/>
    <x v="61"/>
    <s v="Siddipet"/>
    <s v="RAIPOLE"/>
    <s v="Steel cement purchased by A Durgasprasad at rayapole"/>
    <m/>
    <m/>
    <m/>
    <n v="26500"/>
    <m/>
  </r>
  <r>
    <n v="1699"/>
    <d v="2026-06-04T00:00:00"/>
    <x v="2"/>
    <x v="10"/>
    <s v="Hanamkonda"/>
    <s v="Hub"/>
    <s v="AP39TH0913 DCM Vehical Diesel Payment "/>
    <m/>
    <n v="78.958437500000002"/>
    <n v="96"/>
    <n v="7580.01"/>
    <m/>
  </r>
  <r>
    <n v="1700"/>
    <d v="2026-06-04T00:00:00"/>
    <x v="3"/>
    <x v="68"/>
    <s v="Hanamkonda"/>
    <s v="Hub"/>
    <s v="iron cutting blades,window mess purchased by Sure krishna reddy purchased by Sure Krishna Reddy,Date:03-05-2026"/>
    <m/>
    <m/>
    <m/>
    <n v="1250"/>
    <m/>
  </r>
  <r>
    <n v="1701"/>
    <d v="2026-06-04T00:00:00"/>
    <x v="3"/>
    <x v="26"/>
    <s v="Hanamkonda"/>
    <s v="Bheemadevarapalli"/>
    <s v="Dust purchased by Sameer at Bheemdevarapalli  through g suresh Date:03-06-2026"/>
    <s v="Msand"/>
    <n v="4"/>
    <n v="700"/>
    <n v="2800"/>
    <m/>
  </r>
  <r>
    <n v="1702"/>
    <d v="2026-06-04T00:00:00"/>
    <x v="3"/>
    <x v="10"/>
    <s v="Hanamkonda"/>
    <s v="Sangem"/>
    <s v="AP 39 WB 2967 Tractor Diesel"/>
    <m/>
    <n v="42.5"/>
    <n v="96"/>
    <n v="4080"/>
    <m/>
  </r>
  <r>
    <n v="1703"/>
    <d v="2026-06-04T00:00:00"/>
    <x v="3"/>
    <x v="10"/>
    <s v="Kamareddy"/>
    <s v="Lingampet"/>
    <s v="TS17T6540 Tractor Deisel Payment by G Gowri Naidu at Lingumpet"/>
    <m/>
    <n v="20.833333333333332"/>
    <n v="96"/>
    <n v="2000"/>
    <m/>
  </r>
  <r>
    <n v="1704"/>
    <d v="2026-06-04T00:00:00"/>
    <x v="3"/>
    <x v="10"/>
    <s v="Kamareddy"/>
    <s v="Bhiknoor"/>
    <s v="Venkat rao augur vehicle Deisel payment By N Nandakishore at Bhiknoor"/>
    <m/>
    <n v="31.25"/>
    <n v="96"/>
    <n v="3000"/>
    <m/>
  </r>
  <r>
    <n v="1705"/>
    <d v="2026-06-04T00:00:00"/>
    <x v="3"/>
    <x v="26"/>
    <s v="Kamareddy"/>
    <s v="Domakonda"/>
    <s v="Msand"/>
    <s v="Msand"/>
    <n v="4"/>
    <n v="575"/>
    <n v="2300"/>
    <m/>
  </r>
  <r>
    <n v="1706"/>
    <d v="2026-06-04T00:00:00"/>
    <x v="3"/>
    <x v="26"/>
    <s v="Kamareddy"/>
    <s v="Domakonda"/>
    <s v="12 mm"/>
    <s v="12 MM Aggregate"/>
    <n v="4"/>
    <n v="575"/>
    <n v="2300"/>
    <m/>
  </r>
  <r>
    <n v="1707"/>
    <d v="2026-06-04T00:00:00"/>
    <x v="3"/>
    <x v="10"/>
    <s v="Hanamkonda"/>
    <s v="Hub"/>
    <s v="TS27T6494 Tractor Deisel Payment by Sure Krishna reddy for keythampalli rl work at hanumakonda"/>
    <m/>
    <n v="36.729166666666664"/>
    <n v="96"/>
    <n v="3526"/>
    <m/>
  </r>
  <r>
    <n v="1708"/>
    <d v="2026-06-04T00:00:00"/>
    <x v="3"/>
    <x v="10"/>
    <s v="Hanamkonda"/>
    <s v="Hub"/>
    <s v="TS03FE1304  Tractor Diesel Payment"/>
    <m/>
    <n v="42.458333333333336"/>
    <n v="96"/>
    <n v="4076"/>
    <m/>
  </r>
  <r>
    <n v="1709"/>
    <d v="2026-06-04T00:00:00"/>
    <x v="3"/>
    <x v="10"/>
    <s v="Siddipet"/>
    <s v="Mulug"/>
    <s v="AP40T1195 Tractor Deisel Payment"/>
    <m/>
    <n v="31.25"/>
    <n v="96"/>
    <n v="3000"/>
    <m/>
  </r>
  <r>
    <n v="1710"/>
    <d v="2026-06-04T00:00:00"/>
    <x v="3"/>
    <x v="3"/>
    <s v="Siddipet"/>
    <s v="Mulug"/>
    <s v="rl meterial(sutti,Gundu) payment by g ganesh at Cheelasagar"/>
    <m/>
    <m/>
    <m/>
    <n v="260"/>
    <m/>
  </r>
  <r>
    <n v="1711"/>
    <d v="2026-06-04T00:00:00"/>
    <x v="3"/>
    <x v="1"/>
    <s v="Mehaboobabad"/>
    <s v="Kothaguda"/>
    <s v="TG26A8030,TG26A5029 Tractores rent,labour shifing auto three tips  charges payment by Gandhi at kothaguda"/>
    <m/>
    <m/>
    <m/>
    <n v="2600"/>
    <m/>
  </r>
  <r>
    <n v="1712"/>
    <d v="2026-06-04T00:00:00"/>
    <x v="3"/>
    <x v="10"/>
    <s v="Bhongir"/>
    <s v="Thurkapally"/>
    <s v="TS30TA5073 Tractor Deisel Payment by G ganesh at basalamarri"/>
    <m/>
    <n v="20.833333333333332"/>
    <n v="96"/>
    <n v="2000"/>
    <m/>
  </r>
  <r>
    <n v="1713"/>
    <d v="2026-06-04T00:00:00"/>
    <x v="3"/>
    <x v="8"/>
    <s v="Medak"/>
    <s v="kowdapalli"/>
    <s v="TS08UK6016 steel-13tonnes Unloading labour Charges at kowdapalli"/>
    <m/>
    <m/>
    <m/>
    <n v="3000"/>
    <m/>
  </r>
  <r>
    <n v="1714"/>
    <d v="2026-06-04T00:00:00"/>
    <x v="3"/>
    <x v="10"/>
    <s v="Kamareddy"/>
    <s v="Machareddy"/>
    <s v="AP 40 KF 2837 Tractor Diesel"/>
    <m/>
    <n v="31.25"/>
    <n v="96"/>
    <n v="3000"/>
    <m/>
  </r>
  <r>
    <n v="1715"/>
    <d v="2026-06-04T00:00:00"/>
    <x v="3"/>
    <x v="9"/>
    <s v="Mehaboob Nagar"/>
    <s v="Hanwada"/>
    <s v="New Room rent Advanced payment by p pavan kumar at mahaboob nagar"/>
    <m/>
    <m/>
    <m/>
    <n v="1800"/>
    <m/>
  </r>
  <r>
    <n v="1716"/>
    <d v="2026-06-04T00:00:00"/>
    <x v="3"/>
    <x v="8"/>
    <s v="Medak"/>
    <s v="kowdapalli"/>
    <s v="TS08UK6016 steel-13tonnes Unloading labour Charges at kowdapalli"/>
    <m/>
    <m/>
    <m/>
    <n v="500"/>
    <m/>
  </r>
  <r>
    <n v="1717"/>
    <d v="2026-06-04T00:00:00"/>
    <x v="3"/>
    <x v="10"/>
    <s v="Hanamkonda"/>
    <s v="Nadikuda"/>
    <s v="1.5 day working local tractor Deisel payment by Setti Suresh at Nadikuda"/>
    <m/>
    <n v="15.625"/>
    <n v="96"/>
    <n v="1500"/>
    <m/>
  </r>
  <r>
    <n v="1718"/>
    <d v="2026-06-04T00:00:00"/>
    <x v="3"/>
    <x v="26"/>
    <s v="Siddipet"/>
    <s v="Mulug"/>
    <s v="m sand purchased by budda suresh at cheelasagar"/>
    <s v="Msand"/>
    <n v="4"/>
    <n v="570"/>
    <n v="2280"/>
    <m/>
  </r>
  <r>
    <n v="1719"/>
    <d v="2026-06-04T00:00:00"/>
    <x v="3"/>
    <x v="5"/>
    <s v="Hanamkonda"/>
    <s v="Hub"/>
    <s v="site expences payment by r sriramamurthyfor all sites"/>
    <m/>
    <m/>
    <m/>
    <n v="9830"/>
    <m/>
  </r>
  <r>
    <n v="1720"/>
    <d v="2026-06-04T00:00:00"/>
    <x v="3"/>
    <x v="26"/>
    <s v="Siddipet"/>
    <s v="RAIPOLE"/>
    <s v="m sand purchased by angireddy Durga prasad at rayapole"/>
    <s v="Msand"/>
    <n v="4"/>
    <n v="650"/>
    <n v="2600"/>
    <m/>
  </r>
  <r>
    <n v="1721"/>
    <d v="2026-06-04T00:00:00"/>
    <x v="3"/>
    <x v="69"/>
    <s v="Hanamkonda"/>
    <s v="Nadikuda"/>
    <s v="current pole wire damaged charges at nadikuda by setti suresh"/>
    <m/>
    <m/>
    <m/>
    <n v="300"/>
    <m/>
  </r>
  <r>
    <n v="1722"/>
    <d v="2026-06-04T00:00:00"/>
    <x v="3"/>
    <x v="22"/>
    <s v="Hanamkonda"/>
    <s v="Hub"/>
    <s v="Labour room accommidation purpose electrical needs purchased by g suresh at hanumakonda"/>
    <m/>
    <m/>
    <m/>
    <n v="1000"/>
    <m/>
  </r>
  <r>
    <n v="1723"/>
    <d v="2026-06-04T00:00:00"/>
    <x v="3"/>
    <x v="68"/>
    <s v="Hanamkonda"/>
    <s v="Hub"/>
    <s v="Chintagattu plastring work meterials payment by Sure Krishna Reddy at hanumakonda"/>
    <m/>
    <m/>
    <m/>
    <n v="4600"/>
    <m/>
  </r>
  <r>
    <n v="1724"/>
    <d v="2026-06-05T00:00:00"/>
    <x v="2"/>
    <x v="28"/>
    <s v="Siddipet"/>
    <s v="Mulug"/>
    <s v="12 MM 530KG  * 59.5"/>
    <m/>
    <m/>
    <m/>
    <n v="31535"/>
    <m/>
  </r>
  <r>
    <n v="1725"/>
    <d v="2026-06-05T00:00:00"/>
    <x v="2"/>
    <x v="28"/>
    <s v="Siddipet"/>
    <s v="Mulug"/>
    <s v="10 MM 1184*59.70"/>
    <m/>
    <m/>
    <m/>
    <n v="70684.800000000003"/>
    <m/>
  </r>
  <r>
    <n v="1726"/>
    <d v="2026-06-05T00:00:00"/>
    <x v="2"/>
    <x v="28"/>
    <s v="Siddipet"/>
    <s v="Mulug"/>
    <s v="8 MM 2000*61.50"/>
    <m/>
    <m/>
    <m/>
    <n v="123000"/>
    <m/>
  </r>
  <r>
    <n v="1727"/>
    <d v="2026-06-05T00:00:00"/>
    <x v="2"/>
    <x v="34"/>
    <s v="Siddipet"/>
    <s v="Mulug"/>
    <s v="50 kg Binding Wire"/>
    <s v="Binding wire"/>
    <n v="50"/>
    <n v="76"/>
    <n v="3800"/>
    <m/>
  </r>
  <r>
    <n v="1728"/>
    <d v="2026-06-05T00:00:00"/>
    <x v="2"/>
    <x v="8"/>
    <s v="Siddipet"/>
    <s v="Mulug"/>
    <s v="Iron loading  &amp; Transport"/>
    <m/>
    <m/>
    <m/>
    <n v="980"/>
    <m/>
  </r>
  <r>
    <n v="1729"/>
    <d v="2026-06-05T00:00:00"/>
    <x v="2"/>
    <x v="51"/>
    <s v="Hanamkonda"/>
    <s v="Hub"/>
    <s v="Travel Expense to Dimpu For Cash Handovering"/>
    <m/>
    <m/>
    <m/>
    <n v="1000"/>
    <m/>
  </r>
  <r>
    <n v="1730"/>
    <d v="2026-06-05T00:00:00"/>
    <x v="2"/>
    <x v="28"/>
    <s v="Siddipet"/>
    <s v="Mulug"/>
    <s v="12 mm 1470*59.50"/>
    <m/>
    <m/>
    <m/>
    <n v="87465"/>
    <m/>
  </r>
  <r>
    <n v="1731"/>
    <d v="2026-06-05T00:00:00"/>
    <x v="2"/>
    <x v="28"/>
    <s v="Siddipet"/>
    <s v="Mulug"/>
    <s v="10mm  816*59.70"/>
    <m/>
    <m/>
    <m/>
    <n v="48715.200000000004"/>
    <m/>
  </r>
  <r>
    <n v="1732"/>
    <d v="2026-06-05T00:00:00"/>
    <x v="2"/>
    <x v="8"/>
    <s v="Siddipet"/>
    <s v="Mulug"/>
    <s v="Iron loading  &amp; Transport"/>
    <m/>
    <m/>
    <m/>
    <n v="520"/>
    <m/>
  </r>
  <r>
    <n v="1733"/>
    <d v="2026-06-05T00:00:00"/>
    <x v="3"/>
    <x v="10"/>
    <s v="Kamareddy"/>
    <s v="Bhiknoor"/>
    <s v="AP 40 KE 2834 Tractor Diesel"/>
    <m/>
    <n v="20.833333333333332"/>
    <n v="96"/>
    <n v="2000"/>
    <m/>
  </r>
  <r>
    <n v="1734"/>
    <d v="2026-06-05T00:00:00"/>
    <x v="3"/>
    <x v="34"/>
    <s v="Hanamkonda"/>
    <s v="Hub"/>
    <s v="Binding Wire-25kg  purchased by Sure Krishna Reddy at hanumakonda"/>
    <s v="Binding wire"/>
    <n v="25"/>
    <m/>
    <n v="2000"/>
    <m/>
  </r>
  <r>
    <n v="1735"/>
    <d v="2026-06-05T00:00:00"/>
    <x v="3"/>
    <x v="10"/>
    <s v="Hanamkonda"/>
    <s v="Nadikuda"/>
    <s v="TG27T1336 Tractor Deisel Payment by Setti Suresh at nadikuda"/>
    <m/>
    <n v="15.625"/>
    <n v="96"/>
    <n v="1500"/>
    <m/>
  </r>
  <r>
    <n v="1736"/>
    <d v="2026-06-05T00:00:00"/>
    <x v="3"/>
    <x v="10"/>
    <s v="Kamareddy"/>
    <s v="Domakonda"/>
    <s v="AP40JW7532 Tractor deisel payment by konireddy Srinivasulu reddy at Domakonda"/>
    <m/>
    <n v="54.166666666666664"/>
    <n v="96"/>
    <n v="5200"/>
    <m/>
  </r>
  <r>
    <n v="1737"/>
    <d v="2026-06-05T00:00:00"/>
    <x v="3"/>
    <x v="3"/>
    <s v="Kamareddy"/>
    <s v="Domakonda"/>
    <s v="rl work meterial purchased by konireddy srinivasulu reddy at domakonda"/>
    <m/>
    <m/>
    <m/>
    <n v="2400"/>
    <m/>
  </r>
  <r>
    <n v="1738"/>
    <d v="2026-06-05T00:00:00"/>
    <x v="3"/>
    <x v="14"/>
    <s v="Kamareddy"/>
    <s v="Domakonda"/>
    <s v="Cement bags-20,rl work meterails purchased by konireddy Srinivasulu reddy at Domakonda"/>
    <s v="Cement"/>
    <n v="11"/>
    <n v="292.72727272727275"/>
    <n v="3220"/>
    <m/>
  </r>
  <r>
    <n v="1739"/>
    <d v="2026-06-05T00:00:00"/>
    <x v="3"/>
    <x v="68"/>
    <s v="Medak"/>
    <s v="kowdapalli"/>
    <s v="10inches shoot pipe  for rmc purchased by vishnu vardhan reddy at Kowdapalli"/>
    <m/>
    <m/>
    <m/>
    <n v="5500"/>
    <m/>
  </r>
  <r>
    <n v="1740"/>
    <d v="2026-06-05T00:00:00"/>
    <x v="3"/>
    <x v="26"/>
    <s v="Kamareddy"/>
    <s v="Domakonda"/>
    <s v="m sand purchased by konireddy Srinivasulu reddy at Domalkonda"/>
    <s v="Msand"/>
    <n v="4"/>
    <n v="575"/>
    <n v="2300"/>
    <m/>
  </r>
  <r>
    <n v="1741"/>
    <d v="2026-06-05T00:00:00"/>
    <x v="3"/>
    <x v="68"/>
    <s v="Medak"/>
    <s v="kowdapalli"/>
    <s v="wood cutting mechine,blades purchased by D Vishnuvardhan reddy at kowdapalli"/>
    <m/>
    <m/>
    <m/>
    <n v="3500"/>
    <m/>
  </r>
  <r>
    <n v="1742"/>
    <d v="2026-06-05T00:00:00"/>
    <x v="3"/>
    <x v="3"/>
    <s v="Siddipet"/>
    <s v="Doultabad"/>
    <s v="rl meterials payment by p vinay kumar at Doulthabad"/>
    <m/>
    <m/>
    <m/>
    <n v="4700"/>
    <m/>
  </r>
  <r>
    <n v="1743"/>
    <d v="2026-06-05T00:00:00"/>
    <x v="3"/>
    <x v="68"/>
    <s v="Kamareddy"/>
    <s v="Lingampet"/>
    <s v="30pics threads purchased by kottena Narendra at lingumpet"/>
    <m/>
    <m/>
    <m/>
    <n v="600"/>
    <m/>
  </r>
  <r>
    <n v="1744"/>
    <d v="2026-06-05T00:00:00"/>
    <x v="3"/>
    <x v="9"/>
    <s v="Hanamkonda"/>
    <s v="Hub"/>
    <s v="Pistha House Room rent payment by Sudhakar reddy at hanumakonda"/>
    <m/>
    <m/>
    <m/>
    <n v="6371"/>
    <m/>
  </r>
  <r>
    <n v="1745"/>
    <d v="2026-06-05T00:00:00"/>
    <x v="3"/>
    <x v="18"/>
    <s v="Kamareddy"/>
    <s v="Bhiknoor"/>
    <s v="RMc Trip Charges payment by padala bhanu prasad at Bhiknoor,Date:02-06-2026"/>
    <m/>
    <m/>
    <m/>
    <n v="450"/>
    <m/>
  </r>
  <r>
    <n v="1746"/>
    <d v="2026-06-05T00:00:00"/>
    <x v="3"/>
    <x v="68"/>
    <s v="Kamareddy"/>
    <s v="Rajampet"/>
    <s v="Threds-20kg purchased by N Nandakishore at Rajampet"/>
    <m/>
    <m/>
    <m/>
    <n v="400"/>
    <m/>
  </r>
  <r>
    <n v="1747"/>
    <d v="2026-06-05T00:00:00"/>
    <x v="3"/>
    <x v="68"/>
    <s v="Hanamkonda"/>
    <s v="Sangem"/>
    <s v="bl work  labour room purpose meterials purchased by bablu at sangam"/>
    <m/>
    <m/>
    <m/>
    <n v="1015"/>
    <m/>
  </r>
  <r>
    <n v="1748"/>
    <d v="2026-06-05T00:00:00"/>
    <x v="3"/>
    <x v="3"/>
    <s v="Kamareddy"/>
    <s v="Domakonda"/>
    <s v="rl work meterial payment by konireddy Srinivasulu reddy at  domakonda"/>
    <m/>
    <m/>
    <m/>
    <n v="3700"/>
    <m/>
  </r>
  <r>
    <n v="1749"/>
    <d v="2026-06-05T00:00:00"/>
    <x v="3"/>
    <x v="3"/>
    <s v="Kamareddy"/>
    <s v="Domakonda"/>
    <s v="rl work meterial(woven bamboos) purchased by konireddy Srinivasulu reddy at Domakonda date:03-06-2026"/>
    <m/>
    <m/>
    <m/>
    <n v="1800"/>
    <m/>
  </r>
  <r>
    <n v="1750"/>
    <d v="2026-06-05T00:00:00"/>
    <x v="3"/>
    <x v="22"/>
    <s v="Kothagudem"/>
    <s v="Yellandu"/>
    <s v="Labour electrical charges payment through Gandhi at yellandu"/>
    <m/>
    <m/>
    <m/>
    <n v="1550"/>
    <m/>
  </r>
  <r>
    <n v="1751"/>
    <d v="2026-06-05T00:00:00"/>
    <x v="3"/>
    <x v="8"/>
    <s v="Kamareddy"/>
    <s v="Lingampet"/>
    <s v="brick unloding,sand loading,Unloading,iron loading Unloading labour charges payment by g gowri naidu at lingumpet"/>
    <m/>
    <m/>
    <m/>
    <n v="3800"/>
    <m/>
  </r>
  <r>
    <n v="1752"/>
    <d v="2026-06-05T00:00:00"/>
    <x v="3"/>
    <x v="26"/>
    <s v="Kamareddy"/>
    <s v="Domakonda"/>
    <s v="12mm Agreegate purchased by konireddy Srinivasulu reddy at Domakonda"/>
    <s v="12 MM Aggregate"/>
    <n v="4"/>
    <n v="575"/>
    <n v="2300"/>
    <m/>
  </r>
  <r>
    <n v="1753"/>
    <d v="2026-06-05T00:00:00"/>
    <x v="3"/>
    <x v="22"/>
    <s v="Siddipet"/>
    <s v="Mulug"/>
    <s v="Electrical wireand Switch boards Purchased by Budda Suresh at Mulugu"/>
    <m/>
    <m/>
    <m/>
    <n v="900"/>
    <m/>
  </r>
  <r>
    <n v="1754"/>
    <d v="2026-06-05T00:00:00"/>
    <x v="3"/>
    <x v="10"/>
    <s v="Janagaon"/>
    <s v="Tharigoppula"/>
    <s v="TS36TA1891 TRACTOR Diesel Payment"/>
    <s v="Diesel"/>
    <n v="31.25"/>
    <n v="96"/>
    <n v="3000"/>
    <m/>
  </r>
  <r>
    <n v="1755"/>
    <d v="2026-06-05T00:00:00"/>
    <x v="3"/>
    <x v="3"/>
    <s v="Siddipet"/>
    <s v="Doultabad"/>
    <s v="rl meterials purchased by p vinay at doulthabad"/>
    <m/>
    <m/>
    <m/>
    <n v="5860"/>
    <m/>
  </r>
  <r>
    <n v="1756"/>
    <d v="2026-06-05T00:00:00"/>
    <x v="3"/>
    <x v="3"/>
    <s v="Kamareddy"/>
    <s v="Domakonda"/>
    <s v="RL meterials purchased by konireddy Srinivasulu Reddy at Domakonda"/>
    <m/>
    <m/>
    <m/>
    <n v="2850"/>
    <m/>
  </r>
  <r>
    <n v="1757"/>
    <d v="2026-06-05T00:00:00"/>
    <x v="3"/>
    <x v="3"/>
    <s v="Kamareddy"/>
    <s v="Domakonda"/>
    <s v="Brick cutting Saws purchased by konireddy Srinivasulu Reddy at Domakonda"/>
    <m/>
    <m/>
    <m/>
    <n v="1150"/>
    <m/>
  </r>
  <r>
    <n v="1758"/>
    <d v="2026-06-05T00:00:00"/>
    <x v="3"/>
    <x v="8"/>
    <s v="Siddipet"/>
    <s v="RAIPOLE"/>
    <s v="Bricks Unloading labour Charges payment by p vinay yadav for raypole"/>
    <m/>
    <m/>
    <m/>
    <n v="2250"/>
    <m/>
  </r>
  <r>
    <n v="1759"/>
    <d v="2026-06-05T00:00:00"/>
    <x v="3"/>
    <x v="68"/>
    <s v="Siddipet"/>
    <s v="Doultabad"/>
    <s v="Cement,steel,rl meterials purchased by p vinay yadav at Doulthabad"/>
    <m/>
    <m/>
    <m/>
    <n v="22740"/>
    <m/>
  </r>
  <r>
    <n v="1760"/>
    <d v="2026-06-06T00:00:00"/>
    <x v="2"/>
    <x v="14"/>
    <s v="Siddipet"/>
    <s v="Siddipet Rural"/>
    <s v="Cement 100 Bags *265"/>
    <s v="Cement"/>
    <n v="100"/>
    <n v="265"/>
    <n v="26500"/>
    <m/>
  </r>
  <r>
    <n v="1761"/>
    <d v="2026-06-06T00:00:00"/>
    <x v="2"/>
    <x v="28"/>
    <s v="Siddipet"/>
    <s v="Siddipet Rural"/>
    <s v="500 kggs 8 mm"/>
    <m/>
    <m/>
    <m/>
    <n v="29150"/>
    <m/>
  </r>
  <r>
    <n v="1762"/>
    <d v="2026-06-06T00:00:00"/>
    <x v="2"/>
    <x v="8"/>
    <s v="Siddipet"/>
    <s v="Siddipet Rural"/>
    <s v="Loading &amp; Unloading "/>
    <m/>
    <m/>
    <m/>
    <n v="850"/>
    <m/>
  </r>
  <r>
    <n v="1763"/>
    <d v="2026-06-06T00:00:00"/>
    <x v="2"/>
    <x v="28"/>
    <s v="Bhongir"/>
    <s v="Valigonda"/>
    <s v="8 MM 3065KG*58"/>
    <m/>
    <m/>
    <m/>
    <n v="177770"/>
    <m/>
  </r>
  <r>
    <n v="1764"/>
    <d v="2026-06-06T00:00:00"/>
    <x v="2"/>
    <x v="8"/>
    <s v="Bhongir"/>
    <s v="Valigonda"/>
    <s v="Iron loading  &amp; Transport"/>
    <m/>
    <m/>
    <m/>
    <n v="2300"/>
    <m/>
  </r>
  <r>
    <n v="1765"/>
    <d v="2026-06-06T00:00:00"/>
    <x v="3"/>
    <x v="10"/>
    <s v="Hanamkonda"/>
    <s v="Hub"/>
    <s v="AP27UB0957 Tractor Deisel Payment"/>
    <m/>
    <n v="47.708333333333336"/>
    <n v="96"/>
    <n v="4580"/>
    <m/>
  </r>
  <r>
    <n v="1766"/>
    <d v="2026-06-06T00:00:00"/>
    <x v="3"/>
    <x v="10"/>
    <s v="Medak"/>
    <s v="kowdapalli"/>
    <s v="AP23AJ4615 TRACTOR Deisel payment by Bhaskar at kowdapalli"/>
    <m/>
    <n v="41.666666666666664"/>
    <n v="96"/>
    <n v="4000"/>
    <m/>
  </r>
  <r>
    <n v="1767"/>
    <d v="2026-06-06T00:00:00"/>
    <x v="3"/>
    <x v="14"/>
    <s v="Kamareddy"/>
    <s v="Domakonda"/>
    <s v="Cement bags,chemical plates purchased by konireddy srinivasulu reddy at Domakonda"/>
    <s v="Cement"/>
    <n v="10"/>
    <n v="278.5"/>
    <n v="2785"/>
    <m/>
  </r>
  <r>
    <n v="1768"/>
    <d v="2026-06-06T00:00:00"/>
    <x v="3"/>
    <x v="10"/>
    <s v="Kamareddy"/>
    <s v="Domakonda"/>
    <s v="AP39JQ0377 Tractor Deisel"/>
    <m/>
    <n v="40.104166666666664"/>
    <n v="96"/>
    <n v="3850"/>
    <m/>
  </r>
  <r>
    <n v="1769"/>
    <d v="2026-06-06T00:00:00"/>
    <x v="3"/>
    <x v="3"/>
    <s v="Kamareddy"/>
    <s v="Domakonda"/>
    <s v="Tadikalu purchased by konireddy Srinivasulu reddy at domakonda"/>
    <m/>
    <m/>
    <m/>
    <n v="1680"/>
    <m/>
  </r>
  <r>
    <n v="1770"/>
    <d v="2026-06-06T00:00:00"/>
    <x v="3"/>
    <x v="10"/>
    <s v="Hanamkonda"/>
    <s v="Sangem"/>
    <s v="AVS Reddy New Augur Vehical Deisel Payment by Sai at Shapur"/>
    <m/>
    <n v="38.75"/>
    <n v="96"/>
    <n v="3720"/>
    <m/>
  </r>
  <r>
    <n v="1771"/>
    <d v="2026-06-06T00:00:00"/>
    <x v="3"/>
    <x v="26"/>
    <s v="Hanamkonda"/>
    <s v="Parvathagiri"/>
    <s v="6 mm chips purchased by g nagaraju at parvathagiri"/>
    <s v="6 MM Aggregate"/>
    <n v="5"/>
    <n v="556"/>
    <n v="2780"/>
    <m/>
  </r>
  <r>
    <n v="1772"/>
    <d v="2026-06-06T00:00:00"/>
    <x v="3"/>
    <x v="10"/>
    <s v="Mehaboobabad"/>
    <s v="Kothaguda"/>
    <s v="TS 34 T 3804 Shivareddy Auger Vehicle Diesel "/>
    <m/>
    <n v="52.083333333333336"/>
    <n v="96"/>
    <n v="5000"/>
    <m/>
  </r>
  <r>
    <n v="1773"/>
    <d v="2026-06-06T00:00:00"/>
    <x v="3"/>
    <x v="10"/>
    <s v="Siddipet"/>
    <s v="RAIPOLE"/>
    <s v="New Tractor Deisel Payment by angireddy Duegaprassad at rayapole"/>
    <m/>
    <n v="31.25"/>
    <n v="96"/>
    <n v="3000"/>
    <m/>
  </r>
  <r>
    <n v="1774"/>
    <d v="2026-06-06T00:00:00"/>
    <x v="3"/>
    <x v="10"/>
    <s v="Kamareddy"/>
    <s v="Domakonda"/>
    <s v="AP40JW7532 Tractor deisel payment by Konireddy Srinivasulu reddy at Domakonda"/>
    <m/>
    <n v="46.666666666666664"/>
    <n v="96"/>
    <n v="4480"/>
    <m/>
  </r>
  <r>
    <n v="1775"/>
    <d v="2026-06-06T00:00:00"/>
    <x v="3"/>
    <x v="10"/>
    <s v="Bhongir"/>
    <s v="Thurkapally"/>
    <s v="AP40T1195 Tractor Deisel Payment"/>
    <m/>
    <n v="20.833333333333332"/>
    <n v="96"/>
    <n v="2000"/>
    <m/>
  </r>
  <r>
    <n v="1776"/>
    <d v="2026-06-06T00:00:00"/>
    <x v="3"/>
    <x v="68"/>
    <s v="Hanamkonda"/>
    <s v="Hub"/>
    <s v="Waste oil purchased by Sure krishna reddy at Hanumakonda,Date:05-06-2026"/>
    <m/>
    <m/>
    <m/>
    <n v="1750"/>
    <m/>
  </r>
  <r>
    <n v="1777"/>
    <d v="2026-06-06T00:00:00"/>
    <x v="3"/>
    <x v="10"/>
    <s v="Kamareddy"/>
    <s v="Rajampet"/>
    <s v="Venkat rao Augur vehicle Deisel payment by Ch Sreekanth at Rajampeta"/>
    <m/>
    <n v="20.833333333333332"/>
    <n v="96"/>
    <n v="2000"/>
    <m/>
  </r>
  <r>
    <n v="1778"/>
    <d v="2026-06-06T00:00:00"/>
    <x v="3"/>
    <x v="26"/>
    <s v="Kamareddy"/>
    <s v="Domakonda"/>
    <s v="m sand purchased by konireddy srinivasulu reddy at Domakonda"/>
    <s v="Msand"/>
    <n v="4"/>
    <n v="575"/>
    <n v="2300"/>
    <m/>
  </r>
  <r>
    <n v="1779"/>
    <d v="2026-06-06T00:00:00"/>
    <x v="3"/>
    <x v="0"/>
    <s v="Siddipet"/>
    <s v="Siddipet"/>
    <s v="Transport labour Charges siddipet rural 20 members by Dimpi Srivas at siddipet"/>
    <m/>
    <m/>
    <m/>
    <n v="1200"/>
    <m/>
  </r>
  <r>
    <n v="1780"/>
    <d v="2026-06-06T00:00:00"/>
    <x v="3"/>
    <x v="32"/>
    <s v="Medak"/>
    <s v="kowdapalli"/>
    <s v="3 inches nails purchased by y srihari at kowdapalli"/>
    <m/>
    <m/>
    <m/>
    <n v="430"/>
    <m/>
  </r>
  <r>
    <n v="1781"/>
    <d v="2026-06-06T00:00:00"/>
    <x v="3"/>
    <x v="26"/>
    <s v="Kamareddy"/>
    <s v="Domakonda"/>
    <s v="12mm agreegate purchased by konireddy srinivasulu reddy at Domakonda"/>
    <s v="12 MM Aggregate"/>
    <n v="4"/>
    <n v="575"/>
    <n v="2300"/>
    <m/>
  </r>
  <r>
    <n v="1782"/>
    <d v="2026-06-06T00:00:00"/>
    <x v="3"/>
    <x v="9"/>
    <s v="Siddipet"/>
    <s v="Siddipet"/>
    <s v="Murthy labour room rent by dimpi srivas at siddipet"/>
    <m/>
    <m/>
    <m/>
    <n v="3500"/>
    <m/>
  </r>
  <r>
    <n v="1783"/>
    <d v="2026-06-06T00:00:00"/>
    <x v="3"/>
    <x v="68"/>
    <s v="Siddipet"/>
    <s v="Siddipet"/>
    <s v="Water pipes purchased by Krishna reedy labours by p uday reddy at siddipet"/>
    <m/>
    <m/>
    <m/>
    <n v="2320"/>
    <m/>
  </r>
  <r>
    <n v="1784"/>
    <d v="2026-06-06T00:00:00"/>
    <x v="3"/>
    <x v="22"/>
    <s v="Siddipet"/>
    <s v="Siddipet"/>
    <s v="Table fan purchased for krishnareddy labours payment by p udayreddy at siddipet"/>
    <m/>
    <m/>
    <m/>
    <n v="6300"/>
    <m/>
  </r>
  <r>
    <n v="1785"/>
    <d v="2026-06-06T00:00:00"/>
    <x v="3"/>
    <x v="26"/>
    <s v="Siddipet"/>
    <s v="Doultabad"/>
    <s v="Msand"/>
    <s v="Msand"/>
    <n v="23.5"/>
    <n v="744.68085106382978"/>
    <n v="17500"/>
    <m/>
  </r>
  <r>
    <n v="1786"/>
    <d v="2026-06-07T00:00:00"/>
    <x v="2"/>
    <x v="70"/>
    <s v="Hanamkonda"/>
    <s v="Hub"/>
    <s v="murthy"/>
    <m/>
    <m/>
    <m/>
    <n v="200000"/>
    <m/>
  </r>
  <r>
    <n v="1787"/>
    <d v="2026-06-07T00:00:00"/>
    <x v="3"/>
    <x v="10"/>
    <s v="Bhongir"/>
    <s v="Thurkapally"/>
    <s v="TS30TA5073 Tractore deisel payment by g ganesh at vasalamarri"/>
    <m/>
    <n v="10.416666666666666"/>
    <n v="96"/>
    <n v="1000"/>
    <m/>
  </r>
  <r>
    <n v="1788"/>
    <d v="2026-06-07T00:00:00"/>
    <x v="3"/>
    <x v="14"/>
    <s v="Kamareddy"/>
    <s v="Domakonda"/>
    <s v="Cement bags purchased by konireddy Srinivasulu reddy at Domakonda"/>
    <s v="Cement"/>
    <n v="12"/>
    <n v="275.83333333333331"/>
    <n v="3310"/>
    <m/>
  </r>
  <r>
    <n v="1789"/>
    <d v="2026-06-07T00:00:00"/>
    <x v="3"/>
    <x v="10"/>
    <s v="Hanamkonda"/>
    <s v="Hub"/>
    <s v="AP 40 DC 0089 TRACTOR Diesel"/>
    <m/>
    <n v="40.625"/>
    <n v="96"/>
    <n v="3900"/>
    <m/>
  </r>
  <r>
    <n v="1790"/>
    <d v="2026-06-07T00:00:00"/>
    <x v="3"/>
    <x v="5"/>
    <s v="Bhongir"/>
    <s v="Thurkapally"/>
    <s v="Water needs for labour for 20days purchsed by G Ganesh at vasalamarri"/>
    <m/>
    <m/>
    <m/>
    <n v="1500"/>
    <m/>
  </r>
  <r>
    <n v="1791"/>
    <d v="2026-06-07T00:00:00"/>
    <x v="3"/>
    <x v="14"/>
    <s v="Hanamkonda"/>
    <s v="Parvathagiri"/>
    <s v="rmc trip and pump Charges Cement bags purchased by G Nagaraju at ward-17,47,parvathagiri(30-05-2026)"/>
    <s v="Cement"/>
    <n v="2"/>
    <n v="350"/>
    <n v="700"/>
    <m/>
  </r>
  <r>
    <n v="1792"/>
    <d v="2026-06-07T00:00:00"/>
    <x v="3"/>
    <x v="3"/>
    <s v="Medak"/>
    <s v="kowdapalli"/>
    <s v="Bl work meterials Purchased By Venkatrao at Kowdapalli"/>
    <m/>
    <m/>
    <m/>
    <n v="870"/>
    <m/>
  </r>
  <r>
    <n v="1793"/>
    <d v="2026-06-07T00:00:00"/>
    <x v="3"/>
    <x v="3"/>
    <s v="Hanamkonda"/>
    <s v="Kyathamapalle"/>
    <s v="rl work meterials purchased by Sure Srikanth Reddy at Keythampalli"/>
    <m/>
    <m/>
    <m/>
    <n v="4500"/>
    <m/>
  </r>
  <r>
    <n v="1794"/>
    <d v="2026-06-06T00:00:00"/>
    <x v="3"/>
    <x v="26"/>
    <s v="Siddipet"/>
    <s v="Doultabad"/>
    <s v="12 MM "/>
    <s v="12 MM Aggregate"/>
    <n v="23.5"/>
    <n v="744.68085106382978"/>
    <n v="17500"/>
    <m/>
  </r>
  <r>
    <n v="1795"/>
    <d v="2026-06-07T00:00:00"/>
    <x v="3"/>
    <x v="26"/>
    <s v="Kamareddy"/>
    <s v="Domakonda"/>
    <s v="12mm agreegate purchased by konireddy srinivasulu at Domakonda"/>
    <s v="12 MM Aggregate"/>
    <n v="4"/>
    <n v="575"/>
    <n v="2300"/>
    <m/>
  </r>
  <r>
    <n v="1796"/>
    <d v="2026-06-07T00:00:00"/>
    <x v="3"/>
    <x v="32"/>
    <s v="Siddipet"/>
    <s v="Mulug"/>
    <s v="Nails and iron cutting blades purchased by budda suresh at cheelasagar"/>
    <m/>
    <m/>
    <m/>
    <n v="930"/>
    <m/>
  </r>
  <r>
    <n v="1797"/>
    <d v="2026-06-07T00:00:00"/>
    <x v="3"/>
    <x v="22"/>
    <s v="Hanamkonda"/>
    <s v="Kyathamapalle"/>
    <s v="Electricals purchased by rc labour payment by k govindhu at keythampalli"/>
    <m/>
    <m/>
    <m/>
    <n v="1000"/>
    <m/>
  </r>
  <r>
    <n v="1798"/>
    <d v="2026-06-07T00:00:00"/>
    <x v="3"/>
    <x v="18"/>
    <s v="Kamareddy"/>
    <s v="Rajampet"/>
    <s v="RMC trip charges payment by CH sreekanth at rajampeta Date:06-06-2026"/>
    <m/>
    <m/>
    <m/>
    <n v="300"/>
    <m/>
  </r>
  <r>
    <n v="1799"/>
    <d v="2026-06-07T00:00:00"/>
    <x v="3"/>
    <x v="10"/>
    <s v="Kamareddy"/>
    <s v="Lingampet"/>
    <s v="TS17T6540 Tractor Deisel payment by k narendra at lingumpet"/>
    <m/>
    <n v="31.25"/>
    <n v="96"/>
    <n v="3000"/>
    <m/>
  </r>
  <r>
    <n v="1800"/>
    <d v="2026-06-07T00:00:00"/>
    <x v="3"/>
    <x v="26"/>
    <s v="Hanamkonda"/>
    <s v="Parvathagiri"/>
    <s v="6mm chips purchased by G Nagaraju at parvathagiri "/>
    <s v="6 MM Aggregate"/>
    <n v="6"/>
    <n v="644"/>
    <n v="3864"/>
    <m/>
  </r>
  <r>
    <n v="1801"/>
    <d v="2026-06-07T00:00:00"/>
    <x v="3"/>
    <x v="18"/>
    <s v="Warangal"/>
    <s v="Atmakur"/>
    <s v="RMC Trip charges payment by Baddi somesh at Atmakur mdl"/>
    <m/>
    <m/>
    <m/>
    <n v="1000"/>
    <m/>
  </r>
  <r>
    <n v="1802"/>
    <d v="2026-06-07T00:00:00"/>
    <x v="3"/>
    <x v="18"/>
    <s v="Hanamkonda"/>
    <s v="Sangem"/>
    <s v="RMC trip charges payment by bablu date:25th to 1st june"/>
    <m/>
    <m/>
    <m/>
    <n v="1400"/>
    <m/>
  </r>
  <r>
    <n v="1803"/>
    <d v="2026-06-07T00:00:00"/>
    <x v="3"/>
    <x v="10"/>
    <s v="Siddipet"/>
    <s v="Mulug"/>
    <s v="AP40T1195 Tractor Deisel Payment"/>
    <m/>
    <n v="35.416666666666664"/>
    <n v="96"/>
    <n v="3400"/>
    <m/>
  </r>
  <r>
    <n v="1804"/>
    <d v="2026-06-07T00:00:00"/>
    <x v="3"/>
    <x v="26"/>
    <s v="Kamareddy"/>
    <s v="Domakonda"/>
    <s v="Msand"/>
    <s v="Msand"/>
    <n v="4"/>
    <n v="575"/>
    <n v="2300"/>
    <m/>
  </r>
  <r>
    <n v="1805"/>
    <d v="2026-06-07T00:00:00"/>
    <x v="3"/>
    <x v="5"/>
    <s v="Medak"/>
    <s v="kowdapalli"/>
    <s v="site expenses by Bhaskar at Kowdapalli"/>
    <m/>
    <m/>
    <m/>
    <n v="890"/>
    <m/>
  </r>
  <r>
    <n v="1806"/>
    <d v="2026-06-07T00:00:00"/>
    <x v="3"/>
    <x v="8"/>
    <s v="Hanamkonda"/>
    <s v="Hub"/>
    <s v="loading ,Unloading charges payment by Sure krishna reddy in nirmithkendra,at hanumakonda"/>
    <m/>
    <m/>
    <m/>
    <n v="1775"/>
    <m/>
  </r>
  <r>
    <n v="1807"/>
    <d v="2026-06-07T00:00:00"/>
    <x v="3"/>
    <x v="10"/>
    <s v="Hanamkonda"/>
    <s v="Parvathagiri"/>
    <s v="TS25C1579 Tractor Diesel payment"/>
    <m/>
    <n v="20.833333333333332"/>
    <n v="96"/>
    <n v="2000"/>
    <m/>
  </r>
  <r>
    <n v="1808"/>
    <d v="2026-06-07T00:00:00"/>
    <x v="3"/>
    <x v="22"/>
    <s v="Hanamkonda"/>
    <s v="Hub"/>
    <s v="Electricals purchased by Sure Krishna reddy at Hanumakonda"/>
    <m/>
    <m/>
    <m/>
    <n v="1660"/>
    <m/>
  </r>
  <r>
    <n v="1809"/>
    <d v="2026-06-08T00:00:00"/>
    <x v="2"/>
    <x v="9"/>
    <s v="Hanamkonda"/>
    <s v="Hub"/>
    <s v="Signet Sreemavi Apartmrnt"/>
    <m/>
    <m/>
    <m/>
    <n v="35000"/>
    <m/>
  </r>
  <r>
    <n v="1810"/>
    <d v="2026-06-08T00:00:00"/>
    <x v="3"/>
    <x v="5"/>
    <s v="Kamareddy"/>
    <s v="machareddy"/>
    <s v="site expences charges payment by korupolu siva at machareddy date:2 to 6th 2026"/>
    <m/>
    <m/>
    <m/>
    <n v="1690"/>
    <m/>
  </r>
  <r>
    <n v="1811"/>
    <d v="2026-06-08T00:00:00"/>
    <x v="3"/>
    <x v="34"/>
    <s v="Kamareddy"/>
    <s v="machareddy"/>
    <s v="binding wire-25kg,nails purchased  and labour shifing charges   payment by korupolu siva at machareddy date:2 to 6th 2026"/>
    <s v="Binding wire"/>
    <n v="25"/>
    <m/>
    <n v="3200"/>
    <m/>
  </r>
  <r>
    <n v="1812"/>
    <d v="2026-06-08T00:00:00"/>
    <x v="3"/>
    <x v="9"/>
    <s v="Mehaboob Nagar"/>
    <s v="Hanwada"/>
    <s v="mahaboob nagar lodge expences payment by p pavan kumar at mahaboob nagar date:04-06-2026"/>
    <m/>
    <m/>
    <m/>
    <n v="1300"/>
    <m/>
  </r>
  <r>
    <n v="1813"/>
    <d v="2026-06-08T00:00:00"/>
    <x v="3"/>
    <x v="10"/>
    <s v="Medak"/>
    <s v="kowdapalli"/>
    <s v="AP39CT7040 AUGUR VEHICLE DEISEL PAYMENT"/>
    <s v="Diesel"/>
    <n v="52.083333333333336"/>
    <n v="96"/>
    <n v="5000"/>
    <m/>
  </r>
  <r>
    <n v="1814"/>
    <d v="2026-06-08T00:00:00"/>
    <x v="3"/>
    <x v="10"/>
    <s v="Hanamkonda"/>
    <s v="Hub"/>
    <s v="AP26BZ3361 Tractor Deisel payment"/>
    <m/>
    <n v="31.25"/>
    <n v="96"/>
    <n v="3000"/>
    <m/>
  </r>
  <r>
    <n v="1815"/>
    <d v="2026-06-08T00:00:00"/>
    <x v="3"/>
    <x v="10"/>
    <s v="Hanamkonda"/>
    <s v="Hub"/>
    <s v="TS03UB7556  Tractor Diesel"/>
    <m/>
    <n v="37.177083333333336"/>
    <n v="96"/>
    <n v="3569"/>
    <m/>
  </r>
  <r>
    <n v="1816"/>
    <d v="2026-06-08T00:00:00"/>
    <x v="3"/>
    <x v="14"/>
    <s v="Hanamkonda"/>
    <s v="Parvathagiri"/>
    <s v="Cement bags-30  purchased by  g nagaraju at parvathagiri"/>
    <s v="Cement"/>
    <n v="30"/>
    <n v="260"/>
    <n v="7800"/>
    <m/>
  </r>
  <r>
    <n v="1817"/>
    <d v="2026-06-08T00:00:00"/>
    <x v="3"/>
    <x v="3"/>
    <s v="Hanamkonda"/>
    <s v="Parakal"/>
    <s v="Water drums purchased by setti suresh through AVS Reddy at parakala"/>
    <m/>
    <m/>
    <m/>
    <n v="4000"/>
    <m/>
  </r>
  <r>
    <n v="1818"/>
    <d v="2026-06-08T00:00:00"/>
    <x v="3"/>
    <x v="3"/>
    <s v="Hanamkonda"/>
    <s v="Kyathamapalle"/>
    <s v="iron bending rod and nails opurchased by k govind at keythanpalli"/>
    <m/>
    <m/>
    <m/>
    <n v="1280"/>
    <m/>
  </r>
  <r>
    <n v="1819"/>
    <d v="2026-06-08T00:00:00"/>
    <x v="3"/>
    <x v="10"/>
    <s v="Kamareddy"/>
    <s v="Ramareddy"/>
    <s v="venkat rao augur vehicle deisel payment by n nandhakishore at ramareddy"/>
    <m/>
    <n v="20.833333333333332"/>
    <n v="96"/>
    <n v="2000"/>
    <m/>
  </r>
  <r>
    <n v="1820"/>
    <d v="2026-06-07T00:00:00"/>
    <x v="3"/>
    <x v="26"/>
    <s v="Kamareddy"/>
    <s v="Domakonda"/>
    <s v="12 MM "/>
    <s v="12 MM Aggregate"/>
    <n v="4"/>
    <n v="575"/>
    <n v="2300"/>
    <m/>
  </r>
  <r>
    <n v="1821"/>
    <d v="2026-06-08T00:00:00"/>
    <x v="3"/>
    <x v="26"/>
    <s v="Siddipet"/>
    <s v="RAIPOLE"/>
    <s v="m sand purchased by angireddy durgaprasd at rayapole"/>
    <s v="Msand"/>
    <n v="10.06"/>
    <n v="858.84691848906562"/>
    <n v="8640"/>
    <m/>
  </r>
  <r>
    <n v="1822"/>
    <d v="2026-06-08T00:00:00"/>
    <x v="3"/>
    <x v="3"/>
    <s v="Medak"/>
    <s v="kowdapalli"/>
    <s v="rl work meterials payment by y srihari  at kowdap[alli"/>
    <m/>
    <m/>
    <m/>
    <n v="2640"/>
    <m/>
  </r>
  <r>
    <n v="1823"/>
    <d v="2026-06-08T00:00:00"/>
    <x v="3"/>
    <x v="3"/>
    <s v="Siddipet"/>
    <s v="Doultabad"/>
    <s v="rl meterial purchased by p vinay at douthabad"/>
    <m/>
    <m/>
    <m/>
    <n v="7400"/>
    <m/>
  </r>
  <r>
    <n v="1824"/>
    <d v="2026-06-08T00:00:00"/>
    <x v="3"/>
    <x v="34"/>
    <s v="Kamareddy"/>
    <s v="Bhiknoor"/>
    <s v="binding wire-15kg purchased by padala bhanu prasad at bhiknoor"/>
    <s v="Binding wire"/>
    <n v="15"/>
    <m/>
    <n v="1275"/>
    <m/>
  </r>
  <r>
    <n v="1825"/>
    <d v="2026-06-08T00:00:00"/>
    <x v="3"/>
    <x v="10"/>
    <s v="Kamareddy"/>
    <s v="Rajampet"/>
    <s v="AP40JW7532 Tractor deisel payment by Ch Sreekanth at rajampeta"/>
    <m/>
    <n v="41.520833333333336"/>
    <n v="96"/>
    <n v="3986"/>
    <m/>
  </r>
  <r>
    <n v="1826"/>
    <d v="2026-06-08T00:00:00"/>
    <x v="3"/>
    <x v="3"/>
    <s v="Hanamkonda"/>
    <s v="Hub"/>
    <s v="BL meterial,Electricals,cutting blades purchased by Sure krishna reddy at hanumakonda"/>
    <m/>
    <m/>
    <m/>
    <n v="9000"/>
    <m/>
  </r>
  <r>
    <n v="1827"/>
    <d v="2026-06-08T00:00:00"/>
    <x v="3"/>
    <x v="3"/>
    <s v="Siddipet"/>
    <s v="Siddipet"/>
    <s v="rl work meterirals auto charges payment by baddi somesh at siddipet"/>
    <m/>
    <m/>
    <m/>
    <n v="6700"/>
    <m/>
  </r>
  <r>
    <n v="1828"/>
    <d v="2026-06-08T00:00:00"/>
    <x v="3"/>
    <x v="32"/>
    <s v="Kamareddy"/>
    <s v="Rajampet"/>
    <s v="Nails-5kg purchased by ch Sreekanth at rajampet"/>
    <m/>
    <m/>
    <m/>
    <n v="400"/>
    <m/>
  </r>
  <r>
    <n v="1829"/>
    <d v="2026-06-08T00:00:00"/>
    <x v="3"/>
    <x v="10"/>
    <s v="Hanamkonda"/>
    <s v="Kyathamapalle"/>
    <s v="TG25C1529 Tractor Deisel payment by k govindu at Keytghampalli"/>
    <m/>
    <n v="20.833333333333332"/>
    <n v="96"/>
    <n v="2000"/>
    <m/>
  </r>
  <r>
    <n v="1830"/>
    <d v="2026-06-08T00:00:00"/>
    <x v="3"/>
    <x v="10"/>
    <s v="Kamareddy"/>
    <s v="Domakonda"/>
    <s v="AP40KW7346 Tractor deisel payment by konireddy Srinivasulu reddy at Domakonda"/>
    <m/>
    <n v="49.322916666666664"/>
    <n v="96"/>
    <n v="4735"/>
    <m/>
  </r>
  <r>
    <n v="1831"/>
    <d v="2026-06-08T00:00:00"/>
    <x v="3"/>
    <x v="26"/>
    <s v="Medak"/>
    <s v="kowdapalli"/>
    <s v="Robo Sand purchased by Y Srihari at Kowdapalli"/>
    <s v="Msand"/>
    <n v="18.399999999999999"/>
    <n v="844.94565217391312"/>
    <n v="15547"/>
    <m/>
  </r>
  <r>
    <n v="1832"/>
    <d v="2026-06-08T00:00:00"/>
    <x v="3"/>
    <x v="3"/>
    <s v="Medak"/>
    <s v="kowdapalli"/>
    <s v="bl work meterials purchased by G Venkat rao at Kowdapalli"/>
    <m/>
    <m/>
    <m/>
    <n v="890"/>
    <m/>
  </r>
  <r>
    <n v="1833"/>
    <d v="2026-06-08T00:00:00"/>
    <x v="3"/>
    <x v="26"/>
    <s v="Hanamkonda"/>
    <s v="Kyathamapalle"/>
    <s v="40mm agreegate purchased by k govindu at keythampalli"/>
    <s v="40 MM Aggregate"/>
    <n v="7"/>
    <n v="714.28571428571433"/>
    <n v="5000"/>
    <m/>
  </r>
  <r>
    <n v="1834"/>
    <d v="2026-06-08T00:00:00"/>
    <x v="3"/>
    <x v="22"/>
    <s v="Siddipet"/>
    <s v="Mulug"/>
    <s v="Electrical Purchased by Budda Suresh at Cheelasaghar"/>
    <m/>
    <m/>
    <m/>
    <n v="815"/>
    <m/>
  </r>
  <r>
    <n v="1835"/>
    <d v="2026-06-08T00:00:00"/>
    <x v="3"/>
    <x v="26"/>
    <s v="Hanamkonda"/>
    <s v="Parvathagiri"/>
    <s v="robo sand pruchased by G nagaraju at parvathagiri"/>
    <s v="Msand"/>
    <n v="4"/>
    <n v="712.5"/>
    <n v="2850"/>
    <m/>
  </r>
  <r>
    <n v="1836"/>
    <d v="2026-06-08T00:00:00"/>
    <x v="3"/>
    <x v="10"/>
    <s v="Hanamkonda"/>
    <s v="Hub"/>
    <s v="AP39TH0913 DCM Vehical Diesel Payment "/>
    <m/>
    <n v="114.77083333333333"/>
    <n v="96"/>
    <n v="11018"/>
    <m/>
  </r>
  <r>
    <n v="1837"/>
    <d v="2026-06-08T00:00:00"/>
    <x v="3"/>
    <x v="68"/>
    <s v="Kamareddy"/>
    <s v="Domakonda"/>
    <s v="Nails,Ventilators purchased by Konireddy Srinivasulu for domakonda"/>
    <m/>
    <m/>
    <m/>
    <n v="1590"/>
    <m/>
  </r>
  <r>
    <n v="1838"/>
    <d v="2026-06-08T00:00:00"/>
    <x v="3"/>
    <x v="10"/>
    <s v="Kamareddy"/>
    <s v="Bhiknoor"/>
    <s v="AP 40 KE 2834 Tractor Diesel"/>
    <m/>
    <n v="20.833333333333332"/>
    <n v="96"/>
    <n v="2000"/>
    <m/>
  </r>
  <r>
    <n v="1839"/>
    <d v="2026-06-08T00:00:00"/>
    <x v="3"/>
    <x v="22"/>
    <s v="Kamareddy"/>
    <s v="Domakonda"/>
    <s v="Electricals purchased by Konireddy Srinivasulu Reddy at Domakonda For AVS Reddy rl labour"/>
    <m/>
    <m/>
    <m/>
    <n v="250"/>
    <m/>
  </r>
  <r>
    <n v="1840"/>
    <d v="2026-06-09T00:00:00"/>
    <x v="3"/>
    <x v="8"/>
    <s v="Khammam"/>
    <s v="Kamepalli"/>
    <s v="Brick Tractor Loading Unloading labour payment by Site Expences Payment by manikankanta at kamepalli"/>
    <m/>
    <m/>
    <m/>
    <n v="4350"/>
    <m/>
  </r>
  <r>
    <n v="1841"/>
    <d v="2026-06-09T00:00:00"/>
    <x v="3"/>
    <x v="8"/>
    <s v="Hanamkonda"/>
    <s v="Hub"/>
    <s v="Chemical bagfs (275) Unloading charges payment by Sure Krishna reddy at Nirmith kendra Hanumakonda"/>
    <m/>
    <m/>
    <m/>
    <n v="1100"/>
    <m/>
  </r>
  <r>
    <n v="1842"/>
    <d v="2026-06-09T00:00:00"/>
    <x v="3"/>
    <x v="71"/>
    <s v="Hanamkonda"/>
    <s v="Hub"/>
    <s v="water expences for two months (april-may 2026) payment by Sure Krishna reddy at nirmithkendra,hanumakonda"/>
    <m/>
    <m/>
    <m/>
    <n v="9650"/>
    <m/>
  </r>
  <r>
    <n v="1843"/>
    <d v="2026-06-09T00:00:00"/>
    <x v="3"/>
    <x v="10"/>
    <s v="Hanamkonda"/>
    <s v="Hub"/>
    <s v="TS03FE1304  Tractor Diesel Payment"/>
    <m/>
    <n v="39.0625"/>
    <n v="96"/>
    <n v="3750"/>
    <m/>
  </r>
  <r>
    <n v="1844"/>
    <d v="2026-06-09T00:00:00"/>
    <x v="3"/>
    <x v="14"/>
    <s v="Kamareddy"/>
    <s v="Domakonda"/>
    <s v="Cement bags purchased by konireddy Sreenivasulu reddy at Domakonda"/>
    <s v="Cement"/>
    <n v="10"/>
    <n v="256"/>
    <n v="2560"/>
    <m/>
  </r>
  <r>
    <n v="1845"/>
    <d v="2026-06-09T00:00:00"/>
    <x v="3"/>
    <x v="34"/>
    <s v="Hanamkonda"/>
    <s v="Hub"/>
    <s v="Binding wire,Grainder purchased by Sure Krishn a reddy at Hanumakonda for Nirmithkendra"/>
    <s v="Binding wire"/>
    <n v="50"/>
    <m/>
    <n v="4250"/>
    <m/>
  </r>
  <r>
    <n v="1846"/>
    <d v="2026-06-09T00:00:00"/>
    <x v="3"/>
    <x v="3"/>
    <s v="Hanamkonda"/>
    <s v="Kyathamapalle"/>
    <s v="Water Drum purchased by k govind at keythanapalali"/>
    <m/>
    <m/>
    <m/>
    <n v="1000"/>
    <m/>
  </r>
  <r>
    <n v="1847"/>
    <d v="2026-06-09T00:00:00"/>
    <x v="3"/>
    <x v="10"/>
    <s v="Khammam"/>
    <s v="Kamepalli"/>
    <s v="AP39DC3351 Tractor Deisel payment by u manikanta at Kamepalli"/>
    <m/>
    <n v="39.583333333333336"/>
    <n v="96"/>
    <n v="3800"/>
    <m/>
  </r>
  <r>
    <n v="1848"/>
    <d v="2026-06-09T00:00:00"/>
    <x v="3"/>
    <x v="8"/>
    <s v="Siddipet"/>
    <s v="RAIPOLE"/>
    <s v="Brick Unloading labour payment by Angireddy durgaprasad at rayapole"/>
    <m/>
    <m/>
    <m/>
    <n v="3000"/>
    <m/>
  </r>
  <r>
    <n v="1849"/>
    <d v="2026-06-09T00:00:00"/>
    <x v="3"/>
    <x v="14"/>
    <s v="Siddipet"/>
    <s v="RAIPOLE"/>
    <s v="Cement bags purchaseed by Angireddy durgaprasad at rayapole"/>
    <s v="Cement"/>
    <n v="12"/>
    <n v="270.83333333333331"/>
    <n v="3250"/>
    <m/>
  </r>
  <r>
    <n v="1850"/>
    <d v="2026-06-09T00:00:00"/>
    <x v="3"/>
    <x v="3"/>
    <s v="Hanamkonda"/>
    <s v="Hub"/>
    <s v="rl meterials purchased by R Sriramamurthy at hanumakonda  for rl stands"/>
    <m/>
    <m/>
    <m/>
    <n v="42000"/>
    <m/>
  </r>
  <r>
    <n v="1851"/>
    <d v="2026-06-09T00:00:00"/>
    <x v="3"/>
    <x v="26"/>
    <s v="Hanamkonda"/>
    <s v="Bheemadevarapalli"/>
    <s v="Dust purchased by Sameer at bheemdevarapalle"/>
    <s v="Msand"/>
    <n v="4"/>
    <n v="700"/>
    <n v="2800"/>
    <m/>
  </r>
  <r>
    <n v="1852"/>
    <d v="2026-06-09T00:00:00"/>
    <x v="3"/>
    <x v="26"/>
    <s v="Kamareddy"/>
    <s v="Domakonda"/>
    <s v="12mm Agreegate purchased by konireddy Srinivasulu reddy at domakonda"/>
    <s v="12 MM Aggregate"/>
    <n v="4"/>
    <n v="575"/>
    <n v="2300"/>
    <m/>
  </r>
  <r>
    <n v="1853"/>
    <d v="2026-06-09T00:00:00"/>
    <x v="3"/>
    <x v="26"/>
    <s v="Hanamkonda"/>
    <s v="Kyathamapalle"/>
    <s v="40mm agreegate purchased by k govindu at Keythampalli date:08-06-2026"/>
    <s v="40 MM Aggregate"/>
    <n v="4"/>
    <n v="625"/>
    <n v="2500"/>
    <m/>
  </r>
  <r>
    <n v="1854"/>
    <d v="2026-06-09T00:00:00"/>
    <x v="3"/>
    <x v="68"/>
    <s v="Hanamkonda"/>
    <s v="Kyathamapalle"/>
    <s v="rc work meterials purchased by k govindu at keythampalli"/>
    <m/>
    <m/>
    <m/>
    <n v="420"/>
    <m/>
  </r>
  <r>
    <n v="1855"/>
    <d v="2026-06-09T00:00:00"/>
    <x v="3"/>
    <x v="68"/>
    <s v="Hanamkonda"/>
    <s v="Parvathagiri"/>
    <s v="Threds puyrchased by G Nagaraju at parvathagiri for rl work"/>
    <m/>
    <m/>
    <m/>
    <n v="200"/>
    <m/>
  </r>
  <r>
    <n v="1856"/>
    <d v="2026-06-09T00:00:00"/>
    <x v="3"/>
    <x v="18"/>
    <s v="Kamareddy"/>
    <s v="Rajampet"/>
    <s v="RMC TRIP CHARGES PAYMENT BY Ch srrekanth at rajampeta"/>
    <m/>
    <m/>
    <m/>
    <n v="300"/>
    <m/>
  </r>
  <r>
    <n v="1857"/>
    <d v="2026-06-09T00:00:00"/>
    <x v="3"/>
    <x v="26"/>
    <s v="Siddipet"/>
    <s v="Siddipet"/>
    <s v="m sand purchased by Baddi somesh at siddipet"/>
    <s v="Msand"/>
    <n v="24"/>
    <n v="848.33333333333337"/>
    <n v="20360"/>
    <m/>
  </r>
  <r>
    <n v="1858"/>
    <d v="2026-06-09T00:00:00"/>
    <x v="3"/>
    <x v="0"/>
    <s v="Siddipet"/>
    <s v="Siddipet"/>
    <s v="msand,dust shifting vehicle payment and Chemical bags room payment by baddi somesh at siddipet"/>
    <m/>
    <m/>
    <e v="#DIV/0!"/>
    <n v="5000"/>
    <m/>
  </r>
  <r>
    <n v="1859"/>
    <d v="2026-06-09T00:00:00"/>
    <x v="3"/>
    <x v="0"/>
    <s v="Hanamkonda"/>
    <s v="Hub"/>
    <s v="labour shifting hanumakonda to tharigoppula payment by Sriramamurthy"/>
    <m/>
    <m/>
    <m/>
    <n v="2800"/>
    <m/>
  </r>
  <r>
    <n v="1860"/>
    <d v="2026-06-09T00:00:00"/>
    <x v="3"/>
    <x v="3"/>
    <s v="Hanamkonda"/>
    <s v="Hub"/>
    <s v="rl meterials purchased by R Sriramamurthy at hanumakonda"/>
    <m/>
    <m/>
    <m/>
    <n v="50000"/>
    <m/>
  </r>
  <r>
    <n v="1861"/>
    <d v="2026-06-10T00:00:00"/>
    <x v="2"/>
    <x v="62"/>
    <s v="Kamareddy"/>
    <s v="Kamareddy"/>
    <s v="Gunupati Naresh account Sudhakara Sir Monthly"/>
    <m/>
    <m/>
    <m/>
    <n v="200000"/>
    <m/>
  </r>
  <r>
    <n v="1862"/>
    <d v="2026-06-10T00:00:00"/>
    <x v="2"/>
    <x v="1"/>
    <s v="Hanamkonda"/>
    <s v="Hub"/>
    <s v="Ramakrishna Tractors EMI Purpose"/>
    <m/>
    <m/>
    <m/>
    <n v="160000"/>
    <m/>
  </r>
  <r>
    <n v="1863"/>
    <d v="2026-06-10T00:00:00"/>
    <x v="3"/>
    <x v="10"/>
    <s v="Kamareddy"/>
    <s v="Domakonda"/>
    <s v="AP39JQ0377 Tractor Deisel"/>
    <m/>
    <n v="26.041666666666668"/>
    <n v="96"/>
    <n v="2500"/>
    <m/>
  </r>
  <r>
    <n v="1864"/>
    <d v="2026-06-10T00:00:00"/>
    <x v="3"/>
    <x v="14"/>
    <s v="Kamareddy"/>
    <s v="Domakonda"/>
    <s v="Cement bags -20 purchased by konireddy srinivasulu reddy at Domakonda"/>
    <s v="Cement"/>
    <n v="20"/>
    <n v="256"/>
    <n v="5120"/>
    <m/>
  </r>
  <r>
    <n v="1865"/>
    <d v="2026-06-10T00:00:00"/>
    <x v="3"/>
    <x v="10"/>
    <s v="Bhongir"/>
    <s v="Valigonda"/>
    <s v="AP39FC8298 TRACTOR DEISEL PAYMENT "/>
    <m/>
    <n v="31.25"/>
    <n v="96"/>
    <n v="3000"/>
    <m/>
  </r>
  <r>
    <n v="1866"/>
    <d v="2026-06-10T00:00:00"/>
    <x v="3"/>
    <x v="10"/>
    <s v="Bhongir"/>
    <s v="Valigonda"/>
    <s v="TS05UD9131 Tractor Deisel payment by S prasad at valigonda"/>
    <m/>
    <n v="31.25"/>
    <n v="96"/>
    <n v="3000"/>
    <m/>
  </r>
  <r>
    <n v="1867"/>
    <d v="2026-06-10T00:00:00"/>
    <x v="3"/>
    <x v="3"/>
    <s v="Siddipet"/>
    <s v="Mulug"/>
    <s v="Cutting blades,nails purchased by budda suresh at kokkanda"/>
    <m/>
    <m/>
    <m/>
    <n v="1580"/>
    <m/>
  </r>
  <r>
    <n v="1868"/>
    <d v="2026-06-10T00:00:00"/>
    <x v="3"/>
    <x v="3"/>
    <s v="Hanamkonda"/>
    <s v="Hub"/>
    <s v="rl work meterials purchased by Sure krishnareddy at hanumakonda"/>
    <m/>
    <m/>
    <m/>
    <n v="7000"/>
    <m/>
  </r>
  <r>
    <n v="1869"/>
    <d v="2026-06-10T00:00:00"/>
    <x v="3"/>
    <x v="10"/>
    <s v="Kamareddy"/>
    <s v="Lingampet"/>
    <s v="TS17T6540 Tractor Deisel Payment by kottena Surendra at lingumpet"/>
    <m/>
    <n v="31.25"/>
    <n v="96"/>
    <n v="3000"/>
    <m/>
  </r>
  <r>
    <n v="1870"/>
    <d v="2026-06-10T00:00:00"/>
    <x v="3"/>
    <x v="26"/>
    <s v="Medak"/>
    <s v="Narsapur"/>
    <s v="10mm chips payment by y shri hari at narasapur"/>
    <s v="12 MM Aggregate"/>
    <n v="6.5"/>
    <n v="524.61538461538464"/>
    <n v="3410"/>
    <m/>
  </r>
  <r>
    <n v="1871"/>
    <d v="2026-06-10T00:00:00"/>
    <x v="3"/>
    <x v="10"/>
    <s v="Siddipet"/>
    <s v="RAIPOLE"/>
    <s v="New tractor Deisel, payment by angireddy durga prasad at ralopole"/>
    <m/>
    <n v="31.25"/>
    <n v="96"/>
    <n v="3000"/>
    <m/>
  </r>
  <r>
    <n v="1872"/>
    <d v="2026-06-10T00:00:00"/>
    <x v="3"/>
    <x v="26"/>
    <s v="Bhongir"/>
    <s v="Valigonda"/>
    <s v="robo sand purchased by s prasad at valigonda"/>
    <s v="Msand"/>
    <n v="6"/>
    <n v="741.66666666666663"/>
    <n v="4450"/>
    <m/>
  </r>
  <r>
    <n v="1873"/>
    <d v="2026-06-10T00:00:00"/>
    <x v="3"/>
    <x v="26"/>
    <s v="Medak"/>
    <s v="Narsapur"/>
    <s v="10mm agreegate transport charges payment by y srihari at narasapur"/>
    <s v="12 MM Aggregate"/>
    <n v="4"/>
    <n v="500"/>
    <n v="2000"/>
    <m/>
  </r>
  <r>
    <n v="1874"/>
    <d v="2026-06-10T00:00:00"/>
    <x v="3"/>
    <x v="34"/>
    <s v="Kamareddy"/>
    <s v="Ramareddy"/>
    <s v="Binding wire,nails,iron cutting blades purchased by N Nandakishore at ramareddy"/>
    <s v="Binding wire"/>
    <n v="25"/>
    <m/>
    <n v="3200"/>
    <m/>
  </r>
  <r>
    <n v="1875"/>
    <d v="2026-06-10T00:00:00"/>
    <x v="3"/>
    <x v="26"/>
    <s v="Hanamkonda"/>
    <s v="Velair"/>
    <s v="40mm agreegate mixing payment by k govindu ay peddapendyala"/>
    <s v="40 MM Aggregate"/>
    <n v="4"/>
    <n v="625"/>
    <n v="2500"/>
    <m/>
  </r>
  <r>
    <n v="1876"/>
    <d v="2026-06-10T00:00:00"/>
    <x v="3"/>
    <x v="8"/>
    <s v="Medak"/>
    <s v="Narsapur"/>
    <s v="chemical bags-690 unloding labour charges payment by d vishnuvardhanreddy at narasapur"/>
    <m/>
    <m/>
    <m/>
    <n v="4140"/>
    <m/>
  </r>
  <r>
    <n v="1877"/>
    <d v="2026-06-10T00:00:00"/>
    <x v="3"/>
    <x v="10"/>
    <s v="Hanamkonda"/>
    <s v="Bheemadevarapalli"/>
    <s v="TG037489 Tractor Deisel payment by sameer at bheemdevarapalli"/>
    <m/>
    <n v="40.729166666666664"/>
    <n v="96"/>
    <n v="3910"/>
    <m/>
  </r>
  <r>
    <n v="1878"/>
    <d v="2026-06-10T00:00:00"/>
    <x v="3"/>
    <x v="10"/>
    <s v="Hanamkonda"/>
    <s v="Kyathamapalle"/>
    <s v="TS25C1579 Tractor Diesel payment"/>
    <m/>
    <n v="42.708333333333336"/>
    <n v="96"/>
    <n v="4100"/>
    <m/>
  </r>
  <r>
    <n v="1879"/>
    <d v="2026-06-10T00:00:00"/>
    <x v="3"/>
    <x v="0"/>
    <s v="Khammam"/>
    <s v="kamepalli"/>
    <s v="labour shifiting auto charges payment by ghandhi at kamepalli date:06-06-2026,07-06-2026"/>
    <m/>
    <m/>
    <m/>
    <n v="600"/>
    <m/>
  </r>
  <r>
    <n v="1880"/>
    <d v="2026-06-10T00:00:00"/>
    <x v="3"/>
    <x v="18"/>
    <s v="Medak"/>
    <s v="kulcharam"/>
    <s v="rmc trip and pump charges and cement bag purched  payment by  g venkat rao at kulcharam"/>
    <m/>
    <m/>
    <m/>
    <n v="800"/>
    <m/>
  </r>
  <r>
    <n v="1881"/>
    <d v="2026-06-10T00:00:00"/>
    <x v="3"/>
    <x v="26"/>
    <s v="Bhongir"/>
    <s v="Valigonda"/>
    <s v="robo sand purchased by prasad at valigonda"/>
    <s v="Msand"/>
    <n v="5.5"/>
    <n v="800"/>
    <n v="4400"/>
    <m/>
  </r>
  <r>
    <n v="1882"/>
    <d v="2026-06-10T00:00:00"/>
    <x v="3"/>
    <x v="10"/>
    <s v="Hanamkonda"/>
    <s v="Parvathagiri"/>
    <s v="AP27UB0957 Tractor Deisel Payment"/>
    <m/>
    <n v="52.604166666666664"/>
    <n v="96"/>
    <n v="5050"/>
    <m/>
  </r>
  <r>
    <n v="1883"/>
    <d v="2026-06-10T00:00:00"/>
    <x v="3"/>
    <x v="26"/>
    <s v="Medak"/>
    <s v="Narsapur"/>
    <s v="msand purchased by D vishnu varsdhan reddy at narasapur"/>
    <s v="Msand"/>
    <n v="4"/>
    <n v="752.5"/>
    <n v="3010"/>
    <m/>
  </r>
  <r>
    <n v="1884"/>
    <d v="2026-06-10T00:00:00"/>
    <x v="3"/>
    <x v="1"/>
    <s v="Medak"/>
    <s v="Narsapur"/>
    <s v="robo sand  tractor trasport payment by D vishnu vardhan rddy at narasapur"/>
    <m/>
    <m/>
    <m/>
    <n v="2000"/>
    <m/>
  </r>
  <r>
    <n v="1885"/>
    <d v="2026-06-10T00:00:00"/>
    <x v="3"/>
    <x v="68"/>
    <s v="Siddipet"/>
    <s v="RAIPOLE"/>
    <s v="Cement,Steel purchased by Angireddy Durgaprasad at rayapole"/>
    <m/>
    <m/>
    <m/>
    <n v="6970"/>
    <m/>
  </r>
  <r>
    <n v="1886"/>
    <d v="2026-06-10T00:00:00"/>
    <x v="3"/>
    <x v="10"/>
    <s v="Janagaon"/>
    <s v="Palakurthy"/>
    <s v="TS27T6494 tractor Deisel payment by Driver madhushudan reddy at theegram"/>
    <m/>
    <n v="20.833333333333332"/>
    <n v="96"/>
    <n v="2000"/>
    <m/>
  </r>
  <r>
    <n v="1887"/>
    <d v="2026-06-10T00:00:00"/>
    <x v="3"/>
    <x v="49"/>
    <s v="Siddipet"/>
    <s v="Siddipet"/>
    <s v="mous xerox payment by uday at siddipet"/>
    <m/>
    <m/>
    <m/>
    <n v="600"/>
    <m/>
  </r>
  <r>
    <n v="1888"/>
    <d v="2026-06-10T00:00:00"/>
    <x v="3"/>
    <x v="3"/>
    <s v="Siddipet"/>
    <s v="Siddipet"/>
    <s v="rl work meterial purchased by baddi somesh at siddipet"/>
    <m/>
    <m/>
    <m/>
    <n v="1800"/>
    <m/>
  </r>
  <r>
    <n v="1889"/>
    <d v="2026-06-10T00:00:00"/>
    <x v="3"/>
    <x v="18"/>
    <s v="Kamareddy"/>
    <s v="Ramareddy"/>
    <s v="rmc trip charges payment by nanada kishore at ramareddy"/>
    <m/>
    <m/>
    <m/>
    <n v="300"/>
    <m/>
  </r>
  <r>
    <n v="1890"/>
    <d v="2026-06-11T00:00:00"/>
    <x v="2"/>
    <x v="1"/>
    <s v="Hanamkonda"/>
    <s v="Hub"/>
    <s v="Vamsi Tractor 1290 rupess Per Day"/>
    <m/>
    <m/>
    <m/>
    <n v="18350"/>
    <m/>
  </r>
  <r>
    <n v="1891"/>
    <d v="2026-06-11T00:00:00"/>
    <x v="2"/>
    <x v="10"/>
    <s v="Hanamkonda"/>
    <s v="Hub"/>
    <s v="AP 39 UQ 7044 Eicher Diesel"/>
    <m/>
    <n v="139.38218750000001"/>
    <n v="96"/>
    <n v="13380.69"/>
    <m/>
  </r>
  <r>
    <n v="1892"/>
    <d v="2026-06-11T00:00:00"/>
    <x v="2"/>
    <x v="14"/>
    <s v="Hanamkonda"/>
    <s v="Hub"/>
    <s v="Cement Bags 100*260"/>
    <s v="Cement"/>
    <n v="100"/>
    <n v="260"/>
    <n v="26000"/>
    <m/>
  </r>
  <r>
    <n v="1893"/>
    <d v="2026-06-11T00:00:00"/>
    <x v="2"/>
    <x v="28"/>
    <s v="Hanamkonda"/>
    <s v="Hub"/>
    <s v="8 MM 846 KGS"/>
    <m/>
    <m/>
    <m/>
    <n v="49068"/>
    <m/>
  </r>
  <r>
    <n v="1894"/>
    <d v="2026-06-11T00:00:00"/>
    <x v="2"/>
    <x v="8"/>
    <s v="Hanamkonda"/>
    <s v="Hub"/>
    <s v="Loading &amp; Unloading "/>
    <m/>
    <m/>
    <m/>
    <n v="49068"/>
    <m/>
  </r>
  <r>
    <n v="1895"/>
    <d v="2026-06-11T00:00:00"/>
    <x v="3"/>
    <x v="26"/>
    <s v="Hanamkonda"/>
    <s v="Velair"/>
    <s v="40mm agreegate mixing payment by k govindu at peddapendyala date:10-06-2026"/>
    <s v="40 MM Aggregate"/>
    <n v="4"/>
    <n v="625"/>
    <n v="2500"/>
    <m/>
  </r>
  <r>
    <n v="1896"/>
    <d v="2026-06-11T00:00:00"/>
    <x v="3"/>
    <x v="10"/>
    <s v="Kamareddy"/>
    <s v="Bhiknoor"/>
    <s v="venkat rao augur vehicle deisel payment by padalabhanu prasad at bhiknoor"/>
    <m/>
    <n v="20.833333333333332"/>
    <n v="96"/>
    <n v="2000"/>
    <m/>
  </r>
  <r>
    <n v="1897"/>
    <d v="2026-06-11T00:00:00"/>
    <x v="3"/>
    <x v="9"/>
    <s v="Kamareddy"/>
    <s v="Lingampet"/>
    <s v="room rent advance(4000/-),room rent (4000/-) for two months(may,june-2026) payment by kottena narendra at lingumpet"/>
    <m/>
    <m/>
    <m/>
    <n v="8000"/>
    <m/>
  </r>
  <r>
    <n v="1898"/>
    <d v="2026-06-11T00:00:00"/>
    <x v="3"/>
    <x v="8"/>
    <s v="Kamareddy"/>
    <s v="Domakonda"/>
    <s v="Site Expenses(brick loading and Unloading) labour charegs  by konireddy Srinivasulureddy at Domakonda"/>
    <m/>
    <m/>
    <m/>
    <n v="3300"/>
    <m/>
  </r>
  <r>
    <n v="1899"/>
    <d v="2026-06-11T00:00:00"/>
    <x v="3"/>
    <x v="18"/>
    <s v="Hanamkonda"/>
    <s v="Parvathagiri"/>
    <s v="rmc trip and pump charges and cement bag purchased payment  by g nagaraju at parvathagiri at parvathagiri Date:08-06-2026 "/>
    <m/>
    <m/>
    <m/>
    <n v="550"/>
    <m/>
  </r>
  <r>
    <n v="1900"/>
    <d v="2026-06-11T00:00:00"/>
    <x v="3"/>
    <x v="10"/>
    <s v="Hanamkonda"/>
    <s v="Parvathagiri"/>
    <s v="TS24A4224 Tractor Deisel payment by G nagaraju at parvathagiri"/>
    <m/>
    <n v="20.833333333333332"/>
    <n v="96"/>
    <n v="2000"/>
    <m/>
  </r>
  <r>
    <n v="1901"/>
    <d v="2026-06-11T00:00:00"/>
    <x v="3"/>
    <x v="68"/>
    <s v="Siddipet"/>
    <s v="mulugu"/>
    <s v="wood cutting blades purchased by byudda suresh at kokkonda"/>
    <m/>
    <m/>
    <m/>
    <n v="500"/>
    <m/>
  </r>
  <r>
    <n v="1902"/>
    <d v="2026-06-11T00:00:00"/>
    <x v="3"/>
    <x v="8"/>
    <s v="Hanamkonda"/>
    <s v="Hub"/>
    <s v="nirmithkendra site work payment by Sure Krishna reddy at hanumakonda,date:08-06-2026"/>
    <m/>
    <m/>
    <m/>
    <n v="3280"/>
    <m/>
  </r>
  <r>
    <n v="1903"/>
    <d v="2026-06-11T00:00:00"/>
    <x v="3"/>
    <x v="10"/>
    <s v="Kamareddy"/>
    <s v="Domakonda"/>
    <s v="AP40KW7346 Tractor Deisel payment by konireddy srinivasulu reddy at Domakonda"/>
    <m/>
    <n v="47.770833333333336"/>
    <n v="96"/>
    <n v="4586"/>
    <m/>
  </r>
  <r>
    <n v="1904"/>
    <d v="2026-06-11T00:00:00"/>
    <x v="3"/>
    <x v="68"/>
    <s v="Siddipet"/>
    <s v="RAIPOLE"/>
    <s v="cement,steel meterials payment by Angireddy Durga prasad at rayapole"/>
    <m/>
    <m/>
    <m/>
    <n v="7290"/>
    <m/>
  </r>
  <r>
    <n v="1905"/>
    <d v="2026-06-11T00:00:00"/>
    <x v="3"/>
    <x v="14"/>
    <s v="Kamareddy"/>
    <s v="Domakonda"/>
    <s v="Cement bags-10 purchased by konireddy srinivasulu reddy at domakonda"/>
    <s v="Cement"/>
    <n v="10"/>
    <n v="256"/>
    <n v="2560"/>
    <m/>
  </r>
  <r>
    <n v="1906"/>
    <d v="2026-06-11T00:00:00"/>
    <x v="3"/>
    <x v="32"/>
    <s v="Medak"/>
    <s v="kowdapalli"/>
    <s v="Nails purchased by Bhaskar at Kowdapalli"/>
    <m/>
    <m/>
    <m/>
    <n v="670"/>
    <m/>
  </r>
  <r>
    <n v="1907"/>
    <d v="2026-06-11T00:00:00"/>
    <x v="3"/>
    <x v="34"/>
    <s v="Siddipet"/>
    <s v="Thoguta"/>
    <s v="Binding wire-25kg  purchased by  g gowri naidu at thoguta"/>
    <s v="Binding wire"/>
    <n v="25"/>
    <m/>
    <n v="2175"/>
    <m/>
  </r>
  <r>
    <n v="1908"/>
    <d v="2026-06-11T00:00:00"/>
    <x v="3"/>
    <x v="26"/>
    <s v="Hanamkonda"/>
    <s v="Parvathagiri"/>
    <s v="Dust,6mm chips purchased by  G Nagaraju at parvathagiri"/>
    <s v="Msand &amp; 6 mm miX"/>
    <n v="8"/>
    <n v="583.125"/>
    <n v="4665"/>
    <m/>
  </r>
  <r>
    <n v="1909"/>
    <d v="2026-06-11T00:00:00"/>
    <x v="3"/>
    <x v="26"/>
    <s v="Hanamkonda"/>
    <s v="Parvathagiri"/>
    <s v="Dust,6mm chips purchased by  G Nagaraju at parvathagiri"/>
    <s v="Msand &amp; 6 mm miX"/>
    <n v="15"/>
    <n v="563"/>
    <n v="8445"/>
    <m/>
  </r>
  <r>
    <n v="1910"/>
    <d v="2026-06-11T00:00:00"/>
    <x v="3"/>
    <x v="14"/>
    <s v="Hanamkonda"/>
    <s v="Parvathagiri"/>
    <s v="cement bags-19 purchased by G nagaraju at parvathagiri"/>
    <s v="Cement"/>
    <n v="19"/>
    <n v="260"/>
    <n v="4940"/>
    <m/>
  </r>
  <r>
    <n v="1911"/>
    <d v="2026-06-11T00:00:00"/>
    <x v="3"/>
    <x v="8"/>
    <s v="Siddipet"/>
    <s v="Doultabad"/>
    <s v="Chemical bags-275 Unloading labour charges payment by p vinay yadav at Doulthabad"/>
    <m/>
    <m/>
    <m/>
    <n v="1375"/>
    <m/>
  </r>
  <r>
    <n v="1912"/>
    <d v="2026-06-11T00:00:00"/>
    <x v="3"/>
    <x v="9"/>
    <s v="Siddipet"/>
    <s v="Siddipet Rural"/>
    <s v="supervisiors new room rent  payment by baddi somesh at pullur,siddipet"/>
    <m/>
    <m/>
    <m/>
    <n v="2800"/>
    <m/>
  </r>
  <r>
    <n v="1913"/>
    <d v="2026-06-11T00:00:00"/>
    <x v="3"/>
    <x v="8"/>
    <s v="Siddipet"/>
    <s v="Siddipet Rural"/>
    <s v="labour unloding charges  payment by baddi somesh at pullur,siddipet"/>
    <m/>
    <m/>
    <m/>
    <n v="6750"/>
    <m/>
  </r>
  <r>
    <n v="1914"/>
    <d v="2026-06-11T00:00:00"/>
    <x v="3"/>
    <x v="3"/>
    <s v="Siddipet"/>
    <s v="Thoguta"/>
    <s v="bl work meterials payment by gandikota raju thourgh g gowri naidu at thoguta  mdl"/>
    <m/>
    <m/>
    <m/>
    <n v="1370"/>
    <m/>
  </r>
  <r>
    <n v="1915"/>
    <d v="2026-06-11T00:00:00"/>
    <x v="3"/>
    <x v="10"/>
    <s v="Siddipet"/>
    <s v="RAIPOLE"/>
    <s v="New local Tractor Deisel payment by Angireddy Durgaprasad at rayapole,Siddipet"/>
    <m/>
    <n v="31.25"/>
    <n v="96"/>
    <n v="3000"/>
    <m/>
  </r>
  <r>
    <n v="1916"/>
    <d v="2026-06-11T00:00:00"/>
    <x v="3"/>
    <x v="8"/>
    <s v="Hanamkonda"/>
    <s v="Kyathamapalle"/>
    <s v="Centring shifting in keythampalli blocks loading shifting keythampalli to peechara payment by k govindu date:05-06-2026"/>
    <m/>
    <m/>
    <m/>
    <n v="1100"/>
    <m/>
  </r>
  <r>
    <n v="1917"/>
    <d v="2026-06-11T00:00:00"/>
    <x v="3"/>
    <x v="68"/>
    <s v="Siddipet"/>
    <s v="RAIPOLE"/>
    <s v="Cement,steel purchased by angireddy durgaprasad at rayapole"/>
    <m/>
    <m/>
    <m/>
    <n v="12590"/>
    <m/>
  </r>
  <r>
    <n v="1918"/>
    <d v="2026-06-11T00:00:00"/>
    <x v="3"/>
    <x v="10"/>
    <s v="Hanamkonda"/>
    <s v="Kyathamapalle"/>
    <s v="TS25C1579 Tractor Diesel payment"/>
    <m/>
    <n v="10.416666666666666"/>
    <n v="96"/>
    <n v="1000"/>
    <m/>
  </r>
  <r>
    <n v="1919"/>
    <d v="2026-06-11T00:00:00"/>
    <x v="3"/>
    <x v="68"/>
    <s v="Hanamkonda"/>
    <s v="Kyathamapalle"/>
    <s v="paralu,ventilators purchased by k govindu date:06-06-2026"/>
    <m/>
    <m/>
    <m/>
    <n v="1060"/>
    <m/>
  </r>
  <r>
    <n v="1920"/>
    <d v="2026-06-11T00:00:00"/>
    <x v="3"/>
    <x v="72"/>
    <s v="Hanamkonda"/>
    <s v="Hub"/>
    <s v="Resort advance payment by dimpu srivas at hanumakonda"/>
    <m/>
    <m/>
    <m/>
    <n v="10000"/>
    <m/>
  </r>
  <r>
    <n v="1921"/>
    <d v="2026-06-11T00:00:00"/>
    <x v="3"/>
    <x v="10"/>
    <s v="Hanamkonda"/>
    <s v="Parvathagiri"/>
    <s v="AP 40 DC 0089 TRACTOR Diesel"/>
    <m/>
    <n v="65.1875"/>
    <n v="96"/>
    <n v="6258"/>
    <m/>
  </r>
  <r>
    <n v="1922"/>
    <d v="2026-06-12T00:00:00"/>
    <x v="2"/>
    <x v="10"/>
    <s v="Medak"/>
    <s v="Narsapur"/>
    <s v="Tractor Diesel"/>
    <m/>
    <n v="10.416666666666666"/>
    <n v="96"/>
    <n v="1000"/>
    <m/>
  </r>
  <r>
    <n v="1923"/>
    <d v="2026-06-12T00:00:00"/>
    <x v="2"/>
    <x v="9"/>
    <s v="Hanamkonda"/>
    <s v="Hub"/>
    <s v="Signet Sreemavi Apartmrnt"/>
    <m/>
    <m/>
    <m/>
    <n v="42000"/>
    <m/>
  </r>
  <r>
    <n v="1924"/>
    <d v="2026-06-12T00:00:00"/>
    <x v="2"/>
    <x v="9"/>
    <s v="Siddipet"/>
    <s v="Siddipet"/>
    <s v="Mou Team Room Rent"/>
    <m/>
    <m/>
    <m/>
    <n v="10000"/>
    <m/>
  </r>
  <r>
    <n v="1925"/>
    <d v="2026-06-12T00:00:00"/>
    <x v="3"/>
    <x v="14"/>
    <s v="Medak"/>
    <s v="Narsapur"/>
    <s v="Cement bags -10 purchased by y srihari at narasapur for rl work"/>
    <s v="Cement"/>
    <n v="10"/>
    <n v="275"/>
    <n v="2750"/>
    <m/>
  </r>
  <r>
    <n v="1926"/>
    <d v="2026-06-12T00:00:00"/>
    <x v="3"/>
    <x v="8"/>
    <s v="Medak"/>
    <s v="Narsapur"/>
    <s v="Brick Unloading labour charges payment by D vishnu vardhan reddy at Narapur"/>
    <m/>
    <m/>
    <m/>
    <n v="2200"/>
    <m/>
  </r>
  <r>
    <n v="1927"/>
    <d v="2026-06-12T00:00:00"/>
    <x v="3"/>
    <x v="10"/>
    <s v="Medak"/>
    <s v="Narsapur"/>
    <s v="TS35T2387 Tractor Deisel payment by y shrihari at narasapur"/>
    <m/>
    <n v="35.416666666666664"/>
    <n v="96"/>
    <n v="3400"/>
    <m/>
  </r>
  <r>
    <n v="1928"/>
    <d v="2026-06-12T00:00:00"/>
    <x v="3"/>
    <x v="10"/>
    <s v="Kamareddy"/>
    <s v="Ramareddy"/>
    <s v="AP 40 KE 2834 Tractor Diesel"/>
    <m/>
    <n v="20.833333333333332"/>
    <n v="96"/>
    <n v="2000"/>
    <m/>
  </r>
  <r>
    <n v="1929"/>
    <d v="2026-06-12T00:00:00"/>
    <x v="3"/>
    <x v="10"/>
    <s v="Siddipet"/>
    <s v="Mulug"/>
    <s v="AP40T1195 Tractor Deisel Payment"/>
    <m/>
    <n v="36.458333333333336"/>
    <n v="96"/>
    <n v="3500"/>
    <m/>
  </r>
  <r>
    <n v="1930"/>
    <d v="2026-06-12T00:00:00"/>
    <x v="3"/>
    <x v="3"/>
    <s v="Medak"/>
    <s v="Narsapur"/>
    <s v="Chemical mixing Buckets -4 purchased by y srihari at Narasapur"/>
    <m/>
    <m/>
    <m/>
    <n v="560"/>
    <m/>
  </r>
  <r>
    <n v="1931"/>
    <d v="2026-06-12T00:00:00"/>
    <x v="3"/>
    <x v="3"/>
    <s v="Medak"/>
    <s v="Narsapur"/>
    <s v="rl work meterials purchased by y shrihari at narasapur "/>
    <m/>
    <m/>
    <m/>
    <n v="1240"/>
    <m/>
  </r>
  <r>
    <n v="1932"/>
    <d v="2026-06-12T00:00:00"/>
    <x v="3"/>
    <x v="8"/>
    <s v="Siddipet"/>
    <s v="RAIPOLE"/>
    <s v="Bricks Unloading labour charges payment by angireddy Durga prasad at kothpalli,rayapole Dt:11-06-2026"/>
    <m/>
    <m/>
    <m/>
    <n v="3600"/>
    <m/>
  </r>
  <r>
    <n v="1933"/>
    <d v="2026-06-12T00:00:00"/>
    <x v="3"/>
    <x v="10"/>
    <s v="Kamareddy"/>
    <s v="Rajampet"/>
    <s v="AP40JW7532 Tractor deisel p[ayment by ch Sreekanth at rajampet"/>
    <m/>
    <n v="31.25"/>
    <n v="96"/>
    <n v="3000"/>
    <m/>
  </r>
  <r>
    <n v="1934"/>
    <d v="2026-06-12T00:00:00"/>
    <x v="3"/>
    <x v="73"/>
    <s v="Hanamkonda"/>
    <s v="Hub"/>
    <s v="Tolgate charges payment by dimpi Srivas at Hanumakonda"/>
    <m/>
    <m/>
    <m/>
    <n v="500"/>
    <m/>
  </r>
  <r>
    <n v="1935"/>
    <d v="2026-06-13T00:00:00"/>
    <x v="2"/>
    <x v="72"/>
    <s v="Hanamkonda"/>
    <s v="Hub"/>
    <s v="Food Ingredients"/>
    <m/>
    <m/>
    <m/>
    <n v="7870"/>
    <m/>
  </r>
  <r>
    <n v="1936"/>
    <d v="2026-06-13T00:00:00"/>
    <x v="2"/>
    <x v="9"/>
    <s v="Siddipet"/>
    <s v="Siddipet"/>
    <s v="Room Maintainance for Siddipet Room"/>
    <m/>
    <m/>
    <m/>
    <n v="2500"/>
    <m/>
  </r>
  <r>
    <n v="1937"/>
    <d v="2026-06-13T00:00:00"/>
    <x v="2"/>
    <x v="74"/>
    <s v="Hanamkonda"/>
    <s v="Hanamkonda"/>
    <s v="Wifi Bill may"/>
    <m/>
    <m/>
    <m/>
    <n v="607"/>
    <m/>
  </r>
  <r>
    <n v="1938"/>
    <d v="2026-06-13T00:00:00"/>
    <x v="2"/>
    <x v="10"/>
    <s v="Hanamkonda"/>
    <s v="Hub"/>
    <s v="Tractor Diesel"/>
    <m/>
    <n v="31.25"/>
    <n v="96"/>
    <n v="3000"/>
    <m/>
  </r>
  <r>
    <n v="1939"/>
    <d v="2026-06-13T00:00:00"/>
    <x v="2"/>
    <x v="72"/>
    <s v="Hanamkonda"/>
    <s v="Hub"/>
    <s v="For Pottel To Suresh"/>
    <m/>
    <m/>
    <m/>
    <n v="26000"/>
    <m/>
  </r>
  <r>
    <n v="1940"/>
    <d v="2026-06-13T00:00:00"/>
    <x v="3"/>
    <x v="26"/>
    <s v="Hanamkonda"/>
    <s v="Parvathagiri"/>
    <s v="Dust purchased by G Nagaraju at parvathagiri dt:12-06-2026"/>
    <s v="Msand"/>
    <n v="8"/>
    <n v="539"/>
    <n v="4312"/>
    <m/>
  </r>
  <r>
    <n v="1941"/>
    <d v="2026-06-13T00:00:00"/>
    <x v="3"/>
    <x v="10"/>
    <s v="Hanamkonda"/>
    <s v="Sangem"/>
    <s v="AP 39 WB 2967 Tractor Diesel"/>
    <m/>
    <n v="46.052083333333336"/>
    <n v="96"/>
    <n v="4421"/>
    <m/>
  </r>
  <r>
    <n v="1942"/>
    <d v="2026-06-13T00:00:00"/>
    <x v="3"/>
    <x v="14"/>
    <s v="Hanamkonda"/>
    <s v="Parvathagiri"/>
    <s v="Cement bags purchased by g nagaraju at parvathagiri dt:12-06-2026"/>
    <s v="Cement"/>
    <n v="20"/>
    <n v="260"/>
    <n v="5200"/>
    <m/>
  </r>
  <r>
    <n v="1943"/>
    <d v="2026-06-13T00:00:00"/>
    <x v="3"/>
    <x v="3"/>
    <s v="Siddipet"/>
    <s v="Siddipet Rural"/>
    <s v="Tadikalu purchased by somesh at pullur"/>
    <m/>
    <m/>
    <m/>
    <n v="560"/>
    <m/>
  </r>
  <r>
    <n v="1944"/>
    <d v="2026-06-13T00:00:00"/>
    <x v="3"/>
    <x v="2"/>
    <s v="Hanamkonda"/>
    <s v="Parakal"/>
    <s v="waste oil -20 lits purchased by setti suresh at parkala"/>
    <m/>
    <m/>
    <m/>
    <n v="1000"/>
    <m/>
  </r>
  <r>
    <n v="1945"/>
    <d v="2026-06-13T00:00:00"/>
    <x v="3"/>
    <x v="68"/>
    <s v="Siddipet"/>
    <s v="RAIPOLE"/>
    <s v="cement steel purchased byAngireddy durgaprasad at rayapole"/>
    <m/>
    <m/>
    <m/>
    <n v="7470"/>
    <m/>
  </r>
  <r>
    <n v="1946"/>
    <d v="2026-06-13T00:00:00"/>
    <x v="3"/>
    <x v="7"/>
    <s v="Medak"/>
    <s v="kowdapalli"/>
    <s v="runners purchased by bhaskar at kowdapalli for bl work"/>
    <m/>
    <m/>
    <m/>
    <n v="5200"/>
    <m/>
  </r>
  <r>
    <n v="1947"/>
    <d v="2026-06-13T00:00:00"/>
    <x v="3"/>
    <x v="10"/>
    <s v="Siddipet"/>
    <s v="Siddipet Rural"/>
    <s v="TS21T6869 Tractor deisel payment by Baddi somesh at pullur"/>
    <m/>
    <n v="42.197916666666664"/>
    <n v="96"/>
    <n v="4051"/>
    <m/>
  </r>
  <r>
    <n v="1948"/>
    <d v="2026-06-13T00:00:00"/>
    <x v="3"/>
    <x v="3"/>
    <s v="Hanamkonda"/>
    <s v="Parvathagiri"/>
    <s v="rl work meterials purchased by g nagaraju at parvathagiri dt:13-06-2026"/>
    <m/>
    <m/>
    <m/>
    <n v="2700"/>
    <m/>
  </r>
  <r>
    <n v="1949"/>
    <d v="2026-06-13T00:00:00"/>
    <x v="3"/>
    <x v="18"/>
    <s v="Medak"/>
    <s v="kowdapalli"/>
    <s v="steel,cutting blades ,rmc trip charges paymeny by bhaskar at kowdapalli"/>
    <m/>
    <m/>
    <m/>
    <n v="400"/>
    <m/>
  </r>
  <r>
    <n v="1950"/>
    <d v="2026-06-13T00:00:00"/>
    <x v="3"/>
    <x v="5"/>
    <s v="Siddipet"/>
    <s v="Doultabad"/>
    <s v="site expenses payment by p vinay at doulthabad"/>
    <m/>
    <m/>
    <m/>
    <n v="2100"/>
    <m/>
  </r>
  <r>
    <n v="1951"/>
    <d v="2026-06-13T00:00:00"/>
    <x v="3"/>
    <x v="14"/>
    <s v="Kamareddy"/>
    <s v="Domakonda"/>
    <s v="Cement bags-5 purchased by konireddy srinivasulu reddy at domakonda dt:12-06-2026"/>
    <s v="Cement"/>
    <n v="5"/>
    <n v="255"/>
    <n v="1275"/>
    <m/>
  </r>
  <r>
    <n v="1952"/>
    <d v="2026-06-13T00:00:00"/>
    <x v="3"/>
    <x v="14"/>
    <s v="Kamareddy"/>
    <s v="Domakonda"/>
    <s v="Cement bags-10 purchased by konireddy serinivasulu reddy at Domakonda"/>
    <s v="Cement"/>
    <n v="10"/>
    <n v="256"/>
    <n v="2560"/>
    <m/>
  </r>
  <r>
    <n v="1953"/>
    <d v="2026-06-13T00:00:00"/>
    <x v="3"/>
    <x v="10"/>
    <s v="Kamareddy"/>
    <s v="Domakonda"/>
    <s v="AP39JQ0377 Tractor Deisel"/>
    <m/>
    <n v="26.041666666666668"/>
    <n v="96"/>
    <n v="2500"/>
    <m/>
  </r>
  <r>
    <n v="1954"/>
    <d v="2026-06-13T00:00:00"/>
    <x v="3"/>
    <x v="10"/>
    <s v="Medak"/>
    <s v="kowdapalli"/>
    <s v="AP39CT7040 AUGUR VEHICLE DEISEL PAYMENT"/>
    <s v="Diesel"/>
    <n v="36.458333333333336"/>
    <n v="96"/>
    <n v="3500"/>
    <m/>
  </r>
  <r>
    <n v="1955"/>
    <d v="2026-06-13T00:00:00"/>
    <x v="3"/>
    <x v="68"/>
    <s v="Hanamkonda"/>
    <s v="Hub"/>
    <s v="Rc work  meterials payment by AVS reddy at Hanumakonda"/>
    <m/>
    <m/>
    <m/>
    <n v="12060"/>
    <m/>
  </r>
  <r>
    <n v="1956"/>
    <d v="2026-06-13T00:00:00"/>
    <x v="3"/>
    <x v="9"/>
    <s v="Siddipet"/>
    <s v="Doultabad"/>
    <s v="room advance payment by p vinay yadav at douthabad"/>
    <m/>
    <m/>
    <m/>
    <n v="3500"/>
    <m/>
  </r>
  <r>
    <n v="1957"/>
    <d v="2026-06-13T00:00:00"/>
    <x v="3"/>
    <x v="10"/>
    <s v="Hanamkonda"/>
    <s v="Sangem"/>
    <s v="AP5315AC Augur vehicle deisel payment by hanumanth at sangem"/>
    <m/>
    <n v="49.46875"/>
    <n v="96"/>
    <n v="4749"/>
    <m/>
  </r>
  <r>
    <n v="1958"/>
    <d v="2026-06-13T00:00:00"/>
    <x v="3"/>
    <x v="3"/>
    <s v="Kamareddy"/>
    <s v="Domakonda"/>
    <s v="tarpalin purchased by konireddy srinivasulu reddy at Domakonda through AVSReddy"/>
    <m/>
    <m/>
    <m/>
    <n v="1200"/>
    <m/>
  </r>
  <r>
    <n v="1959"/>
    <d v="2026-06-13T00:00:00"/>
    <x v="3"/>
    <x v="26"/>
    <s v="Hanamkonda"/>
    <s v="Hub"/>
    <s v="Robo sand purchased by surekrishna reddy  thougu G suresh at hanumakonda"/>
    <s v="Msand"/>
    <n v="8"/>
    <n v="750"/>
    <n v="6000"/>
    <m/>
  </r>
  <r>
    <n v="1960"/>
    <d v="2026-06-13T00:00:00"/>
    <x v="3"/>
    <x v="14"/>
    <s v="Hanamkonda"/>
    <s v="Hub"/>
    <s v="Cement-10kg sunnam-0.5kg  purchased by Sure krishna reddy at Krishna reddy at hanumakonda dt:09-06-2026"/>
    <s v="Cement"/>
    <n v="1"/>
    <m/>
    <n v="460"/>
    <m/>
  </r>
  <r>
    <n v="1961"/>
    <d v="2026-06-13T00:00:00"/>
    <x v="3"/>
    <x v="4"/>
    <s v="Hanamkonda"/>
    <s v="Hub"/>
    <s v="Biryani packets -34 for supervisiors for nirmal forms resort"/>
    <m/>
    <m/>
    <m/>
    <n v="3400"/>
    <m/>
  </r>
  <r>
    <n v="1962"/>
    <d v="2026-06-14T00:00:00"/>
    <x v="2"/>
    <x v="4"/>
    <s v="Hanamkonda"/>
    <s v="Hub"/>
    <s v="Resort Expenses"/>
    <m/>
    <m/>
    <m/>
    <n v="455"/>
    <m/>
  </r>
  <r>
    <n v="1963"/>
    <d v="2026-06-14T00:00:00"/>
    <x v="2"/>
    <x v="72"/>
    <s v="Hanamkonda"/>
    <s v="Hub"/>
    <s v="Resort Rent"/>
    <m/>
    <m/>
    <m/>
    <n v="25000"/>
    <m/>
  </r>
  <r>
    <n v="1964"/>
    <d v="2026-06-14T00:00:00"/>
    <x v="3"/>
    <x v="4"/>
    <s v="Hanamkonda"/>
    <s v="Hub"/>
    <s v="fish-20kg purchased by g suresh at hanumakonda"/>
    <m/>
    <m/>
    <m/>
    <n v="4000"/>
    <m/>
  </r>
  <r>
    <n v="1965"/>
    <d v="2026-06-14T00:00:00"/>
    <x v="3"/>
    <x v="18"/>
    <s v="Hanamkonda"/>
    <s v="Hub"/>
    <s v="rmc trip and pump charges payment by G suresh at Hanumakonda dt:01-06-2026 to 07-06-2026"/>
    <m/>
    <m/>
    <m/>
    <n v="2650"/>
    <m/>
  </r>
  <r>
    <n v="1966"/>
    <d v="2026-06-14T00:00:00"/>
    <x v="3"/>
    <x v="72"/>
    <s v="Hanamkonda"/>
    <s v="Hub"/>
    <s v="nirmal forms resort party needs purchased by sure krishna reddy at Hanumakonda"/>
    <m/>
    <m/>
    <m/>
    <n v="9630"/>
    <m/>
  </r>
  <r>
    <n v="1967"/>
    <d v="2026-06-14T00:00:00"/>
    <x v="3"/>
    <x v="10"/>
    <s v="Siddipet"/>
    <s v="RAIPOLE"/>
    <s v="New tractor deisel payment by angireddy durga prasad at Rayapole"/>
    <m/>
    <n v="31.25"/>
    <n v="96"/>
    <n v="3000"/>
    <m/>
  </r>
  <r>
    <n v="1968"/>
    <d v="2026-06-14T00:00:00"/>
    <x v="3"/>
    <x v="10"/>
    <s v="Hanamkonda"/>
    <s v="Parvathagiri"/>
    <s v="TS24A4224 Tractor deisel payment by g nagaraju at parvathagiri"/>
    <m/>
    <n v="10.416666666666666"/>
    <n v="96"/>
    <n v="1000"/>
    <m/>
  </r>
  <r>
    <n v="1969"/>
    <d v="2026-06-14T00:00:00"/>
    <x v="3"/>
    <x v="3"/>
    <s v="Siddipet"/>
    <s v="Thoguta"/>
    <s v="bl work meterials purchased by G Gowri naidu at thoguta"/>
    <m/>
    <m/>
    <m/>
    <n v="2360"/>
    <m/>
  </r>
  <r>
    <n v="1970"/>
    <d v="2026-06-14T00:00:00"/>
    <x v="3"/>
    <x v="10"/>
    <s v="Kamareddy"/>
    <s v="Ramareddy"/>
    <s v="AP 40 KF 2837 Tractor Diesel"/>
    <m/>
    <n v="20.833333333333332"/>
    <n v="96"/>
    <n v="2000"/>
    <m/>
  </r>
  <r>
    <n v="1971"/>
    <d v="2026-06-14T00:00:00"/>
    <x v="3"/>
    <x v="10"/>
    <s v="Mehaboobabad"/>
    <s v="Kothaguda"/>
    <s v="TG26A8030 LOCAL TRACTOR DAY PAYMENT BY GHANDI AT MAHABOOBABAD"/>
    <m/>
    <n v="20.833333333333332"/>
    <n v="96"/>
    <n v="2000"/>
    <m/>
  </r>
  <r>
    <n v="1972"/>
    <d v="2026-06-14T00:00:00"/>
    <x v="3"/>
    <x v="0"/>
    <s v="Mehaboobabad"/>
    <s v="Kothaguda"/>
    <s v="auto expenses by labour drop and pickup charges payment by ghandhi at mahaboobabad,dt:13-06-2026"/>
    <m/>
    <m/>
    <m/>
    <n v="400"/>
    <m/>
  </r>
  <r>
    <n v="1973"/>
    <d v="2026-06-14T00:00:00"/>
    <x v="3"/>
    <x v="10"/>
    <s v="Hanamkonda"/>
    <s v="Hub"/>
    <s v="AP16CX7950 Tractor Diesel"/>
    <m/>
    <n v="40.333333333333336"/>
    <n v="96"/>
    <n v="3872"/>
    <m/>
  </r>
  <r>
    <n v="1974"/>
    <d v="2026-06-15T00:00:00"/>
    <x v="3"/>
    <x v="10"/>
    <s v="Hanamkonda"/>
    <s v="Hub"/>
    <s v="AP16CX7950 Tractor Diesel"/>
    <m/>
    <n v="40.333333333333336"/>
    <n v="96"/>
    <n v="3872"/>
    <m/>
  </r>
  <r>
    <n v="1975"/>
    <d v="2026-06-15T00:00:00"/>
    <x v="3"/>
    <x v="10"/>
    <s v="Hanamkonda"/>
    <s v="Parvathagiri"/>
    <s v="TS24A2442 Tractor deisel payment by g nagaraju at parvathagiri"/>
    <m/>
    <n v="20.833333333333332"/>
    <n v="96"/>
    <n v="2000"/>
    <m/>
  </r>
  <r>
    <n v="1976"/>
    <d v="2026-06-15T00:00:00"/>
    <x v="3"/>
    <x v="34"/>
    <s v="Mehaboobabad"/>
    <s v="Kothaguda"/>
    <s v="binding wire-10kg purchased by ganddi at kothaguda"/>
    <s v="Binding wire"/>
    <n v="10"/>
    <m/>
    <n v="950"/>
    <m/>
  </r>
  <r>
    <n v="1977"/>
    <d v="2026-06-15T00:00:00"/>
    <x v="3"/>
    <x v="10"/>
    <s v="Siddipet"/>
    <s v="Doultabad"/>
    <s v="AP40KW7346 Tractor Deisel payment by p vinay yadav at doulthabad"/>
    <m/>
    <n v="31.25"/>
    <n v="96"/>
    <n v="3000"/>
    <m/>
  </r>
  <r>
    <n v="1978"/>
    <d v="2026-06-15T00:00:00"/>
    <x v="3"/>
    <x v="10"/>
    <s v="Kamareddy"/>
    <s v="Lingampet"/>
    <s v="TS17T6540 Tractor deisel payment by k narendra at lingumpet"/>
    <m/>
    <n v="31.25"/>
    <n v="96"/>
    <n v="3000"/>
    <m/>
  </r>
  <r>
    <n v="1979"/>
    <d v="2026-06-15T00:00:00"/>
    <x v="3"/>
    <x v="10"/>
    <s v="Kamareddy"/>
    <s v="Rajampet"/>
    <s v="AP40JW7532 Tractor deisel payment by ch sreekanth at rajampet"/>
    <m/>
    <n v="44.166666666666664"/>
    <n v="96"/>
    <n v="4240"/>
    <m/>
  </r>
  <r>
    <n v="1980"/>
    <d v="2026-06-15T00:00:00"/>
    <x v="3"/>
    <x v="14"/>
    <s v="Hanamkonda"/>
    <s v="Parvathagiri"/>
    <s v="Cement bags -30 purchased by g nagaraju parvathagiri"/>
    <s v="Cement"/>
    <n v="30"/>
    <n v="260"/>
    <n v="7800"/>
    <m/>
  </r>
  <r>
    <n v="1981"/>
    <d v="2026-06-15T00:00:00"/>
    <x v="3"/>
    <x v="10"/>
    <s v="Bhongir"/>
    <s v="Thurkapally"/>
    <s v="TS30TA5073 TRACTOR DEISEL PAYMENT BY G GANESH AT VASALAMARRI"/>
    <m/>
    <n v="20.833333333333332"/>
    <n v="96"/>
    <n v="2000"/>
    <m/>
  </r>
  <r>
    <n v="1982"/>
    <d v="2026-06-15T00:00:00"/>
    <x v="3"/>
    <x v="10"/>
    <s v="Kamareddy"/>
    <s v="Bhiknoor"/>
    <s v="AP 40 KE 2834 Tractor Diesel"/>
    <m/>
    <n v="20.833333333333332"/>
    <n v="96"/>
    <n v="2000"/>
    <m/>
  </r>
  <r>
    <n v="1983"/>
    <d v="2026-06-15T00:00:00"/>
    <x v="3"/>
    <x v="18"/>
    <s v="Kamareddy"/>
    <s v="Bhiknoor"/>
    <s v="rmc trip and pump charges,cement bag purchased by padala bhanu prasad at bhiknoor dt:06-06-2026 to13-06-2026"/>
    <m/>
    <m/>
    <m/>
    <n v="1576"/>
    <m/>
  </r>
  <r>
    <n v="1984"/>
    <d v="2026-06-15T00:00:00"/>
    <x v="3"/>
    <x v="0"/>
    <s v="Hanamkonda"/>
    <s v="Hub"/>
    <s v="AP39UL1233 vehicle(runners) advance payment for deisel payment  througu sri rsmamurthy for nirmithkendra,hanumakonda"/>
    <m/>
    <m/>
    <m/>
    <n v="15000"/>
    <m/>
  </r>
  <r>
    <n v="1985"/>
    <d v="2026-06-15T00:00:00"/>
    <x v="3"/>
    <x v="10"/>
    <s v="Kamareddy"/>
    <s v="Bhiknoor"/>
    <s v="VENKAT RAO AGUR VEHICLE DEISEL PAYMENT BY KORUPOLU SIVA AT BHIKNOOR"/>
    <m/>
    <n v="20.833333333333332"/>
    <n v="96"/>
    <n v="2000"/>
    <m/>
  </r>
  <r>
    <n v="1986"/>
    <d v="2026-06-15T00:00:00"/>
    <x v="3"/>
    <x v="10"/>
    <s v="Hanamkonda"/>
    <s v="Hub"/>
    <s v="AP26BZ3361 Tractor Deisel payment"/>
    <m/>
    <n v="40.208333333333336"/>
    <n v="96"/>
    <n v="3860"/>
    <m/>
  </r>
  <r>
    <n v="1987"/>
    <d v="2026-06-15T00:00:00"/>
    <x v="3"/>
    <x v="10"/>
    <s v="Hanamkonda"/>
    <s v="Hub"/>
    <s v="AP39TH0913 DCM Vehical Diesel Payment "/>
    <m/>
    <n v="162.95833333333334"/>
    <n v="96"/>
    <n v="15644"/>
    <m/>
  </r>
  <r>
    <n v="1988"/>
    <d v="2026-06-15T00:00:00"/>
    <x v="3"/>
    <x v="1"/>
    <s v="Siddipet"/>
    <s v="Mulug"/>
    <s v="local tractor day rent payment by budda suresh at mulugu"/>
    <m/>
    <m/>
    <m/>
    <n v="1000"/>
    <m/>
  </r>
  <r>
    <n v="1989"/>
    <d v="2026-06-15T00:00:00"/>
    <x v="3"/>
    <x v="68"/>
    <s v="Siddipet"/>
    <s v="Doultabad"/>
    <s v="steel cement purchased by purchased p vinay at Doulthabad"/>
    <m/>
    <m/>
    <m/>
    <n v="20400"/>
    <m/>
  </r>
  <r>
    <n v="1990"/>
    <d v="2026-06-15T00:00:00"/>
    <x v="3"/>
    <x v="18"/>
    <s v="Siddipet"/>
    <s v="Mulug"/>
    <s v="rmc trip and pump charges payment by budda suresh at mulugu"/>
    <m/>
    <m/>
    <m/>
    <n v="800"/>
    <m/>
  </r>
  <r>
    <n v="1991"/>
    <d v="2026-06-16T00:00:00"/>
    <x v="2"/>
    <x v="75"/>
    <s v="Kamareddy"/>
    <s v="Rajampet"/>
    <s v="Banoth Vasantha NRGS Payment"/>
    <m/>
    <m/>
    <m/>
    <n v="7000"/>
    <m/>
  </r>
  <r>
    <n v="1992"/>
    <d v="2026-06-16T00:00:00"/>
    <x v="3"/>
    <x v="9"/>
    <s v="Siddipet"/>
    <s v="Mulug"/>
    <s v="supervisior room rent payment by budda suresh  for the month of may2026 at cheelasagar mulugu"/>
    <m/>
    <m/>
    <m/>
    <n v="3000"/>
    <m/>
  </r>
  <r>
    <n v="1993"/>
    <d v="2026-06-16T00:00:00"/>
    <x v="3"/>
    <x v="32"/>
    <s v="Medak"/>
    <s v="kowdapalli"/>
    <s v="Nails purchased bybhaskat at kowdapalli"/>
    <m/>
    <m/>
    <m/>
    <n v="220"/>
    <m/>
  </r>
  <r>
    <n v="1994"/>
    <d v="2026-06-16T00:00:00"/>
    <x v="3"/>
    <x v="68"/>
    <s v="Siddipet"/>
    <s v="Thoguta"/>
    <s v="rmc shoot pipe purchased and auto charges payment by G Gowri naidu at thoguta"/>
    <m/>
    <m/>
    <m/>
    <n v="5600"/>
    <m/>
  </r>
  <r>
    <n v="1995"/>
    <d v="2026-06-16T00:00:00"/>
    <x v="3"/>
    <x v="10"/>
    <s v="Janagaon"/>
    <s v="Tharigoppula"/>
    <s v="TS36TA1891 TRACTOR Diesel Payment"/>
    <s v="Diesel"/>
    <n v="36.458333333333336"/>
    <n v="96"/>
    <n v="3500"/>
    <m/>
  </r>
  <r>
    <n v="1996"/>
    <d v="2026-06-16T00:00:00"/>
    <x v="3"/>
    <x v="10"/>
    <s v="Hanamkonda"/>
    <s v="Hub"/>
    <s v="TS03UB7556  Tractor Diesel"/>
    <m/>
    <n v="36.03125"/>
    <n v="96"/>
    <n v="3459"/>
    <m/>
  </r>
  <r>
    <n v="1997"/>
    <d v="2026-06-16T00:00:00"/>
    <x v="3"/>
    <x v="10"/>
    <s v="Hanamkonda"/>
    <s v="Hub"/>
    <s v="TS03EE4571 DIESEL PAYMENT"/>
    <m/>
    <n v="35.739583333333336"/>
    <n v="96"/>
    <n v="3431"/>
    <m/>
  </r>
  <r>
    <n v="1998"/>
    <d v="2026-06-16T00:00:00"/>
    <x v="3"/>
    <x v="10"/>
    <s v="Siddipet"/>
    <s v="RAIPOLE"/>
    <s v="new tractor deisel payment by angireddy durgaprasad at rayapole"/>
    <m/>
    <n v="20.833333333333332"/>
    <n v="96"/>
    <n v="2000"/>
    <m/>
  </r>
  <r>
    <n v="1999"/>
    <d v="2026-06-16T00:00:00"/>
    <x v="3"/>
    <x v="8"/>
    <s v="Janagaon"/>
    <s v="Tharigoppula"/>
    <s v="bricks Unloading labour beta and iron cutting blades payment by g kishore"/>
    <m/>
    <m/>
    <m/>
    <n v="500"/>
    <m/>
  </r>
  <r>
    <n v="2000"/>
    <d v="2026-06-16T00:00:00"/>
    <x v="3"/>
    <x v="8"/>
    <s v="Janagaon"/>
    <s v="Tharigoppula"/>
    <s v="bricks Unloading driver batta payment by kurumpu venkateswarlu at tharigoppula dt:19-05-2026 to 27-05-2026"/>
    <m/>
    <m/>
    <m/>
    <n v="1900"/>
    <m/>
  </r>
  <r>
    <n v="2001"/>
    <d v="2026-06-16T00:00:00"/>
    <x v="3"/>
    <x v="68"/>
    <s v="Bhongir"/>
    <s v="Valigonda"/>
    <s v="rc work meterial purchaseed by suram prasad reddy at valigonda dt:13-06-2026"/>
    <m/>
    <m/>
    <m/>
    <n v="3790"/>
    <m/>
  </r>
  <r>
    <n v="2002"/>
    <d v="2026-06-16T00:00:00"/>
    <x v="3"/>
    <x v="10"/>
    <s v="Siddipet"/>
    <s v="Mulug"/>
    <s v="AP40T1195 Tractor Deisel Payment"/>
    <m/>
    <n v="20.833333333333332"/>
    <n v="96"/>
    <n v="2000"/>
    <m/>
  </r>
  <r>
    <n v="2003"/>
    <d v="2026-06-16T00:00:00"/>
    <x v="3"/>
    <x v="72"/>
    <s v="Hanamkonda"/>
    <s v="Hub"/>
    <s v="Nirmal forms resort expenses payment by dimpi Srinivas at madikonda kaazipet"/>
    <m/>
    <m/>
    <m/>
    <n v="19249"/>
    <m/>
  </r>
  <r>
    <n v="2004"/>
    <d v="2026-06-16T00:00:00"/>
    <x v="3"/>
    <x v="8"/>
    <s v="Hanamkonda"/>
    <s v="Parvathagiri"/>
    <s v="Brick Unloading labour charges payment by g nagaraju at parvathagiri"/>
    <m/>
    <m/>
    <m/>
    <n v="8400"/>
    <m/>
  </r>
  <r>
    <n v="2005"/>
    <d v="2026-06-16T00:00:00"/>
    <x v="3"/>
    <x v="14"/>
    <s v="Kamareddy"/>
    <s v="Domakonda"/>
    <s v="cement bags-15 purchased by konireddy srinivasulu reddy at domakonda"/>
    <s v="Cement"/>
    <n v="15"/>
    <n v="256"/>
    <n v="3840"/>
    <m/>
  </r>
  <r>
    <n v="2006"/>
    <d v="2026-06-16T00:00:00"/>
    <x v="3"/>
    <x v="26"/>
    <s v="Kamareddy"/>
    <s v="Domakonda"/>
    <s v="m sand purchased by knireddy srivasulu reddy at Domakonda"/>
    <s v="Msand"/>
    <n v="4"/>
    <n v="575"/>
    <n v="2300"/>
    <m/>
  </r>
  <r>
    <n v="2007"/>
    <d v="2026-06-16T00:00:00"/>
    <x v="3"/>
    <x v="18"/>
    <s v="Hanamkonda"/>
    <s v="Nadikuda"/>
    <s v="rmc trip charges and pump charges payment by setti suresh at nadikuda dt:28-05-2026 to 03-06-2026"/>
    <m/>
    <m/>
    <m/>
    <n v="1600"/>
    <m/>
  </r>
  <r>
    <n v="2008"/>
    <d v="2026-06-16T00:00:00"/>
    <x v="3"/>
    <x v="68"/>
    <s v="Bhongir"/>
    <s v="Thurkapally"/>
    <s v="steel cement purchased by g ganesh at m thurakapalli"/>
    <m/>
    <m/>
    <m/>
    <n v="11140"/>
    <m/>
  </r>
  <r>
    <n v="2009"/>
    <d v="2026-06-16T00:00:00"/>
    <x v="3"/>
    <x v="26"/>
    <s v="Medak"/>
    <s v="Narsapur"/>
    <s v="msand purchased  by d vishnu vardhan reddy at narasapur"/>
    <s v="Msand"/>
    <n v="6"/>
    <n v="651.66666666666663"/>
    <n v="3910"/>
    <m/>
  </r>
  <r>
    <n v="2010"/>
    <d v="2026-06-16T00:00:00"/>
    <x v="3"/>
    <x v="26"/>
    <s v="Hanamkonda"/>
    <s v="Parvathagiri"/>
    <s v="m sand purchased by g nagaraju at parvathagiri"/>
    <s v="Msand"/>
    <n v="6"/>
    <n v="556.16666666666663"/>
    <n v="3337"/>
    <m/>
  </r>
  <r>
    <n v="2011"/>
    <d v="2026-06-16T00:00:00"/>
    <x v="3"/>
    <x v="18"/>
    <s v="Hanamkonda"/>
    <s v="Hub"/>
    <s v="rmc trip charges payment by krishna at warangal urban"/>
    <m/>
    <m/>
    <m/>
    <n v="500"/>
    <m/>
  </r>
  <r>
    <n v="2012"/>
    <d v="2026-06-16T00:00:00"/>
    <x v="3"/>
    <x v="8"/>
    <s v="Siddipet"/>
    <s v="Doultabad"/>
    <s v="Chemical bags Unloading ,loading chareges  payment by p vinay yadav at doulthabad"/>
    <m/>
    <m/>
    <m/>
    <n v="500"/>
    <m/>
  </r>
  <r>
    <n v="2013"/>
    <d v="2026-06-16T00:00:00"/>
    <x v="3"/>
    <x v="34"/>
    <s v="Hanamkonda"/>
    <s v="Hub"/>
    <s v="binding wire -25kg purchaseed by sure krishna reddy at hanumakonda"/>
    <s v="Binding wire"/>
    <n v="25"/>
    <m/>
    <n v="2000"/>
    <m/>
  </r>
  <r>
    <n v="2014"/>
    <d v="2026-06-16T00:00:00"/>
    <x v="3"/>
    <x v="10"/>
    <s v="Kamareddy"/>
    <s v="Domakonda"/>
    <s v="AP39JQ0377 Tractor Deisel"/>
    <m/>
    <n v="31.25"/>
    <n v="96"/>
    <n v="3000"/>
    <m/>
  </r>
  <r>
    <n v="2015"/>
    <d v="2026-06-16T00:00:00"/>
    <x v="3"/>
    <x v="49"/>
    <s v="Hanamkonda"/>
    <s v="Hub"/>
    <s v="mous xerox payment by technical team nagaiah at hanumakonda"/>
    <m/>
    <m/>
    <m/>
    <n v="160"/>
    <m/>
  </r>
  <r>
    <n v="2016"/>
    <d v="2026-06-16T00:00:00"/>
    <x v="3"/>
    <x v="3"/>
    <s v="Siddipet"/>
    <s v="Siddipet Rural"/>
    <s v="RL meterials purchased by baddi somesh  at pullur"/>
    <m/>
    <m/>
    <m/>
    <n v="4630"/>
    <m/>
  </r>
  <r>
    <n v="2017"/>
    <d v="2026-06-16T00:00:00"/>
    <x v="3"/>
    <x v="26"/>
    <s v="Hanamkonda"/>
    <s v="Parvathagiri"/>
    <s v="12 mm dust purchased by G nagaraju at parvathagiri"/>
    <s v="12 MM Aggregate"/>
    <n v="6"/>
    <n v="553.66666666666663"/>
    <n v="3322"/>
    <m/>
  </r>
  <r>
    <n v="2018"/>
    <d v="2026-06-16T00:00:00"/>
    <x v="3"/>
    <x v="10"/>
    <s v="Janagaon"/>
    <s v="Palakurthy"/>
    <s v="TS27T6494 TRACTOR DEISEL PAYMENT BY MADHUSUDHAN AT THEEGARAM"/>
    <m/>
    <n v="20.833333333333332"/>
    <n v="96"/>
    <n v="2000"/>
    <m/>
  </r>
  <r>
    <n v="2019"/>
    <d v="2026-06-16T00:00:00"/>
    <x v="3"/>
    <x v="7"/>
    <s v="Hanamkonda"/>
    <s v="Hub"/>
    <s v="AP39UL1233 VEHICLE (RUNNERS) BALANCE PAYMENT BY R Sriramamurthy at hanumakonda"/>
    <m/>
    <m/>
    <m/>
    <n v="12100"/>
    <m/>
  </r>
  <r>
    <n v="2020"/>
    <d v="2026-06-16T00:00:00"/>
    <x v="3"/>
    <x v="8"/>
    <s v="Hanamkonda"/>
    <s v="Hub"/>
    <s v="AP39UL1233 VEHICLE (RUNNERS) UNLODING LABOUR CHARGES PAYMENT BY Sure krishna reddy through Sri rama murthy"/>
    <m/>
    <m/>
    <m/>
    <n v="500"/>
    <m/>
  </r>
  <r>
    <n v="2021"/>
    <d v="2026-06-16T00:00:00"/>
    <x v="3"/>
    <x v="68"/>
    <s v="Kamareddy"/>
    <s v="Banswada"/>
    <s v="steel,cement purchsed by k narendra at banswada for rl work"/>
    <m/>
    <m/>
    <m/>
    <n v="7110"/>
    <m/>
  </r>
  <r>
    <n v="2022"/>
    <d v="2026-06-16T00:00:00"/>
    <x v="3"/>
    <x v="68"/>
    <s v="Kamareddy"/>
    <s v="Banswada"/>
    <s v="steel cement purchased by k narendra at banswada for birkoor rl work"/>
    <m/>
    <m/>
    <m/>
    <n v="50000"/>
    <m/>
  </r>
  <r>
    <n v="2023"/>
    <d v="2026-06-16T00:00:00"/>
    <x v="3"/>
    <x v="9"/>
    <s v="Bhongir"/>
    <s v="Valigonda"/>
    <s v="supervisiors room rent payment by suram prasad reddy at valigonda for the month of may2026"/>
    <m/>
    <m/>
    <m/>
    <n v="5000"/>
    <m/>
  </r>
  <r>
    <n v="2024"/>
    <d v="2026-06-17T00:00:00"/>
    <x v="3"/>
    <x v="26"/>
    <s v="Bhongir"/>
    <s v="Valigonda"/>
    <s v="dust purcased by suram prasad reddy at valigonda,date:11-06-2026"/>
    <s v="Msand"/>
    <n v="6"/>
    <n v="733.33333333333337"/>
    <n v="4400"/>
    <m/>
  </r>
  <r>
    <n v="2025"/>
    <d v="2026-06-17T00:00:00"/>
    <x v="3"/>
    <x v="18"/>
    <s v="Kamareddy"/>
    <s v="Rajampet"/>
    <s v="rmc trip charges payment by ch sreekanth at rajampeta date:12-06-2026 to16-06-2026"/>
    <m/>
    <m/>
    <m/>
    <n v="800"/>
    <m/>
  </r>
  <r>
    <n v="2026"/>
    <d v="2026-06-17T00:00:00"/>
    <x v="3"/>
    <x v="3"/>
    <s v="Kamareddy"/>
    <s v="Rajampet"/>
    <s v="2 thapies,water pipe purchased by ch sreekanth at rajampet date:15-06-2026 to 16-06-2026"/>
    <m/>
    <m/>
    <m/>
    <n v="970"/>
    <m/>
  </r>
  <r>
    <n v="2027"/>
    <d v="2026-06-17T00:00:00"/>
    <x v="3"/>
    <x v="49"/>
    <s v="Mehaboobabad"/>
    <s v="Kothaguda"/>
    <s v="for mahaboobabad DPR and Meterial register boks purchased by gandhi at kothaguda"/>
    <m/>
    <m/>
    <m/>
    <n v="453"/>
    <m/>
  </r>
  <r>
    <n v="2028"/>
    <d v="2026-06-17T00:00:00"/>
    <x v="3"/>
    <x v="8"/>
    <s v="Siddipet"/>
    <s v="RAIPOLE"/>
    <s v="Chemical bags loding and Unloading labaour charges payment by p vinay yadav at doulthabad .shifted to rayapole to doulthabad"/>
    <m/>
    <m/>
    <m/>
    <n v="848"/>
    <m/>
  </r>
  <r>
    <n v="2029"/>
    <d v="2026-06-17T00:00:00"/>
    <x v="3"/>
    <x v="8"/>
    <s v="Siddipet"/>
    <s v="Mulug"/>
    <s v="Local Tractor Driver day charges payment by budda suresh at cheela sagar"/>
    <m/>
    <m/>
    <m/>
    <n v="1000"/>
    <m/>
  </r>
  <r>
    <n v="2030"/>
    <d v="2026-06-17T00:00:00"/>
    <x v="3"/>
    <x v="18"/>
    <s v="Siddipet"/>
    <s v="Thoguta"/>
    <s v="rmc trip charges payment by G Gowri naidu at thoguta dt:16-06-2026"/>
    <m/>
    <m/>
    <m/>
    <n v="300"/>
    <m/>
  </r>
  <r>
    <n v="2031"/>
    <d v="2026-06-17T00:00:00"/>
    <x v="3"/>
    <x v="3"/>
    <s v="Siddipet"/>
    <s v="RAIPOLE"/>
    <s v="Water drums rented payment by Angireddy durgaprasad at rayapole dt:08-06-2026 to 16-06-2026"/>
    <m/>
    <m/>
    <m/>
    <n v="1200"/>
    <m/>
  </r>
  <r>
    <n v="2032"/>
    <d v="2026-06-17T00:00:00"/>
    <x v="3"/>
    <x v="0"/>
    <s v="Siddipet"/>
    <s v="RAIPOLE"/>
    <s v="labour shifting auto charges payment through angireddy durga prasad at rayapole dt:08-06-2026 to15-06-2026"/>
    <m/>
    <m/>
    <m/>
    <n v="3500"/>
    <m/>
  </r>
  <r>
    <n v="2033"/>
    <d v="2026-06-17T00:00:00"/>
    <x v="3"/>
    <x v="9"/>
    <s v="Siddipet"/>
    <s v="RAIPOLE"/>
    <s v="labour room rent payment by angireddy durga prasad at rayapole dt:07-06-2026 to 16-06-2026"/>
    <m/>
    <m/>
    <m/>
    <n v="2000"/>
    <m/>
  </r>
  <r>
    <n v="2034"/>
    <d v="2026-06-17T00:00:00"/>
    <x v="3"/>
    <x v="68"/>
    <s v="Hanamkonda"/>
    <s v="Hub"/>
    <s v="putting mechine,fan,therad purchased by Syre krishna reddy at hanumakonda"/>
    <m/>
    <m/>
    <m/>
    <n v="5000"/>
    <m/>
  </r>
  <r>
    <n v="2035"/>
    <d v="2026-06-17T00:00:00"/>
    <x v="3"/>
    <x v="72"/>
    <s v="Hanamkonda"/>
    <s v="Hub"/>
    <s v="paper plates and glass and 2 egg trayes purchsed by g suresh for nirmal forms resort function"/>
    <m/>
    <m/>
    <m/>
    <n v="1100"/>
    <m/>
  </r>
  <r>
    <n v="2036"/>
    <d v="2026-06-17T00:00:00"/>
    <x v="3"/>
    <x v="68"/>
    <s v="Hanamkonda"/>
    <s v="Kyathamapalle"/>
    <s v="rc work meterial payment by k govindu at dt:15-06-2026"/>
    <m/>
    <m/>
    <m/>
    <n v="7200"/>
    <m/>
  </r>
  <r>
    <n v="2037"/>
    <d v="2026-06-17T00:00:00"/>
    <x v="3"/>
    <x v="22"/>
    <s v="Hanamkonda"/>
    <s v="Kyathamapalle"/>
    <s v="electrical board,four tapes purchased by k govindu  for rc work dt:13-06-2026"/>
    <m/>
    <m/>
    <m/>
    <n v="220"/>
    <m/>
  </r>
  <r>
    <n v="2038"/>
    <d v="2026-06-17T00:00:00"/>
    <x v="3"/>
    <x v="14"/>
    <s v="Kamareddy"/>
    <s v="Domakonda"/>
    <s v="Cement bags -15 purchased by konireddy srinivasulu reddy at domakonda"/>
    <s v="Cement"/>
    <n v="15"/>
    <n v="256"/>
    <n v="3840"/>
    <m/>
  </r>
  <r>
    <n v="2039"/>
    <d v="2026-06-17T00:00:00"/>
    <x v="3"/>
    <x v="8"/>
    <s v="Hanamkonda"/>
    <s v="Bheemadevarapalli"/>
    <s v="Bheemdevapalli rl team bricks shifting labour charges payment by g suresh dt:25-05-2026 to 06-06-2026"/>
    <m/>
    <m/>
    <m/>
    <n v="3000"/>
    <m/>
  </r>
  <r>
    <n v="2040"/>
    <d v="2026-06-17T00:00:00"/>
    <x v="3"/>
    <x v="8"/>
    <s v="Hanamkonda"/>
    <s v="Hub"/>
    <s v="Warangal brick shifted labour loading,Unloading charges payment by g suresh hanumakonda"/>
    <m/>
    <m/>
    <m/>
    <n v="3750"/>
    <m/>
  </r>
  <r>
    <n v="2041"/>
    <d v="2026-06-17T00:00:00"/>
    <x v="3"/>
    <x v="34"/>
    <s v="Kamareddy"/>
    <s v="Bhiknoor"/>
    <s v="binding wire -25kg purchased by padala bhanuprasad at bhiknoor"/>
    <s v="Binding wire"/>
    <n v="25"/>
    <m/>
    <n v="2000"/>
    <m/>
  </r>
  <r>
    <n v="2042"/>
    <d v="2026-06-17T00:00:00"/>
    <x v="3"/>
    <x v="10"/>
    <s v="Mehaboob Nagar"/>
    <s v="Hanwada"/>
    <s v="AP5315AC AUGUR VEHICLE Deisel payment by Hanumanyh at mahaboob nagar"/>
    <m/>
    <n v="47.1875"/>
    <n v="96"/>
    <n v="4530"/>
    <m/>
  </r>
  <r>
    <n v="2043"/>
    <d v="2026-06-17T00:00:00"/>
    <x v="3"/>
    <x v="10"/>
    <s v="Siddipet"/>
    <s v="Doultabad"/>
    <s v="AP40KW7346 Tractor deisel payment by p vinay yadav at doulthabad for tractor service doultabad to siddipet"/>
    <m/>
    <n v="31.25"/>
    <n v="96"/>
    <n v="3000"/>
    <m/>
  </r>
  <r>
    <n v="2044"/>
    <d v="2026-06-17T00:00:00"/>
    <x v="3"/>
    <x v="5"/>
    <s v="Hanamkonda"/>
    <s v="Hub"/>
    <s v="urban site expenses payment by g suresh at hanumakonda for the month of march2026 expenses"/>
    <m/>
    <m/>
    <m/>
    <n v="9210"/>
    <m/>
  </r>
  <r>
    <n v="2045"/>
    <d v="2026-06-17T00:00:00"/>
    <x v="3"/>
    <x v="3"/>
    <s v="Siddipet"/>
    <s v="Mulug"/>
    <s v="nails,iron cutting blades purchased by budda suresh"/>
    <m/>
    <m/>
    <m/>
    <n v="930"/>
    <m/>
  </r>
  <r>
    <n v="2046"/>
    <d v="2026-06-17T00:00:00"/>
    <x v="3"/>
    <x v="0"/>
    <s v="Kamareddy"/>
    <s v="Birkoor"/>
    <s v="birkoor to veerpur cement and iron tranport charges and 10 mm chips unloding driver beta payment by k narendra at birkoor"/>
    <m/>
    <m/>
    <m/>
    <n v="1400"/>
    <m/>
  </r>
  <r>
    <n v="2047"/>
    <d v="2026-06-17T00:00:00"/>
    <x v="3"/>
    <x v="10"/>
    <s v="Hanamkonda"/>
    <s v="Hub"/>
    <s v="AP39JJ1001 CAR DEISEL PAYMENT BY DIMPU SRIVAS FOR TRAVEL BHEEMDEVARAPALLI"/>
    <m/>
    <n v="23.958333333333332"/>
    <n v="96"/>
    <n v="2300"/>
    <m/>
  </r>
  <r>
    <n v="2048"/>
    <d v="2026-06-17T00:00:00"/>
    <x v="3"/>
    <x v="7"/>
    <s v="Hanamkonda"/>
    <s v="Hub"/>
    <s v="AP39UD4103 VEHICLE(RUNNERS) PAYMENT PAID THOUGH R SRIRAMAMURTHY AT HANUMAKONDA"/>
    <m/>
    <m/>
    <m/>
    <n v="22800"/>
    <m/>
  </r>
  <r>
    <n v="2049"/>
    <d v="2026-06-17T00:00:00"/>
    <x v="3"/>
    <x v="7"/>
    <s v="Hanamkonda"/>
    <s v="Hub"/>
    <s v="AP39UD4103 VEHICLE(RUNNERS) PAYMENT PAID THOUGH R SRIRAMAMURTHY AT HANUMAKONDA"/>
    <m/>
    <m/>
    <m/>
    <n v="2000"/>
    <m/>
  </r>
  <r>
    <n v="2050"/>
    <d v="2026-06-17T00:00:00"/>
    <x v="3"/>
    <x v="10"/>
    <s v="Hanamkonda"/>
    <s v="Parvathagiri"/>
    <s v="TS24A4224 Tractor deisel payment by g nagaraju at parvathagiri"/>
    <m/>
    <n v="20.833333333333332"/>
    <n v="96"/>
    <n v="2000"/>
    <m/>
  </r>
  <r>
    <n v="2051"/>
    <d v="2026-06-17T00:00:00"/>
    <x v="3"/>
    <x v="10"/>
    <s v="Hanamkonda"/>
    <s v="Bheemadevarapalli"/>
    <s v="TG037489 Tractor deisel payment by Deisel payment by Sammer at Bheemdevarapalli"/>
    <m/>
    <n v="46.645833333333336"/>
    <n v="96"/>
    <n v="4478"/>
    <m/>
  </r>
  <r>
    <n v="2052"/>
    <d v="2026-06-17T00:00:00"/>
    <x v="3"/>
    <x v="26"/>
    <s v="Kamareddy"/>
    <s v="Domakonda"/>
    <s v="12mm Agreegate purchased by konreddy srinivasulu reddy at Domakonda"/>
    <s v="12 MM Aggregate"/>
    <n v="4"/>
    <n v="575"/>
    <n v="2300"/>
    <m/>
  </r>
  <r>
    <n v="2053"/>
    <d v="2026-06-17T00:00:00"/>
    <x v="3"/>
    <x v="26"/>
    <s v="Siddipet"/>
    <s v="Siddipet"/>
    <s v="12mm Agreegate purchased by murali  krishna baddi somesh at siddipet"/>
    <s v="12 MM Aggregate"/>
    <n v="22.5"/>
    <n v="844.17777777777781"/>
    <n v="18994"/>
    <m/>
  </r>
  <r>
    <n v="2054"/>
    <d v="2026-06-17T00:00:00"/>
    <x v="3"/>
    <x v="26"/>
    <s v="Hanamkonda"/>
    <s v="Parvathagiri"/>
    <s v="12 mm dust payment by G nagaraju at parvathagiri"/>
    <s v="Msand &amp; 12 mm Aggregate"/>
    <n v="6"/>
    <n v="517.5"/>
    <n v="3105"/>
    <m/>
  </r>
  <r>
    <n v="2055"/>
    <d v="2026-06-17T00:00:00"/>
    <x v="3"/>
    <x v="10"/>
    <s v="Hanamkonda"/>
    <s v="Dharmasagar"/>
    <s v="TS36TA1891 TRACTOR Diesel Payment"/>
    <s v="Diesel"/>
    <n v="31.25"/>
    <n v="96"/>
    <n v="3000"/>
    <m/>
  </r>
  <r>
    <n v="2056"/>
    <d v="2026-06-17T00:00:00"/>
    <x v="3"/>
    <x v="68"/>
    <s v="Hanamkonda"/>
    <s v="Kyathamapalle"/>
    <s v="rc work meterial payment by k govindu at  keythampalli"/>
    <m/>
    <m/>
    <m/>
    <n v="6000"/>
    <m/>
  </r>
  <r>
    <n v="2057"/>
    <d v="2026-06-17T00:00:00"/>
    <x v="3"/>
    <x v="68"/>
    <s v="Hanamkonda"/>
    <s v="Hub"/>
    <s v="dr.fixit oil for rc work purchased by Sre krishna reddy at hanumakonda"/>
    <m/>
    <m/>
    <m/>
    <n v="4000"/>
    <m/>
  </r>
  <r>
    <n v="2058"/>
    <d v="2026-06-17T00:00:00"/>
    <x v="3"/>
    <x v="14"/>
    <s v="Hanamkonda"/>
    <s v="Hub"/>
    <s v="100 cement bags purchased by purchased by sure krishna reddy at hanumakonda for nirmithkendra"/>
    <s v="Cement"/>
    <n v="100"/>
    <n v="260"/>
    <n v="26000"/>
    <m/>
  </r>
  <r>
    <n v="2059"/>
    <d v="2026-06-17T00:00:00"/>
    <x v="3"/>
    <x v="68"/>
    <s v="Siddipet"/>
    <s v="Doultabad"/>
    <s v="rc meterial purchased by p vinay yadav at doulthabad"/>
    <m/>
    <m/>
    <m/>
    <n v="8040"/>
    <m/>
  </r>
  <r>
    <n v="2060"/>
    <d v="2026-06-18T00:00:00"/>
    <x v="2"/>
    <x v="28"/>
    <s v="Kothagudem"/>
    <s v="Yellandu"/>
    <s v="Steel Purchsed"/>
    <m/>
    <m/>
    <m/>
    <n v="215100"/>
    <m/>
  </r>
  <r>
    <n v="2061"/>
    <d v="2026-06-18T00:00:00"/>
    <x v="2"/>
    <x v="26"/>
    <s v="Hanamkonda"/>
    <s v="Hub"/>
    <s v="Nirmith Kendram M sand 2 Trips"/>
    <s v="Msand"/>
    <n v="54"/>
    <n v="844.12962962962968"/>
    <n v="45583"/>
    <m/>
  </r>
  <r>
    <n v="2062"/>
    <d v="2026-06-18T00:00:00"/>
    <x v="2"/>
    <x v="26"/>
    <s v="Janagaon"/>
    <s v="Tharigoppula"/>
    <s v="M Sand 2 Trips And 12 MM 2 Trips"/>
    <s v="Msand"/>
    <n v="79"/>
    <n v="869.18987341772151"/>
    <n v="68666"/>
    <m/>
  </r>
  <r>
    <n v="2063"/>
    <d v="2026-06-18T00:00:00"/>
    <x v="2"/>
    <x v="26"/>
    <s v="Kothagudem"/>
    <s v="Yellandu"/>
    <s v="12 mm"/>
    <s v="12 MM Aggregate"/>
    <n v="23.46"/>
    <n v="900"/>
    <n v="21114"/>
    <m/>
  </r>
  <r>
    <n v="2064"/>
    <d v="2026-06-18T00:00:00"/>
    <x v="2"/>
    <x v="26"/>
    <s v="Kothagudem"/>
    <s v="Yellandu"/>
    <s v="12 MM 23.460 * 780  + M Sand 23.695 * 820"/>
    <s v="Msand"/>
    <n v="23.695"/>
    <n v="950"/>
    <n v="22510.25"/>
    <n v="42057"/>
  </r>
  <r>
    <n v="2065"/>
    <d v="2026-06-18T00:00:00"/>
    <x v="2"/>
    <x v="10"/>
    <s v="Hanamkonda"/>
    <s v="Hub"/>
    <s v="TS03FE1304  Tractor Diesel Payment"/>
    <m/>
    <n v="44.018750000000004"/>
    <n v="96"/>
    <n v="4225.8"/>
    <m/>
  </r>
  <r>
    <n v="2066"/>
    <d v="2026-06-18T00:00:00"/>
    <x v="2"/>
    <x v="10"/>
    <s v="Kamareddy"/>
    <s v="Lingampet"/>
    <s v="Lingampet TO Birkoor Tractor Shifting"/>
    <m/>
    <n v="52.083333333333336"/>
    <n v="96"/>
    <n v="5000"/>
    <m/>
  </r>
  <r>
    <n v="2067"/>
    <d v="2026-06-18T00:00:00"/>
    <x v="2"/>
    <x v="11"/>
    <s v="Siddipet"/>
    <s v="Mulug"/>
    <s v="murthy auger vehcile diesel"/>
    <m/>
    <n v="31.25"/>
    <n v="96"/>
    <n v="3000"/>
    <m/>
  </r>
  <r>
    <n v="2068"/>
    <d v="2026-06-18T00:00:00"/>
    <x v="3"/>
    <x v="26"/>
    <s v="Kamareddy"/>
    <s v="Domakonda"/>
    <s v="m sand purchased by konireddy srinivasulu reddy at Domakonda"/>
    <s v="Msand"/>
    <n v="4"/>
    <n v="575"/>
    <n v="2300"/>
    <m/>
  </r>
  <r>
    <n v="2069"/>
    <d v="2026-06-18T00:00:00"/>
    <x v="3"/>
    <x v="14"/>
    <s v="Hanamkonda"/>
    <s v="Parvathagiri"/>
    <s v="Cement bags purchased by g nagaraju at parvathagiri"/>
    <s v="Cement"/>
    <n v="40"/>
    <n v="260"/>
    <n v="10500"/>
    <m/>
  </r>
  <r>
    <n v="2070"/>
    <d v="2026-06-18T00:00:00"/>
    <x v="3"/>
    <x v="68"/>
    <s v="Kamareddy"/>
    <s v="Domakonda"/>
    <s v="Tharpal pattas -3 purchased by konireddy srinivasulu reddy dt:17-06-2026"/>
    <m/>
    <m/>
    <m/>
    <n v="3000"/>
    <m/>
  </r>
  <r>
    <n v="2071"/>
    <d v="2026-06-18T00:00:00"/>
    <x v="3"/>
    <x v="10"/>
    <s v="Kamareddy"/>
    <s v="Domakonda"/>
    <s v="AP16CX7950 Tractor Diesel"/>
    <m/>
    <n v="16.208333333333332"/>
    <n v="96"/>
    <n v="1556"/>
    <m/>
  </r>
  <r>
    <n v="2072"/>
    <d v="2026-06-18T00:00:00"/>
    <x v="3"/>
    <x v="10"/>
    <s v="Bhongir"/>
    <s v="Thurkapally"/>
    <s v="TS30TA5073 TRACTOR DEISEL PAYMENT BY GANESH AT VASALAMARRY"/>
    <m/>
    <n v="10.416666666666666"/>
    <n v="96"/>
    <n v="1000"/>
    <m/>
  </r>
  <r>
    <n v="2073"/>
    <d v="2026-06-18T00:00:00"/>
    <x v="3"/>
    <x v="10"/>
    <s v="Kamareddy"/>
    <s v="Domakonda"/>
    <s v="AP39JQ0377 Tractor Deisel"/>
    <m/>
    <n v="31.041666666666668"/>
    <n v="96"/>
    <n v="2980"/>
    <m/>
  </r>
  <r>
    <n v="2074"/>
    <d v="2026-06-18T00:00:00"/>
    <x v="3"/>
    <x v="10"/>
    <s v="Hanamkonda"/>
    <s v="Parvathagiri"/>
    <s v="TS24A4224 Tractor deisel payment by g nagaraju at parvathagiri"/>
    <m/>
    <n v="20.833333333333332"/>
    <n v="96"/>
    <n v="2000"/>
    <m/>
  </r>
  <r>
    <n v="2075"/>
    <d v="2026-06-18T00:00:00"/>
    <x v="3"/>
    <x v="26"/>
    <s v="Kamareddy"/>
    <s v="Domakonda"/>
    <s v="m sand purchased by konireddy srinivasulu reddy at Domakonda"/>
    <s v="Msand"/>
    <n v="4"/>
    <n v="575"/>
    <n v="2300"/>
    <m/>
  </r>
  <r>
    <n v="2076"/>
    <d v="2026-06-18T00:00:00"/>
    <x v="3"/>
    <x v="8"/>
    <s v="Medak"/>
    <s v="Narsapur"/>
    <s v="Brick Unloading labour charges payment by d vishnu vardhan reddy at narasapur"/>
    <m/>
    <m/>
    <m/>
    <n v="1000"/>
    <m/>
  </r>
  <r>
    <n v="2077"/>
    <d v="2026-06-18T00:00:00"/>
    <x v="3"/>
    <x v="68"/>
    <s v="Kamareddy"/>
    <s v="Birkoor"/>
    <s v="Tractor pins,thapies,mesure tapes purchesd by k narendra at birkoor"/>
    <m/>
    <m/>
    <m/>
    <n v="720"/>
    <m/>
  </r>
  <r>
    <n v="2078"/>
    <d v="2026-06-18T00:00:00"/>
    <x v="3"/>
    <x v="49"/>
    <s v="Mehaboob Nagar"/>
    <s v="Hanwada"/>
    <s v="mous xerox payment by uday at mbnr"/>
    <m/>
    <m/>
    <m/>
    <n v="1200"/>
    <m/>
  </r>
  <r>
    <n v="2079"/>
    <d v="2026-06-18T00:00:00"/>
    <x v="3"/>
    <x v="51"/>
    <s v="Mehaboob Nagar"/>
    <s v="Hanwada"/>
    <s v="AP07CD7869 Royal travelling expenses payment by p uday siddipet to mahabbob nagar"/>
    <m/>
    <m/>
    <m/>
    <n v="1539"/>
    <m/>
  </r>
  <r>
    <n v="2080"/>
    <d v="2026-06-18T00:00:00"/>
    <x v="3"/>
    <x v="1"/>
    <s v="Kamareddy"/>
    <s v="Birkoor"/>
    <s v="Loacal Tractor day rent and deisel and driver day amount payment by k narendra at birkoor"/>
    <m/>
    <m/>
    <m/>
    <n v="5900"/>
    <m/>
  </r>
  <r>
    <n v="2081"/>
    <d v="2026-06-18T00:00:00"/>
    <x v="3"/>
    <x v="10"/>
    <s v="Hanamkonda"/>
    <s v="Hub"/>
    <s v="TS36T7860 RUNNERS VEHICEL ADVANCED PAYMENT FOR DEISEL PAYMENT THROUGH R SRIRAMAMURTHY AT NIRMITHKENDR"/>
    <m/>
    <n v="104.16666666666667"/>
    <n v="96"/>
    <n v="10000"/>
    <m/>
  </r>
  <r>
    <n v="2082"/>
    <d v="2026-06-19T00:00:00"/>
    <x v="2"/>
    <x v="51"/>
    <s v="Hanamkonda"/>
    <s v="Hub"/>
    <s v="Vizag To Warangal Trains For Rajesh and Sir"/>
    <m/>
    <m/>
    <m/>
    <n v="2800"/>
    <m/>
  </r>
  <r>
    <n v="2083"/>
    <d v="2026-06-19T00:00:00"/>
    <x v="3"/>
    <x v="10"/>
    <s v="Siddipet"/>
    <s v="Siddipet"/>
    <s v="TS21TT6869 TRACTOR DEISEL PAYMENT BY BADDI SOMESH AT PULLUR,SIDDIPET"/>
    <m/>
    <n v="41.666666666666664"/>
    <n v="96"/>
    <n v="4000"/>
    <m/>
  </r>
  <r>
    <n v="2084"/>
    <d v="2026-06-19T00:00:00"/>
    <x v="3"/>
    <x v="14"/>
    <s v="Kamareddy"/>
    <s v="Domakonda"/>
    <s v="Cement bags -15 cement jalies purchased by konireddy srinivasulu reddy at Domakonda"/>
    <s v="Cement"/>
    <n v="15"/>
    <m/>
    <n v="6670"/>
    <m/>
  </r>
  <r>
    <n v="2085"/>
    <d v="2026-06-19T00:00:00"/>
    <x v="3"/>
    <x v="18"/>
    <s v="Kamareddy"/>
    <s v="Rajampet"/>
    <s v="rmc trip charges payment by N nandakishore at rajampet"/>
    <m/>
    <m/>
    <m/>
    <n v="350"/>
    <m/>
  </r>
  <r>
    <n v="2086"/>
    <d v="2026-06-19T00:00:00"/>
    <x v="3"/>
    <x v="7"/>
    <s v="Hanamkonda"/>
    <s v="Hub"/>
    <s v="TS36T7860 RUNNERS VEHICLE BALANCE PAYMENT THROUGH R SRIRAMAMURTHY AT NIRMITHKENDRA HANUMAKONDA"/>
    <m/>
    <m/>
    <m/>
    <n v="9000"/>
    <m/>
  </r>
  <r>
    <n v="2087"/>
    <d v="2026-06-19T00:00:00"/>
    <x v="3"/>
    <x v="26"/>
    <s v="Kamareddy"/>
    <s v="Domakonda"/>
    <s v="m sand purchased by konireddy srinivasulu reddy at Domakonda"/>
    <s v="Msand"/>
    <n v="4"/>
    <n v="575"/>
    <n v="2300"/>
    <m/>
  </r>
  <r>
    <n v="2088"/>
    <d v="2026-06-19T00:00:00"/>
    <x v="3"/>
    <x v="10"/>
    <s v="Kamareddy"/>
    <s v="Birkoor"/>
    <s v="AP39TH0913 DCM Vehical Diesel Payment "/>
    <m/>
    <n v="168.95833333333334"/>
    <n v="96"/>
    <n v="16220"/>
    <m/>
  </r>
  <r>
    <n v="2089"/>
    <d v="2026-06-19T00:00:00"/>
    <x v="3"/>
    <x v="26"/>
    <s v="Siddipet"/>
    <s v="Siddipet Rural"/>
    <s v="Dust,12mm chips payment by muralikrishna at pullur,siddipet"/>
    <s v="Msand"/>
    <n v="4"/>
    <n v="1890"/>
    <n v="7560"/>
    <m/>
  </r>
  <r>
    <n v="2090"/>
    <d v="2026-06-19T00:00:00"/>
    <x v="3"/>
    <x v="45"/>
    <s v="Kamareddy"/>
    <s v="Birkoor"/>
    <s v="AP39TH0913 DCM Eicher Vehicle Fastag Recharge"/>
    <m/>
    <m/>
    <m/>
    <n v="2000"/>
    <m/>
  </r>
  <r>
    <n v="2091"/>
    <d v="2026-06-19T00:00:00"/>
    <x v="3"/>
    <x v="22"/>
    <s v="Hanamkonda"/>
    <s v="Kyathamapalle"/>
    <s v="Electricles for rc work payment by k govindu at keythanapalli"/>
    <m/>
    <m/>
    <m/>
    <n v="4720"/>
    <m/>
  </r>
  <r>
    <n v="2092"/>
    <d v="2026-06-19T00:00:00"/>
    <x v="3"/>
    <x v="18"/>
    <s v="Hanamkonda"/>
    <s v="Kyathamapalle"/>
    <s v="rmc trip and pump charges payment by k govindhu at keythapalli dt:18-06-2026"/>
    <m/>
    <m/>
    <m/>
    <n v="750"/>
    <m/>
  </r>
  <r>
    <n v="2093"/>
    <d v="2026-06-19T00:00:00"/>
    <x v="3"/>
    <x v="4"/>
    <s v="Bhongir"/>
    <s v="Valigonda"/>
    <s v="rc work labour food expences payment by suram prasad reddy at valigonda dt:17-06-2026 to18-06-2026"/>
    <m/>
    <m/>
    <m/>
    <n v="2780"/>
    <m/>
  </r>
  <r>
    <n v="2094"/>
    <d v="2026-06-19T00:00:00"/>
    <x v="3"/>
    <x v="18"/>
    <s v="Medak"/>
    <s v="kowdapalli"/>
    <s v="rmc trip charges ,Steel cutting mechine blades purchased by bhaskar at kowdapalli dt:14-06-2026 to 17-06-2026"/>
    <m/>
    <m/>
    <m/>
    <n v="900"/>
    <m/>
  </r>
  <r>
    <n v="2095"/>
    <d v="2026-06-19T00:00:00"/>
    <x v="3"/>
    <x v="68"/>
    <s v="Hanamkonda"/>
    <s v="Kyathamapalle"/>
    <s v="Centring work for rc meterials purchased by k govindu at keythampalli"/>
    <m/>
    <m/>
    <m/>
    <n v="3140"/>
    <m/>
  </r>
  <r>
    <n v="2096"/>
    <d v="2026-06-19T00:00:00"/>
    <x v="3"/>
    <x v="10"/>
    <s v="Hanamkonda"/>
    <s v="Hub"/>
    <s v="TS25C1579 Tractor Diesel payment"/>
    <m/>
    <n v="40.447916666666664"/>
    <n v="96"/>
    <n v="3883"/>
    <m/>
  </r>
  <r>
    <n v="2097"/>
    <d v="2026-06-19T00:00:00"/>
    <x v="3"/>
    <x v="34"/>
    <s v="Hanamkonda"/>
    <s v="Hub"/>
    <s v="binding wire-25kg purchased by k govindhu through Sure krishna reddy at hanumakonda"/>
    <s v="Binding wire"/>
    <n v="25"/>
    <m/>
    <n v="2000"/>
    <m/>
  </r>
  <r>
    <n v="2098"/>
    <d v="2026-06-19T00:00:00"/>
    <x v="3"/>
    <x v="10"/>
    <s v="Kamareddy"/>
    <s v="Birkoor"/>
    <s v="AP 40 KE 2834 Tractor Diesel"/>
    <m/>
    <n v="54.520833333333336"/>
    <n v="96"/>
    <n v="5234"/>
    <m/>
  </r>
  <r>
    <n v="2099"/>
    <d v="2026-06-19T00:00:00"/>
    <x v="3"/>
    <x v="1"/>
    <s v="Siddipet"/>
    <s v="Thoguta"/>
    <s v="local tractor rent for two days in thoguta for bl labour shifting and meterial shifing purpose"/>
    <m/>
    <m/>
    <m/>
    <n v="4700"/>
    <m/>
  </r>
  <r>
    <n v="2100"/>
    <d v="2026-06-19T00:00:00"/>
    <x v="3"/>
    <x v="10"/>
    <s v="Medak"/>
    <s v="kowdapalli"/>
    <s v="AP39CT7040 AUGUR VEHICLE DEISEL PAYMENT"/>
    <s v="Diesel"/>
    <n v="10.416666666666666"/>
    <n v="96"/>
    <n v="1000"/>
    <m/>
  </r>
  <r>
    <n v="2101"/>
    <d v="2026-06-19T00:00:00"/>
    <x v="3"/>
    <x v="8"/>
    <s v="Kamareddy"/>
    <s v="Domakonda"/>
    <s v="aac blocks loading and Unloading labour charges payment by konireddy srinivasulu reddy at Domakonda"/>
    <m/>
    <m/>
    <m/>
    <n v="3040"/>
    <m/>
  </r>
  <r>
    <n v="2102"/>
    <d v="2026-06-19T00:00:00"/>
    <x v="3"/>
    <x v="14"/>
    <s v="Hanamkonda"/>
    <s v="Kyathamapalle"/>
    <s v="Cement bags -4 purchased by k govindu ay keythampalli for rc work pump cleaning "/>
    <s v="Cement"/>
    <n v="4"/>
    <n v="300"/>
    <n v="1200"/>
    <m/>
  </r>
  <r>
    <n v="2103"/>
    <d v="2026-06-19T00:00:00"/>
    <x v="3"/>
    <x v="10"/>
    <s v="Siddipet"/>
    <s v="Mulug"/>
    <s v="AP40T1195 Tractor Deisel Payment"/>
    <m/>
    <n v="20.833333333333332"/>
    <n v="96"/>
    <n v="2000"/>
    <m/>
  </r>
  <r>
    <n v="2104"/>
    <d v="2026-06-19T00:00:00"/>
    <x v="3"/>
    <x v="10"/>
    <s v="Kamareddy"/>
    <s v="Bhiknoor"/>
    <s v="AP40JW7532 Tractor Deisel payment by padala bhanu prasad at Bhiknoor"/>
    <m/>
    <n v="15.625"/>
    <n v="96"/>
    <n v="1500"/>
    <m/>
  </r>
  <r>
    <n v="2105"/>
    <d v="2026-06-19T00:00:00"/>
    <x v="3"/>
    <x v="3"/>
    <s v="Siddipet"/>
    <s v="Doultabad"/>
    <s v="Rrl work meterials purchased by p vinay at Doulthabad"/>
    <m/>
    <m/>
    <m/>
    <n v="2200"/>
    <m/>
  </r>
  <r>
    <n v="2106"/>
    <d v="2026-06-19T00:00:00"/>
    <x v="3"/>
    <x v="68"/>
    <s v="Kamareddy"/>
    <s v="Birkoor"/>
    <s v="bathroom jalies purchased by kottena narendra at biknoor"/>
    <m/>
    <m/>
    <m/>
    <n v="2250"/>
    <m/>
  </r>
  <r>
    <n v="2107"/>
    <d v="2026-06-19T00:00:00"/>
    <x v="3"/>
    <x v="68"/>
    <s v="Bhongir"/>
    <s v="Valigonda"/>
    <s v="rc work meterial purchased by suram prasad  reddy at valigonda through sriramamurthy"/>
    <m/>
    <m/>
    <m/>
    <n v="8230"/>
    <m/>
  </r>
  <r>
    <n v="2108"/>
    <d v="2026-06-19T00:00:00"/>
    <x v="3"/>
    <x v="14"/>
    <s v="Kamareddy"/>
    <s v="Birkoor"/>
    <s v="50 cement bags purchased by kottena narendra at banswada for birkur rl work"/>
    <s v="Cement"/>
    <n v="50"/>
    <n v="285"/>
    <n v="14250"/>
    <m/>
  </r>
  <r>
    <n v="2109"/>
    <d v="2026-06-19T00:00:00"/>
    <x v="3"/>
    <x v="68"/>
    <s v="Bhongir"/>
    <s v="Valigonda"/>
    <s v="rc work meterial purchased by suram prasad  reddy at valigonda through sriramamurthy"/>
    <m/>
    <m/>
    <m/>
    <n v="4600"/>
    <m/>
  </r>
  <r>
    <n v="2110"/>
    <d v="2026-06-19T00:00:00"/>
    <x v="3"/>
    <x v="8"/>
    <s v="Hanamkonda"/>
    <s v="Hub"/>
    <s v="1)iron shifting Domakonda to Doultha Unloading labour Charges"/>
    <m/>
    <m/>
    <m/>
    <n v="4700"/>
    <m/>
  </r>
  <r>
    <n v="2111"/>
    <d v="2026-06-20T00:00:00"/>
    <x v="3"/>
    <x v="18"/>
    <s v="Kamareddy"/>
    <s v="Bhiknoor"/>
    <s v="rmc trip charges and pump charges payment by padala bhanu prasad at bhiknoor 16-06-2026 to 18-06-2026"/>
    <m/>
    <m/>
    <m/>
    <n v="1130"/>
    <m/>
  </r>
  <r>
    <n v="2112"/>
    <d v="2026-06-20T00:00:00"/>
    <x v="3"/>
    <x v="10"/>
    <s v="Hanamkonda"/>
    <s v="Parvathagiri"/>
    <s v="AP 40 DC 0089 TRACTOR Diesel"/>
    <m/>
    <n v="65.1875"/>
    <n v="96"/>
    <n v="6258"/>
    <m/>
  </r>
  <r>
    <n v="2113"/>
    <d v="2026-06-20T00:00:00"/>
    <x v="3"/>
    <x v="10"/>
    <s v="Hanamkonda"/>
    <s v="Parakal"/>
    <s v="AP27UB0957 Tractor Deisel Payment"/>
    <m/>
    <n v="42.895833333333336"/>
    <n v="96"/>
    <n v="4118"/>
    <m/>
  </r>
  <r>
    <n v="2114"/>
    <d v="2026-06-20T00:00:00"/>
    <x v="3"/>
    <x v="3"/>
    <s v="Siddipet"/>
    <s v="Doultabad"/>
    <s v="jalies-7 purchased by p  vinay yadav at doulthabad"/>
    <m/>
    <m/>
    <m/>
    <n v="1120"/>
    <m/>
  </r>
  <r>
    <n v="2115"/>
    <d v="2026-06-20T00:00:00"/>
    <x v="3"/>
    <x v="10"/>
    <s v="Hanamkonda"/>
    <s v="Hub"/>
    <s v="AP39UQ7044 DCM Vehicle Deisel payment BY Dega vamsi at hanumakonda"/>
    <m/>
    <n v="141.5625"/>
    <n v="96"/>
    <n v="13590"/>
    <m/>
  </r>
  <r>
    <n v="2116"/>
    <d v="2026-06-20T00:00:00"/>
    <x v="3"/>
    <x v="26"/>
    <s v="Kamareddy"/>
    <s v="Domakonda"/>
    <s v="m sand purchased by konireddy srinivasulu reddy at domakonda"/>
    <s v="Msand"/>
    <n v="4"/>
    <n v="575"/>
    <n v="2300"/>
    <m/>
  </r>
  <r>
    <n v="2117"/>
    <d v="2026-06-20T00:00:00"/>
    <x v="3"/>
    <x v="10"/>
    <s v="Mehaboobabad"/>
    <s v="Kothaguda"/>
    <s v="TS 34 T 3804 Shivareddy Auger Vehicle Diesel "/>
    <m/>
    <n v="52.083333333333336"/>
    <n v="96"/>
    <n v="5000"/>
    <m/>
  </r>
  <r>
    <n v="2118"/>
    <d v="2026-06-20T00:00:00"/>
    <x v="3"/>
    <x v="3"/>
    <s v="Hanamkonda"/>
    <s v="Bheemadevarapalli"/>
    <s v="Thread purchased by kurumapu venkateswar rao at hanumakonda"/>
    <m/>
    <m/>
    <m/>
    <n v="1500"/>
    <m/>
  </r>
  <r>
    <n v="2119"/>
    <d v="2026-06-20T00:00:00"/>
    <x v="3"/>
    <x v="10"/>
    <s v="Medak"/>
    <s v="kowdapalli"/>
    <s v="AP23AJ4615 Tractor Deisel payment Bhaskar for kowdapalli"/>
    <m/>
    <n v="36.458333333333336"/>
    <n v="96"/>
    <n v="3500"/>
    <m/>
  </r>
  <r>
    <n v="2120"/>
    <d v="2026-06-20T00:00:00"/>
    <x v="3"/>
    <x v="22"/>
    <s v="Siddipet"/>
    <s v="Doultabad"/>
    <s v="Electcrical purchsed by p vinay yadav at Doulthabad"/>
    <m/>
    <m/>
    <m/>
    <n v="500"/>
    <m/>
  </r>
  <r>
    <n v="2121"/>
    <d v="2026-06-20T00:00:00"/>
    <x v="3"/>
    <x v="10"/>
    <s v="Medak"/>
    <s v="kowdapalli"/>
    <s v="TS35T2387 Tracoter deisel payment by  bhaskar at kowdapalli"/>
    <m/>
    <n v="20.833333333333332"/>
    <n v="96"/>
    <n v="2000"/>
    <m/>
  </r>
  <r>
    <n v="2122"/>
    <d v="2026-06-20T00:00:00"/>
    <x v="3"/>
    <x v="10"/>
    <s v="Medak"/>
    <s v="kowdapalli"/>
    <s v="AP39CT7040 AUGUR VEHICLE DEISEL PAYMENT"/>
    <s v="Diesel"/>
    <n v="31.25"/>
    <n v="96"/>
    <n v="3000"/>
    <m/>
  </r>
  <r>
    <n v="2123"/>
    <d v="2026-06-20T00:00:00"/>
    <x v="3"/>
    <x v="14"/>
    <s v="Kamareddy"/>
    <s v="Domakonda"/>
    <s v="Cement bags-15 purchased by konireddy srinivasulu reddy at Domakonda"/>
    <s v="Cement"/>
    <n v="15"/>
    <n v="256"/>
    <n v="3840"/>
    <m/>
  </r>
  <r>
    <n v="2124"/>
    <d v="2026-06-20T00:00:00"/>
    <x v="3"/>
    <x v="45"/>
    <s v="Hanamkonda"/>
    <s v="Hub"/>
    <s v="AP39TH0913 DCM Eicher Vehicle Fastag Recharge"/>
    <m/>
    <m/>
    <m/>
    <n v="2000"/>
    <m/>
  </r>
  <r>
    <n v="2125"/>
    <d v="2026-06-20T00:00:00"/>
    <x v="3"/>
    <x v="10"/>
    <s v="Kamareddy"/>
    <s v="Domakonda"/>
    <s v="AP39JQ0377 Tractor Deisel"/>
    <m/>
    <n v="38.197916666666664"/>
    <n v="96"/>
    <n v="3667"/>
    <m/>
  </r>
  <r>
    <n v="2126"/>
    <d v="2026-06-20T00:00:00"/>
    <x v="3"/>
    <x v="32"/>
    <s v="Siddipet"/>
    <s v="Mulug"/>
    <s v="nails-10kg purchasewd by budda suresh at kokkonda mulugu"/>
    <m/>
    <m/>
    <m/>
    <n v="800"/>
    <m/>
  </r>
  <r>
    <n v="2127"/>
    <d v="2026-06-20T00:00:00"/>
    <x v="3"/>
    <x v="26"/>
    <s v="Hanamkonda"/>
    <s v="Velair"/>
    <s v="40 mm agreegate mixing payment by k govindu at pichara"/>
    <s v="40 MM Aggregate"/>
    <n v="11.8"/>
    <n v="626.4406779661017"/>
    <n v="7392"/>
    <m/>
  </r>
  <r>
    <n v="2128"/>
    <d v="2026-06-20T00:00:00"/>
    <x v="3"/>
    <x v="26"/>
    <s v="Kamareddy"/>
    <s v="Domakonda"/>
    <s v="12 mm agreegate purchased by konireddy srinivasulu reddy at domakonda"/>
    <s v="12 MM Aggregate"/>
    <n v="4"/>
    <n v="575"/>
    <n v="2300"/>
    <m/>
  </r>
  <r>
    <n v="2129"/>
    <d v="2026-06-20T00:00:00"/>
    <x v="3"/>
    <x v="26"/>
    <s v="Hanamkonda"/>
    <s v="Parvathagiri"/>
    <s v="12 mm dust purchased by g nagaraju at parvathagiri"/>
    <s v="Msand"/>
    <n v="6"/>
    <n v="548.66666666666663"/>
    <n v="3292"/>
    <m/>
  </r>
  <r>
    <n v="2130"/>
    <d v="2026-06-20T00:00:00"/>
    <x v="3"/>
    <x v="68"/>
    <s v="Siddipet"/>
    <s v="Doultabad"/>
    <s v="steel cement-30  purchased by p vinay yadav at Doulthabad"/>
    <m/>
    <m/>
    <m/>
    <n v="19300"/>
    <m/>
  </r>
  <r>
    <n v="2131"/>
    <d v="2026-06-20T00:00:00"/>
    <x v="3"/>
    <x v="8"/>
    <s v="Hanamkonda"/>
    <s v="Parvathagiri"/>
    <s v="8 inches bricks Unloading labour charges payment by  G nagaraju at parvathagiri"/>
    <m/>
    <m/>
    <m/>
    <n v="3200"/>
    <m/>
  </r>
  <r>
    <n v="2132"/>
    <d v="2026-06-20T00:00:00"/>
    <x v="3"/>
    <x v="5"/>
    <s v="Hanamkonda"/>
    <s v="Kyathamapalle"/>
    <s v="keythampalli site expenses payment by AVS Reddy dt:17-06-2026"/>
    <m/>
    <m/>
    <m/>
    <n v="7000"/>
    <m/>
  </r>
  <r>
    <n v="2133"/>
    <d v="2026-06-20T00:00:00"/>
    <x v="3"/>
    <x v="8"/>
    <s v="Hanamkonda"/>
    <s v="Hub"/>
    <s v="iron,chemical bags,labour hospital bill,weiging bill charges payment by AVS Reddy"/>
    <m/>
    <m/>
    <m/>
    <n v="4700"/>
    <m/>
  </r>
  <r>
    <n v="2134"/>
    <d v="2026-06-20T00:00:00"/>
    <x v="3"/>
    <x v="8"/>
    <s v="Hanamkonda"/>
    <s v="Hub"/>
    <s v="site meterials labour charges payment Through AVS Reddy at nirmithkendra hanumakonda date:17-06-2026"/>
    <m/>
    <m/>
    <m/>
    <n v="9460"/>
    <m/>
  </r>
  <r>
    <n v="2135"/>
    <d v="2026-06-20T00:00:00"/>
    <x v="3"/>
    <x v="8"/>
    <s v="Hanamkonda"/>
    <s v="Hub"/>
    <s v="site meterials payment Unloading labour charges payment by AVS Reddy at nirmithkendra,hanumakonda"/>
    <m/>
    <m/>
    <m/>
    <n v="9950"/>
    <m/>
  </r>
  <r>
    <n v="2136"/>
    <d v="2026-06-20T00:00:00"/>
    <x v="3"/>
    <x v="8"/>
    <s v="Hanamkonda"/>
    <s v="Hub"/>
    <s v="Site Unloading charges payment by Sure krishna reddy  through AVS Reddy at nirmithkendr hanumakonda"/>
    <m/>
    <m/>
    <m/>
    <n v="6100"/>
    <m/>
  </r>
  <r>
    <n v="2137"/>
    <d v="2026-06-20T00:00:00"/>
    <x v="3"/>
    <x v="8"/>
    <s v="Bhongir"/>
    <s v="Valigonda"/>
    <s v="centring sheets work labour charges payment by Suram prasad reddy at valigonda date:18-06-2026"/>
    <m/>
    <m/>
    <m/>
    <n v="7200"/>
    <m/>
  </r>
  <r>
    <n v="2138"/>
    <d v="2026-06-21T00:00:00"/>
    <x v="2"/>
    <x v="1"/>
    <s v="Siddipet"/>
    <s v="Thoguta"/>
    <s v="1 Day Tractor Rent"/>
    <m/>
    <m/>
    <m/>
    <n v="3000"/>
    <m/>
  </r>
  <r>
    <n v="2139"/>
    <d v="2026-06-21T00:00:00"/>
    <x v="3"/>
    <x v="10"/>
    <s v="Kamareddy"/>
    <s v="Lingampet"/>
    <s v="TS17A3949 Tractor deisel payment by koriupolu siva at lingampet"/>
    <m/>
    <n v="20.833333333333332"/>
    <n v="96"/>
    <n v="2000"/>
    <m/>
  </r>
  <r>
    <n v="2140"/>
    <d v="2026-06-21T00:00:00"/>
    <x v="3"/>
    <x v="10"/>
    <s v="Kamareddy"/>
    <s v="Domakonda"/>
    <s v="AP40JW7532 Tractor deisel payment by konireddy srinivasulu reddy at Domakonda"/>
    <m/>
    <n v="31.25"/>
    <n v="96"/>
    <n v="3000"/>
    <m/>
  </r>
  <r>
    <n v="2141"/>
    <d v="2026-06-21T00:00:00"/>
    <x v="3"/>
    <x v="26"/>
    <s v="Kamareddy"/>
    <s v="Lingampet"/>
    <s v="m sand purchsed by korupolu siva at lingumpet"/>
    <s v="Msand"/>
    <n v="4"/>
    <n v="575"/>
    <n v="2300"/>
    <m/>
  </r>
  <r>
    <n v="2142"/>
    <d v="2026-06-21T00:00:00"/>
    <x v="3"/>
    <x v="68"/>
    <s v="Hanamkonda"/>
    <s v="Kyathamapalle"/>
    <s v="rc work meterials purchased by k govindu at keythampalli"/>
    <m/>
    <m/>
    <m/>
    <n v="1980"/>
    <m/>
  </r>
  <r>
    <n v="2143"/>
    <d v="2026-06-21T00:00:00"/>
    <x v="3"/>
    <x v="10"/>
    <s v="Bhongir"/>
    <s v="Thurkapally"/>
    <s v="TS30TA5073 Tractor deisel payment by g ganesh at vasalamarry"/>
    <m/>
    <n v="20.833333333333332"/>
    <n v="96"/>
    <n v="2000"/>
    <m/>
  </r>
  <r>
    <n v="2144"/>
    <d v="2026-06-21T00:00:00"/>
    <x v="3"/>
    <x v="26"/>
    <s v="Kamareddy"/>
    <s v="Domakonda"/>
    <s v="m sand purchased by konireddy srinivasulu reddy at Domakonda"/>
    <s v="Msand"/>
    <n v="4"/>
    <n v="575"/>
    <n v="2300"/>
    <m/>
  </r>
  <r>
    <n v="2145"/>
    <d v="2026-06-21T00:00:00"/>
    <x v="3"/>
    <x v="4"/>
    <s v="Kamareddy"/>
    <s v="Birkoor"/>
    <s v="local tractor driver day payment and food expenses by k narendra dt:19-06-2026 to 20-06-2026"/>
    <m/>
    <m/>
    <m/>
    <n v="1800"/>
    <m/>
  </r>
  <r>
    <n v="2146"/>
    <d v="2026-06-21T00:00:00"/>
    <x v="3"/>
    <x v="8"/>
    <s v="Kamareddy"/>
    <s v="Birkoor"/>
    <s v="Chemical bags -540 Unloading labour charges payment by k  narendra at birkoor date:19-06-2026"/>
    <m/>
    <m/>
    <m/>
    <n v="2700"/>
    <m/>
  </r>
  <r>
    <n v="2147"/>
    <d v="2026-06-21T00:00:00"/>
    <x v="3"/>
    <x v="8"/>
    <s v="Kamareddy"/>
    <s v="Birkoor"/>
    <s v="AAC blocks Unloading labour chagers payment  by K Narendra at birkoor Date:21-06-2026"/>
    <m/>
    <m/>
    <m/>
    <n v="6000"/>
    <m/>
  </r>
  <r>
    <n v="2148"/>
    <d v="2026-06-21T00:00:00"/>
    <x v="3"/>
    <x v="9"/>
    <s v="Kamareddy"/>
    <s v="Rajampet"/>
    <s v="rajampet meterial room advance rent payment by n nanda kishore at rajampeta"/>
    <m/>
    <m/>
    <m/>
    <n v="3000"/>
    <m/>
  </r>
  <r>
    <n v="2149"/>
    <d v="2026-06-21T00:00:00"/>
    <x v="3"/>
    <x v="10"/>
    <s v="Hanamkonda"/>
    <s v="Parvathagiri"/>
    <s v="TS24A4224 Tractor Deisel payment by g nagaraju  at parvathagiri"/>
    <m/>
    <n v="20.833333333333332"/>
    <n v="96"/>
    <n v="2000"/>
    <m/>
  </r>
  <r>
    <n v="2150"/>
    <d v="2026-06-21T00:00:00"/>
    <x v="3"/>
    <x v="8"/>
    <s v="Siddipet"/>
    <s v="Mulug"/>
    <s v="lacal tractor deisel payment by budda suresh Date on 17-06-2026 to 20-06-2026"/>
    <m/>
    <m/>
    <m/>
    <n v="4000"/>
    <m/>
  </r>
  <r>
    <n v="2151"/>
    <d v="2026-06-21T00:00:00"/>
    <x v="3"/>
    <x v="3"/>
    <s v="Kamareddy"/>
    <s v="Domakonda"/>
    <s v="iron cutting mechine purchased by k Srinivasulu reddy at kamareddy for Domakonda rl work"/>
    <m/>
    <m/>
    <m/>
    <n v="1200"/>
    <m/>
  </r>
  <r>
    <n v="2152"/>
    <d v="2026-06-21T00:00:00"/>
    <x v="3"/>
    <x v="10"/>
    <s v="Mehaboob Nagar"/>
    <s v="Hanwada"/>
    <s v="AP5315AC Augur vehical desiel payment by hanumanth at mahaboobnagar"/>
    <m/>
    <n v="20.833333333333332"/>
    <n v="96"/>
    <n v="2000"/>
    <m/>
  </r>
  <r>
    <n v="2153"/>
    <d v="2026-06-21T00:00:00"/>
    <x v="3"/>
    <x v="26"/>
    <s v="Kamareddy"/>
    <s v="Domakonda"/>
    <s v="12 mm agreegate purchased by konireddy srinivasulu reddy at Domakonda"/>
    <s v="12 MM Aggregate"/>
    <n v="4"/>
    <n v="575"/>
    <n v="2300"/>
    <m/>
  </r>
  <r>
    <n v="2154"/>
    <d v="2026-06-21T00:00:00"/>
    <x v="3"/>
    <x v="10"/>
    <s v="Mehaboob Nagar"/>
    <s v="Hanwada"/>
    <s v="AP39TH0913 DCM Vehical Diesel Payment "/>
    <m/>
    <n v="163.10416666666666"/>
    <n v="96"/>
    <n v="15658"/>
    <m/>
  </r>
  <r>
    <n v="2155"/>
    <d v="2026-06-21T00:00:00"/>
    <x v="3"/>
    <x v="26"/>
    <s v="Kamareddy"/>
    <s v="Lingampet"/>
    <s v="12 mm agreegate purchased By korupolu siva at lingampet rl work "/>
    <s v="12 MM Aggregate"/>
    <n v="4"/>
    <n v="575"/>
    <n v="2300"/>
    <m/>
  </r>
  <r>
    <n v="2156"/>
    <d v="2026-06-21T00:00:00"/>
    <x v="3"/>
    <x v="14"/>
    <s v="Hanamkonda"/>
    <s v="Parvathagiri"/>
    <s v="Cement bags -30 purchased by G nagaraju at parvathagiri"/>
    <s v="Cement"/>
    <n v="30"/>
    <n v="265"/>
    <n v="7950"/>
    <m/>
  </r>
  <r>
    <n v="2157"/>
    <d v="2026-06-21T00:00:00"/>
    <x v="3"/>
    <x v="10"/>
    <s v="Kamareddy"/>
    <s v="Lingampet"/>
    <s v="TS17A3949 Tractor deisel payment by koriupolu siva at lingampet"/>
    <m/>
    <n v="26.041666666666668"/>
    <n v="96"/>
    <n v="2500"/>
    <m/>
  </r>
  <r>
    <n v="2158"/>
    <d v="2026-06-21T00:00:00"/>
    <x v="3"/>
    <x v="68"/>
    <s v="Mehaboob Nagar"/>
    <s v="Hanwada"/>
    <s v="tharpalins,greennet purchased by pavan kumar at mahaboob nagar"/>
    <m/>
    <m/>
    <m/>
    <n v="2200"/>
    <m/>
  </r>
  <r>
    <n v="2159"/>
    <d v="2026-06-21T00:00:00"/>
    <x v="3"/>
    <x v="3"/>
    <s v="Kamareddy"/>
    <s v="Birkoor"/>
    <s v="rl work meterial purchased by kottena narendra at birkoor"/>
    <m/>
    <m/>
    <m/>
    <n v="2150"/>
    <m/>
  </r>
  <r>
    <n v="2160"/>
    <d v="2026-06-21T00:00:00"/>
    <x v="3"/>
    <x v="10"/>
    <s v="Bhongir"/>
    <s v="Valigonda"/>
    <s v="AP39FC8298 TRACTOR DEISEL PAYMENT "/>
    <m/>
    <n v="20.833333333333332"/>
    <n v="96"/>
    <n v="2000"/>
    <m/>
  </r>
  <r>
    <n v="2161"/>
    <d v="2026-06-21T00:00:00"/>
    <x v="3"/>
    <x v="8"/>
    <s v="Siddipet"/>
    <s v="Doultabad"/>
    <s v="local tractor engage one day amount payment by p vinay at Doulthabad dt:18-06-2026"/>
    <m/>
    <m/>
    <m/>
    <n v="2000"/>
    <m/>
  </r>
  <r>
    <n v="2162"/>
    <d v="2026-06-21T00:00:00"/>
    <x v="3"/>
    <x v="10"/>
    <s v="Siddipet"/>
    <s v="Doultabad"/>
    <s v="AP40KW7346 Tractor deisel payments by p vinay yadav at Doulthabad"/>
    <m/>
    <n v="31.25"/>
    <n v="96"/>
    <n v="3000"/>
    <m/>
  </r>
  <r>
    <n v="2163"/>
    <d v="2026-06-21T00:00:00"/>
    <x v="3"/>
    <x v="22"/>
    <s v="Mehaboob Nagar"/>
    <s v="Hanwada"/>
    <s v="Electricals for bl labour(kamareddy to mbnr) purchaed by d vishnu vardhan reddy at mbnr"/>
    <m/>
    <m/>
    <m/>
    <n v="2700"/>
    <m/>
  </r>
  <r>
    <n v="2164"/>
    <d v="2026-06-21T00:00:00"/>
    <x v="3"/>
    <x v="18"/>
    <s v="Hanamkonda"/>
    <s v="Hub"/>
    <s v="rmc trip charges payment by simhachalam at warangal urban"/>
    <m/>
    <m/>
    <m/>
    <n v="250"/>
    <m/>
  </r>
  <r>
    <n v="2165"/>
    <d v="2026-06-21T00:00:00"/>
    <x v="3"/>
    <x v="9"/>
    <s v="Kamareddy"/>
    <s v="Lingampet"/>
    <s v="lingumpet labour room rent payment by korupolu siva at for the monthof 12-05-2026 to 12-06-2026"/>
    <m/>
    <m/>
    <m/>
    <n v="3000"/>
    <m/>
  </r>
  <r>
    <n v="2166"/>
    <d v="2026-06-21T00:00:00"/>
    <x v="3"/>
    <x v="3"/>
    <s v="Kamareddy"/>
    <s v="Lingampet"/>
    <s v="brick Unloading saws(rampalu) purchased by korupolu siva at kamareddy for rl work in lingumpet"/>
    <m/>
    <m/>
    <m/>
    <n v="900"/>
    <m/>
  </r>
  <r>
    <n v="2167"/>
    <d v="2026-06-21T00:00:00"/>
    <x v="3"/>
    <x v="18"/>
    <s v="Kamareddy"/>
    <s v="Ramareddy"/>
    <s v="rmc trip charges and waste oil purchased by korupolu siva at ramareddy date between 08-06-2026 to15-06-2026"/>
    <m/>
    <m/>
    <m/>
    <n v="1150"/>
    <m/>
  </r>
  <r>
    <n v="2168"/>
    <d v="2026-06-21T00:00:00"/>
    <x v="3"/>
    <x v="32"/>
    <s v="Kamareddy"/>
    <s v="Ramareddy"/>
    <s v="nails-10kg purchased by korupolu siva  at ramareddy date:08-06-2026 and14-06-2026"/>
    <m/>
    <m/>
    <m/>
    <n v="890"/>
    <m/>
  </r>
  <r>
    <n v="2169"/>
    <d v="2026-06-22T00:00:00"/>
    <x v="3"/>
    <x v="14"/>
    <s v="Kamareddy"/>
    <s v="Domakonda"/>
    <s v="Cement bags -30 rl materials purchased by konnireddy srinivasula reddy at Domakonda"/>
    <s v="Cement"/>
    <n v="30"/>
    <n v="271.33333333333331"/>
    <n v="8140"/>
    <m/>
  </r>
  <r>
    <n v="2170"/>
    <d v="2026-06-22T00:00:00"/>
    <x v="3"/>
    <x v="68"/>
    <s v="Hanamkonda"/>
    <s v="Hub"/>
    <s v="RC work Materials purchased by sure krishna reddy at Hnumakonda"/>
    <m/>
    <m/>
    <m/>
    <n v="11500"/>
    <m/>
  </r>
  <r>
    <n v="2171"/>
    <d v="2026-06-22T00:00:00"/>
    <x v="3"/>
    <x v="26"/>
    <s v="Kamareddy"/>
    <s v="Domakonda"/>
    <s v="Msand Purchased by konnireddy srinivasula reddy at domakonda"/>
    <s v="Msand"/>
    <n v="4"/>
    <n v="575"/>
    <n v="2300"/>
    <m/>
  </r>
  <r>
    <n v="2172"/>
    <d v="2026-06-22T00:00:00"/>
    <x v="3"/>
    <x v="10"/>
    <s v="Siddipet"/>
    <s v="RAIPOLE"/>
    <s v="AP30CD3038 Tractor Diesel payment by andireddy Durga Prasad at raypole"/>
    <m/>
    <n v="20.833333333333332"/>
    <n v="96"/>
    <n v="2000"/>
    <m/>
  </r>
  <r>
    <n v="2173"/>
    <d v="2026-06-22T00:00:00"/>
    <x v="3"/>
    <x v="50"/>
    <s v="Hanamkonda"/>
    <s v="Hub"/>
    <s v="Electricity bill Payment by N Malyadri Reddy At Hanumakonda"/>
    <m/>
    <m/>
    <m/>
    <n v="1343"/>
    <m/>
  </r>
  <r>
    <n v="2174"/>
    <d v="2026-06-22T00:00:00"/>
    <x v="3"/>
    <x v="9"/>
    <s v="Medak"/>
    <s v="Narsapur"/>
    <s v="narsapur labour room rent electricity bill payment by Bhaskar For the month of may to june 2026"/>
    <m/>
    <m/>
    <m/>
    <n v="5540"/>
    <m/>
  </r>
  <r>
    <n v="2175"/>
    <d v="2026-06-22T00:00:00"/>
    <x v="3"/>
    <x v="26"/>
    <s v="Kamareddy"/>
    <s v="Domakonda"/>
    <s v="12mm aggregate purchased by konireddy srinivasula reddy at domakonda"/>
    <s v="12 MM Aggregate"/>
    <n v="4"/>
    <n v="575"/>
    <n v="2300"/>
    <m/>
  </r>
  <r>
    <n v="2176"/>
    <d v="2026-06-22T00:00:00"/>
    <x v="3"/>
    <x v="10"/>
    <s v="Hanamkonda"/>
    <s v="Sangem"/>
    <s v="TS 34 T 3804 Shivareddy Auger Vehicle Diesel "/>
    <m/>
    <n v="51.760416666666664"/>
    <n v="96"/>
    <n v="4969"/>
    <m/>
  </r>
  <r>
    <n v="2177"/>
    <d v="2026-06-22T00:00:00"/>
    <x v="3"/>
    <x v="3"/>
    <s v="Hanamkonda"/>
    <s v="Hub"/>
    <s v="Hammer,Nails purchased by by R Srirama Murthy at Bodagutta"/>
    <m/>
    <m/>
    <m/>
    <n v="390"/>
    <m/>
  </r>
  <r>
    <n v="2178"/>
    <d v="2026-06-22T00:00:00"/>
    <x v="3"/>
    <x v="68"/>
    <s v="Mehaboob Nagar"/>
    <s v="Hanwada"/>
    <s v="Water drums purchased by vishnu vardhan reddy at MBNR"/>
    <m/>
    <m/>
    <m/>
    <n v="3000"/>
    <m/>
  </r>
  <r>
    <n v="2179"/>
    <d v="2026-06-22T00:00:00"/>
    <x v="3"/>
    <x v="68"/>
    <s v="Bhongir"/>
    <s v="Valigonda"/>
    <s v="RC work Materials purchased by suram prasad reddy at valigonda"/>
    <m/>
    <m/>
    <m/>
    <n v="6745"/>
    <m/>
  </r>
  <r>
    <n v="2180"/>
    <d v="2026-06-22T00:00:00"/>
    <x v="3"/>
    <x v="26"/>
    <s v="Hanamkonda"/>
    <s v="Parvathagiri"/>
    <s v="12mm dust purchased by g nagaraju at parvathagiri"/>
    <s v="12 MM Aggregate"/>
    <n v="6"/>
    <n v="692.5"/>
    <n v="4155"/>
    <m/>
  </r>
  <r>
    <n v="2181"/>
    <d v="2026-06-22T00:00:00"/>
    <x v="3"/>
    <x v="9"/>
    <s v="Mehaboob Nagar"/>
    <s v="Hanwada"/>
    <s v="Hotel room booking advance payment by sai through sudakar reddy sir at MBNR"/>
    <m/>
    <m/>
    <m/>
    <n v="5000"/>
    <m/>
  </r>
  <r>
    <n v="2182"/>
    <d v="2026-06-22T00:00:00"/>
    <x v="3"/>
    <x v="3"/>
    <s v="Mehaboob Nagar"/>
    <s v="Hanwada"/>
    <s v="Wood cutting blades 5pcs payment by vishnu vardhan reddy at MBNR"/>
    <m/>
    <m/>
    <m/>
    <n v="1250"/>
    <m/>
  </r>
  <r>
    <n v="2183"/>
    <d v="2026-06-22T00:00:00"/>
    <x v="3"/>
    <x v="10"/>
    <s v="Mehaboob Nagar"/>
    <s v="Hanwada"/>
    <s v="AP40JS1121 TRACTOR DEISEL PAYMENT "/>
    <s v="Diesel"/>
    <n v="52.083333333333336"/>
    <n v="96"/>
    <n v="5000"/>
    <m/>
  </r>
  <r>
    <n v="2184"/>
    <d v="2026-06-22T00:00:00"/>
    <x v="3"/>
    <x v="10"/>
    <s v="Mehaboob Nagar"/>
    <s v="Hanwada"/>
    <s v="AP39KA1451 Tractor Diesel Payment"/>
    <m/>
    <n v="42.708333333333336"/>
    <n v="96"/>
    <n v="4100"/>
    <m/>
  </r>
  <r>
    <n v="2185"/>
    <d v="2026-06-22T00:00:00"/>
    <x v="3"/>
    <x v="45"/>
    <s v="Hanamkonda"/>
    <s v="Hub"/>
    <s v="AP39TH0913 DCM Eicher Vehicle Fastag Recharge"/>
    <m/>
    <m/>
    <m/>
    <n v="2000"/>
    <m/>
  </r>
  <r>
    <n v="2186"/>
    <d v="2026-06-22T00:00:00"/>
    <x v="3"/>
    <x v="2"/>
    <s v="Mehaboob Nagar"/>
    <s v="Hanwada"/>
    <s v="Waste oil and oil can purchased by vishnu vardhan reddy at MBNR"/>
    <m/>
    <m/>
    <m/>
    <n v="4065"/>
    <m/>
  </r>
  <r>
    <n v="2187"/>
    <d v="2026-06-22T00:00:00"/>
    <x v="3"/>
    <x v="10"/>
    <s v="Hanamkonda"/>
    <s v="Hub"/>
    <s v="AP 39 WB 2967 Tractor Diesel"/>
    <m/>
    <n v="20.833333333333332"/>
    <n v="96"/>
    <n v="2000"/>
    <m/>
  </r>
  <r>
    <n v="2188"/>
    <d v="2026-06-22T00:00:00"/>
    <x v="3"/>
    <x v="32"/>
    <s v="Mehaboob Nagar"/>
    <s v="Hanwada"/>
    <s v="Nails, tapes purchased by vishnu vardhan reddy at mbnr"/>
    <m/>
    <m/>
    <m/>
    <n v="2320"/>
    <m/>
  </r>
  <r>
    <n v="2189"/>
    <d v="2026-06-22T00:00:00"/>
    <x v="3"/>
    <x v="68"/>
    <s v="Hanamkonda"/>
    <s v="Hub"/>
    <s v="RC sliders holes in work shop payment by R Sriramamurthy at hanumakonda"/>
    <m/>
    <m/>
    <m/>
    <n v="2100"/>
    <m/>
  </r>
  <r>
    <n v="2190"/>
    <d v="2026-06-22T00:00:00"/>
    <x v="3"/>
    <x v="10"/>
    <s v="Hanamkonda"/>
    <s v="Hub"/>
    <s v="TS03EE4571 DIESEL PAYMENT"/>
    <m/>
    <n v="43.729166666666664"/>
    <n v="96"/>
    <n v="4198"/>
    <m/>
  </r>
  <r>
    <n v="2191"/>
    <d v="2026-06-22T00:00:00"/>
    <x v="3"/>
    <x v="8"/>
    <s v="Kamareddy"/>
    <s v="Domakonda"/>
    <s v="4 Houses sabjas made labour payment by konireddy srinivasula reddy at domakonda, Date; 08-06-2026"/>
    <m/>
    <m/>
    <m/>
    <n v="10000"/>
    <m/>
  </r>
  <r>
    <n v="2192"/>
    <d v="2026-06-23T00:00:00"/>
    <x v="2"/>
    <x v="51"/>
    <s v="Hanamkonda"/>
    <s v="Hub"/>
    <s v="Dimpu Travelling Expesen For Gatkesar,Siddipet,Rajahmundry"/>
    <m/>
    <m/>
    <m/>
    <n v="2700"/>
    <m/>
  </r>
  <r>
    <n v="2193"/>
    <d v="2026-06-23T00:00:00"/>
    <x v="2"/>
    <x v="14"/>
    <s v="Kamareddy"/>
    <s v="Birkoor"/>
    <s v="Cement Bags 50*280"/>
    <s v="Cement"/>
    <n v="50"/>
    <n v="280"/>
    <n v="14000"/>
    <m/>
  </r>
  <r>
    <n v="2194"/>
    <d v="2026-06-23T00:00:00"/>
    <x v="2"/>
    <x v="28"/>
    <s v="Kamareddy"/>
    <s v="Birkoor"/>
    <s v="8 MM 679.900"/>
    <m/>
    <m/>
    <m/>
    <n v="42833"/>
    <m/>
  </r>
  <r>
    <n v="2195"/>
    <d v="2026-06-23T00:00:00"/>
    <x v="2"/>
    <x v="8"/>
    <s v="Kamareddy"/>
    <s v="Birkoor"/>
    <s v="Unloading And Loading"/>
    <m/>
    <m/>
    <m/>
    <n v="597"/>
    <m/>
  </r>
  <r>
    <n v="2196"/>
    <d v="2026-06-23T00:00:00"/>
    <x v="2"/>
    <x v="38"/>
    <s v="Hanamkonda"/>
    <s v="Hub"/>
    <s v="45 Windows And Door Frames Making At Nirmith Kendhram"/>
    <m/>
    <m/>
    <m/>
    <n v="13000"/>
    <m/>
  </r>
  <r>
    <n v="2197"/>
    <d v="2026-06-23T00:00:00"/>
    <x v="2"/>
    <x v="10"/>
    <s v="Bhongir"/>
    <s v="Valigonda"/>
    <s v="AP 39 UQ 7044 Eicher Diesel"/>
    <m/>
    <n v="130.17635416666667"/>
    <n v="96"/>
    <n v="12496.93"/>
    <m/>
  </r>
  <r>
    <n v="2198"/>
    <d v="2026-06-23T00:00:00"/>
    <x v="3"/>
    <x v="10"/>
    <s v="Kamareddy"/>
    <s v="Domakonda"/>
    <s v="AP40JW7532 Tractor Deisel payment by konireddy Srinivasulu reddy at Domakonda"/>
    <m/>
    <n v="41.177083333333336"/>
    <n v="96"/>
    <n v="3953"/>
    <m/>
  </r>
  <r>
    <n v="2199"/>
    <d v="2026-06-23T00:00:00"/>
    <x v="3"/>
    <x v="10"/>
    <s v="Kamareddy"/>
    <s v="Domakonda"/>
    <s v="AP16CX7950 Tractor Diesel"/>
    <m/>
    <n v="42.729166666666664"/>
    <n v="96"/>
    <n v="4102"/>
    <m/>
  </r>
  <r>
    <n v="2200"/>
    <d v="2026-06-23T00:00:00"/>
    <x v="3"/>
    <x v="68"/>
    <s v="Hanamkonda"/>
    <s v="Hub"/>
    <s v="iron cutting mechines-2,wood cutting mechines-2 purchased by g suresh for nirmithkendr at hanumakonda"/>
    <m/>
    <m/>
    <m/>
    <n v="27500"/>
    <m/>
  </r>
  <r>
    <n v="2201"/>
    <d v="2026-06-23T00:00:00"/>
    <x v="3"/>
    <x v="10"/>
    <s v="Siddipet"/>
    <s v="Thoguta"/>
    <s v="AP39CT7040 AUGUR VEHICLE DEISEL PAYMENT"/>
    <s v="Diesel"/>
    <n v="41.666666666666664"/>
    <n v="96"/>
    <n v="4000"/>
    <m/>
  </r>
  <r>
    <n v="2202"/>
    <d v="2026-06-23T00:00:00"/>
    <x v="3"/>
    <x v="68"/>
    <s v="Hanamkonda"/>
    <s v="Hub"/>
    <s v="Dummy Door frames and window Frames meterials purchased by R Sriramamurthy at hanumakonda for Nirmithkendram"/>
    <m/>
    <m/>
    <m/>
    <n v="2110"/>
    <m/>
  </r>
  <r>
    <n v="2203"/>
    <d v="2026-06-23T00:00:00"/>
    <x v="3"/>
    <x v="8"/>
    <s v="Medak"/>
    <s v="kowdapalli"/>
    <s v="BL centring labour charges payment by bhaskar at Kowdapalli Date:22-06-2026"/>
    <m/>
    <m/>
    <m/>
    <n v="600"/>
    <m/>
  </r>
  <r>
    <n v="2204"/>
    <d v="2026-06-23T00:00:00"/>
    <x v="3"/>
    <x v="8"/>
    <s v="Kamareddy"/>
    <s v="Birkoor"/>
    <s v="Tractor deisel payment by kotttena narendra at biknoor"/>
    <m/>
    <m/>
    <m/>
    <n v="800"/>
    <m/>
  </r>
  <r>
    <n v="2205"/>
    <d v="2026-06-23T00:00:00"/>
    <x v="3"/>
    <x v="26"/>
    <s v="Kamareddy"/>
    <s v="Domakonda"/>
    <s v="msand-2,12mm agreegate purchesed by konireddy srinivasulu reddy at Domakonda"/>
    <s v="Msand &amp; 12 mm Aggregate"/>
    <n v="12"/>
    <n v="575"/>
    <n v="6900"/>
    <m/>
  </r>
  <r>
    <n v="2206"/>
    <d v="2026-06-23T00:00:00"/>
    <x v="3"/>
    <x v="10"/>
    <s v="Hanamkonda"/>
    <s v="Bheemadevarapalli"/>
    <s v="TG037489 Tractor deisel payment by sameer at bheemdevarapalli"/>
    <m/>
    <n v="46.40625"/>
    <n v="96"/>
    <n v="4455"/>
    <m/>
  </r>
  <r>
    <n v="2207"/>
    <d v="2026-06-23T00:00:00"/>
    <x v="3"/>
    <x v="18"/>
    <s v="Hanamkonda"/>
    <s v="Sangem"/>
    <s v="rmc trip and pump charges payment,cement bag purchased by simhasalam at sangam dt:22-06-2026"/>
    <m/>
    <m/>
    <m/>
    <n v="1300"/>
    <m/>
  </r>
  <r>
    <n v="2208"/>
    <d v="2026-06-23T00:00:00"/>
    <x v="3"/>
    <x v="22"/>
    <s v="Mehaboob Nagar"/>
    <s v="Hanwada"/>
    <s v="4.0 Sq current wire,Dual Switchboard, 3pCurrent tape, Screwdriver, Current Cuttingblade purchsed by d vishnuvardhan at mbnr"/>
    <m/>
    <m/>
    <m/>
    <n v="13150"/>
    <m/>
  </r>
  <r>
    <n v="2209"/>
    <d v="2026-06-23T00:00:00"/>
    <x v="3"/>
    <x v="68"/>
    <s v="Hanamkonda"/>
    <s v="Hub"/>
    <s v="windows gum purchased by Sure krishna reddy at hanumakonda"/>
    <m/>
    <m/>
    <m/>
    <n v="280"/>
    <m/>
  </r>
  <r>
    <n v="2210"/>
    <d v="2026-06-23T00:00:00"/>
    <x v="3"/>
    <x v="18"/>
    <s v="Hanamkonda"/>
    <s v="Sangem"/>
    <s v="rmc trip and pump charges payment by simhachalam at sangam"/>
    <m/>
    <m/>
    <m/>
    <n v="250"/>
    <m/>
  </r>
  <r>
    <n v="2211"/>
    <d v="2026-06-23T00:00:00"/>
    <x v="3"/>
    <x v="3"/>
    <s v="Kamareddy"/>
    <s v="Lingampet"/>
    <s v="rl work stands welding work for two stands payment by k narendra at lingumpet"/>
    <m/>
    <m/>
    <m/>
    <n v="1500"/>
    <m/>
  </r>
  <r>
    <n v="2212"/>
    <d v="2026-06-24T00:00:00"/>
    <x v="2"/>
    <x v="56"/>
    <s v="Hanamkonda"/>
    <s v="Wardhannapet"/>
    <s v="Doors And windows Fitting Charges For Model House"/>
    <m/>
    <m/>
    <m/>
    <n v="3700"/>
    <m/>
  </r>
  <r>
    <n v="2213"/>
    <d v="2026-06-24T00:00:00"/>
    <x v="3"/>
    <x v="18"/>
    <s v="Hanamkonda"/>
    <s v="Parakal"/>
    <s v="rmc trip charges payment by bablu at shapur through setti suresh phonepay dt:08-06-2026 to 12-06-2026"/>
    <m/>
    <m/>
    <m/>
    <n v="900"/>
    <m/>
  </r>
  <r>
    <n v="2214"/>
    <d v="2026-06-24T00:00:00"/>
    <x v="3"/>
    <x v="18"/>
    <s v="Kamareddy"/>
    <s v="Domakonda"/>
    <s v="RL metrial payment by konireddy srinivasulu reddy at Domakonda"/>
    <m/>
    <m/>
    <m/>
    <n v="3580"/>
    <m/>
  </r>
  <r>
    <n v="2215"/>
    <d v="2026-06-24T00:00:00"/>
    <x v="3"/>
    <x v="22"/>
    <s v="Kamareddy"/>
    <s v="Birkoor"/>
    <s v="Electrical  tools and rl meterial purchased by k narendrapurchased by "/>
    <m/>
    <m/>
    <m/>
    <n v="2760"/>
    <m/>
  </r>
  <r>
    <n v="2216"/>
    <d v="2026-06-24T00:00:00"/>
    <x v="3"/>
    <x v="10"/>
    <s v="Hanamkonda"/>
    <s v="Parvathagiri"/>
    <s v="TS24A4224 TRACTIOR DEISEL PAYMENT BY G NAGARAJU AT PARVATHAGIRI"/>
    <m/>
    <n v="20.833333333333332"/>
    <n v="96"/>
    <n v="2000"/>
    <m/>
  </r>
  <r>
    <n v="2217"/>
    <d v="2026-06-24T00:00:00"/>
    <x v="3"/>
    <x v="68"/>
    <s v="Hanamkonda"/>
    <s v="Wardhannapet"/>
    <s v="Wardhanpet model house door fiting meterials payment by dega vamsi at wardhanpet"/>
    <m/>
    <m/>
    <m/>
    <n v="3781"/>
    <m/>
  </r>
  <r>
    <n v="2218"/>
    <d v="2026-06-24T00:00:00"/>
    <x v="3"/>
    <x v="14"/>
    <s v="Bhongir"/>
    <s v="Thurkapally"/>
    <s v="Cement Bags-10 purchased by G ganesh at M Thurakapally"/>
    <s v="Cement"/>
    <n v="10"/>
    <n v="267"/>
    <n v="2670"/>
    <m/>
  </r>
  <r>
    <n v="2219"/>
    <d v="2026-06-24T00:00:00"/>
    <x v="3"/>
    <x v="26"/>
    <s v="Kamareddy"/>
    <s v="Lingampet"/>
    <s v="m sand purchased by korupolu siva at lingumpet"/>
    <s v="Msand"/>
    <n v="4"/>
    <n v="575"/>
    <n v="2300"/>
    <m/>
  </r>
  <r>
    <n v="2220"/>
    <d v="2026-06-24T00:00:00"/>
    <x v="3"/>
    <x v="26"/>
    <s v="Hanamkonda"/>
    <s v="Parvathagiri"/>
    <s v="12 mm Dust payment by G nagaraju at parvathagiri"/>
    <s v="12 MM Aggregate"/>
    <n v="8"/>
    <n v="542.75"/>
    <n v="4342"/>
    <m/>
  </r>
  <r>
    <n v="2221"/>
    <d v="2026-06-24T00:00:00"/>
    <x v="3"/>
    <x v="10"/>
    <s v="Siddipet"/>
    <s v="Doultabad"/>
    <s v="AP03CD3038 Tractor deisel payment by p vinay yadav  at doulthabad"/>
    <m/>
    <n v="24.635416666666668"/>
    <n v="96"/>
    <n v="2365"/>
    <m/>
  </r>
  <r>
    <n v="2222"/>
    <d v="2026-06-24T00:00:00"/>
    <x v="3"/>
    <x v="8"/>
    <s v="Kamareddy"/>
    <s v="Domakonda"/>
    <s v="lentals-25 houses,chemical bags-690 Unloading labour charges payment by konireddy srinivasulu reddy at Domakonda"/>
    <m/>
    <m/>
    <m/>
    <n v="5260"/>
    <m/>
  </r>
  <r>
    <n v="2223"/>
    <d v="2026-06-24T00:00:00"/>
    <x v="3"/>
    <x v="10"/>
    <s v="Kothagudem"/>
    <s v="Yellandu"/>
    <s v="AP39DC3351 Tractor deisel payment by Gandhi at yellandu"/>
    <m/>
    <n v="41.666666666666664"/>
    <n v="96"/>
    <n v="4000"/>
    <m/>
  </r>
  <r>
    <n v="2224"/>
    <d v="2026-06-24T00:00:00"/>
    <x v="3"/>
    <x v="8"/>
    <s v="Kamareddy"/>
    <s v="Domakonda"/>
    <s v="Chemical bags -150 Unloading(19-06-2026),6 inches bricks-1000 Unloading (20-06-2026) labour chages paymentksrinivasulureddy"/>
    <m/>
    <m/>
    <m/>
    <n v="1950"/>
    <m/>
  </r>
  <r>
    <n v="2225"/>
    <d v="2026-06-24T00:00:00"/>
    <x v="3"/>
    <x v="10"/>
    <s v="Kamareddy"/>
    <s v="Domakonda"/>
    <s v="AP39JQ0377 Tractor Deisel"/>
    <m/>
    <n v="43.21875"/>
    <n v="96"/>
    <n v="4149"/>
    <m/>
  </r>
  <r>
    <n v="2226"/>
    <d v="2026-06-24T00:00:00"/>
    <x v="3"/>
    <x v="68"/>
    <s v="Bhongir"/>
    <s v="Valigonda"/>
    <s v="rc work meterials payment by suram prasad reddy at valigonda date:20-06-2026"/>
    <m/>
    <m/>
    <m/>
    <n v="21840"/>
    <m/>
  </r>
  <r>
    <n v="2227"/>
    <d v="2026-06-24T00:00:00"/>
    <x v="3"/>
    <x v="68"/>
    <s v="Bhongir"/>
    <s v="Valigonda"/>
    <s v="rc work meterials payment by suram prasad reddy at valigonda date:20-06-2026"/>
    <m/>
    <m/>
    <m/>
    <n v="1700"/>
    <m/>
  </r>
  <r>
    <n v="2228"/>
    <d v="2026-06-24T00:00:00"/>
    <x v="3"/>
    <x v="5"/>
    <s v="Siddipet"/>
    <s v="Siddipet Rural"/>
    <s v="Site expenses charges payment by baddi somesh at pullur,siddipet"/>
    <m/>
    <m/>
    <m/>
    <n v="5100"/>
    <m/>
  </r>
  <r>
    <n v="2229"/>
    <d v="2026-06-24T00:00:00"/>
    <x v="3"/>
    <x v="3"/>
    <s v="Kamareddy"/>
    <s v="Birkoor"/>
    <s v="tarpalin purchased by k narendra at birkoor"/>
    <m/>
    <m/>
    <m/>
    <n v="850"/>
    <m/>
  </r>
  <r>
    <n v="2230"/>
    <d v="2026-06-24T00:00:00"/>
    <x v="3"/>
    <x v="68"/>
    <s v="Kamareddy"/>
    <s v="Birkoor"/>
    <s v="bathroom jalies purchased by k narendra at birkoor"/>
    <m/>
    <m/>
    <m/>
    <n v="3750"/>
    <m/>
  </r>
  <r>
    <n v="2231"/>
    <d v="2026-06-24T00:00:00"/>
    <x v="3"/>
    <x v="9"/>
    <s v="Mehaboob Nagar"/>
    <s v="Hanwada"/>
    <s v="supervisiors new room rent advance payment by AVS Reddy at haunwada,MBNR"/>
    <m/>
    <m/>
    <m/>
    <n v="10000"/>
    <m/>
  </r>
  <r>
    <n v="2232"/>
    <d v="2026-06-24T00:00:00"/>
    <x v="3"/>
    <x v="49"/>
    <s v="Hanamkonda"/>
    <s v="Hub"/>
    <s v="Eesha infra visiting cards print advance payment by dimpi srivas at hanumakonda"/>
    <m/>
    <m/>
    <m/>
    <n v="300"/>
    <m/>
  </r>
  <r>
    <n v="2233"/>
    <d v="2026-06-24T00:00:00"/>
    <x v="3"/>
    <x v="10"/>
    <s v="Siddipet"/>
    <s v="Mulug"/>
    <s v="AP40T1195 Tractor Deisel Payment"/>
    <m/>
    <n v="31.25"/>
    <n v="96"/>
    <n v="3000"/>
    <m/>
  </r>
  <r>
    <n v="2234"/>
    <d v="2026-06-24T00:00:00"/>
    <x v="3"/>
    <x v="0"/>
    <s v="Mehaboobabad"/>
    <s v="Kothaguda"/>
    <s v="meterials and labour shifting charges payment by sai kothaguda MBNR"/>
    <m/>
    <m/>
    <m/>
    <n v="500"/>
    <m/>
  </r>
  <r>
    <n v="2235"/>
    <d v="2026-06-24T00:00:00"/>
    <x v="3"/>
    <x v="9"/>
    <s v="Hanamkonda"/>
    <s v="Hub"/>
    <s v="urban rent payment,Bricks Unloading labour brekfast  payment by g suresh at nirmithkendra,hanumakonda"/>
    <m/>
    <m/>
    <m/>
    <n v="6360"/>
    <m/>
  </r>
  <r>
    <n v="2236"/>
    <d v="2026-06-24T00:00:00"/>
    <x v="3"/>
    <x v="9"/>
    <s v="Mehaboob Nagar"/>
    <s v="Hanwada"/>
    <s v="Hotel room advance payment booking by sai trohgh sai at Sudhakar reddy sir"/>
    <m/>
    <m/>
    <m/>
    <n v="5000"/>
    <m/>
  </r>
  <r>
    <n v="2237"/>
    <d v="2026-06-25T00:00:00"/>
    <x v="2"/>
    <x v="10"/>
    <s v="Mehaboob Nagar"/>
    <s v="Mehabubnagar"/>
    <s v="AP39TH0913 DCM Vehical Diesel Payment "/>
    <m/>
    <n v="125"/>
    <n v="96"/>
    <n v="12000"/>
    <m/>
  </r>
  <r>
    <n v="2238"/>
    <d v="2026-06-25T00:00:00"/>
    <x v="2"/>
    <x v="56"/>
    <s v="Warangal"/>
    <s v="Duggondi"/>
    <s v="Model House Door Fitting And Windows Fitting Material"/>
    <m/>
    <m/>
    <m/>
    <n v="4390"/>
    <m/>
  </r>
  <r>
    <n v="2239"/>
    <d v="2026-06-25T00:00:00"/>
    <x v="2"/>
    <x v="56"/>
    <s v="Warangal"/>
    <s v="Atmakur"/>
    <s v="Model House Door Fitting And Windows Fitting Material"/>
    <m/>
    <m/>
    <m/>
    <n v="4390"/>
    <m/>
  </r>
  <r>
    <n v="2240"/>
    <d v="2026-06-25T00:00:00"/>
    <x v="3"/>
    <x v="8"/>
    <s v="Siddipet"/>
    <s v="RAIPOLE"/>
    <s v="Blocks fix(chemical bags)shifting Unloading charges payment by angireddy Durgaprasad at rayapole,"/>
    <m/>
    <m/>
    <m/>
    <n v="600"/>
    <m/>
  </r>
  <r>
    <n v="2241"/>
    <d v="2026-06-25T00:00:00"/>
    <x v="3"/>
    <x v="0"/>
    <s v="Mehaboobabad"/>
    <s v="Kothaguda"/>
    <s v="meterials and labour shifting auto charges payment by sai at kothaguda date:17-06-2026,18-06-2026"/>
    <m/>
    <m/>
    <m/>
    <n v="900"/>
    <m/>
  </r>
  <r>
    <n v="2242"/>
    <d v="2026-06-25T00:00:00"/>
    <x v="3"/>
    <x v="10"/>
    <s v="Hanamkonda"/>
    <s v="Hub"/>
    <s v="AP26BZ3361 Tractor Deisel payment"/>
    <m/>
    <n v="30.760416666666668"/>
    <n v="96"/>
    <n v="2953"/>
    <m/>
  </r>
  <r>
    <n v="2243"/>
    <d v="2026-06-25T00:00:00"/>
    <x v="3"/>
    <x v="10"/>
    <s v="Hanamkonda"/>
    <s v="Hub"/>
    <s v="TS03UB7556  Tractor Diesel"/>
    <m/>
    <n v="38.697916666666664"/>
    <n v="96"/>
    <n v="3715"/>
    <m/>
  </r>
  <r>
    <n v="2244"/>
    <d v="2026-06-25T00:00:00"/>
    <x v="3"/>
    <x v="14"/>
    <s v="Kamareddy"/>
    <s v="Domakonda"/>
    <s v="Cement bags-10 Binding Wire -1kg purchased by Konireddy Srinivasulu reddy at Domakonda"/>
    <m/>
    <m/>
    <m/>
    <n v="2650"/>
    <m/>
  </r>
  <r>
    <n v="2245"/>
    <d v="2026-06-25T00:00:00"/>
    <x v="3"/>
    <x v="10"/>
    <s v="Kamareddy"/>
    <s v="Birkoor"/>
    <s v="AP 40 KF 2837 Tractor Diesel"/>
    <m/>
    <n v="49.697916666666664"/>
    <n v="96"/>
    <n v="4771"/>
    <m/>
  </r>
  <r>
    <n v="2246"/>
    <d v="2026-06-25T00:00:00"/>
    <x v="3"/>
    <x v="10"/>
    <s v="Kamareddy"/>
    <s v="Lingampet"/>
    <s v="TS17T6540 Tractor Deisel payment by Korupolu Siva at lingumpet"/>
    <m/>
    <n v="20.833333333333332"/>
    <n v="96"/>
    <n v="2000"/>
    <m/>
  </r>
  <r>
    <n v="2247"/>
    <d v="2026-06-25T00:00:00"/>
    <x v="3"/>
    <x v="26"/>
    <s v="Hanamkonda"/>
    <s v="Velair"/>
    <s v="40mm agreegate mixing payment by k govindu at peechara"/>
    <s v="40 MM Aggregate"/>
    <n v="8"/>
    <n v="525"/>
    <n v="4200"/>
    <m/>
  </r>
  <r>
    <n v="2248"/>
    <d v="2026-06-25T00:00:00"/>
    <x v="3"/>
    <x v="14"/>
    <s v="Kamareddy"/>
    <s v="Birkoor"/>
    <s v="Cement bags-50 Purchased by kottena Narendra at birkoor for rl work"/>
    <s v="Cement"/>
    <n v="50"/>
    <n v="285"/>
    <n v="14250"/>
    <m/>
  </r>
  <r>
    <n v="2249"/>
    <d v="2026-06-25T00:00:00"/>
    <x v="3"/>
    <x v="14"/>
    <s v="Hanamkonda"/>
    <s v="Hub"/>
    <s v="Cement bags -100 purchased by Sure Krishna reddy at Hanumakonda for Nirmith kendram Date:25-06-2026"/>
    <s v="Cement"/>
    <n v="100"/>
    <n v="260"/>
    <n v="26000"/>
    <m/>
  </r>
  <r>
    <n v="2250"/>
    <d v="2026-06-25T00:00:00"/>
    <x v="3"/>
    <x v="1"/>
    <s v="Siddipet"/>
    <s v="Thoguta"/>
    <s v="local tractor day rent payment by Gowri Naidu at thouguta Date:21-06-2026,22-06-2026"/>
    <m/>
    <m/>
    <m/>
    <n v="5000"/>
    <m/>
  </r>
  <r>
    <n v="2251"/>
    <d v="2026-06-25T00:00:00"/>
    <x v="3"/>
    <x v="3"/>
    <s v="Kamareddy"/>
    <s v="Domakonda"/>
    <s v="rl work meterial purchased by Konireddy Srinivasulu Reddy at Domakonda"/>
    <m/>
    <m/>
    <m/>
    <n v="2035"/>
    <m/>
  </r>
  <r>
    <n v="2252"/>
    <d v="2026-06-25T00:00:00"/>
    <x v="3"/>
    <x v="10"/>
    <s v="Janagaon"/>
    <s v="Palakurthy"/>
    <s v="TS27T6494 Tractor Deisel Payment by Madhusudhan at theegaram"/>
    <m/>
    <n v="20.833333333333332"/>
    <n v="96"/>
    <n v="2000"/>
    <m/>
  </r>
  <r>
    <n v="2253"/>
    <d v="2026-06-25T00:00:00"/>
    <x v="3"/>
    <x v="26"/>
    <s v="Hanamkonda"/>
    <s v="Velair"/>
    <s v="40 mm agreegate mixingpurchased by K Govindu at peecharaa"/>
    <s v="40 MM Aggregate"/>
    <n v="8"/>
    <n v="512.5"/>
    <n v="4100"/>
    <m/>
  </r>
  <r>
    <n v="2254"/>
    <d v="2026-06-25T00:00:00"/>
    <x v="3"/>
    <x v="9"/>
    <s v="Bhongir"/>
    <s v="Thurkapally"/>
    <s v="rmc trip charges and m thurakappali labour room rent payment by budda sureshdate:20,21,22-06-2026"/>
    <m/>
    <m/>
    <m/>
    <n v="4800"/>
    <m/>
  </r>
  <r>
    <n v="2255"/>
    <d v="2026-06-25T00:00:00"/>
    <x v="3"/>
    <x v="55"/>
    <s v="Kamareddy"/>
    <s v="Birkoor"/>
    <s v="AP40KF2837 Tractor tyres repair payment by K narendra at Birkoor"/>
    <m/>
    <m/>
    <m/>
    <n v="2000"/>
    <m/>
  </r>
  <r>
    <n v="2256"/>
    <d v="2026-06-25T00:00:00"/>
    <x v="3"/>
    <x v="10"/>
    <s v="Hanamkonda"/>
    <s v="Parakal"/>
    <s v="TS03FE1304  Tractor Diesel Payment"/>
    <m/>
    <n v="35.416666666666664"/>
    <n v="96"/>
    <n v="3400"/>
    <m/>
  </r>
  <r>
    <n v="2257"/>
    <d v="2026-06-25T00:00:00"/>
    <x v="3"/>
    <x v="10"/>
    <s v="Hanamkonda"/>
    <s v="Velair"/>
    <s v="TS25C1579 Tractor Diesel payment"/>
    <m/>
    <n v="45.625"/>
    <n v="96"/>
    <n v="4380"/>
    <m/>
  </r>
  <r>
    <n v="2258"/>
    <d v="2026-06-25T00:00:00"/>
    <x v="3"/>
    <x v="10"/>
    <s v="Janagaon"/>
    <s v="Tharigoppula"/>
    <s v="TS36TA1981 Tractor deisel payment by kurmpu venkateswarlu at tharigoppula"/>
    <m/>
    <n v="41.666666666666664"/>
    <n v="96"/>
    <n v="4000"/>
    <m/>
  </r>
  <r>
    <n v="2259"/>
    <d v="2026-06-25T00:00:00"/>
    <x v="3"/>
    <x v="26"/>
    <s v="Medak"/>
    <s v="kowdapalli"/>
    <s v="10 mm purchased by bhaskar at kowdapalli"/>
    <s v="12 MM Aggregate"/>
    <n v="8"/>
    <n v="527.75"/>
    <n v="4222"/>
    <m/>
  </r>
  <r>
    <n v="2260"/>
    <d v="2026-06-25T00:00:00"/>
    <x v="3"/>
    <x v="14"/>
    <s v="Hanamkonda"/>
    <s v="Parvathagiri"/>
    <s v="Cement bags-25 purchased by G Nagaraju at parvathagiri"/>
    <s v="Cement"/>
    <n v="25"/>
    <n v="265"/>
    <n v="6625"/>
    <m/>
  </r>
  <r>
    <n v="2261"/>
    <d v="2026-06-25T00:00:00"/>
    <x v="3"/>
    <x v="68"/>
    <s v="Janagaon"/>
    <s v="Palakurthy"/>
    <s v="RC WORK METERIALS PAYMENT BY maDHUSUDHAN AT THEEGARAM"/>
    <m/>
    <m/>
    <m/>
    <n v="2720"/>
    <m/>
  </r>
  <r>
    <n v="2262"/>
    <d v="2026-06-25T00:00:00"/>
    <x v="3"/>
    <x v="10"/>
    <s v="Siddipet"/>
    <s v="Thoguta"/>
    <s v="AP40KW 7346 TRACTOR DEISEL PAYMENT BY G GOWRI NAIDU AT THOGUTA"/>
    <m/>
    <n v="20.833333333333332"/>
    <n v="96"/>
    <n v="2000"/>
    <m/>
  </r>
  <r>
    <n v="2263"/>
    <d v="2026-06-25T00:00:00"/>
    <x v="3"/>
    <x v="49"/>
    <s v="Siddipet"/>
    <s v="Siddipet"/>
    <s v="Mous xerox payment by Surya teja at siddipet"/>
    <m/>
    <m/>
    <m/>
    <n v="300"/>
    <m/>
  </r>
  <r>
    <n v="2264"/>
    <d v="2026-06-27T00:00:00"/>
    <x v="2"/>
    <x v="50"/>
    <s v="Hanamkonda"/>
    <s v="Hub"/>
    <s v="May-2026 Electricity Bill Nirmith Kendhram"/>
    <m/>
    <m/>
    <m/>
    <n v="12648"/>
    <m/>
  </r>
  <r>
    <n v="2265"/>
    <d v="2026-07-01T00:00:00"/>
    <x v="0"/>
    <x v="3"/>
    <s v="Hanamkonda"/>
    <s v="Hub"/>
    <s v="RMC pump and cement 2"/>
    <m/>
    <m/>
    <m/>
    <n v="600"/>
    <m/>
  </r>
  <r>
    <n v="2266"/>
    <d v="2026-07-01T00:00:00"/>
    <x v="0"/>
    <x v="4"/>
    <s v="Janagaon"/>
    <s v="Palakurthy"/>
    <s v="Labour Food &amp; Transport"/>
    <m/>
    <m/>
    <m/>
    <n v="500"/>
    <m/>
  </r>
  <r>
    <n v="2267"/>
    <d v="2026-07-01T00:00:00"/>
    <x v="0"/>
    <x v="5"/>
    <s v="Hanamkonda"/>
    <s v="Hub"/>
    <s v="RMC BETA "/>
    <m/>
    <m/>
    <m/>
    <n v="900"/>
    <m/>
  </r>
  <r>
    <n v="2268"/>
    <d v="2026-07-01T00:00:00"/>
    <x v="0"/>
    <x v="3"/>
    <s v="Janagaon"/>
    <s v="Palakurthy"/>
    <s v="Mekulu nd RMC BETA "/>
    <m/>
    <m/>
    <m/>
    <n v="700"/>
    <m/>
  </r>
  <r>
    <n v="2269"/>
    <d v="2026-07-01T00:00:00"/>
    <x v="2"/>
    <x v="27"/>
    <s v="Kamareddy"/>
    <s v="Birkoor"/>
    <s v="RL Work Iron 8 mm"/>
    <s v="8MM Steel"/>
    <n v="741.98275862068965"/>
    <n v="58"/>
    <n v="43035"/>
    <m/>
  </r>
  <r>
    <n v="2270"/>
    <d v="2026-07-01T00:00:00"/>
    <x v="2"/>
    <x v="14"/>
    <s v="Kamareddy"/>
    <s v="Birkoor"/>
    <s v="RL Work  Cement"/>
    <s v="Cement"/>
    <n v="50"/>
    <n v="280"/>
    <n v="14000"/>
    <m/>
  </r>
  <r>
    <n v="2271"/>
    <d v="2026-07-01T00:00:00"/>
    <x v="2"/>
    <x v="8"/>
    <s v="Kamareddy"/>
    <s v="Birkoor"/>
    <s v="RL Work  Cement / iron"/>
    <m/>
    <m/>
    <m/>
    <n v="615"/>
    <m/>
  </r>
  <r>
    <n v="2272"/>
    <d v="2026-07-01T00:00:00"/>
    <x v="2"/>
    <x v="0"/>
    <s v="Kamareddy"/>
    <s v="Birkoor"/>
    <s v="Transport for above"/>
    <m/>
    <m/>
    <m/>
    <n v="1200"/>
    <m/>
  </r>
  <r>
    <n v="2273"/>
    <d v="2026-07-01T00:00:00"/>
    <x v="2"/>
    <x v="27"/>
    <s v="Siddipet"/>
    <s v="Siddipet Rural"/>
    <s v="12 mm Iron"/>
    <s v="12 MM STEEL"/>
    <n v="266"/>
    <n v="57"/>
    <n v="15162"/>
    <m/>
  </r>
  <r>
    <n v="2274"/>
    <d v="2026-07-01T00:00:00"/>
    <x v="2"/>
    <x v="27"/>
    <s v="Siddipet"/>
    <s v="Siddipet Rural"/>
    <s v="10 mm iron"/>
    <s v="10MM Steel"/>
    <n v="227"/>
    <n v="58.3"/>
    <n v="13234.099999999999"/>
    <m/>
  </r>
  <r>
    <n v="2275"/>
    <d v="2026-07-01T00:00:00"/>
    <x v="2"/>
    <x v="8"/>
    <s v="Siddipet"/>
    <s v="Siddipet Rural"/>
    <s v="Transport for above"/>
    <m/>
    <m/>
    <m/>
    <n v="443"/>
    <m/>
  </r>
  <r>
    <n v="2276"/>
    <d v="2026-07-02T00:00:00"/>
    <x v="1"/>
    <x v="10"/>
    <s v="Hanamkonda"/>
    <s v="Hub"/>
    <s v="Diesel Full Tank "/>
    <m/>
    <n v="44.0625"/>
    <n v="96"/>
    <n v="4230"/>
    <m/>
  </r>
  <r>
    <n v="2277"/>
    <d v="2026-07-02T00:00:00"/>
    <x v="1"/>
    <x v="6"/>
    <s v="Hanamkonda"/>
    <s v="Hub"/>
    <s v="Weldings, electricals "/>
    <m/>
    <m/>
    <m/>
    <n v="2560"/>
    <m/>
  </r>
  <r>
    <n v="2278"/>
    <d v="2026-07-02T00:00:00"/>
    <x v="1"/>
    <x v="5"/>
    <s v="Hanamkonda"/>
    <s v="Hub"/>
    <s v="Water Labour"/>
    <m/>
    <m/>
    <m/>
    <n v="200"/>
    <m/>
  </r>
  <r>
    <n v="2279"/>
    <d v="2026-08-01T00:00:00"/>
    <x v="1"/>
    <x v="11"/>
    <s v="Bhongir"/>
    <s v="Valigonda"/>
    <s v="Augering diesel"/>
    <m/>
    <n v="20.833333333333332"/>
    <n v="96"/>
    <n v="2000"/>
    <m/>
  </r>
  <r>
    <n v="2280"/>
    <d v="2026-08-01T00:00:00"/>
    <x v="1"/>
    <x v="10"/>
    <s v="Bhongir"/>
    <s v="Valigonda"/>
    <s v="Material shifting tractor"/>
    <m/>
    <n v="13.541666666666666"/>
    <n v="96"/>
    <n v="1300"/>
    <m/>
  </r>
  <r>
    <n v="2281"/>
    <d v="2026-08-02T00:00:00"/>
    <x v="1"/>
    <x v="10"/>
    <s v="Bhongir"/>
    <s v="Valigonda"/>
    <s v="Material Tractor Diesel"/>
    <m/>
    <n v="53.052083333333336"/>
    <n v="96"/>
    <n v="5093"/>
    <m/>
  </r>
  <r>
    <n v="2282"/>
    <d v="2026-08-02T00:00:00"/>
    <x v="1"/>
    <x v="10"/>
    <s v="Hanamkonda"/>
    <s v="Kyathamapalle"/>
    <s v="Materail Diesel "/>
    <m/>
    <n v="53.052083333333336"/>
    <n v="96"/>
    <n v="5093"/>
    <m/>
  </r>
  <r>
    <n v="2283"/>
    <d v="2026-08-02T00:00:00"/>
    <x v="1"/>
    <x v="15"/>
    <s v="Janagaon"/>
    <s v="Palakurthy"/>
    <s v="Sand"/>
    <m/>
    <m/>
    <m/>
    <n v="6000"/>
    <m/>
  </r>
  <r>
    <n v="2284"/>
    <d v="2026-08-02T00:00:00"/>
    <x v="1"/>
    <x v="15"/>
    <s v="Janagaon"/>
    <s v="Palakurthy"/>
    <s v="Cement 10bags "/>
    <m/>
    <m/>
    <m/>
    <n v="3000"/>
    <m/>
  </r>
  <r>
    <n v="2285"/>
    <d v="2026-08-02T00:00:00"/>
    <x v="1"/>
    <x v="5"/>
    <s v="Janagaon"/>
    <s v="Palakurthy"/>
    <s v="Driver food 2wks,RmC beta "/>
    <m/>
    <m/>
    <m/>
    <n v="3100"/>
    <m/>
  </r>
  <r>
    <n v="2286"/>
    <d v="2026-08-02T00:00:00"/>
    <x v="1"/>
    <x v="6"/>
    <s v="Hanamkonda"/>
    <s v="Hub"/>
    <s v="Electrical pipes,Spanner"/>
    <m/>
    <m/>
    <m/>
    <n v="2620"/>
    <m/>
  </r>
  <r>
    <n v="2287"/>
    <d v="2026-08-02T00:00:00"/>
    <x v="1"/>
    <x v="15"/>
    <s v="Hanamkonda"/>
    <s v="Hub"/>
    <s v="Door Frames 6 "/>
    <m/>
    <m/>
    <m/>
    <n v="23000"/>
    <m/>
  </r>
  <r>
    <n v="2288"/>
    <d v="2026-08-02T00:00:00"/>
    <x v="1"/>
    <x v="5"/>
    <s v="Hanamkonda"/>
    <s v="Hub"/>
    <s v="Water Drums"/>
    <m/>
    <m/>
    <m/>
    <n v="2000"/>
    <m/>
  </r>
  <r>
    <n v="2289"/>
    <d v="2025-10-01T00:00:00"/>
    <x v="0"/>
    <x v="8"/>
    <s v="Janagaon"/>
    <s v="Palakurthy"/>
    <s v="Centering Transport"/>
    <m/>
    <m/>
    <m/>
    <n v="11000"/>
    <m/>
  </r>
  <r>
    <n v="2290"/>
    <d v="2025-10-01T00:00:00"/>
    <x v="0"/>
    <x v="5"/>
    <s v="Bhongir"/>
    <s v="Valigonda"/>
    <s v="RMC BETA and Vibrator"/>
    <m/>
    <m/>
    <m/>
    <n v="600"/>
    <m/>
  </r>
  <r>
    <n v="2291"/>
    <d v="2025-10-01T00:00:00"/>
    <x v="0"/>
    <x v="9"/>
    <s v="Bhongir"/>
    <s v="Valigonda"/>
    <s v="Room Rent"/>
    <m/>
    <m/>
    <m/>
    <n v="5000"/>
    <m/>
  </r>
  <r>
    <n v="2292"/>
    <d v="2025-10-01T00:00:00"/>
    <x v="0"/>
    <x v="15"/>
    <s v="Bhongir"/>
    <s v="Valigonda"/>
    <s v="Cements Bag 4x320"/>
    <m/>
    <m/>
    <m/>
    <n v="1280"/>
    <m/>
  </r>
  <r>
    <n v="2293"/>
    <d v="2025-10-01T00:00:00"/>
    <x v="1"/>
    <x v="10"/>
    <s v="Hanamkonda"/>
    <s v="Hub"/>
    <s v="Material Tractor Diesel"/>
    <m/>
    <n v="15.625"/>
    <n v="96"/>
    <n v="1500"/>
    <m/>
  </r>
  <r>
    <n v="2294"/>
    <d v="2025-10-01T00:00:00"/>
    <x v="1"/>
    <x v="11"/>
    <s v="Hanamkonda"/>
    <s v="Hub"/>
    <s v="Diesel for Auger "/>
    <m/>
    <n v="10.9375"/>
    <n v="96"/>
    <n v="1050"/>
    <m/>
  </r>
  <r>
    <n v="2295"/>
    <d v="2025-10-01T00:00:00"/>
    <x v="1"/>
    <x v="10"/>
    <s v="Janagaon"/>
    <s v="Palakurthy"/>
    <s v="Material Tractor Diesel"/>
    <m/>
    <n v="13.541666666666666"/>
    <n v="96"/>
    <n v="1300"/>
    <m/>
  </r>
  <r>
    <n v="2296"/>
    <d v="2025-10-01T00:00:00"/>
    <x v="1"/>
    <x v="0"/>
    <s v="Hanamkonda"/>
    <s v="Hub"/>
    <s v="VIzag to WL Bike Transport"/>
    <m/>
    <m/>
    <m/>
    <n v="2400"/>
    <m/>
  </r>
  <r>
    <n v="2297"/>
    <d v="2025-10-01T00:00:00"/>
    <x v="1"/>
    <x v="2"/>
    <s v="Bhongir"/>
    <s v="Valigonda"/>
    <s v="50L,Can and Basket"/>
    <m/>
    <m/>
    <m/>
    <n v="1850"/>
    <m/>
  </r>
  <r>
    <n v="2298"/>
    <d v="2025-10-01T00:00:00"/>
    <x v="1"/>
    <x v="3"/>
    <s v="Hanamkonda"/>
    <s v="Hub"/>
    <s v="Cutting player,tester,Drill Bit "/>
    <m/>
    <m/>
    <m/>
    <n v="1050"/>
    <m/>
  </r>
  <r>
    <n v="2299"/>
    <d v="2025-10-01T00:00:00"/>
    <x v="1"/>
    <x v="15"/>
    <s v="Janagaon"/>
    <s v="Palakurthy"/>
    <s v="sand"/>
    <m/>
    <m/>
    <m/>
    <n v="7200"/>
    <m/>
  </r>
  <r>
    <n v="2300"/>
    <d v="2025-10-01T00:00:00"/>
    <x v="1"/>
    <x v="5"/>
    <s v="Hanamkonda"/>
    <s v="Wardhannapet"/>
    <s v="ReAugering "/>
    <m/>
    <m/>
    <m/>
    <n v="1800"/>
    <m/>
  </r>
  <r>
    <n v="2301"/>
    <d v="2025-10-01T00:00:00"/>
    <x v="1"/>
    <x v="15"/>
    <s v="Hanamkonda"/>
    <s v="Hub"/>
    <s v="half inch pipes"/>
    <m/>
    <m/>
    <m/>
    <n v="1000"/>
    <m/>
  </r>
  <r>
    <n v="2302"/>
    <d v="2025-10-01T00:00:00"/>
    <x v="1"/>
    <x v="15"/>
    <s v="Hanamkonda"/>
    <s v="Hub"/>
    <s v="Pipes, covering box,Transport"/>
    <m/>
    <m/>
    <m/>
    <n v="15210"/>
    <m/>
  </r>
  <r>
    <n v="2303"/>
    <d v="2025-10-01T00:00:00"/>
    <x v="1"/>
    <x v="5"/>
    <s v="Hanamkonda"/>
    <s v="Hub"/>
    <s v="Wood,Fibershet,etc,Store Pp"/>
    <m/>
    <m/>
    <m/>
    <n v="3495"/>
    <m/>
  </r>
  <r>
    <n v="2304"/>
    <d v="2025-10-01T00:00:00"/>
    <x v="1"/>
    <x v="5"/>
    <s v="Hanamkonda"/>
    <s v="Hub"/>
    <s v="Shed Pp, electricals "/>
    <m/>
    <m/>
    <m/>
    <n v="3765"/>
    <m/>
  </r>
  <r>
    <n v="2305"/>
    <d v="2025-10-01T00:00:00"/>
    <x v="1"/>
    <x v="15"/>
    <s v="Hanamkonda"/>
    <s v="Hub"/>
    <s v="8mmdog and whole Bit"/>
    <m/>
    <m/>
    <m/>
    <n v="423"/>
    <m/>
  </r>
  <r>
    <n v="2306"/>
    <d v="2025-10-01T00:00:00"/>
    <x v="0"/>
    <x v="3"/>
    <s v="Hanamkonda"/>
    <s v="Hub"/>
    <s v="Makelu and power tools"/>
    <m/>
    <m/>
    <m/>
    <n v="5200"/>
    <m/>
  </r>
  <r>
    <n v="2307"/>
    <d v="2025-10-01T00:00:00"/>
    <x v="1"/>
    <x v="10"/>
    <s v="Hanamkonda"/>
    <s v="Hub"/>
    <s v="Diesel for tractor shifting "/>
    <m/>
    <n v="26.041666666666668"/>
    <n v="96"/>
    <n v="2500"/>
    <m/>
  </r>
  <r>
    <n v="2308"/>
    <d v="2025-10-01T00:00:00"/>
    <x v="1"/>
    <x v="15"/>
    <s v="Hanamkonda"/>
    <s v="Hub"/>
    <s v="nuts and bolts 2000 nos INC Transport"/>
    <m/>
    <m/>
    <m/>
    <n v="73400"/>
    <m/>
  </r>
  <r>
    <n v="2309"/>
    <d v="2025-10-01T00:00:00"/>
    <x v="1"/>
    <x v="6"/>
    <s v="Hanamkonda"/>
    <s v="Hub"/>
    <s v="Bulbs and Switches "/>
    <m/>
    <m/>
    <m/>
    <n v="1380"/>
    <m/>
  </r>
  <r>
    <n v="2310"/>
    <d v="2025-10-02T00:00:00"/>
    <x v="1"/>
    <x v="16"/>
    <s v="Hanamkonda"/>
    <s v="Hub"/>
    <s v="RMC,bucket,engine,gloves etc"/>
    <m/>
    <m/>
    <m/>
    <n v="1450"/>
    <m/>
  </r>
  <r>
    <n v="2311"/>
    <d v="2025-10-02T00:00:00"/>
    <x v="1"/>
    <x v="10"/>
    <s v="Hanamkonda"/>
    <s v="Hub"/>
    <s v="TS36TA1891 TRACTOR Diesel Payment"/>
    <s v="Diesel"/>
    <n v="31.25"/>
    <n v="96"/>
    <n v="3000"/>
    <m/>
  </r>
  <r>
    <n v="2312"/>
    <d v="2025-10-02T00:00:00"/>
    <x v="1"/>
    <x v="15"/>
    <s v="Hanamkonda"/>
    <s v="Hub"/>
    <s v="Sand gw; 32.360"/>
    <m/>
    <m/>
    <m/>
    <n v="46264"/>
    <m/>
  </r>
  <r>
    <n v="2313"/>
    <d v="2025-10-02T00:00:00"/>
    <x v="1"/>
    <x v="5"/>
    <s v="Hanamkonda"/>
    <s v="Hub"/>
    <s v="DriverBeta,kata"/>
    <m/>
    <m/>
    <m/>
    <n v="400"/>
    <m/>
  </r>
  <r>
    <n v="2314"/>
    <d v="2025-10-02T00:00:00"/>
    <x v="1"/>
    <x v="6"/>
    <s v="Hanamkonda"/>
    <s v="Hub"/>
    <s v="FederBox,MCb,Coil wire"/>
    <m/>
    <m/>
    <m/>
    <n v="4000"/>
    <m/>
  </r>
  <r>
    <n v="2315"/>
    <d v="2025-10-02T00:00:00"/>
    <x v="1"/>
    <x v="47"/>
    <s v="Hanamkonda"/>
    <s v="Kyathamapalle"/>
    <s v="Augering Amount"/>
    <m/>
    <m/>
    <m/>
    <n v="2500"/>
    <m/>
  </r>
  <r>
    <n v="2316"/>
    <d v="2025-10-02T00:00:00"/>
    <x v="1"/>
    <x v="10"/>
    <s v="Hanamkonda"/>
    <s v="Hub"/>
    <s v="Diesel hanumanth"/>
    <m/>
    <n v="59.385416666666664"/>
    <n v="96"/>
    <n v="5701"/>
    <m/>
  </r>
  <r>
    <n v="2317"/>
    <d v="2025-10-02T00:00:00"/>
    <x v="1"/>
    <x v="5"/>
    <s v="Hanamkonda"/>
    <s v="Hub"/>
    <s v="Shed pp,Switch bd etc"/>
    <m/>
    <m/>
    <m/>
    <n v="1410"/>
    <m/>
  </r>
  <r>
    <n v="2318"/>
    <d v="2025-10-02T00:00:00"/>
    <x v="1"/>
    <x v="19"/>
    <s v="Hanamkonda"/>
    <s v="Hub"/>
    <s v="Wood Cutting Labour Payment"/>
    <m/>
    <m/>
    <m/>
    <n v="19200"/>
    <s v="05/02 to 10/02"/>
  </r>
  <r>
    <n v="2319"/>
    <d v="2025-10-02T00:00:00"/>
    <x v="1"/>
    <x v="10"/>
    <s v="Bhongir"/>
    <s v="Valigonda"/>
    <s v="Diesel For Tractor"/>
    <m/>
    <n v="10.416666666666666"/>
    <n v="96"/>
    <n v="1000"/>
    <m/>
  </r>
  <r>
    <n v="2320"/>
    <d v="2025-10-02T00:00:00"/>
    <x v="1"/>
    <x v="5"/>
    <s v="Janagaon"/>
    <s v="Palakurthy"/>
    <s v="PVC, M Tapes "/>
    <m/>
    <m/>
    <m/>
    <n v="780"/>
    <m/>
  </r>
  <r>
    <n v="2321"/>
    <d v="2025-10-02T00:00:00"/>
    <x v="1"/>
    <x v="26"/>
    <s v="Janagaon"/>
    <s v="Palakurthy"/>
    <s v="WET MIX 2 trips  For Gudikunta Thanda"/>
    <s v="40 MM Aggregate"/>
    <n v="8"/>
    <n v="625"/>
    <n v="5000"/>
    <m/>
  </r>
  <r>
    <n v="2322"/>
    <d v="2025-10-02T00:00:00"/>
    <x v="1"/>
    <x v="10"/>
    <s v="Hanamkonda"/>
    <s v="Hub"/>
    <s v="Diesel Tractor"/>
    <m/>
    <n v="31.25"/>
    <n v="96"/>
    <n v="3000"/>
    <m/>
  </r>
  <r>
    <n v="2323"/>
    <d v="2025-10-02T00:00:00"/>
    <x v="1"/>
    <x v="3"/>
    <s v="Hanamkonda"/>
    <s v="Bheemadevarapalli"/>
    <s v="Cement, Drill,Tukam Gundi"/>
    <m/>
    <m/>
    <m/>
    <n v="700"/>
    <m/>
  </r>
  <r>
    <n v="2324"/>
    <d v="2025-11-01T00:00:00"/>
    <x v="0"/>
    <x v="13"/>
    <s v="Janagaon"/>
    <s v="Palakurthy"/>
    <s v="Sai SRINU EXPENSES"/>
    <m/>
    <m/>
    <m/>
    <n v="5000"/>
    <m/>
  </r>
  <r>
    <n v="2325"/>
    <d v="2025-11-01T00:00:00"/>
    <x v="0"/>
    <x v="9"/>
    <s v="Hanamkonda"/>
    <s v="Hub"/>
    <s v="Room Advance "/>
    <m/>
    <m/>
    <m/>
    <n v="8000"/>
    <m/>
  </r>
  <r>
    <n v="2326"/>
    <d v="2025-11-01T00:00:00"/>
    <x v="0"/>
    <x v="3"/>
    <s v="Hanamkonda"/>
    <s v="Hub"/>
    <s v="Power Board"/>
    <m/>
    <m/>
    <m/>
    <n v="820"/>
    <m/>
  </r>
  <r>
    <n v="2327"/>
    <d v="2025-11-01T00:00:00"/>
    <x v="0"/>
    <x v="3"/>
    <s v="Bhongir"/>
    <s v="Valigonda"/>
    <s v="Site Vibrator"/>
    <m/>
    <m/>
    <m/>
    <n v="400"/>
    <m/>
  </r>
  <r>
    <n v="2328"/>
    <d v="2025-11-01T00:00:00"/>
    <x v="1"/>
    <x v="16"/>
    <s v="Hanamkonda"/>
    <s v="Hub"/>
    <s v="Bed transport Vskp to KZP "/>
    <m/>
    <m/>
    <m/>
    <n v="2000"/>
    <m/>
  </r>
  <r>
    <n v="2329"/>
    <d v="2025-11-02T00:00:00"/>
    <x v="1"/>
    <x v="10"/>
    <s v="Bhongir"/>
    <s v="Valigonda"/>
    <s v="Diesel Tractor "/>
    <m/>
    <n v="10.416666666666666"/>
    <n v="96"/>
    <n v="1000"/>
    <m/>
  </r>
  <r>
    <n v="2330"/>
    <d v="2025-11-02T00:00:00"/>
    <x v="1"/>
    <x v="5"/>
    <s v="Hanamkonda"/>
    <s v="Hub"/>
    <s v="Sand Unloading,rent Tractor ,kata"/>
    <m/>
    <m/>
    <m/>
    <n v="2600"/>
    <m/>
  </r>
  <r>
    <n v="2331"/>
    <d v="2025-11-02T00:00:00"/>
    <x v="1"/>
    <x v="0"/>
    <s v="Hanamkonda"/>
    <s v="Hub"/>
    <s v="Hanmkonda to Siddipet DCM"/>
    <m/>
    <m/>
    <m/>
    <n v="14000"/>
    <m/>
  </r>
  <r>
    <n v="2332"/>
    <d v="2025-11-02T00:00:00"/>
    <x v="1"/>
    <x v="15"/>
    <s v="Hanamkonda"/>
    <s v="Hub"/>
    <s v="8mm Steel "/>
    <m/>
    <m/>
    <m/>
    <n v="3600"/>
    <m/>
  </r>
  <r>
    <n v="2333"/>
    <d v="2025-11-02T00:00:00"/>
    <x v="1"/>
    <x v="47"/>
    <s v="Hanamkonda"/>
    <s v="Hub"/>
    <s v="TS 34 T 3804 Shivareddy Auger Vehicle Diesel "/>
    <m/>
    <m/>
    <m/>
    <n v="3400"/>
    <m/>
  </r>
  <r>
    <n v="2334"/>
    <d v="2025-11-02T00:00:00"/>
    <x v="1"/>
    <x v="10"/>
    <s v="Hanamkonda"/>
    <s v="Kyathamapalle"/>
    <s v="Tractor diesel "/>
    <m/>
    <n v="10.416666666666666"/>
    <n v="96"/>
    <n v="1000"/>
    <m/>
  </r>
  <r>
    <n v="2335"/>
    <d v="2025-11-02T00:00:00"/>
    <x v="1"/>
    <x v="56"/>
    <s v="Warangal"/>
    <s v="Chennarao Pet"/>
    <s v="Spanners"/>
    <m/>
    <m/>
    <m/>
    <n v="680"/>
    <m/>
  </r>
  <r>
    <n v="2336"/>
    <d v="2025-11-02T00:00:00"/>
    <x v="1"/>
    <x v="3"/>
    <s v="Hanamkonda"/>
    <s v="Hub"/>
    <s v="Nuts,Bolts,Vachers 1000 NOS each"/>
    <m/>
    <m/>
    <m/>
    <n v="36600"/>
    <m/>
  </r>
  <r>
    <n v="2337"/>
    <d v="2025-11-02T00:00:00"/>
    <x v="1"/>
    <x v="5"/>
    <s v="Hanamkonda"/>
    <s v="Hub"/>
    <s v="Shed Purpose,Para,Gamela etc"/>
    <m/>
    <m/>
    <m/>
    <n v="1790"/>
    <m/>
  </r>
  <r>
    <n v="2338"/>
    <d v="2025-12-01T00:00:00"/>
    <x v="0"/>
    <x v="4"/>
    <s v="Hanamkonda"/>
    <s v="Hub"/>
    <s v="Labour Food &amp; Transport"/>
    <m/>
    <m/>
    <m/>
    <n v="300"/>
    <m/>
  </r>
  <r>
    <n v="2339"/>
    <d v="2025-12-01T00:00:00"/>
    <x v="0"/>
    <x v="3"/>
    <s v="Hanamkonda"/>
    <s v="Hub"/>
    <s v="Mekulu"/>
    <m/>
    <m/>
    <m/>
    <n v="500"/>
    <m/>
  </r>
  <r>
    <n v="2340"/>
    <d v="2025-12-01T00:00:00"/>
    <x v="0"/>
    <x v="15"/>
    <s v="Bhongir"/>
    <s v="Valigonda"/>
    <s v="Steel 500kgs"/>
    <m/>
    <m/>
    <m/>
    <n v="27016"/>
    <m/>
  </r>
  <r>
    <n v="2341"/>
    <d v="2025-12-01T00:00:00"/>
    <x v="1"/>
    <x v="3"/>
    <s v="Siddipet"/>
    <s v="Mulug"/>
    <s v="Drill machine, 16mm bits,Sb"/>
    <m/>
    <m/>
    <m/>
    <n v="4075"/>
    <m/>
  </r>
  <r>
    <n v="2342"/>
    <d v="2025-12-01T00:00:00"/>
    <x v="1"/>
    <x v="3"/>
    <s v="Hanamkonda"/>
    <s v="Kyathamapalle"/>
    <s v="12mm 8mm digs,Level pipe,NailsPb, etc"/>
    <m/>
    <m/>
    <m/>
    <n v="1444"/>
    <m/>
  </r>
  <r>
    <n v="2343"/>
    <d v="2025-12-01T00:00:00"/>
    <x v="1"/>
    <x v="3"/>
    <s v="Janagaon"/>
    <s v="Palakurthy"/>
    <s v="Pipes,Tapi,Gloves,Covering Box"/>
    <m/>
    <m/>
    <m/>
    <n v="5500"/>
    <m/>
  </r>
  <r>
    <n v="2344"/>
    <d v="2025-12-01T00:00:00"/>
    <x v="1"/>
    <x v="3"/>
    <s v="Hanamkonda"/>
    <s v="Hub"/>
    <s v="PxC,DrillBit,Scale,spaner"/>
    <m/>
    <m/>
    <m/>
    <n v="25090"/>
    <s v="Drill Machine, drill Bit, Spanners,Scale,30bit slot,etc"/>
  </r>
  <r>
    <n v="2345"/>
    <s v="12/01/2026-22/01/2026"/>
    <x v="1"/>
    <x v="10"/>
    <s v="Hanamkonda"/>
    <s v="Hub"/>
    <s v="Materail tractor shifting diesel"/>
    <m/>
    <n v="126.66666666666667"/>
    <n v="96"/>
    <n v="12160"/>
    <s v="Full diesel spends from 12.01 to 22.01 "/>
  </r>
  <r>
    <n v="2346"/>
    <d v="2025-12-16T00:00:00"/>
    <x v="0"/>
    <x v="6"/>
    <s v="Hanamkonda"/>
    <s v="Hub"/>
    <s v="Electricals"/>
    <m/>
    <m/>
    <m/>
    <n v="5700"/>
    <m/>
  </r>
  <r>
    <n v="2347"/>
    <d v="2025-12-16T00:00:00"/>
    <x v="0"/>
    <x v="3"/>
    <s v="Janagaon"/>
    <s v="Palakurthy"/>
    <s v="Hardware"/>
    <m/>
    <m/>
    <m/>
    <n v="1650"/>
    <m/>
  </r>
  <r>
    <n v="2348"/>
    <d v="2025-12-16T00:00:00"/>
    <x v="0"/>
    <x v="2"/>
    <s v="Janagaon"/>
    <s v="Palakurthy"/>
    <s v="BLACK OIL"/>
    <m/>
    <m/>
    <m/>
    <n v="2400"/>
    <m/>
  </r>
  <r>
    <n v="2349"/>
    <d v="2025-12-16T00:00:00"/>
    <x v="0"/>
    <x v="0"/>
    <s v="Janagaon"/>
    <s v="Palakurthy"/>
    <s v="Labour Food &amp; Transport"/>
    <m/>
    <m/>
    <m/>
    <n v="800"/>
    <m/>
  </r>
  <r>
    <n v="2350"/>
    <d v="2025-12-16T00:00:00"/>
    <x v="0"/>
    <x v="1"/>
    <s v="Janagaon"/>
    <s v="Palakurthy"/>
    <s v="TRACTOR payments"/>
    <m/>
    <m/>
    <m/>
    <n v="10000"/>
    <m/>
  </r>
  <r>
    <n v="2351"/>
    <d v="2025-12-16T00:00:00"/>
    <x v="0"/>
    <x v="4"/>
    <s v="Janagaon"/>
    <s v="Palakurthy"/>
    <s v="Labour Food &amp; Transport"/>
    <m/>
    <m/>
    <m/>
    <n v="600"/>
    <m/>
  </r>
  <r>
    <n v="2352"/>
    <d v="2025-12-16T00:00:00"/>
    <x v="0"/>
    <x v="0"/>
    <s v="Hanamkonda"/>
    <s v="Hub"/>
    <s v="Labour Food &amp; Transport"/>
    <m/>
    <m/>
    <m/>
    <n v="1500"/>
    <m/>
  </r>
  <r>
    <n v="2353"/>
    <d v="2025-12-16T00:00:00"/>
    <x v="0"/>
    <x v="12"/>
    <s v="Janagaon"/>
    <s v="Palakurthy"/>
    <s v="Centering shifting"/>
    <m/>
    <m/>
    <m/>
    <n v="2500"/>
    <m/>
  </r>
  <r>
    <n v="2354"/>
    <s v="23-11-2025 TO 07-12-2025"/>
    <x v="0"/>
    <x v="5"/>
    <s v="Janagaon"/>
    <s v="Palakurthy"/>
    <s v="Pooja Items"/>
    <m/>
    <m/>
    <m/>
    <n v="500"/>
    <m/>
  </r>
  <r>
    <n v="2355"/>
    <s v="23-11-2025 TO 07-12-2025"/>
    <x v="0"/>
    <x v="0"/>
    <s v="Janagaon"/>
    <s v="Palakurthy"/>
    <s v="Centering Transport"/>
    <m/>
    <m/>
    <m/>
    <n v="37000"/>
    <s v="Vizag To Palakurthy"/>
  </r>
  <r>
    <n v="2356"/>
    <s v="23-11-2025 TO 07-12-2025"/>
    <x v="0"/>
    <x v="5"/>
    <s v="Janagaon"/>
    <s v="Palakurthy"/>
    <s v="On THE way Expenses"/>
    <m/>
    <m/>
    <m/>
    <n v="2000"/>
    <m/>
  </r>
  <r>
    <n v="2357"/>
    <s v="23-11-2025 TO 07-12-2025"/>
    <x v="0"/>
    <x v="8"/>
    <s v="Janagaon"/>
    <s v="Palakurthy"/>
    <s v="centering Unload"/>
    <m/>
    <m/>
    <m/>
    <n v="5800"/>
    <m/>
  </r>
  <r>
    <n v="2358"/>
    <s v="23-11-2025 TO 07-12-2025"/>
    <x v="0"/>
    <x v="8"/>
    <s v="Janagaon"/>
    <s v="Palakurthy"/>
    <s v="Runners Unloading"/>
    <m/>
    <m/>
    <m/>
    <n v="1000"/>
    <m/>
  </r>
  <r>
    <n v="2359"/>
    <s v="23-11-2025 TO 07-12-2025"/>
    <x v="0"/>
    <x v="3"/>
    <s v="Janagaon"/>
    <s v="Palakurthy"/>
    <s v="Runners Extra Payment"/>
    <m/>
    <m/>
    <m/>
    <n v="3600"/>
    <m/>
  </r>
  <r>
    <n v="2360"/>
    <s v="23-11-2025 TO 07-12-2025"/>
    <x v="0"/>
    <x v="4"/>
    <s v="Janagaon"/>
    <s v="Palakurthy"/>
    <s v="Meals"/>
    <m/>
    <m/>
    <m/>
    <n v="900"/>
    <m/>
  </r>
  <r>
    <n v="2361"/>
    <s v="23-11-2025 TO 07-12-2025"/>
    <x v="0"/>
    <x v="76"/>
    <s v="Janagaon"/>
    <s v="Palakurthy"/>
    <s v="utilities"/>
    <m/>
    <m/>
    <m/>
    <n v="2700"/>
    <m/>
  </r>
  <r>
    <n v="2362"/>
    <s v="23-11-2025 TO 07-12-2025"/>
    <x v="0"/>
    <x v="4"/>
    <s v="Janagaon"/>
    <s v="Palakurthy"/>
    <s v="Meals"/>
    <m/>
    <m/>
    <m/>
    <n v="1100"/>
    <m/>
  </r>
  <r>
    <n v="2363"/>
    <s v="23-11-2025 TO 07-12-2025"/>
    <x v="0"/>
    <x v="4"/>
    <s v="Janagaon"/>
    <s v="Palakurthy"/>
    <s v="Meals"/>
    <m/>
    <m/>
    <m/>
    <n v="1000"/>
    <m/>
  </r>
  <r>
    <n v="2364"/>
    <s v="23-11-2025 TO 07-12-2025"/>
    <x v="0"/>
    <x v="9"/>
    <s v="Janagaon"/>
    <s v="Palakurthy"/>
    <s v="Room RENT"/>
    <m/>
    <m/>
    <m/>
    <n v="4000"/>
    <m/>
  </r>
  <r>
    <n v="2365"/>
    <s v="23-11-2025 TO 07-12-2025"/>
    <x v="0"/>
    <x v="5"/>
    <s v="Janagaon"/>
    <s v="Palakurthy"/>
    <s v="KIRANA"/>
    <m/>
    <m/>
    <m/>
    <n v="1200"/>
    <m/>
  </r>
  <r>
    <n v="2366"/>
    <s v="23-11-2025 TO 07-12-2025"/>
    <x v="0"/>
    <x v="3"/>
    <s v="Janagaon"/>
    <s v="Palakurthy"/>
    <s v="Mekulu"/>
    <m/>
    <m/>
    <m/>
    <n v="1600"/>
    <m/>
  </r>
  <r>
    <n v="2367"/>
    <s v="23-11-2025 TO 07-12-2025"/>
    <x v="0"/>
    <x v="77"/>
    <s v="Janagaon"/>
    <s v="Palakurthy"/>
    <s v="SAI SRINU EXPENSES"/>
    <m/>
    <m/>
    <m/>
    <n v="3300"/>
    <m/>
  </r>
  <r>
    <n v="2368"/>
    <s v="23-11-2025 TO 07-12-2025"/>
    <x v="0"/>
    <x v="3"/>
    <s v="Janagaon"/>
    <s v="Palakurthy"/>
    <s v="THARPA"/>
    <m/>
    <m/>
    <m/>
    <n v="1700"/>
    <m/>
  </r>
  <r>
    <n v="2369"/>
    <s v="23-11-2025 TO 07-12-2025"/>
    <x v="0"/>
    <x v="5"/>
    <s v="Janagaon"/>
    <s v="Palakurthy"/>
    <s v="BLACK OIL"/>
    <m/>
    <m/>
    <m/>
    <n v="1100"/>
    <m/>
  </r>
  <r>
    <n v="2370"/>
    <s v="23-11-2025 TO 07-12-2025"/>
    <x v="0"/>
    <x v="78"/>
    <s v="Janagaon"/>
    <s v="Palakurthy"/>
    <s v="BOARD AND WIRE"/>
    <m/>
    <m/>
    <m/>
    <n v="500"/>
    <m/>
  </r>
  <r>
    <n v="2371"/>
    <s v="23-11-2025 TO 07-12-2025"/>
    <x v="0"/>
    <x v="0"/>
    <s v="Janagaon"/>
    <s v="Palakurthy"/>
    <s v="CENTERNING SHIFTING"/>
    <m/>
    <m/>
    <m/>
    <n v="1500"/>
    <s v="TRACTOR"/>
  </r>
  <r>
    <n v="2372"/>
    <s v="23-11-2025 TO 07-12-2025"/>
    <x v="0"/>
    <x v="4"/>
    <s v="Janagaon"/>
    <s v="Palakurthy"/>
    <s v="Meals"/>
    <m/>
    <m/>
    <m/>
    <n v="350"/>
    <m/>
  </r>
  <r>
    <n v="2373"/>
    <s v="23-11-2025 TO 07-12-2025"/>
    <x v="0"/>
    <x v="34"/>
    <s v="Janagaon"/>
    <s v="Palakurthy"/>
    <s v="MEKULU &amp; BINDING WIRE"/>
    <s v="Binding wire"/>
    <n v="50"/>
    <m/>
    <n v="4500"/>
    <m/>
  </r>
  <r>
    <n v="2374"/>
    <s v="23-11-2025 TO 07-12-2025"/>
    <x v="0"/>
    <x v="3"/>
    <s v="Janagaon"/>
    <s v="Palakurthy"/>
    <s v="Wooden poles"/>
    <m/>
    <m/>
    <m/>
    <n v="10350"/>
    <m/>
  </r>
  <r>
    <n v="2375"/>
    <s v="23-11-2025 TO 07-12-2025"/>
    <x v="0"/>
    <x v="3"/>
    <s v="Janagaon"/>
    <s v="Palakurthy"/>
    <s v="COVER BLOCKS &amp; TAPE"/>
    <m/>
    <m/>
    <m/>
    <n v="1900"/>
    <m/>
  </r>
  <r>
    <n v="2376"/>
    <s v="23-11-2025 TO 07-12-2025"/>
    <x v="0"/>
    <x v="3"/>
    <s v="Janagaon"/>
    <s v="Palakurthy"/>
    <s v="PLYWOOD 2 SHEETS"/>
    <m/>
    <m/>
    <m/>
    <n v="2800"/>
    <m/>
  </r>
  <r>
    <n v="2377"/>
    <s v="23-11-2025 TO 07-12-2025"/>
    <x v="0"/>
    <x v="3"/>
    <s v="Janagaon"/>
    <s v="Palakurthy"/>
    <s v="GAMELALU"/>
    <m/>
    <m/>
    <m/>
    <n v="1100"/>
    <m/>
  </r>
  <r>
    <n v="2378"/>
    <s v="23-11-2025 TO 07-12-2025"/>
    <x v="0"/>
    <x v="3"/>
    <s v="Janagaon"/>
    <s v="Palakurthy"/>
    <s v="WOOD RUNNERS"/>
    <m/>
    <m/>
    <m/>
    <n v="72000"/>
    <m/>
  </r>
  <r>
    <n v="2379"/>
    <s v="23-11-2025 TO 07-12-2025"/>
    <x v="0"/>
    <x v="0"/>
    <s v="Janagaon"/>
    <s v="Palakurthy"/>
    <s v="WOOD RUNNERS"/>
    <m/>
    <m/>
    <m/>
    <n v="900"/>
    <m/>
  </r>
  <r>
    <n v="2380"/>
    <s v="23-11-2025 TO 07-12-2025"/>
    <x v="0"/>
    <x v="8"/>
    <s v="Janagaon"/>
    <s v="Palakurthy"/>
    <s v="WOOD RUNNERS"/>
    <m/>
    <m/>
    <m/>
    <n v="1500"/>
    <m/>
  </r>
  <r>
    <n v="2381"/>
    <s v="23-11-2025 TO 07-12-2025"/>
    <x v="0"/>
    <x v="1"/>
    <s v="Janagaon"/>
    <s v="Palakurthy"/>
    <s v="3 DAYS TRACTOR"/>
    <m/>
    <m/>
    <m/>
    <n v="7000"/>
    <m/>
  </r>
  <r>
    <n v="2382"/>
    <s v="23-11-2025 TO 07-12-2025"/>
    <x v="0"/>
    <x v="9"/>
    <s v="Bhongir"/>
    <s v="Valigonda"/>
    <s v="Room RENT"/>
    <m/>
    <m/>
    <m/>
    <n v="10000"/>
    <m/>
  </r>
  <r>
    <n v="2383"/>
    <s v="23-11-2025 TO 07-12-2025"/>
    <x v="0"/>
    <x v="0"/>
    <s v="Janagaon"/>
    <s v="Palakurthy"/>
    <s v="Dhanunjay labour"/>
    <m/>
    <m/>
    <m/>
    <n v="1000"/>
    <m/>
  </r>
  <r>
    <n v="2384"/>
    <s v="23-11-2025 TO 07-12-2025"/>
    <x v="0"/>
    <x v="5"/>
    <s v="Janagaon"/>
    <s v="Palakurthy"/>
    <s v="2 cement bags"/>
    <m/>
    <m/>
    <m/>
    <n v="600"/>
    <m/>
  </r>
  <r>
    <n v="2385"/>
    <s v="23-11-2025 TO 07-12-2025"/>
    <x v="0"/>
    <x v="0"/>
    <s v="Janagaon"/>
    <s v="Palakurthy"/>
    <s v="Bikes Transport"/>
    <m/>
    <m/>
    <m/>
    <n v="4800"/>
    <s v="Hari &amp; Venkatarao"/>
  </r>
  <r>
    <n v="2386"/>
    <s v="23-11-2025 TO 07-12-2025"/>
    <x v="0"/>
    <x v="5"/>
    <s v="Janagaon"/>
    <s v="Palakurthy"/>
    <s v="RMC BETA "/>
    <m/>
    <m/>
    <m/>
    <n v="800"/>
    <m/>
  </r>
  <r>
    <n v="2387"/>
    <s v="23-11-2025 TO 07-12-2025"/>
    <x v="0"/>
    <x v="5"/>
    <s v="Janagaon"/>
    <s v="Palakurthy"/>
    <s v="CONCRETE DAY"/>
    <m/>
    <m/>
    <m/>
    <n v="750"/>
    <m/>
  </r>
  <r>
    <n v="2388"/>
    <s v="23-11-2025 TO 07-12-2025"/>
    <x v="0"/>
    <x v="9"/>
    <s v="Janagaon"/>
    <s v="Palakurthy"/>
    <s v="Room RENT"/>
    <m/>
    <m/>
    <m/>
    <n v="4400"/>
    <m/>
  </r>
  <r>
    <n v="2389"/>
    <s v="23-11-2025 TO 07-12-2025"/>
    <x v="0"/>
    <x v="5"/>
    <s v="Bhongir"/>
    <s v="Valigonda"/>
    <s v="SITE EXPENSES"/>
    <m/>
    <m/>
    <m/>
    <n v="8230"/>
    <m/>
  </r>
  <r>
    <n v="2390"/>
    <s v="23-11-2025 TO 07-12-2025"/>
    <x v="0"/>
    <x v="78"/>
    <s v="Bhongir"/>
    <s v="Valigonda"/>
    <s v="ELECTRICAL LABOUR"/>
    <m/>
    <m/>
    <m/>
    <n v="2790"/>
    <m/>
  </r>
  <r>
    <n v="2391"/>
    <s v="23-11-2025 TO 07-12-2025"/>
    <x v="0"/>
    <x v="3"/>
    <s v="Bhongir"/>
    <s v="Valigonda"/>
    <s v="WOOD CUTTING BLADE"/>
    <m/>
    <m/>
    <m/>
    <n v="300"/>
    <m/>
  </r>
  <r>
    <n v="2392"/>
    <s v="23-11-2025 TO 07-12-2025"/>
    <x v="0"/>
    <x v="47"/>
    <s v="Janagaon"/>
    <s v="Palakurthy"/>
    <s v="TRACTOR ADVANCE"/>
    <m/>
    <m/>
    <m/>
    <n v="50000"/>
    <m/>
  </r>
  <r>
    <n v="2393"/>
    <s v="23-11-2025 TO 07-12-2025"/>
    <x v="0"/>
    <x v="47"/>
    <s v="Janagaon"/>
    <s v="Palakurthy"/>
    <s v="TRANSPORT"/>
    <m/>
    <m/>
    <m/>
    <n v="3000"/>
    <m/>
  </r>
  <r>
    <n v="2394"/>
    <s v="23-11-2025 TO 07-12-2025"/>
    <x v="0"/>
    <x v="47"/>
    <s v="Janagaon"/>
    <s v="Palakurthy"/>
    <s v="DIESEL"/>
    <m/>
    <m/>
    <m/>
    <n v="5000"/>
    <m/>
  </r>
  <r>
    <n v="2395"/>
    <s v="23-11-2025 TO 07-12-2025"/>
    <x v="0"/>
    <x v="47"/>
    <s v="Janagaon"/>
    <s v="Palakurthy"/>
    <s v="TRACTOR ADVANCE"/>
    <m/>
    <m/>
    <m/>
    <n v="20000"/>
    <m/>
  </r>
  <r>
    <n v="2396"/>
    <d v="2026-07-01T00:00:00"/>
    <x v="3"/>
    <x v="14"/>
    <s v="Kamareddy"/>
    <s v="Domakonda"/>
    <s v="Cement bags-20,plastic cover, hamali charges payment through konireddy srinivasulu Reddy at domakonda Dt:30-06-2026"/>
    <s v="Cement"/>
    <n v="20"/>
    <m/>
    <n v="5470"/>
    <m/>
  </r>
  <r>
    <n v="2397"/>
    <d v="2026-07-01T00:00:00"/>
    <x v="3"/>
    <x v="56"/>
    <m/>
    <m/>
    <s v="sangam model house doors fitting charges payment through R Sriramamurthy.DATE:30-06-2026"/>
    <s v="Doors"/>
    <n v="3"/>
    <n v="500"/>
    <n v="1500"/>
    <m/>
  </r>
  <r>
    <n v="2398"/>
    <d v="2026-07-01T00:00:00"/>
    <x v="3"/>
    <x v="56"/>
    <m/>
    <m/>
    <s v="sangam model house  windows fitting charges payment through R Sriramamurthy.DATE:30-06-2026"/>
    <s v="Windows"/>
    <n v="10"/>
    <n v="200"/>
    <n v="2000"/>
    <m/>
  </r>
  <r>
    <n v="2399"/>
    <d v="2026-07-01T00:00:00"/>
    <x v="3"/>
    <x v="2"/>
    <s v="Hanamkonda"/>
    <s v="Hub"/>
    <s v="waste oil-lits purchased by simhasalam at hanumakonda"/>
    <s v="Waste Oil"/>
    <s v="4L"/>
    <m/>
    <n v="200"/>
    <m/>
  </r>
  <r>
    <n v="2400"/>
    <d v="2026-07-01T00:00:00"/>
    <x v="3"/>
    <x v="10"/>
    <s v="Hanamkonda"/>
    <s v="Hub"/>
    <s v="TS03FE1304  Tractor Diesel Payment"/>
    <m/>
    <n v="28.30188679245283"/>
    <n v="106"/>
    <n v="3000"/>
    <m/>
  </r>
  <r>
    <n v="2401"/>
    <d v="2026-07-01T00:00:00"/>
    <x v="3"/>
    <x v="10"/>
    <s v="Bhongir"/>
    <s v="Valigonda"/>
    <s v="TS07EN5839 TRACTOR DEISEL PAYMENT BY PRASAD VALIGONDA DT:30-06-2026"/>
    <m/>
    <n v="18.867924528301888"/>
    <n v="106"/>
    <n v="2000"/>
    <m/>
  </r>
  <r>
    <n v="2402"/>
    <d v="2026-07-01T00:00:00"/>
    <x v="3"/>
    <x v="14"/>
    <s v="Hanamkonda"/>
    <s v="Dharmasagar"/>
    <s v="Cement bags-5, clover box purchased through k govindu at kyathampalli,Dt:28-06-2026"/>
    <s v="Cement"/>
    <n v="5"/>
    <m/>
    <n v="1700"/>
    <m/>
  </r>
  <r>
    <n v="2403"/>
    <d v="2026-07-01T00:00:00"/>
    <x v="3"/>
    <x v="6"/>
    <s v="Kamareddy"/>
    <s v="Nagireddypet"/>
    <s v="electricals purchased through koruprolu Siva at nagireddipet dt:28-06-2026"/>
    <s v="Electicals"/>
    <m/>
    <m/>
    <n v="500"/>
    <m/>
  </r>
  <r>
    <n v="2404"/>
    <d v="2026-07-01T00:00:00"/>
    <x v="3"/>
    <x v="26"/>
    <s v="Kamareddy"/>
    <s v="Lingampet"/>
    <s v="m sand purchased through korupolu siva at lingampet dt:30-06-3026"/>
    <s v="Msand"/>
    <n v="4"/>
    <n v="575"/>
    <n v="2300"/>
    <m/>
  </r>
  <r>
    <n v="2405"/>
    <d v="2026-07-01T00:00:00"/>
    <x v="3"/>
    <x v="76"/>
    <s v="Kamareddy"/>
    <s v="Nagireddypet"/>
    <s v="electrician charges payment by korupolu siva for nagireddypet"/>
    <m/>
    <m/>
    <m/>
    <n v="200"/>
    <m/>
  </r>
  <r>
    <n v="2406"/>
    <d v="2026-07-01T00:00:00"/>
    <x v="3"/>
    <x v="10"/>
    <s v="Kamareddy"/>
    <s v="Domakonda"/>
    <s v="AP39JQ0377 Tractor Deisel"/>
    <m/>
    <n v="28.30188679245283"/>
    <n v="106"/>
    <n v="3000"/>
    <m/>
  </r>
  <r>
    <n v="2407"/>
    <d v="2026-07-01T00:00:00"/>
    <x v="3"/>
    <x v="3"/>
    <s v="Bhongir"/>
    <s v="Valigonda"/>
    <s v="Nails purchased through suram prasad reddy at valigonda for re work DATE:30-06-2026"/>
    <s v="3 inch"/>
    <n v="3"/>
    <m/>
    <n v="675"/>
    <m/>
  </r>
  <r>
    <n v="2408"/>
    <d v="2026-07-01T00:00:00"/>
    <x v="3"/>
    <x v="3"/>
    <s v="Bhongir"/>
    <s v="Valigonda"/>
    <s v="Nails purchased through suram prasad reddy at valigonda for re work DATE:30-06-2026"/>
    <s v="Nails &quot;2.5&quot;"/>
    <n v="5"/>
    <n v="90"/>
    <n v="450"/>
    <m/>
  </r>
  <r>
    <n v="2409"/>
    <d v="2026-07-01T00:00:00"/>
    <x v="3"/>
    <x v="34"/>
    <s v="Bhongir"/>
    <s v="Valigonda"/>
    <s v="binding wire-25kg purchased through suram prasad reddy at valigonda for re work DATE:30-06-2026"/>
    <s v="Binding wire"/>
    <n v="25"/>
    <m/>
    <n v="2125"/>
    <m/>
  </r>
  <r>
    <n v="2410"/>
    <d v="2026-07-01T00:00:00"/>
    <x v="3"/>
    <x v="3"/>
    <s v="Bhongir"/>
    <s v="Valigonda"/>
    <s v="Rc work metirals purchased through suram prasad reddy at valigonda dt:27-06-2026"/>
    <m/>
    <m/>
    <m/>
    <n v="4750"/>
    <m/>
  </r>
  <r>
    <n v="2411"/>
    <d v="2026-07-01T00:00:00"/>
    <x v="3"/>
    <x v="14"/>
    <s v="Kamareddy"/>
    <s v="Lingampet"/>
    <s v="Cement bags-10 purchased by korupolu siva at lingampet"/>
    <s v="Cement"/>
    <n v="10"/>
    <n v="275"/>
    <n v="2750"/>
    <m/>
  </r>
  <r>
    <n v="2412"/>
    <d v="2026-07-01T00:00:00"/>
    <x v="3"/>
    <x v="14"/>
    <s v="Medak"/>
    <s v="kowdapalli"/>
    <s v="Cement bags-25 purchased through bhaskar at kowdapalli for rl work"/>
    <s v="Cement"/>
    <n v="25"/>
    <n v="260"/>
    <n v="6500"/>
    <m/>
  </r>
  <r>
    <n v="2413"/>
    <d v="2026-07-01T00:00:00"/>
    <x v="3"/>
    <x v="10"/>
    <s v="Hanamkonda"/>
    <s v="Darmasagar"/>
    <s v="TS25C1579 Tractor Diesel payment"/>
    <m/>
    <n v="42.452830188679243"/>
    <n v="106"/>
    <n v="4500"/>
    <m/>
  </r>
  <r>
    <n v="2414"/>
    <d v="2026-07-01T00:00:00"/>
    <x v="3"/>
    <x v="10"/>
    <s v="Kamareddy"/>
    <s v="Birkoor"/>
    <s v="AP 40 KF 2837 Tractor Diesel"/>
    <m/>
    <n v="48.867924528301884"/>
    <n v="106"/>
    <n v="5180"/>
    <m/>
  </r>
  <r>
    <n v="2415"/>
    <d v="2026-07-01T00:00:00"/>
    <x v="3"/>
    <x v="56"/>
    <m/>
    <m/>
    <s v="Nekkonda model house rc centring meterials purchased through Dega vamsi at"/>
    <m/>
    <m/>
    <m/>
    <n v="2030"/>
    <m/>
  </r>
  <r>
    <n v="2416"/>
    <d v="2026-07-01T00:00:00"/>
    <x v="3"/>
    <x v="10"/>
    <s v="Hanamkonda"/>
    <s v="Parvathagiri"/>
    <s v="TS24A4224 TRACTOR DEISEL PAYMENT BY M VAMSI AT PARVATHAGIRI"/>
    <m/>
    <n v="18.867924528301888"/>
    <n v="106"/>
    <n v="2000"/>
    <m/>
  </r>
  <r>
    <n v="2417"/>
    <d v="2026-07-01T00:00:00"/>
    <x v="3"/>
    <x v="27"/>
    <s v="Hanamkonda"/>
    <s v="Hub"/>
    <s v="Steel binding wire purchased by sure krishnareddy at hanumakonda date:30-06-2026"/>
    <m/>
    <m/>
    <m/>
    <n v="123120"/>
    <m/>
  </r>
  <r>
    <n v="2418"/>
    <d v="2026-07-01T00:00:00"/>
    <x v="3"/>
    <x v="10"/>
    <s v="Hanamkonda"/>
    <s v="Hub"/>
    <s v="AP26BZ3361 Tractor Deisel payment"/>
    <m/>
    <n v="25.141509433962263"/>
    <n v="106"/>
    <n v="2665"/>
    <m/>
  </r>
  <r>
    <n v="2419"/>
    <d v="2026-07-01T00:00:00"/>
    <x v="3"/>
    <x v="3"/>
    <s v="Mehaboob Nagar"/>
    <s v="Hanwada"/>
    <s v="Nails-10kg purchased by VISHNU VARDHANREDDY at hanwada ,MBNR"/>
    <s v="2.5 Nails"/>
    <s v="10Kg"/>
    <m/>
    <n v="1100"/>
    <m/>
  </r>
  <r>
    <n v="2420"/>
    <d v="2026-07-01T00:00:00"/>
    <x v="3"/>
    <x v="3"/>
    <s v="Mehaboob Nagar"/>
    <s v="Hanwada"/>
    <s v="Hamer purchased by VISHNU VARDHANREDDY at hanwada ,MBNR"/>
    <s v="Hammer"/>
    <s v="1Pc"/>
    <m/>
    <n v="150"/>
    <m/>
  </r>
  <r>
    <n v="2421"/>
    <d v="2026-07-01T00:00:00"/>
    <x v="3"/>
    <x v="10"/>
    <s v="Siddipet"/>
    <s v="Siddpet Rural"/>
    <s v="APO4BR1918 TRACTOR Diesel Payment"/>
    <s v="Diesel"/>
    <n v="38.698113207547166"/>
    <n v="106"/>
    <n v="4102"/>
    <m/>
  </r>
  <r>
    <n v="2422"/>
    <d v="2026-07-01T00:00:00"/>
    <x v="3"/>
    <x v="26"/>
    <s v="Siddipet"/>
    <s v="Siddpet Rural"/>
    <s v="msand purchased by Murali krishna at siddipet"/>
    <s v="Msand"/>
    <n v="4.47"/>
    <n v="794.18344519015659"/>
    <n v="3550"/>
    <m/>
  </r>
  <r>
    <n v="2423"/>
    <d v="2026-07-01T00:00:00"/>
    <x v="3"/>
    <x v="26"/>
    <s v="Siddipet"/>
    <s v="Siddpet Rural"/>
    <s v="12mm purchased by Murali krishna at siddipet"/>
    <s v="12 MM Aggregate"/>
    <n v="4.5"/>
    <n v="955.55555555555554"/>
    <n v="4300"/>
    <m/>
  </r>
  <r>
    <n v="2424"/>
    <d v="2026-07-01T00:00:00"/>
    <x v="3"/>
    <x v="79"/>
    <s v="Siddipet"/>
    <s v="Doulthabad"/>
    <s v="Ceiling Fan purchased by P VINAY YADAV AT DOULTHABAD"/>
    <m/>
    <m/>
    <m/>
    <n v="1080"/>
    <m/>
  </r>
  <r>
    <n v="2425"/>
    <d v="2026-07-01T00:00:00"/>
    <x v="3"/>
    <x v="3"/>
    <s v="Siddipet"/>
    <s v="Doulthabad"/>
    <s v="Chinna pattalu purchased by p Vinay yadav at doulthabad"/>
    <m/>
    <m/>
    <m/>
    <n v="300"/>
    <m/>
  </r>
  <r>
    <n v="2426"/>
    <d v="2026-07-01T00:00:00"/>
    <x v="3"/>
    <x v="8"/>
    <s v="Bhongir"/>
    <s v="Turkapally"/>
    <s v="Wood poles unloading labour charges payment by G GANEH THROUGH BUDDA SURESH AT VASALAMARRY"/>
    <s v="Labour Charges"/>
    <m/>
    <m/>
    <n v="3000"/>
    <m/>
  </r>
  <r>
    <n v="2427"/>
    <d v="2026-07-01T00:00:00"/>
    <x v="3"/>
    <x v="18"/>
    <m/>
    <m/>
    <s v="RMC TRIP AND PUMP CHARGES PAYMENT BY SETTI SURESH Date between 16-06-2026 TO 29-06-2026"/>
    <m/>
    <m/>
    <m/>
    <n v="1600"/>
    <m/>
  </r>
  <r>
    <n v="2428"/>
    <d v="2026-07-01T00:00:00"/>
    <x v="3"/>
    <x v="14"/>
    <s v="Siddipet"/>
    <s v="Doulthabad"/>
    <s v="Cement-30 bags, steel purchased by p Vinay yadav at Doulthabad"/>
    <s v="Cement"/>
    <n v="30"/>
    <n v="250"/>
    <n v="7500"/>
    <m/>
  </r>
  <r>
    <n v="2429"/>
    <d v="2026-07-01T00:00:00"/>
    <x v="3"/>
    <x v="27"/>
    <s v="Siddipet"/>
    <s v="Doulthabad"/>
    <s v="steel purchased by p Vinay yadav at Doulthabad"/>
    <s v="Steel"/>
    <s v="8MM"/>
    <m/>
    <n v="11842"/>
    <m/>
  </r>
  <r>
    <n v="2430"/>
    <d v="2026-07-01T00:00:00"/>
    <x v="2"/>
    <x v="63"/>
    <s v="Siddipet"/>
    <s v="Siddpet Rural"/>
    <s v="12MM Iron purchase for siddipet Rural by somesh"/>
    <s v="Iron"/>
    <n v="266"/>
    <n v="57"/>
    <n v="15162"/>
    <m/>
  </r>
  <r>
    <n v="2431"/>
    <d v="2026-07-01T00:00:00"/>
    <x v="2"/>
    <x v="63"/>
    <s v="Siddipet"/>
    <s v="Siddpet Rural"/>
    <s v="10MM Iron purchase for siddipet Rural by somesh"/>
    <s v="Iron"/>
    <n v="227"/>
    <n v="58.3"/>
    <n v="13234.099999999999"/>
    <m/>
  </r>
  <r>
    <n v="2432"/>
    <d v="2026-07-01T00:00:00"/>
    <x v="2"/>
    <x v="8"/>
    <s v="Siddipet"/>
    <s v="Siddpet Rural"/>
    <s v="Iron Loading Purchase at Shop"/>
    <s v="Hamali"/>
    <m/>
    <m/>
    <n v="443"/>
    <m/>
  </r>
  <r>
    <n v="2433"/>
    <d v="2026-07-02T00:00:00"/>
    <x v="3"/>
    <x v="8"/>
    <s v="Kothagudem"/>
    <s v="Yellandu"/>
    <s v="sand loading and unloading (patalingala to ponnekekal) charges  by gandhi at kamepalli 28-06-20"/>
    <s v="Sand"/>
    <n v="300"/>
    <n v="5"/>
    <n v="1500"/>
    <m/>
  </r>
  <r>
    <n v="2434"/>
    <d v="2026-07-02T00:00:00"/>
    <x v="3"/>
    <x v="3"/>
    <s v="Kothagudem"/>
    <s v="Yellandu"/>
    <s v="and scrappers purchase for rl purchased by gandhi at kamepalli 28-06-20"/>
    <s v="Scrapers"/>
    <s v="4Pcs"/>
    <m/>
    <n v="160"/>
    <m/>
  </r>
  <r>
    <n v="2435"/>
    <d v="2026-07-02T00:00:00"/>
    <x v="3"/>
    <x v="10"/>
    <s v="Siddipet"/>
    <s v="Doulthabad"/>
    <s v="APO3CD3038 TRACTOR DEISEL PAYMENT BY P VINAY YADAV AT DOULTHABAD DATE:30-06-2026"/>
    <m/>
    <n v="23.59433962264151"/>
    <n v="106"/>
    <n v="2501"/>
    <m/>
  </r>
  <r>
    <n v="2436"/>
    <d v="2026-07-02T00:00:00"/>
    <x v="3"/>
    <x v="26"/>
    <s v="Kamareddy"/>
    <s v="Domakonda"/>
    <s v="MSAND-4 TRIPS PURCHASED BY KONIREDDY SRINIVASULU REDDY AT DOMAKONDA"/>
    <s v="Msand"/>
    <n v="16"/>
    <n v="575"/>
    <n v="9200"/>
    <m/>
  </r>
  <r>
    <n v="2437"/>
    <d v="2026-07-02T00:00:00"/>
    <x v="3"/>
    <x v="26"/>
    <s v="Kamareddy"/>
    <s v="Domakonda"/>
    <s v="12 MM AGREEGATE - 4TRIPS PURCHASED BY KONIREDDY SRINIVASULU REDDY AT DOMAKONDA"/>
    <s v="12 MM Aggregate"/>
    <n v="16"/>
    <n v="575"/>
    <n v="9200"/>
    <m/>
  </r>
  <r>
    <n v="2438"/>
    <d v="2026-07-02T00:00:00"/>
    <x v="3"/>
    <x v="10"/>
    <s v="Kamareddy"/>
    <s v="Lingampet"/>
    <s v="TS17A3949 TRACTOR DEISEL PAYMENT BY KORUPOLU SIVA AT LINGAMPET mdl"/>
    <m/>
    <n v="28.30188679245283"/>
    <n v="106"/>
    <n v="3000"/>
    <m/>
  </r>
  <r>
    <n v="2439"/>
    <d v="2026-07-02T00:00:00"/>
    <x v="3"/>
    <x v="45"/>
    <s v="Hanamkonda"/>
    <s v="Hub"/>
    <s v="AP39TH0913 DCM Eicher Vehicle Fastag Recharge"/>
    <m/>
    <n v="18.867924528301888"/>
    <n v="106"/>
    <n v="2000"/>
    <m/>
  </r>
  <r>
    <n v="2440"/>
    <d v="2026-07-02T00:00:00"/>
    <x v="3"/>
    <x v="14"/>
    <s v="Hanamkonda"/>
    <s v="Parvathagiri"/>
    <s v="Cement bags-6 purchased by M vamsi at parvathagiri"/>
    <s v="Cement"/>
    <n v="6"/>
    <n v="265"/>
    <n v="1590"/>
    <m/>
  </r>
  <r>
    <n v="2441"/>
    <d v="2026-07-02T00:00:00"/>
    <x v="3"/>
    <x v="10"/>
    <s v="Mehaboob Nagar"/>
    <s v="Hanwada"/>
    <s v="AP40JW7532 TRACTOR DEISEL PAYMENT BY D VISHNU VARDHAN REDDY AT HANWADA, MBNR"/>
    <m/>
    <n v="18.867924528301888"/>
    <n v="106"/>
    <n v="2000"/>
    <m/>
  </r>
  <r>
    <n v="2442"/>
    <d v="2026-07-02T00:00:00"/>
    <x v="3"/>
    <x v="10"/>
    <s v="Kothagudem"/>
    <s v="Yellandu"/>
    <s v="AP39GV6576 TRACTOR DEISEL PAYMENT BY SAI AT YELLANDU"/>
    <m/>
    <n v="37.132075471698116"/>
    <n v="106"/>
    <n v="3936"/>
    <m/>
  </r>
  <r>
    <n v="2443"/>
    <d v="2026-07-02T00:00:00"/>
    <x v="3"/>
    <x v="10"/>
    <s v="Kamareddy"/>
    <s v="Domakonda"/>
    <s v="AP16CX7950 Tractor Diesel"/>
    <m/>
    <n v="21.226415094339622"/>
    <n v="106"/>
    <n v="2250"/>
    <m/>
  </r>
  <r>
    <n v="2444"/>
    <d v="2026-07-02T00:00:00"/>
    <x v="3"/>
    <x v="10"/>
    <s v="Hanamkonda"/>
    <s v="Hub"/>
    <s v="AP39TH0913 DCM Vehical Diesel Payment "/>
    <m/>
    <n v="143.39622641509433"/>
    <n v="106"/>
    <n v="15200"/>
    <m/>
  </r>
  <r>
    <n v="2445"/>
    <d v="2026-07-02T00:00:00"/>
    <x v="3"/>
    <x v="10"/>
    <s v="Hanamkonda"/>
    <s v="Parvathagiri"/>
    <s v="TS24A4224 TRACTOR DEISEL PAYMENT BY muppana vamsi at parvathagiri date:29-06-2026"/>
    <m/>
    <n v="23.584905660377359"/>
    <n v="106"/>
    <n v="2500"/>
    <m/>
  </r>
  <r>
    <n v="2446"/>
    <d v="2026-07-02T00:00:00"/>
    <x v="3"/>
    <x v="56"/>
    <s v="Hanamkonda"/>
    <s v="Sangem"/>
    <s v="Sangem Model House carpenter Food expenses and Doors fitting material purchased by dega vamsi at Sangem DATE:30-06-2026"/>
    <m/>
    <m/>
    <m/>
    <n v="400"/>
    <m/>
  </r>
  <r>
    <n v="2447"/>
    <d v="2026-07-02T00:00:00"/>
    <x v="3"/>
    <x v="27"/>
    <s v="Kamareddy"/>
    <s v="Birkoor"/>
    <s v="8MM Steel purchased at Birkoor"/>
    <m/>
    <m/>
    <m/>
    <n v="58850"/>
    <m/>
  </r>
  <r>
    <n v="2448"/>
    <d v="2026-07-02T00:00:00"/>
    <x v="3"/>
    <x v="0"/>
    <s v="Siddipet"/>
    <s v="Doulthabad"/>
    <s v="kowdapalli to DOULTHABAD labour shifting auto charges payment by bhaskar"/>
    <m/>
    <m/>
    <m/>
    <n v="2200"/>
    <m/>
  </r>
  <r>
    <n v="2449"/>
    <d v="2026-07-02T00:00:00"/>
    <x v="3"/>
    <x v="3"/>
    <s v="Siddipet"/>
    <s v="Siddipet Rural"/>
    <s v="BL MATERIALS PURCHASED BY BADDI SOMESH AT SIDDIPET RUL"/>
    <m/>
    <m/>
    <m/>
    <n v="2985"/>
    <m/>
  </r>
  <r>
    <n v="2450"/>
    <d v="2026-07-02T00:00:00"/>
    <x v="3"/>
    <x v="32"/>
    <s v="Siddipet"/>
    <s v="Mulug"/>
    <s v="nails -10 kg purchased by budda suresh at cheela sagar"/>
    <s v="Nails"/>
    <n v="10"/>
    <n v="90"/>
    <n v="900"/>
    <m/>
  </r>
  <r>
    <n v="2451"/>
    <d v="2026-07-02T00:00:00"/>
    <x v="3"/>
    <x v="2"/>
    <s v="Hanamkonda"/>
    <s v="Hub"/>
    <s v="waste oil-35 lits purchased by surekrishna reddy at hanumakonda for Keythanapalli-25lits, Hanumakonda-10lits dt:01-07-2026"/>
    <s v="Black Oil"/>
    <n v="35"/>
    <n v="50"/>
    <n v="1750"/>
    <m/>
  </r>
  <r>
    <n v="2452"/>
    <d v="2026-07-02T00:00:00"/>
    <x v="3"/>
    <x v="26"/>
    <s v="Medak"/>
    <s v="kowdapalli"/>
    <s v="m sand purchased by bhaskar at kowdapalli for rl work"/>
    <s v="Msand"/>
    <n v="4.21"/>
    <n v="574.82185273159143"/>
    <n v="2420"/>
    <m/>
  </r>
  <r>
    <n v="2453"/>
    <d v="2026-07-02T00:00:00"/>
    <x v="3"/>
    <x v="26"/>
    <s v="Medak"/>
    <s v="kowdapalli"/>
    <s v="10 mm purchased by bhaskar at kowdapalli for rl work"/>
    <s v="12 MM Aggregate"/>
    <n v="4.1500000000000004"/>
    <n v="600"/>
    <n v="2490"/>
    <m/>
  </r>
  <r>
    <n v="2454"/>
    <d v="2026-07-02T00:00:00"/>
    <x v="3"/>
    <x v="3"/>
    <s v="Hanamkonda"/>
    <s v="Hub"/>
    <s v="Wood runners purchase advance payment by R Sriramamurthy FOR NIRMITHKENDR, HANUMAKONDA"/>
    <m/>
    <m/>
    <m/>
    <n v="20000"/>
    <m/>
  </r>
  <r>
    <n v="2455"/>
    <d v="2026-07-02T00:00:00"/>
    <x v="3"/>
    <x v="8"/>
    <s v="Hanamkonda"/>
    <s v="Hub"/>
    <s v="all sites in urban brick shifting labour charges payment THROUGH G SURESH at Hanumakonda dt:30-06-2026"/>
    <m/>
    <m/>
    <m/>
    <n v="9250"/>
    <m/>
  </r>
  <r>
    <n v="2456"/>
    <d v="2026-07-02T00:00:00"/>
    <x v="3"/>
    <x v="8"/>
    <s v="Kamareddy"/>
    <s v="Domakonda"/>
    <s v="centring sheets shifted, AAC Blocks shifted labour charges payment by konireddy srinivasulu Reddy at domakonda date:30th,1st,, 2nd July 2026"/>
    <m/>
    <m/>
    <m/>
    <n v="7900"/>
    <m/>
  </r>
  <r>
    <n v="2457"/>
    <d v="2026-07-02T00:00:00"/>
    <x v="3"/>
    <x v="14"/>
    <s v="Kamareddy"/>
    <s v="Domakonda"/>
    <s v="Cement 12 bags and 5meter tape purchased by konireddy srinivasulu Reddy at domakonda"/>
    <s v="Cement"/>
    <n v="12"/>
    <n v="266.66666666666669"/>
    <n v="3200"/>
    <m/>
  </r>
  <r>
    <n v="2458"/>
    <d v="2026-07-02T00:00:00"/>
    <x v="3"/>
    <x v="14"/>
    <s v="Hanamkonda"/>
    <s v="Kyathamapalle"/>
    <s v="Cement bags-4 purchased by k govindu at keythanapalli Dt:01-07-2026"/>
    <s v="Cement"/>
    <n v="4"/>
    <n v="300"/>
    <n v="1200"/>
    <m/>
  </r>
  <r>
    <n v="2459"/>
    <d v="2026-07-02T00:00:00"/>
    <x v="3"/>
    <x v="3"/>
    <s v="Mehaboob Nagar"/>
    <s v="Hanwada"/>
    <s v="Wood cutting machine repair charges payment by D VISHNU VARDHAN REDDY AT HANWADA, MBNR"/>
    <m/>
    <m/>
    <m/>
    <n v="1400"/>
    <m/>
  </r>
  <r>
    <n v="2460"/>
    <d v="2026-07-02T00:00:00"/>
    <x v="3"/>
    <x v="3"/>
    <s v="Mehaboob Nagar"/>
    <s v="Hanwada"/>
    <s v="Iron cutting blades -5,taapies-2,Hammers-2 payment by p pavan kumar at monr"/>
    <m/>
    <m/>
    <m/>
    <n v="1200"/>
    <m/>
  </r>
  <r>
    <n v="2461"/>
    <d v="2026-07-02T00:00:00"/>
    <x v="3"/>
    <x v="10"/>
    <s v="Hanamkonda"/>
    <s v="Parvathagiri"/>
    <s v="TS24A4224 TRACTOR DEISEL PAYMENT BY m vamsi at parvathagiri"/>
    <m/>
    <n v="18.867924528301888"/>
    <n v="106"/>
    <n v="2000"/>
    <m/>
  </r>
  <r>
    <n v="2462"/>
    <d v="2026-07-03T00:00:00"/>
    <x v="3"/>
    <x v="10"/>
    <s v="Kamareddy"/>
    <s v="Domakonda"/>
    <s v="AP39JQ0377 Tractor Deisel"/>
    <m/>
    <n v="14.235849056603774"/>
    <n v="106"/>
    <n v="1509"/>
    <m/>
  </r>
  <r>
    <n v="2463"/>
    <d v="2026-07-03T00:00:00"/>
    <x v="3"/>
    <x v="14"/>
    <s v="Mehaboob Nagar"/>
    <s v="Hanwada"/>
    <s v="Cement bags-2 purchased by D VISHNU VARDHAN REDDY AT HANWADA, MBNR"/>
    <s v="Cement"/>
    <n v="2"/>
    <n v="300"/>
    <n v="600"/>
    <m/>
  </r>
  <r>
    <n v="2464"/>
    <d v="2026-07-03T00:00:00"/>
    <x v="3"/>
    <x v="14"/>
    <s v="Hanamkonda"/>
    <s v="Hub"/>
    <s v="Cement bags-100 purchased by sure krishnareddy at hanumakonda for nirmithkendr date:02-07-2026"/>
    <s v="Cement"/>
    <n v="100"/>
    <n v="260"/>
    <n v="26000"/>
    <m/>
  </r>
  <r>
    <n v="2465"/>
    <d v="2026-07-03T00:00:00"/>
    <x v="3"/>
    <x v="10"/>
    <s v="Hanamkonda"/>
    <s v="Hub"/>
    <s v="TS36TA1891 TRACTOR Diesel Payment"/>
    <s v="Diesel"/>
    <n v="28.30188679245283"/>
    <n v="106"/>
    <n v="3000"/>
    <m/>
  </r>
  <r>
    <n v="2466"/>
    <d v="2026-07-03T00:00:00"/>
    <x v="3"/>
    <x v="10"/>
    <s v="Hanamkonda"/>
    <s v="Parakal"/>
    <s v="AP27UB0957 Tractor Deisel Payment"/>
    <m/>
    <n v="49.056603773584904"/>
    <n v="106"/>
    <n v="5200"/>
    <m/>
  </r>
  <r>
    <n v="2467"/>
    <d v="2026-07-03T00:00:00"/>
    <x v="3"/>
    <x v="14"/>
    <s v="Kamareddy"/>
    <s v="Nagireddypet"/>
    <s v="Cement-10 bags purchased by k siva at nagireddipet."/>
    <s v="Cement"/>
    <n v="10"/>
    <n v="275"/>
    <n v="2750"/>
    <m/>
  </r>
  <r>
    <n v="2468"/>
    <d v="2026-07-03T00:00:00"/>
    <x v="3"/>
    <x v="10"/>
    <s v="Hanamkonda"/>
    <s v="Hub"/>
    <s v="TS03UB7556  Tractor Diesel"/>
    <m/>
    <n v="37.386792452830186"/>
    <n v="106"/>
    <n v="3963"/>
    <m/>
  </r>
  <r>
    <n v="2469"/>
    <d v="2026-07-03T00:00:00"/>
    <x v="3"/>
    <x v="10"/>
    <s v="Hanamkonda"/>
    <s v="Hub"/>
    <s v="TS03FE1304  Tractor Diesel Payment"/>
    <m/>
    <n v="41.462264150943398"/>
    <n v="106"/>
    <n v="4395"/>
    <m/>
  </r>
  <r>
    <n v="2470"/>
    <d v="2026-07-03T00:00:00"/>
    <x v="3"/>
    <x v="14"/>
    <s v="Kamareddy"/>
    <s v="Domakonda"/>
    <s v="Cement bags-15,5mm tape, purchased by konireddy srinivasulu Reddy at domakonda"/>
    <s v="Cement"/>
    <n v="15"/>
    <n v="264"/>
    <n v="3960"/>
    <m/>
  </r>
  <r>
    <n v="2471"/>
    <d v="2026-07-03T00:00:00"/>
    <x v="3"/>
    <x v="10"/>
    <s v="Medak"/>
    <s v="Narsapur"/>
    <s v="AP31A4615 TRACTOR DEISEL PAYMENT BY BHASKAR AT NARASAPUR"/>
    <m/>
    <n v="9.8207547169811313"/>
    <n v="106"/>
    <n v="1041"/>
    <m/>
  </r>
  <r>
    <n v="2472"/>
    <d v="2026-07-03T00:00:00"/>
    <x v="3"/>
    <x v="18"/>
    <s v="Medak"/>
    <s v="Narsapur"/>
    <s v="rmc trip-2 payment by bhaskar at kowdapalli and narasapur"/>
    <m/>
    <m/>
    <m/>
    <n v="300"/>
    <m/>
  </r>
  <r>
    <n v="2473"/>
    <d v="2026-07-03T00:00:00"/>
    <x v="3"/>
    <x v="18"/>
    <s v="Medak"/>
    <s v="Narsapur"/>
    <s v="Pump-2 charges payment by bhaskar at kowdapalli and narasapur"/>
    <m/>
    <m/>
    <m/>
    <n v="200"/>
    <m/>
  </r>
  <r>
    <n v="2474"/>
    <d v="2026-07-03T00:00:00"/>
    <x v="3"/>
    <x v="14"/>
    <s v="Medak"/>
    <s v="Narsapur"/>
    <s v="Purchased 2 cement bags  For Pump payment by bhaskar at kowdapalli and narasapur"/>
    <s v="Cement"/>
    <n v="2"/>
    <n v="260"/>
    <n v="520"/>
    <m/>
  </r>
  <r>
    <n v="2475"/>
    <d v="2026-07-03T00:00:00"/>
    <x v="3"/>
    <x v="14"/>
    <s v="Medak"/>
    <s v="Narsapur"/>
    <s v="Purchased 5 cement bags  For Narsapur RL Labour by bhaskar at kowdapalli and narasapur"/>
    <s v="Cement"/>
    <n v="5"/>
    <n v="260"/>
    <n v="1300"/>
    <m/>
  </r>
  <r>
    <n v="2476"/>
    <d v="2026-07-03T00:00:00"/>
    <x v="3"/>
    <x v="68"/>
    <s v="Medak"/>
    <s v="Narsapur"/>
    <s v="Purchased ventilators-30 by bhaskar at kowdapalli and narasapur"/>
    <m/>
    <n v="30"/>
    <n v="130"/>
    <n v="3900"/>
    <m/>
  </r>
  <r>
    <n v="2477"/>
    <d v="2026-07-03T00:00:00"/>
    <x v="3"/>
    <x v="3"/>
    <s v="Kothagudem"/>
    <s v="Yellandu"/>
    <s v="RI work materials purchased by gandhi at yellandu for dhanjay labour"/>
    <m/>
    <m/>
    <m/>
    <n v="4900"/>
    <m/>
  </r>
  <r>
    <n v="2478"/>
    <d v="2026-07-03T00:00:00"/>
    <x v="3"/>
    <x v="3"/>
    <s v="Bhongir"/>
    <s v="Turkapally"/>
    <s v="rc work materials unloading labour charges payment THROUGH G GANESH AT VASALAMARRY"/>
    <m/>
    <m/>
    <m/>
    <n v="2000"/>
    <m/>
  </r>
  <r>
    <n v="2479"/>
    <d v="2026-07-03T00:00:00"/>
    <x v="3"/>
    <x v="3"/>
    <s v="Bhongir"/>
    <s v="Valigonda"/>
    <s v="Rc work materials purchased by suram prasad reddy at valigonda"/>
    <m/>
    <m/>
    <m/>
    <n v="1540"/>
    <m/>
  </r>
  <r>
    <n v="2480"/>
    <d v="2026-07-03T00:00:00"/>
    <x v="3"/>
    <x v="3"/>
    <s v="Hanamkonda"/>
    <s v="Hub"/>
    <s v="Tools purchased through sure krishna reddy AT HANUMAKONDA FOR NIRMITHKENDR"/>
    <m/>
    <m/>
    <m/>
    <n v="4500"/>
    <m/>
  </r>
  <r>
    <n v="2481"/>
    <d v="2026-07-03T00:00:00"/>
    <x v="3"/>
    <x v="5"/>
    <s v="Hanamkonda"/>
    <s v="Hub"/>
    <s v="Drinking water bill for the month of july-2026 payment through sure krishna reddy at nirmithkendr, hanumakonda"/>
    <m/>
    <m/>
    <m/>
    <n v="4500"/>
    <m/>
  </r>
  <r>
    <n v="2482"/>
    <d v="2026-07-03T00:00:00"/>
    <x v="3"/>
    <x v="80"/>
    <s v="Warangal"/>
    <s v="Nekkonda"/>
    <s v="Local tractor driver day payment by budda suresh at nekkonda, mulugu Date:30th june,1st and 2nd July 2026"/>
    <m/>
    <m/>
    <m/>
    <n v="3000"/>
    <m/>
  </r>
  <r>
    <n v="2483"/>
    <d v="2026-07-04T00:00:00"/>
    <x v="3"/>
    <x v="10"/>
    <s v="Siddipet"/>
    <s v="Thoguta"/>
    <s v="AP40KW7346 TRACTOR DEISEL PAYMENT BY G GOWRI NAIDU AT THOGUTA"/>
    <m/>
    <n v="28.30188679245283"/>
    <n v="106"/>
    <n v="3000"/>
    <m/>
  </r>
  <r>
    <n v="2484"/>
    <d v="2026-07-04T00:00:00"/>
    <x v="3"/>
    <x v="3"/>
    <s v="Siddipet"/>
    <s v="Siddipet Rural"/>
    <s v="rl work support tools purchased by muralikrishna at siddipet Dt:03-07-2026"/>
    <m/>
    <m/>
    <m/>
    <n v="3000"/>
    <m/>
  </r>
  <r>
    <n v="2485"/>
    <d v="2026-07-04T00:00:00"/>
    <x v="3"/>
    <x v="10"/>
    <s v="Bhongir"/>
    <s v="Valigonda"/>
    <s v="AP39FC8298 TRACTOR DEISEL PAYMENT "/>
    <m/>
    <n v="28.30188679245283"/>
    <n v="106"/>
    <n v="3000"/>
    <m/>
  </r>
  <r>
    <n v="2486"/>
    <d v="2026-07-04T00:00:00"/>
    <x v="3"/>
    <x v="10"/>
    <s v="Siddipet"/>
    <s v="Doulthabad"/>
    <s v="APO3CD3038 TRACTOR DEISEL PAYMENT BY P VINAY AT DOULTHABAD"/>
    <m/>
    <n v="25.471698113207548"/>
    <n v="106"/>
    <n v="2700"/>
    <m/>
  </r>
  <r>
    <n v="2487"/>
    <d v="2026-07-04T00:00:00"/>
    <x v="3"/>
    <x v="3"/>
    <s v="Janagaon"/>
    <s v="Tarigoppula"/>
    <s v="RI materials tools purchased by kurumapu venkateswarrao at tarigoppula"/>
    <m/>
    <m/>
    <m/>
    <n v="400"/>
    <m/>
  </r>
  <r>
    <n v="2488"/>
    <d v="2026-07-04T00:00:00"/>
    <x v="3"/>
    <x v="10"/>
    <s v="Kamareddy"/>
    <s v="Nagireddypet"/>
    <s v="AP 40 KE 2834 Tractor Diesel"/>
    <m/>
    <n v="28.30188679245283"/>
    <n v="106"/>
    <n v="3000"/>
    <m/>
  </r>
  <r>
    <n v="2489"/>
    <d v="2026-07-04T00:00:00"/>
    <x v="3"/>
    <x v="3"/>
    <s v="Kothagudem"/>
    <s v="Yellandu"/>
    <s v="rl work materials purchased by manikanta yellandu for DHANUNJAY labour"/>
    <m/>
    <m/>
    <m/>
    <n v="9315"/>
    <m/>
  </r>
  <r>
    <n v="2490"/>
    <d v="2026-07-04T00:00:00"/>
    <x v="3"/>
    <x v="81"/>
    <s v="Kamareddy"/>
    <s v="Lingampet"/>
    <s v="Tarpaulin purchased by m vamsi at lingampet"/>
    <m/>
    <m/>
    <m/>
    <n v="660"/>
    <m/>
  </r>
  <r>
    <n v="2491"/>
    <d v="2026-07-04T00:00:00"/>
    <x v="3"/>
    <x v="14"/>
    <s v="Kamareddy"/>
    <s v="Lingampet"/>
    <s v="Cement bags purchased by muppana vamsi at lingampet"/>
    <s v="Cement"/>
    <n v="10"/>
    <n v="280"/>
    <n v="2800"/>
    <m/>
  </r>
  <r>
    <n v="2492"/>
    <d v="2026-07-04T00:00:00"/>
    <x v="3"/>
    <x v="10"/>
    <s v="Mehaboob Nagar"/>
    <s v="Hanwada"/>
    <s v="AP39KA1451 Tractor Diesel Payment"/>
    <m/>
    <n v="28.30188679245283"/>
    <n v="106"/>
    <n v="3000"/>
    <m/>
  </r>
  <r>
    <n v="2493"/>
    <d v="2026-07-04T00:00:00"/>
    <x v="3"/>
    <x v="6"/>
    <s v="Hanamkonda"/>
    <s v="Sangem"/>
    <s v="electricals purchased by bablu at sangem"/>
    <m/>
    <m/>
    <m/>
    <n v="230"/>
    <m/>
  </r>
  <r>
    <n v="2494"/>
    <d v="2026-07-05T00:00:00"/>
    <x v="3"/>
    <x v="10"/>
    <s v="Mehaboob Nagar"/>
    <s v="Hanwada"/>
    <s v="AP40JS1121 TRACTOR DEISEL PAYMENT "/>
    <s v="Diesel"/>
    <n v="51.622641509433961"/>
    <n v="106"/>
    <n v="5472"/>
    <m/>
  </r>
  <r>
    <n v="2495"/>
    <d v="2026-07-05T00:00:00"/>
    <x v="3"/>
    <x v="14"/>
    <s v="Hanamkonda"/>
    <s v="Nagireddypet"/>
    <s v="20 Cement Bags nagireddypet"/>
    <s v="Cement"/>
    <n v="20"/>
    <n v="260"/>
    <n v="5200"/>
    <m/>
  </r>
  <r>
    <n v="2496"/>
    <d v="2026-07-05T00:00:00"/>
    <x v="3"/>
    <x v="10"/>
    <s v="Hanamkonda"/>
    <s v="Hub"/>
    <s v="AP39TH0913 DCM Vehical Diesel Payment "/>
    <m/>
    <n v="133.90566037735849"/>
    <n v="106"/>
    <n v="14194"/>
    <m/>
  </r>
  <r>
    <n v="2497"/>
    <d v="2026-07-05T00:00:00"/>
    <x v="3"/>
    <x v="81"/>
    <s v="Hanamkonda"/>
    <s v="Hub"/>
    <s v="Tarpaulin purchase at Hanamkonda"/>
    <m/>
    <m/>
    <m/>
    <n v="7700"/>
    <m/>
  </r>
  <r>
    <n v="2498"/>
    <d v="2026-07-05T00:00:00"/>
    <x v="3"/>
    <x v="10"/>
    <s v="Siddipet"/>
    <s v="Mulugu"/>
    <s v="AP40T1195 Tractor Deisel Payment"/>
    <m/>
    <n v="18.867924528301888"/>
    <n v="106"/>
    <n v="2000"/>
    <m/>
  </r>
  <r>
    <n v="2499"/>
    <d v="2026-07-05T00:00:00"/>
    <x v="3"/>
    <x v="10"/>
    <s v="Hanamkonda"/>
    <s v="Hub"/>
    <s v="7489 Tractor Diesel Hanamkonda"/>
    <m/>
    <n v="18.867924528301888"/>
    <n v="106"/>
    <n v="2000"/>
    <m/>
  </r>
  <r>
    <n v="2500"/>
    <d v="2026-07-05T00:00:00"/>
    <x v="3"/>
    <x v="10"/>
    <s v="Khammam"/>
    <s v="Kamepally"/>
    <s v="3351 Tractor Diesel Kamepally"/>
    <m/>
    <n v="37.735849056603776"/>
    <n v="106"/>
    <n v="4000"/>
    <m/>
  </r>
  <r>
    <n v="2501"/>
    <d v="2026-07-06T00:00:00"/>
    <x v="3"/>
    <x v="10"/>
    <s v="Kamareddy"/>
    <s v="Domakonda"/>
    <s v="AP16CX7950 Tractor Diesel"/>
    <m/>
    <n v="20"/>
    <n v="106"/>
    <n v="2120"/>
    <m/>
  </r>
  <r>
    <n v="2502"/>
    <d v="2026-07-06T00:00:00"/>
    <x v="3"/>
    <x v="10"/>
    <s v="Hanamkonda"/>
    <s v="Hub"/>
    <s v="TS03EE4571 DIESEL PAYMENT"/>
    <m/>
    <n v="31.773584905660378"/>
    <n v="106"/>
    <n v="3368"/>
    <m/>
  </r>
  <r>
    <n v="2503"/>
    <d v="2026-07-06T00:00:00"/>
    <x v="3"/>
    <x v="10"/>
    <s v="Hanamkonda"/>
    <s v="Hub"/>
    <s v="4224 Tractor Diesel Hanamkonda"/>
    <m/>
    <n v="18.877358490566039"/>
    <n v="106"/>
    <n v="2001"/>
    <m/>
  </r>
  <r>
    <n v="2504"/>
    <d v="2026-07-06T00:00:00"/>
    <x v="3"/>
    <x v="3"/>
    <s v="Kamareddy"/>
    <s v="Lingampet"/>
    <s v="Tools purchased at Lingampet"/>
    <m/>
    <m/>
    <m/>
    <n v="2425"/>
    <m/>
  </r>
  <r>
    <n v="2505"/>
    <d v="2026-07-06T00:00:00"/>
    <x v="2"/>
    <x v="10"/>
    <m/>
    <m/>
    <m/>
    <m/>
    <n v="28.30188679245283"/>
    <n v="106"/>
    <n v="3000"/>
    <m/>
  </r>
  <r>
    <n v="2506"/>
    <d v="2026-07-05T00:00:00"/>
    <x v="3"/>
    <x v="10"/>
    <s v="Kothagudem"/>
    <s v="Yellandu"/>
    <s v="AP39GV6576 Diesel at Yellandu"/>
    <m/>
    <n v="47.160377358490564"/>
    <n v="106"/>
    <n v="4999"/>
    <m/>
  </r>
  <r>
    <n v="2507"/>
    <d v="2026-07-06T00:00:00"/>
    <x v="3"/>
    <x v="14"/>
    <s v="Hanamkonda"/>
    <s v="Hub"/>
    <s v="100 Cement bags purchased by sure Krishna reddy at hanumakonda for nirmithkendram"/>
    <s v="Cement"/>
    <n v="100"/>
    <n v="260"/>
    <n v="26000"/>
    <m/>
  </r>
  <r>
    <n v="2508"/>
    <d v="2026-07-06T00:00:00"/>
    <x v="3"/>
    <x v="9"/>
    <s v="Kothagudem"/>
    <s v="Yellandu"/>
    <s v="Yellandu Stands Rent advance"/>
    <m/>
    <m/>
    <m/>
    <n v="5000"/>
    <m/>
  </r>
  <r>
    <n v="2509"/>
    <d v="2026-07-06T00:00:00"/>
    <x v="3"/>
    <x v="10"/>
    <s v="Siddipet"/>
    <s v="Doulthabad"/>
    <s v="AP03CD3038 Tractor Diesel at Doultabad"/>
    <m/>
    <n v="18.867924528301888"/>
    <n v="106"/>
    <n v="2000"/>
    <m/>
  </r>
  <r>
    <n v="2510"/>
    <d v="2026-07-06T00:00:00"/>
    <x v="3"/>
    <x v="3"/>
    <s v="Bhongir"/>
    <s v="Turkapally"/>
    <s v="Turkapally RC tools"/>
    <m/>
    <m/>
    <m/>
    <n v="800"/>
    <m/>
  </r>
  <r>
    <n v="2511"/>
    <d v="2026-07-06T00:00:00"/>
    <x v="3"/>
    <x v="82"/>
    <s v="Vizag"/>
    <s v="Vizag"/>
    <s v="Flight ticket booked For Aadi Narayana Anipireddy From Vizag to Hyderabad"/>
    <m/>
    <m/>
    <m/>
    <n v="5980"/>
    <m/>
  </r>
  <r>
    <n v="2512"/>
    <d v="2026-07-07T00:00:00"/>
    <x v="3"/>
    <x v="10"/>
    <s v="Siddipet"/>
    <s v="Thoguta"/>
    <s v="AP40KE7346 TRACTOR DEISEL PAYMENT BY ANGIREDDY DURGAPRASAD AT THOGUTAA"/>
    <m/>
    <n v="18.867924528301888"/>
    <n v="106"/>
    <n v="2000"/>
    <m/>
  </r>
  <r>
    <n v="2513"/>
    <d v="2026-07-07T00:00:00"/>
    <x v="3"/>
    <x v="14"/>
    <s v="Siddipet"/>
    <s v="Thoguta"/>
    <s v="Cement bag-1 PURCHASED BY angireddy durga Prasad at thoguta for rmc"/>
    <s v="Cement"/>
    <n v="1"/>
    <n v="270"/>
    <n v="270"/>
    <m/>
  </r>
  <r>
    <n v="2514"/>
    <d v="2026-07-07T00:00:00"/>
    <x v="3"/>
    <x v="3"/>
    <s v="Bhongir"/>
    <s v="Valigonda"/>
    <s v="Materials and Tools PURCHASED BY krishna through suram Prasad reddy at valigonda dt:04-07-2026"/>
    <m/>
    <m/>
    <m/>
    <n v="8865"/>
    <m/>
  </r>
  <r>
    <n v="2515"/>
    <d v="2026-07-07T00:00:00"/>
    <x v="3"/>
    <x v="10"/>
    <s v="Hanamkonda"/>
    <s v="Hub"/>
    <s v="TS36TA1891 TRACTOR Diesel Payment"/>
    <s v="Diesel"/>
    <n v="28.30188679245283"/>
    <n v="106"/>
    <n v="3000"/>
    <m/>
  </r>
  <r>
    <n v="2516"/>
    <d v="2026-07-07T00:00:00"/>
    <x v="3"/>
    <x v="9"/>
    <s v="Kamareddy"/>
    <s v="Lingampet"/>
    <s v="kowdapally room rent for the month of june-2026 payment through bhaskar at kowdapalli"/>
    <m/>
    <m/>
    <m/>
    <n v="5000"/>
    <m/>
  </r>
  <r>
    <n v="2517"/>
    <d v="2026-07-07T00:00:00"/>
    <x v="3"/>
    <x v="10"/>
    <s v="Kamareddy"/>
    <s v="Domakonda"/>
    <s v="AP31AJ4615 TRACTOR DEISEL PAYMENT BY BHASKAR AT NARSAPUR DT:06-07-2026"/>
    <m/>
    <n v="9.433962264150944"/>
    <n v="106"/>
    <n v="1000"/>
    <m/>
  </r>
  <r>
    <n v="2518"/>
    <d v="2026-07-07T00:00:00"/>
    <x v="3"/>
    <x v="3"/>
    <s v="Kamareddy"/>
    <s v="Domakonda"/>
    <s v="RL meterials and tools purchased by konireddy srinivasulu reddy at domkonda for 05th, 6th,07th July 2026"/>
    <m/>
    <m/>
    <m/>
    <n v="9085"/>
    <m/>
  </r>
  <r>
    <n v="2519"/>
    <d v="2026-07-07T00:00:00"/>
    <x v="3"/>
    <x v="18"/>
    <s v="Bhongir"/>
    <s v="Valigonda"/>
    <s v="RMC TRIP AND PUMP CHARGES PAYMENT BY KRISHNA AT VALIGONDA DT:5TH,6TH JULY 2026"/>
    <m/>
    <m/>
    <m/>
    <n v="1750"/>
    <m/>
  </r>
  <r>
    <n v="2520"/>
    <d v="2026-07-07T00:00:00"/>
    <x v="3"/>
    <x v="83"/>
    <s v="Bhongir"/>
    <s v="Valigonda"/>
    <s v="Valigonda to vasalamarri labour shifted auto charges payment by krishna at valigonda Dt:06-07-2026"/>
    <m/>
    <m/>
    <m/>
    <n v="1800"/>
    <m/>
  </r>
  <r>
    <n v="2521"/>
    <d v="2026-07-07T00:00:00"/>
    <x v="3"/>
    <x v="14"/>
    <s v="Siddipet"/>
    <s v="Siddipet Rural"/>
    <s v="50 Cement Bags Purchased at Siddipet rural"/>
    <s v="Cement"/>
    <n v="50"/>
    <n v="265"/>
    <n v="13250"/>
    <m/>
  </r>
  <r>
    <n v="2522"/>
    <d v="2026-07-07T00:00:00"/>
    <x v="3"/>
    <x v="26"/>
    <s v="Kamareddy"/>
    <s v="Lingampet"/>
    <s v="12 mm agreegate purchased by muppana vampire for ligament rl work"/>
    <s v="12 MM Aggregate"/>
    <n v="4"/>
    <n v="575"/>
    <n v="2300"/>
    <m/>
  </r>
  <r>
    <n v="2523"/>
    <d v="2026-07-07T00:00:00"/>
    <x v="3"/>
    <x v="10"/>
    <s v="Medak"/>
    <s v="kowdapalli"/>
    <s v="TS35T2387 TRACTOR DEISEL PAYMENT BY BHASKAR AT RILAPUR"/>
    <m/>
    <n v="33.018867924528301"/>
    <n v="106"/>
    <n v="3500"/>
    <m/>
  </r>
  <r>
    <n v="2524"/>
    <d v="2026-07-07T00:00:00"/>
    <x v="3"/>
    <x v="18"/>
    <s v="Hanamkonda"/>
    <s v="Sangem"/>
    <s v="RMC TRIP AND PUMP CHARGES PAYMENT BY BABLU AT SANGEM DT:02-07-2026"/>
    <m/>
    <m/>
    <m/>
    <n v="1250"/>
    <m/>
  </r>
  <r>
    <n v="2525"/>
    <d v="2026-07-07T00:00:00"/>
    <x v="3"/>
    <x v="26"/>
    <s v="Mehaboob Nagar"/>
    <s v="Hanwada"/>
    <s v="m sand purchased by D Vishnu Vardhan reddy at mbnr"/>
    <s v="Msand"/>
    <n v="4"/>
    <n v="750"/>
    <n v="3000"/>
    <m/>
  </r>
  <r>
    <n v="2526"/>
    <d v="2026-07-07T00:00:00"/>
    <x v="3"/>
    <x v="84"/>
    <s v="Kamareddy"/>
    <s v="Birkoor"/>
    <s v="AP40KF2837 TRACTOR LOCAL DRIVER PAYMENTS BY KOTTENA NARENDRA BY BIRKOOR"/>
    <m/>
    <n v="50.943396226415096"/>
    <n v="106"/>
    <n v="5400"/>
    <m/>
  </r>
  <r>
    <n v="2527"/>
    <d v="2026-07-07T00:00:00"/>
    <x v="3"/>
    <x v="9"/>
    <s v="Siddipet"/>
    <s v="Siddipet Rural"/>
    <s v="pullur Village rl Labour room rent(05-06-26 to 05-07-2026) and labour power bill payment by baddi somesh at pullur"/>
    <m/>
    <m/>
    <m/>
    <n v="4492"/>
    <m/>
  </r>
  <r>
    <n v="2528"/>
    <d v="2026-07-07T00:00:00"/>
    <x v="3"/>
    <x v="8"/>
    <s v="Siddipet"/>
    <s v="Siddipet Rural"/>
    <s v="rmc trip and pump charges, Brick shifting, Cement bags-50 Labour unloading payment by baddi somesh at pullur Dt: 04-07-2026."/>
    <m/>
    <m/>
    <m/>
    <n v="1550"/>
    <m/>
  </r>
  <r>
    <n v="2529"/>
    <d v="2026-07-07T00:00:00"/>
    <x v="2"/>
    <x v="27"/>
    <s v="Siddipet"/>
    <s v="Siddipet Rural"/>
    <s v="steel purchase at Siddipet Rural"/>
    <s v="Steel"/>
    <m/>
    <m/>
    <n v="75361"/>
    <m/>
  </r>
  <r>
    <n v="2530"/>
    <d v="2026-07-07T00:00:00"/>
    <x v="3"/>
    <x v="3"/>
    <s v="Hanamkonda"/>
    <s v="Hub"/>
    <s v="rl work materials purchased by dega vamsi at Hanumakonda for avs reddy labour"/>
    <m/>
    <m/>
    <m/>
    <n v="5280"/>
    <m/>
  </r>
  <r>
    <n v="2531"/>
    <d v="2026-07-07T00:00:00"/>
    <x v="3"/>
    <x v="14"/>
    <s v="Hanamkonda"/>
    <s v="Nagireddypet"/>
    <s v="20-cement bags purchased by koruprolu siva at nagireddypet Dt:01-07-2026"/>
    <s v="Cement"/>
    <n v="20"/>
    <n v="280"/>
    <n v="5600"/>
    <m/>
  </r>
  <r>
    <n v="2532"/>
    <d v="2026-07-07T00:00:00"/>
    <x v="3"/>
    <x v="18"/>
    <s v="Siddipet"/>
    <s v="Thoguta"/>
    <s v="rmc trip and pump charges payment by angireddy durga Prasad through p vinay at thoguta dt:5th,7th.july 2026"/>
    <m/>
    <m/>
    <m/>
    <n v="650"/>
    <m/>
  </r>
  <r>
    <n v="2533"/>
    <d v="2026-07-08T00:00:00"/>
    <x v="3"/>
    <x v="10"/>
    <s v="Kamareddy"/>
    <s v="Lingampet"/>
    <s v="TS17T6540 TRACTOR DEISEL PAYMENT BY MUPPANA VAMSI THROUGH DIMPI SRIVAS. FOR LINGUMPET Dt:05-07-2026."/>
    <m/>
    <n v="18.867924528301888"/>
    <n v="106"/>
    <n v="2000"/>
    <m/>
  </r>
  <r>
    <n v="2534"/>
    <d v="2026-07-08T00:00:00"/>
    <x v="3"/>
    <x v="10"/>
    <s v="Bhongir"/>
    <s v="Turkapally"/>
    <s v="TS17T6540 LOCAL TRACTOR DEISEL PAYMENT BYG GANESH AT VASALAMARRI"/>
    <m/>
    <n v="14.150943396226415"/>
    <n v="106"/>
    <n v="1500"/>
    <m/>
  </r>
  <r>
    <n v="2535"/>
    <d v="2026-07-08T00:00:00"/>
    <x v="3"/>
    <x v="10"/>
    <s v="Kamareddy"/>
    <s v="Domakonda"/>
    <s v="AP16CX7950 Tractor Diesel"/>
    <m/>
    <n v="17.433962264150942"/>
    <n v="106"/>
    <n v="1848"/>
    <m/>
  </r>
  <r>
    <n v="2536"/>
    <d v="2026-07-08T00:00:00"/>
    <x v="3"/>
    <x v="10"/>
    <s v="Mehaboob Nagar"/>
    <s v="Hanwada"/>
    <s v="AP39KA1451 Tractor Diesel Payment"/>
    <m/>
    <n v="48.113207547169814"/>
    <n v="106"/>
    <n v="5100"/>
    <m/>
  </r>
  <r>
    <n v="2537"/>
    <d v="2026-07-08T00:00:00"/>
    <x v="3"/>
    <x v="10"/>
    <s v="Kamareddy"/>
    <s v="Lingampet"/>
    <s v="TS17A3949 TRACTOR DEISEL PAYMENT BY MUPPANA VAMSI AT LINGUMPET"/>
    <m/>
    <n v="23.584905660377359"/>
    <n v="106"/>
    <n v="2500"/>
    <m/>
  </r>
  <r>
    <n v="2538"/>
    <d v="2026-07-08T00:00:00"/>
    <x v="3"/>
    <x v="10"/>
    <s v="Kamareddy"/>
    <s v="Birkoor"/>
    <s v="AP 40 KF 2837 Tractor Diesel"/>
    <m/>
    <n v="49.632075471698116"/>
    <n v="106"/>
    <n v="5261"/>
    <m/>
  </r>
  <r>
    <n v="2539"/>
    <d v="2026-07-08T00:00:00"/>
    <x v="3"/>
    <x v="14"/>
    <s v="Hanamkonda"/>
    <s v="Darmasagar"/>
    <s v="Cement bags, covering boxes purchased by k govindu at kaythampallidt:07-07-2026"/>
    <s v="Cement"/>
    <n v="5"/>
    <m/>
    <n v="1700"/>
    <m/>
  </r>
  <r>
    <n v="2540"/>
    <d v="2026-07-08T00:00:00"/>
    <x v="3"/>
    <x v="11"/>
    <s v="Siddipet"/>
    <s v="Siddipet Rural"/>
    <s v="AP39CT7040 AUGUR DEISEL PAYMENT BY NANDA KISHORE AT Siddipet rural"/>
    <m/>
    <n v="35.849056603773583"/>
    <n v="106"/>
    <n v="3800"/>
    <m/>
  </r>
  <r>
    <n v="2541"/>
    <d v="2026-07-08T00:00:00"/>
    <x v="3"/>
    <x v="10"/>
    <s v="Siddipet"/>
    <s v="Siddipet Rural"/>
    <s v="TS21T6869 TRACTOR DEISEL PAYMENT BY NANDA KISHORE AT SIDDIPET RURAL"/>
    <m/>
    <n v="46.528301886792455"/>
    <n v="106"/>
    <n v="4932"/>
    <m/>
  </r>
  <r>
    <n v="2542"/>
    <d v="2026-07-08T00:00:00"/>
    <x v="3"/>
    <x v="27"/>
    <s v="Siddipet"/>
    <s v="Doulthabad"/>
    <s v="Steel, Cement-30 purchased by p vinay at doulthabad"/>
    <m/>
    <m/>
    <m/>
    <n v="19342"/>
    <m/>
  </r>
  <r>
    <n v="2543"/>
    <d v="2026-07-08T00:00:00"/>
    <x v="3"/>
    <x v="3"/>
    <s v="Kamareddy"/>
    <s v="Lingampet"/>
    <s v="RL work materials purchased by muppana vamsi at LINGUMPET"/>
    <m/>
    <m/>
    <m/>
    <n v="1650"/>
    <m/>
  </r>
  <r>
    <n v="2544"/>
    <d v="2026-07-08T00:00:00"/>
    <x v="3"/>
    <x v="84"/>
    <s v="Siddipet"/>
    <s v="Mulugu"/>
    <s v="AP40T1195 TRACTOR LOCAL DRIVER PAYMENT BY BUDDA SURESH AT KOKKNDA, MULUGU Date:03-07-2026 to 07-07-2026"/>
    <m/>
    <m/>
    <m/>
    <n v="5000"/>
    <m/>
  </r>
  <r>
    <n v="2545"/>
    <d v="2026-07-08T00:00:00"/>
    <x v="2"/>
    <x v="10"/>
    <m/>
    <m/>
    <s v="Diesel For Tractor"/>
    <m/>
    <n v="30.188679245283019"/>
    <n v="106"/>
    <n v="3200"/>
    <m/>
  </r>
  <r>
    <n v="2546"/>
    <d v="2026-07-08T00:00:00"/>
    <x v="3"/>
    <x v="8"/>
    <s v="Hanamkonda"/>
    <s v="Hub"/>
    <s v="Centring sheets loading Labour charges cash paid by muppana vamsi at yellareddyguda to Hanumakonda nirmithkendram shifted.Date:04-07-2026"/>
    <m/>
    <m/>
    <m/>
    <n v="800"/>
    <m/>
  </r>
  <r>
    <n v="2547"/>
    <d v="2026-07-08T00:00:00"/>
    <x v="3"/>
    <x v="26"/>
    <s v="Kamareddy"/>
    <s v="Ramareddy"/>
    <s v="m sand purchased by konireddy srinivasulu reddy at peda malla reddy"/>
    <s v="Msand"/>
    <n v="4"/>
    <n v="750"/>
    <n v="3000"/>
    <m/>
  </r>
  <r>
    <n v="2548"/>
    <d v="2026-07-08T00:00:00"/>
    <x v="3"/>
    <x v="3"/>
    <s v="Siddipet"/>
    <s v="Siddipet Rural"/>
    <s v="Nails purchased by 2.5 inches, 3 inches purchased by Murali krishna at siddipet rural"/>
    <m/>
    <m/>
    <m/>
    <n v="1600"/>
    <m/>
  </r>
  <r>
    <n v="2549"/>
    <d v="2026-07-08T00:00:00"/>
    <x v="3"/>
    <x v="5"/>
    <s v="Hanamkonda"/>
    <s v="Nagireddypet"/>
    <s v="supervisor site expenses charges payment by korupolu siva at nagireddy dt:29-07-2026 to 06-07-2026"/>
    <m/>
    <m/>
    <m/>
    <n v="11920"/>
    <m/>
  </r>
  <r>
    <n v="2550"/>
    <d v="2026-07-08T00:00:00"/>
    <x v="3"/>
    <x v="26"/>
    <s v="Mehaboob Nagar"/>
    <s v="Hanwada"/>
    <s v="12mm agreegate purchased by m chennareddy for RL WORK hanwada,MBNR."/>
    <s v="12 MM Aggregate"/>
    <n v="4"/>
    <n v="625"/>
    <n v="2500"/>
    <m/>
  </r>
  <r>
    <n v="2551"/>
    <d v="2026-07-08T00:00:00"/>
    <x v="3"/>
    <x v="3"/>
    <s v="Mehaboob Nagar"/>
    <s v="Hanwada"/>
    <s v="Water pipe purchased by G venkat Rao at hanwada, mbnr"/>
    <m/>
    <m/>
    <m/>
    <n v="950"/>
    <m/>
  </r>
  <r>
    <n v="2552"/>
    <d v="2026-07-08T00:00:00"/>
    <x v="3"/>
    <x v="14"/>
    <s v="Hanamkonda"/>
    <s v="Nagireddypet"/>
    <s v="Cement-20 purchased by korupolu siva at nagireddypet"/>
    <s v="Cement"/>
    <n v="20"/>
    <n v="270"/>
    <n v="5400"/>
    <m/>
  </r>
  <r>
    <n v="2553"/>
    <d v="2026-07-08T00:00:00"/>
    <x v="3"/>
    <x v="10"/>
    <s v="Hanamkonda"/>
    <s v="Hub"/>
    <s v="TS24A4224 TRACTOR DEISEL PAYMENT BY SIMHASALAM AT HANUMAKONDA"/>
    <m/>
    <n v="41.226415094339622"/>
    <n v="106"/>
    <n v="4370"/>
    <m/>
  </r>
  <r>
    <n v="2554"/>
    <d v="2026-07-08T00:00:00"/>
    <x v="3"/>
    <x v="26"/>
    <s v="Siddipet"/>
    <s v="Siddipet Rural"/>
    <s v="m sand purchased by muralikrishna at siddipet rural"/>
    <s v="Msand"/>
    <n v="4.8600000000000003"/>
    <n v="800"/>
    <n v="3888.0000000000005"/>
    <m/>
  </r>
  <r>
    <n v="2555"/>
    <d v="2026-07-08T00:00:00"/>
    <x v="3"/>
    <x v="26"/>
    <s v="Siddipet"/>
    <s v="Siddipet Rural"/>
    <s v="12 mm purchased by muralikrishna at siddipet rural"/>
    <s v="12 MM Aggregate"/>
    <n v="3.81"/>
    <n v="800"/>
    <n v="3048"/>
    <m/>
  </r>
  <r>
    <n v="2556"/>
    <d v="2026-07-08T00:00:00"/>
    <x v="3"/>
    <x v="26"/>
    <s v="Siddipet"/>
    <s v="Siddipet Rural"/>
    <s v="m sand purchased by muralikrishna at siddipet rural"/>
    <s v="Msand"/>
    <n v="5.13"/>
    <n v="800"/>
    <n v="4104"/>
    <m/>
  </r>
  <r>
    <n v="2557"/>
    <d v="2026-07-08T00:00:00"/>
    <x v="3"/>
    <x v="10"/>
    <s v="Siddipet"/>
    <s v="Siddipet Rural"/>
    <s v="APO4BR1918 TRACTOR Diesel Payment"/>
    <s v="Diesel"/>
    <n v="31.528301886792452"/>
    <n v="106"/>
    <n v="3342"/>
    <m/>
  </r>
  <r>
    <n v="2558"/>
    <d v="2026-07-08T00:00:00"/>
    <x v="3"/>
    <x v="10"/>
    <s v="Siddipet"/>
    <s v="Doulthabad"/>
    <s v="AP40KE7346 tractor deisel payment by p vinay at doulthabad"/>
    <m/>
    <n v="18.867924528301888"/>
    <n v="106"/>
    <n v="2000"/>
    <m/>
  </r>
  <r>
    <n v="2559"/>
    <d v="2026-07-08T00:00:00"/>
    <x v="3"/>
    <x v="10"/>
    <s v="Kamareddy"/>
    <s v="Lingampet"/>
    <s v="AP39W1989 ASHOK LAYLAND PAYMENT THROUGH AVS REDDY at lingampet"/>
    <m/>
    <n v="28.773584905660378"/>
    <n v="106"/>
    <n v="3050"/>
    <m/>
  </r>
  <r>
    <n v="2560"/>
    <d v="2026-07-09T00:00:00"/>
    <x v="3"/>
    <x v="10"/>
    <s v="Bhongir"/>
    <s v="Turkapally"/>
    <s v="AP39FC8269 TRACTOR DEISEL PAYMENT BY SURAM PRASAD REDDY AT VALIGONDA TO M THURAKAPALLY"/>
    <m/>
    <n v="28.30188679245283"/>
    <n v="106"/>
    <n v="3000"/>
    <m/>
  </r>
  <r>
    <n v="2561"/>
    <d v="2026-07-09T00:00:00"/>
    <x v="3"/>
    <x v="10"/>
    <s v="Hanamkonda"/>
    <s v="Hub"/>
    <s v="TSO3UB7558 TRACTOR DEISEL PAYMENT BY SIMHASALAM AT HANUMAKONDA"/>
    <m/>
    <n v="37.905660377358494"/>
    <n v="106"/>
    <n v="4018"/>
    <m/>
  </r>
  <r>
    <n v="2562"/>
    <d v="2026-07-09T00:00:00"/>
    <x v="3"/>
    <x v="10"/>
    <s v="Siddipet"/>
    <s v="Mulugu"/>
    <s v="AP40T1195 Tractor Deisel Payment"/>
    <m/>
    <n v="37.735849056603776"/>
    <n v="106"/>
    <n v="4000"/>
    <m/>
  </r>
  <r>
    <n v="2563"/>
    <d v="2026-07-09T00:00:00"/>
    <x v="3"/>
    <x v="14"/>
    <s v="Hanamkonda"/>
    <s v="Hub"/>
    <s v="Cement bagas-100 purchased by G Suresh at Hanumakonda"/>
    <s v="Cement"/>
    <n v="100"/>
    <m/>
    <n v="1500"/>
    <m/>
  </r>
  <r>
    <n v="2564"/>
    <d v="2026-07-09T00:00:00"/>
    <x v="3"/>
    <x v="10"/>
    <s v="Mehaboob Nagar"/>
    <s v="Hanwada"/>
    <s v="AP40JW7532 TRACTOR DEISEL PAYMENT BY D VISHNU VARDHAN REDDY AT MBNR"/>
    <m/>
    <n v="43.867924528301884"/>
    <n v="106"/>
    <n v="4650"/>
    <m/>
  </r>
  <r>
    <n v="2565"/>
    <d v="2026-07-09T00:00:00"/>
    <x v="3"/>
    <x v="10"/>
    <s v="Hanamkonda"/>
    <s v="Hub"/>
    <s v="AP 40 DC 0089 TRACTOR Diesel"/>
    <m/>
    <n v="20.188679245283019"/>
    <n v="106"/>
    <n v="2140"/>
    <m/>
  </r>
  <r>
    <n v="2566"/>
    <d v="2026-07-09T00:00:00"/>
    <x v="3"/>
    <x v="3"/>
    <s v="Hanamkonda"/>
    <s v="Hub"/>
    <s v="RL WORK MATERIALS PURCHASED BY DEGA VAMSI AT WARD NO47"/>
    <m/>
    <m/>
    <m/>
    <n v="1600"/>
    <m/>
  </r>
  <r>
    <n v="2567"/>
    <d v="2026-07-09T00:00:00"/>
    <x v="3"/>
    <x v="10"/>
    <s v="Hanamkonda"/>
    <s v="Wardhanpet"/>
    <s v="TS27A2997 TRACTOR DEISEL PAYMENT BY SAMEER THROUGH G SURESH AT HASANPARTHY"/>
    <m/>
    <n v="41.037735849056602"/>
    <n v="106"/>
    <n v="4350"/>
    <m/>
  </r>
  <r>
    <n v="2568"/>
    <d v="2026-07-09T00:00:00"/>
    <x v="3"/>
    <x v="3"/>
    <s v="Hanamkonda"/>
    <s v="Bodagutta"/>
    <s v="Rc work materials purchased by G SURESH AT BODAGUTTA"/>
    <m/>
    <m/>
    <m/>
    <n v="980"/>
    <m/>
  </r>
  <r>
    <n v="2569"/>
    <d v="2026-07-09T00:00:00"/>
    <x v="3"/>
    <x v="14"/>
    <s v="Medak"/>
    <s v="Narsapur"/>
    <s v="30-Cement bags purchased by B Vijay kumar Narasapuram, rajpet"/>
    <s v="Cement"/>
    <n v="30"/>
    <n v="260"/>
    <n v="7800"/>
    <m/>
  </r>
  <r>
    <n v="2570"/>
    <d v="2026-07-09T00:00:00"/>
    <x v="3"/>
    <x v="10"/>
    <s v="Janagaon"/>
    <s v="Tharigoppula"/>
    <s v="TS36TA1891 TRACTOR Diesel Payment"/>
    <s v="Diesel"/>
    <n v="28.30188679245283"/>
    <n v="106"/>
    <n v="3000"/>
    <m/>
  </r>
  <r>
    <n v="2571"/>
    <d v="2026-07-09T00:00:00"/>
    <x v="3"/>
    <x v="3"/>
    <s v="Kothagudem"/>
    <s v="Yellandu"/>
    <s v="RL work materials purchased by sai for kamepalli-yellandu,rajashekar labour"/>
    <m/>
    <m/>
    <m/>
    <n v="1500"/>
    <m/>
  </r>
  <r>
    <n v="2572"/>
    <d v="2026-07-09T00:00:00"/>
    <x v="3"/>
    <x v="26"/>
    <s v="Kamareddy"/>
    <s v="Birkoor"/>
    <s v="Sand purchased by Kottena Narendra AT BIRKOOR FOR BIRKOOR SARPANCH"/>
    <m/>
    <n v="3"/>
    <n v="2000"/>
    <n v="6000"/>
    <m/>
  </r>
  <r>
    <n v="2573"/>
    <d v="2026-07-09T00:00:00"/>
    <x v="3"/>
    <x v="14"/>
    <s v="Kamareddy"/>
    <s v="Birkoor"/>
    <s v="Cement bags -50 purchased by kottena Narendra for birkoor"/>
    <s v="Cement"/>
    <n v="50"/>
    <n v="310"/>
    <n v="15500"/>
    <m/>
  </r>
  <r>
    <n v="2574"/>
    <d v="2026-07-09T00:00:00"/>
    <x v="3"/>
    <x v="27"/>
    <s v="Hanamkonda"/>
    <s v="Hub"/>
    <s v="8MM Steel purchased at hanumakonda"/>
    <s v="8MM Steel"/>
    <n v="2023.6363636363637"/>
    <n v="55"/>
    <n v="111300"/>
    <m/>
  </r>
  <r>
    <n v="2575"/>
    <d v="2026-07-09T00:00:00"/>
    <x v="3"/>
    <x v="3"/>
    <s v="Kothagudem"/>
    <s v="Yellandu"/>
    <s v="RI materials and tools purchased by sai for kamepalle, yellandu"/>
    <m/>
    <m/>
    <m/>
    <n v="1340"/>
    <m/>
  </r>
  <r>
    <n v="2576"/>
    <d v="2026-07-09T00:00:00"/>
    <x v="3"/>
    <x v="3"/>
    <s v="Khammam"/>
    <s v="Kamepally"/>
    <s v="Iron cutting mechine, cutting wheels purchased by sai at kamepalli"/>
    <m/>
    <m/>
    <m/>
    <n v="1600"/>
    <m/>
  </r>
  <r>
    <n v="2577"/>
    <d v="2026-07-09T00:00:00"/>
    <x v="3"/>
    <x v="10"/>
    <s v="Medak"/>
    <s v="Narsapur"/>
    <s v="AP23AJ4615 TRACTOR DEISEL PAYMENT BY B VIJAY KUMAR AT Narasapur"/>
    <m/>
    <n v="28.30188679245283"/>
    <n v="106"/>
    <n v="3000"/>
    <m/>
  </r>
  <r>
    <n v="2578"/>
    <d v="2026-07-09T00:00:00"/>
    <x v="3"/>
    <x v="10"/>
    <s v="Hanamkonda"/>
    <s v="Hub"/>
    <s v="TS03FE1304  Tractor Diesel Payment"/>
    <m/>
    <n v="41.490566037735846"/>
    <n v="106"/>
    <n v="4398"/>
    <m/>
  </r>
  <r>
    <n v="2579"/>
    <d v="2026-07-09T00:00:00"/>
    <x v="3"/>
    <x v="3"/>
    <m/>
    <m/>
    <s v="Water drums rent for one month for krishnareddy labour's payment by baddi somesh through dimpi srivas, dt:05-06-2026 to 05-07-2026"/>
    <m/>
    <m/>
    <m/>
    <n v="1200"/>
    <m/>
  </r>
  <r>
    <n v="2580"/>
    <d v="2026-07-09T00:00:00"/>
    <x v="3"/>
    <x v="18"/>
    <s v="Hanamkonda"/>
    <s v="Darmasagar"/>
    <s v="RMC TRIP AND PUMP CHARGES PAYMENT BY K GOVINDU AT PEDAPENDYALA DT:07-07-2026"/>
    <m/>
    <m/>
    <m/>
    <n v="750"/>
    <m/>
  </r>
  <r>
    <n v="2581"/>
    <d v="2026-07-09T00:00:00"/>
    <x v="3"/>
    <x v="10"/>
    <s v="Hanamkonda"/>
    <m/>
    <s v="AP39TH0913 DCM Vehical Diesel Payment "/>
    <m/>
    <n v="152.01886792452831"/>
    <n v="106"/>
    <n v="16114"/>
    <m/>
  </r>
  <r>
    <n v="2582"/>
    <d v="2026-07-09T00:00:00"/>
    <x v="3"/>
    <x v="83"/>
    <s v="Hanamkonda"/>
    <s v="Wardhanpet"/>
    <s v="Labour shifted auto charges payment by g nagaraju through sriramamurthy, AVS REDDY AT WARDHANPET"/>
    <m/>
    <m/>
    <m/>
    <n v="2600"/>
    <m/>
  </r>
  <r>
    <n v="2583"/>
    <d v="2026-07-09T00:00:00"/>
    <x v="3"/>
    <x v="10"/>
    <s v="Hanamkonda"/>
    <s v="Nagireddypet"/>
    <s v="AP 40 KF 2837 Tractor Diesel"/>
    <m/>
    <n v="28.30188679245283"/>
    <n v="106"/>
    <n v="3000"/>
    <m/>
  </r>
  <r>
    <n v="2584"/>
    <d v="2026-07-09T00:00:00"/>
    <x v="3"/>
    <x v="81"/>
    <s v="Kamareddy"/>
    <s v="Bhiknoor"/>
    <s v="24*30 tarpaulins-5,threads-3 purchased by padala bhanuprasad at bhiknoor for krishnareddy rl labour"/>
    <m/>
    <m/>
    <m/>
    <n v="5200"/>
    <m/>
  </r>
  <r>
    <n v="2585"/>
    <d v="2026-07-09T00:00:00"/>
    <x v="3"/>
    <x v="85"/>
    <s v="Mehaboob Nagar"/>
    <s v="Hanwada"/>
    <s v="Tube light purchased by m sai at monr for Labour room"/>
    <m/>
    <m/>
    <m/>
    <n v="120"/>
    <m/>
  </r>
  <r>
    <n v="2586"/>
    <d v="2026-07-09T00:00:00"/>
    <x v="3"/>
    <x v="14"/>
    <s v="Kamareddy"/>
    <s v="Domakonda"/>
    <s v="Cement bags-17 purchased by konireddy srinivasulu reddy at domkonda"/>
    <s v="Cement"/>
    <n v="17"/>
    <n v="256"/>
    <n v="4352"/>
    <m/>
  </r>
  <r>
    <n v="2587"/>
    <d v="2026-07-09T00:00:00"/>
    <x v="3"/>
    <x v="8"/>
    <s v="Kamareddy"/>
    <s v="Domakonda"/>
    <s v="AAC BLOCKS SHIFTING LABOUR PAYMENT BY KONIREDDY SRINIVASULU REDDY AT DOMKONDA"/>
    <m/>
    <m/>
    <m/>
    <n v="1100"/>
    <m/>
  </r>
  <r>
    <n v="2588"/>
    <d v="2026-07-09T00:00:00"/>
    <x v="3"/>
    <x v="0"/>
    <s v="Kamareddy"/>
    <s v="Domakonda"/>
    <s v="kysampalli thanda to domkonda Labour auto payment by konireddy srinivasulu reddy at domkonda dt:08-07-2026"/>
    <m/>
    <m/>
    <m/>
    <n v="450"/>
    <m/>
  </r>
  <r>
    <n v="2589"/>
    <d v="2026-07-09T00:00:00"/>
    <x v="3"/>
    <x v="18"/>
    <s v="Hanamkonda"/>
    <s v="Hub"/>
    <s v="rmc trip charges and pump charges payment by g suresh at ward no:47"/>
    <m/>
    <m/>
    <m/>
    <n v="750"/>
    <m/>
  </r>
  <r>
    <n v="2590"/>
    <d v="2026-07-09T00:00:00"/>
    <x v="3"/>
    <x v="3"/>
    <s v="Kamareddy"/>
    <s v="Bhiknoor"/>
    <s v="Water pipe, electrical Wire and board purchased by padala bhanuprasad at bhiknoor for krishnareddy rilabour"/>
    <m/>
    <m/>
    <m/>
    <n v="2230"/>
    <m/>
  </r>
  <r>
    <n v="2591"/>
    <d v="2026-07-09T00:00:00"/>
    <x v="3"/>
    <x v="3"/>
    <s v="Hanamkonda"/>
    <s v="Nagireddypet"/>
    <s v="rl work materials purchased by koruprolu siva at nagireddypet dt:03-07-2026,06-07-2026"/>
    <m/>
    <m/>
    <m/>
    <n v="910"/>
    <m/>
  </r>
  <r>
    <n v="2592"/>
    <d v="2026-07-09T00:00:00"/>
    <x v="3"/>
    <x v="86"/>
    <s v="Hanamkonda"/>
    <s v="Hub"/>
    <s v="Tractor strucked in mud removed by jcb and payment charges by G suresh at ward no-03"/>
    <m/>
    <m/>
    <m/>
    <n v="1500"/>
    <m/>
  </r>
  <r>
    <n v="2593"/>
    <d v="2026-07-09T00:00:00"/>
    <x v="3"/>
    <x v="10"/>
    <m/>
    <m/>
    <s v="AP39W1989 ASHOK LEYLAND DEISEL PAYMENT BY AVS REDDY FOR RUNNERS AND WINDOW FRAMES TRANSPORTATION"/>
    <m/>
    <n v="35.745283018867923"/>
    <n v="106"/>
    <n v="3789"/>
    <m/>
  </r>
  <r>
    <n v="2594"/>
    <d v="2026-07-10T00:00:00"/>
    <x v="3"/>
    <x v="10"/>
    <s v="Hanamkonda"/>
    <s v="Hub"/>
    <s v="AP 40 DC 0089 TRACTOR Diesel"/>
    <m/>
    <n v="52.547169811320757"/>
    <n v="106"/>
    <n v="5570"/>
    <m/>
  </r>
  <r>
    <n v="2595"/>
    <d v="2026-07-10T00:00:00"/>
    <x v="3"/>
    <x v="10"/>
    <s v="Kamareddy"/>
    <s v="Domakonda"/>
    <s v="AP16CX7950 Tractor Diesel"/>
    <m/>
    <n v="49.075471698113205"/>
    <n v="106"/>
    <n v="5202"/>
    <m/>
  </r>
  <r>
    <n v="2596"/>
    <d v="2026-07-10T00:00:00"/>
    <x v="3"/>
    <x v="10"/>
    <s v="Mehaboob Nagar"/>
    <s v="Hanwada"/>
    <s v="AP3515AC AUGUR VEHICLE DEISEL PAYMENT BY HANUMANTH ATHANWADA MBNR"/>
    <m/>
    <n v="15.311320754716981"/>
    <n v="106"/>
    <n v="1623"/>
    <m/>
  </r>
  <r>
    <n v="2597"/>
    <d v="2026-07-10T00:00:00"/>
    <x v="3"/>
    <x v="3"/>
    <s v="Kothagudem"/>
    <s v="Yellandu"/>
    <s v="RC Tools Purchased for RL work at Kamepally"/>
    <m/>
    <m/>
    <m/>
    <n v="900"/>
    <m/>
  </r>
  <r>
    <n v="2598"/>
    <d v="2026-07-10T00:00:00"/>
    <x v="3"/>
    <x v="3"/>
    <s v="Hanamkonda"/>
    <s v="Hub"/>
    <s v="Bend rods for Decentring purpose maked charges payment by krishna through r sriramamurthy at hanumakonda"/>
    <m/>
    <m/>
    <m/>
    <n v="500"/>
    <m/>
  </r>
  <r>
    <n v="2599"/>
    <d v="2026-07-10T00:00:00"/>
    <x v="3"/>
    <x v="10"/>
    <s v="Hanamkonda"/>
    <s v="Darmasagar"/>
    <s v="TS25C1579 Tractor Diesel payment"/>
    <m/>
    <n v="41.037735849056602"/>
    <n v="106"/>
    <n v="4350"/>
    <m/>
  </r>
  <r>
    <n v="2600"/>
    <d v="2026-07-10T00:00:00"/>
    <x v="3"/>
    <x v="9"/>
    <s v="Siddipet"/>
    <s v="Siddipet Rural"/>
    <s v="new room rent for rlabour payment by muralikrishna, Bussapur vi,krishnareddy Labour, dt:10-07-2026"/>
    <m/>
    <m/>
    <m/>
    <n v="3000"/>
    <m/>
  </r>
  <r>
    <n v="2601"/>
    <d v="2026-07-10T00:00:00"/>
    <x v="3"/>
    <x v="3"/>
    <s v="Siddipet"/>
    <s v="Doulthabad"/>
    <s v="6 jawlines purchased by p vinay through cash paid at doulthabad,Dt: 02-07-2026"/>
    <m/>
    <n v="6"/>
    <n v="150"/>
    <n v="900"/>
    <m/>
  </r>
  <r>
    <n v="2602"/>
    <d v="2026-07-10T00:00:00"/>
    <x v="3"/>
    <x v="14"/>
    <s v="Kamareddy"/>
    <s v="Lingampet"/>
    <s v="Cement bags -10 purchased by muppana vamsi at LINGUMPET"/>
    <s v="Cement"/>
    <n v="10"/>
    <n v="285"/>
    <n v="2850"/>
    <m/>
  </r>
  <r>
    <n v="2603"/>
    <d v="2026-07-10T00:00:00"/>
    <x v="3"/>
    <x v="26"/>
    <s v="Kamareddy"/>
    <s v="Bhiknoor"/>
    <s v="m sand purchased by padala bhanuprasad at bhiknoor"/>
    <s v="Msand"/>
    <n v="4"/>
    <n v="750"/>
    <n v="3000"/>
    <m/>
  </r>
  <r>
    <n v="2604"/>
    <d v="2026-07-10T00:00:00"/>
    <x v="3"/>
    <x v="14"/>
    <s v="Hanamkonda"/>
    <s v="Wardhanpet"/>
    <s v="Cement 20 bags purchased by G Nagaraju for wardhanapet rl work"/>
    <s v="Cement"/>
    <n v="20"/>
    <n v="265"/>
    <n v="5300"/>
    <m/>
  </r>
  <r>
    <n v="2605"/>
    <d v="2026-07-10T00:00:00"/>
    <x v="3"/>
    <x v="3"/>
    <s v="Mehaboob Nagar"/>
    <s v="Hanwada"/>
    <s v="Nails-2.5 inches-30 kg,3 inches-10 kg purchased by d vishnu vardhan reddy at mbnr"/>
    <m/>
    <m/>
    <m/>
    <n v="4400"/>
    <m/>
  </r>
  <r>
    <n v="2606"/>
    <d v="2026-07-10T00:00:00"/>
    <x v="3"/>
    <x v="26"/>
    <s v="Kamareddy"/>
    <s v="Bhiknoor"/>
    <s v="M sand purchased by padala bhanuprasad at bhiknoor"/>
    <s v="Msand"/>
    <n v="2"/>
    <n v="650"/>
    <n v="1300"/>
    <m/>
  </r>
  <r>
    <n v="2607"/>
    <d v="2026-07-10T00:00:00"/>
    <x v="3"/>
    <x v="56"/>
    <s v="Mehaboob Nagar"/>
    <s v="Jadcherla"/>
    <s v="jadcharla model house back filling jcb rent payment by gadela Venkatraman at jadcharla"/>
    <s v="msand "/>
    <m/>
    <m/>
    <n v="3000"/>
    <m/>
  </r>
  <r>
    <n v="2608"/>
    <d v="2026-07-10T00:00:00"/>
    <x v="3"/>
    <x v="10"/>
    <s v="Janagaon"/>
    <s v="Palakurthy"/>
    <s v="TS27T6494 TRACTOR DEISEL PAYMENT BY MADHUSHUDHAN AT PALAKURTHY"/>
    <m/>
    <n v="18.867924528301888"/>
    <n v="106"/>
    <n v="2000"/>
    <m/>
  </r>
  <r>
    <n v="2609"/>
    <d v="2026-07-10T00:00:00"/>
    <x v="3"/>
    <x v="26"/>
    <s v="Siddipet"/>
    <s v="Velair"/>
    <s v="40mm agreegate mixing purchased by k govindu for velair"/>
    <s v="40 MM Aggregate"/>
    <n v="5.5"/>
    <n v="636.36363636363637"/>
    <n v="3500"/>
    <m/>
  </r>
  <r>
    <n v="2610"/>
    <d v="2026-07-10T00:00:00"/>
    <x v="3"/>
    <x v="3"/>
    <s v="Hanamkonda"/>
    <s v="Hanamkonda"/>
    <s v="Rc work materials and tools purchased by dega vamsi for somidi, Dhananjay labour"/>
    <m/>
    <m/>
    <m/>
    <n v="6515"/>
    <m/>
  </r>
  <r>
    <n v="2611"/>
    <d v="2026-07-10T00:00:00"/>
    <x v="3"/>
    <x v="3"/>
    <s v="Janagaon"/>
    <s v="Palakurthy"/>
    <s v="Thread purchased by madhusudan at palakurthy"/>
    <m/>
    <m/>
    <m/>
    <n v="300"/>
    <m/>
  </r>
  <r>
    <n v="2612"/>
    <d v="2026-07-10T00:00:00"/>
    <x v="3"/>
    <x v="3"/>
    <s v="Siddipet"/>
    <s v="Siddipet Rural"/>
    <s v="BL WORK PVC SHOOT PIPE- 20FT PURCHASED BY BADDI SOMESH FOR PULLUR"/>
    <m/>
    <m/>
    <m/>
    <n v="5500"/>
    <m/>
  </r>
  <r>
    <n v="2613"/>
    <d v="2026-07-10T00:00:00"/>
    <x v="3"/>
    <x v="26"/>
    <s v="Mehaboob Nagar"/>
    <s v="Hanwada"/>
    <s v="msand and 12 mm purchased by m chennareddy at hanwada, mbnr"/>
    <s v="Msand"/>
    <n v="4.2"/>
    <n v="654.7619047619047"/>
    <n v="2750"/>
    <m/>
  </r>
  <r>
    <n v="2614"/>
    <d v="2026-07-10T00:00:00"/>
    <x v="3"/>
    <x v="3"/>
    <s v="Hanamkonda"/>
    <s v="Hub"/>
    <s v="window frames, plastic gutka purchased by AVS Reddy at kaikaluru to nirmithkendram"/>
    <m/>
    <m/>
    <m/>
    <n v="11100"/>
    <m/>
  </r>
  <r>
    <n v="2615"/>
    <d v="2026-07-10T00:00:00"/>
    <x v="3"/>
    <x v="26"/>
    <s v="Kamareddy"/>
    <s v="Bhiknoor"/>
    <s v="12MM CHIPS PURCHASED BY PADALA BHANUPRASAD AT BHIKNOOR"/>
    <s v="12 MM Aggregate"/>
    <n v="4"/>
    <n v="650"/>
    <n v="2600"/>
    <m/>
  </r>
  <r>
    <n v="2616"/>
    <d v="2026-07-10T00:00:00"/>
    <x v="3"/>
    <x v="3"/>
    <s v="Hanamkonda"/>
    <s v="Hanamkonda"/>
    <s v="Rc work tools purchased by dega vamsi at somidi for rc"/>
    <m/>
    <m/>
    <m/>
    <n v="1520"/>
    <m/>
  </r>
  <r>
    <n v="2617"/>
    <d v="2026-07-10T00:00:00"/>
    <x v="3"/>
    <x v="5"/>
    <s v="Kamareddy"/>
    <s v="Domakonda"/>
    <s v="site expenses charges payment by konireddy srinivasulu reddy at domakonda"/>
    <m/>
    <m/>
    <m/>
    <n v="7200"/>
    <m/>
  </r>
  <r>
    <n v="2618"/>
    <d v="2026-07-10T00:00:00"/>
    <x v="3"/>
    <x v="10"/>
    <s v="Kamareddy"/>
    <s v="Bhiknoor"/>
    <s v="AP39JQ0377 Tractor Deisel"/>
    <m/>
    <n v="28.30188679245283"/>
    <n v="106"/>
    <n v="3000"/>
    <m/>
  </r>
  <r>
    <n v="2619"/>
    <d v="2026-07-10T00:00:00"/>
    <x v="3"/>
    <x v="26"/>
    <s v="Mehaboob Nagar"/>
    <s v="Hanwada"/>
    <s v="DUST,12 MM PURCHASED BY M CHENNAREDDY AT HANWADA, MBNR"/>
    <s v="Msand &amp; 12 mm Aggregate"/>
    <n v="9"/>
    <n v="611.11111111111109"/>
    <n v="5500"/>
    <m/>
  </r>
  <r>
    <n v="2620"/>
    <d v="2026-07-11T00:00:00"/>
    <x v="3"/>
    <x v="10"/>
    <s v="Siddipet"/>
    <s v="Doulthabad"/>
    <s v="AP03CD3038 TRACTOR DEISEL PAYMENT BY P VINAY AT DOULTHABAD"/>
    <m/>
    <n v="24.528301886792452"/>
    <n v="106"/>
    <n v="2600"/>
    <m/>
  </r>
  <r>
    <n v="2621"/>
    <d v="2026-07-11T00:00:00"/>
    <x v="3"/>
    <x v="10"/>
    <s v="Kothagudem"/>
    <s v="Yellandu"/>
    <s v="AP39GV6576 tractor deisel payment by manikanta at yellandu"/>
    <m/>
    <n v="37.735849056603776"/>
    <n v="106"/>
    <n v="4000"/>
    <m/>
  </r>
  <r>
    <n v="2622"/>
    <d v="2026-07-11T00:00:00"/>
    <x v="3"/>
    <x v="3"/>
    <s v="Hanamkonda"/>
    <s v="Nekkonda"/>
    <s v="Rc work materials purchased by k bablu at nekkonda"/>
    <m/>
    <m/>
    <m/>
    <n v="480"/>
    <m/>
  </r>
  <r>
    <n v="2623"/>
    <d v="2026-07-11T00:00:00"/>
    <x v="3"/>
    <x v="10"/>
    <s v="Siddipet"/>
    <s v="Doulthabad"/>
    <s v="AP40KW7346 tractor desiel payment by p vinay at doulthabad"/>
    <m/>
    <n v="18.867924528301888"/>
    <n v="106"/>
    <n v="2000"/>
    <m/>
  </r>
  <r>
    <n v="2624"/>
    <d v="2026-07-11T00:00:00"/>
    <x v="3"/>
    <x v="14"/>
    <s v="Janagaon"/>
    <s v="Tharigoppula"/>
    <s v="Cement bags-20 purchased by k venkateswarlu at tarigoppula"/>
    <s v="Cement"/>
    <n v="20"/>
    <n v="270"/>
    <n v="5400"/>
    <m/>
  </r>
  <r>
    <n v="2625"/>
    <d v="2026-07-11T00:00:00"/>
    <x v="3"/>
    <x v="3"/>
    <s v="Hanamkonda"/>
    <s v="Nekkonda"/>
    <s v="Rc work material purchased by k bablu at nekkonda"/>
    <m/>
    <m/>
    <m/>
    <n v="180"/>
    <m/>
  </r>
  <r>
    <n v="2626"/>
    <d v="2026-07-11T00:00:00"/>
    <x v="3"/>
    <x v="14"/>
    <s v="Kamareddy"/>
    <s v="Lingampet"/>
    <s v="Cement bags-20 purchased by muppana vamsi at LINGUMPET rI work"/>
    <s v="Cement"/>
    <n v="20"/>
    <n v="285"/>
    <n v="5700"/>
    <m/>
  </r>
  <r>
    <n v="2627"/>
    <d v="2026-07-11T00:00:00"/>
    <x v="3"/>
    <x v="3"/>
    <s v="Hanamkonda"/>
    <s v="Bodagutta"/>
    <s v="Nails-20 kg purchased by krishna for bodagutta RC work"/>
    <m/>
    <m/>
    <m/>
    <n v="1664"/>
    <m/>
  </r>
  <r>
    <n v="2628"/>
    <d v="2026-07-11T00:00:00"/>
    <x v="3"/>
    <x v="87"/>
    <s v="Kothagudem"/>
    <s v="Yellandu"/>
    <s v="Baadas-6 purchased by sai at yellandu"/>
    <m/>
    <n v="6"/>
    <n v="550"/>
    <n v="3300"/>
    <m/>
  </r>
  <r>
    <n v="2629"/>
    <d v="2026-07-11T00:00:00"/>
    <x v="3"/>
    <x v="26"/>
    <s v="Mehaboob Nagar"/>
    <s v="Hanwada"/>
    <s v="msand purchased by m chennareddy at hanwada ,Monr"/>
    <s v="Msand"/>
    <n v="4"/>
    <n v="750"/>
    <n v="3000"/>
    <m/>
  </r>
  <r>
    <n v="2630"/>
    <d v="2026-07-11T00:00:00"/>
    <x v="3"/>
    <x v="26"/>
    <s v="Mehaboob Nagar"/>
    <s v="Hanwada"/>
    <s v="12mm purchased by m chennareddy at hanwada ,Monr"/>
    <s v="12 MM Aggregate"/>
    <n v="4"/>
    <n v="625"/>
    <n v="2500"/>
    <m/>
  </r>
  <r>
    <n v="2631"/>
    <d v="2026-07-11T00:00:00"/>
    <x v="3"/>
    <x v="10"/>
    <s v="Kamareddy"/>
    <s v="Lingampet"/>
    <s v="TS17A3949 TRACTOR DEISEL PAYMENT BY MUPPANA VAMSI AT LINGAMPETA RL WORK"/>
    <m/>
    <n v="28.30188679245283"/>
    <n v="106"/>
    <n v="3000"/>
    <m/>
  </r>
  <r>
    <n v="2632"/>
    <d v="2026-07-11T00:00:00"/>
    <x v="3"/>
    <x v="26"/>
    <s v="Kamareddy"/>
    <s v="Bhiknoor"/>
    <s v="12mm chips purchased by padala bhanu prasad at bhiknoor"/>
    <s v="12 MM Aggregate"/>
    <n v="4"/>
    <n v="650"/>
    <n v="2600"/>
    <m/>
  </r>
  <r>
    <n v="2633"/>
    <d v="2026-07-11T00:00:00"/>
    <x v="3"/>
    <x v="8"/>
    <s v="Kamareddy"/>
    <s v="Lingampet"/>
    <s v="chemical bags -290 unloading Labour charges payment by muppana vamsi at lingumpet"/>
    <m/>
    <m/>
    <m/>
    <n v="1450"/>
    <m/>
  </r>
  <r>
    <n v="2634"/>
    <d v="2026-07-11T00:00:00"/>
    <x v="3"/>
    <x v="10"/>
    <s v="Mehaboob Nagar"/>
    <s v="Hanwada"/>
    <s v="AP40JS1121 TRACTOR DEISEL PAYMENT "/>
    <s v="Diesel"/>
    <n v="18.867924528301888"/>
    <n v="106"/>
    <n v="2000"/>
    <m/>
  </r>
  <r>
    <n v="2635"/>
    <d v="2026-07-11T00:00:00"/>
    <x v="2"/>
    <x v="87"/>
    <m/>
    <m/>
    <m/>
    <m/>
    <m/>
    <m/>
    <n v="8496"/>
    <m/>
  </r>
  <r>
    <n v="2636"/>
    <d v="2026-07-11T00:00:00"/>
    <x v="3"/>
    <x v="10"/>
    <s v="Mehaboob Nagar"/>
    <s v="Hanwada"/>
    <s v="AP39KA1451 Tractor Diesel Payment"/>
    <m/>
    <n v="18.867924528301888"/>
    <n v="106"/>
    <n v="2000"/>
    <m/>
  </r>
  <r>
    <n v="2637"/>
    <d v="2026-07-11T00:00:00"/>
    <x v="3"/>
    <x v="14"/>
    <s v="Hanamkonda"/>
    <s v="Nagireddypet"/>
    <s v="Cement-20 purchased by korupolu siva at nagireddypet"/>
    <s v="Cement"/>
    <n v="20"/>
    <n v="270"/>
    <n v="5400"/>
    <m/>
  </r>
  <r>
    <n v="2638"/>
    <d v="2026-07-11T00:00:00"/>
    <x v="3"/>
    <x v="27"/>
    <s v="Hanamkonda"/>
    <s v="Nagireddypet"/>
    <s v="Steel 8mm purchased by koruprolu siva at nagireddypet"/>
    <s v="8MM Steel"/>
    <s v="142 Kg"/>
    <n v="55"/>
    <n v="7994"/>
    <m/>
  </r>
  <r>
    <n v="2639"/>
    <d v="2026-07-11T00:00:00"/>
    <x v="3"/>
    <x v="26"/>
    <s v="Hanamkonda"/>
    <s v="Wardhanpet"/>
    <s v="12mm , MSand purchased by g nagaraju at wardhanpet"/>
    <s v="Msand &amp; 12 mm Aggregate"/>
    <n v="6.5"/>
    <n v="641.53846153846155"/>
    <n v="4170"/>
    <m/>
  </r>
  <r>
    <n v="2640"/>
    <d v="2026-07-11T00:00:00"/>
    <x v="3"/>
    <x v="26"/>
    <s v="Medak"/>
    <s v="Narsapur"/>
    <s v="m sand purchased by b Vijay at Narasapuram"/>
    <s v="Msand"/>
    <n v="4"/>
    <n v="587.5"/>
    <n v="2350"/>
    <m/>
  </r>
  <r>
    <n v="2641"/>
    <d v="2026-07-11T00:00:00"/>
    <x v="3"/>
    <x v="26"/>
    <s v="Mehaboob Nagar"/>
    <s v="Hanwada"/>
    <s v="12mm purchased by m chennareddy at hanwada monr"/>
    <s v="12 MM Aggregate"/>
    <n v="4"/>
    <n v="625"/>
    <n v="2500"/>
    <m/>
  </r>
  <r>
    <n v="2642"/>
    <d v="2026-07-11T00:00:00"/>
    <x v="3"/>
    <x v="26"/>
    <s v="Mehaboob Nagar"/>
    <s v="Hanwada"/>
    <s v="12mm purchased by m chennareddy at hanwada monr"/>
    <s v="Msand"/>
    <n v="4"/>
    <n v="750"/>
    <n v="3000"/>
    <m/>
  </r>
  <r>
    <n v="2643"/>
    <d v="2026-07-11T00:00:00"/>
    <x v="3"/>
    <x v="14"/>
    <s v="Hanamkonda"/>
    <s v="Parakal"/>
    <s v="Cement bags-3 purchased by setti suresh at parkala"/>
    <s v="Cement"/>
    <n v="3"/>
    <n v="266.66666666666669"/>
    <n v="800"/>
    <m/>
  </r>
  <r>
    <n v="2644"/>
    <d v="2026-07-11T00:00:00"/>
    <x v="3"/>
    <x v="10"/>
    <s v="Hanamkonda"/>
    <s v="Hub"/>
    <s v="AP26BZ3361 Tractor Deisel payment"/>
    <m/>
    <n v="32.905660377358494"/>
    <n v="106"/>
    <n v="3488"/>
    <m/>
  </r>
  <r>
    <n v="2645"/>
    <d v="2026-07-11T00:00:00"/>
    <x v="3"/>
    <x v="3"/>
    <s v="Siddipet"/>
    <s v="Siddipet Rural"/>
    <s v="Iron, wood cutting blades purchased by nandu at siddipet for bl work"/>
    <m/>
    <m/>
    <m/>
    <n v="540"/>
    <m/>
  </r>
  <r>
    <n v="2646"/>
    <d v="2026-07-11T00:00:00"/>
    <x v="3"/>
    <x v="10"/>
    <s v="Hanamkonda"/>
    <s v="Madikonda"/>
    <s v="TS03EE4571 DIESEL PAYMENT"/>
    <m/>
    <n v="41.632075471698116"/>
    <n v="106"/>
    <n v="4413"/>
    <m/>
  </r>
  <r>
    <n v="2647"/>
    <d v="2026-07-11T00:00:00"/>
    <x v="3"/>
    <x v="73"/>
    <s v="Hanamkonda"/>
    <s v="Hub"/>
    <s v="Prasad dcm vehicle fast tag recharge"/>
    <m/>
    <m/>
    <m/>
    <n v="2000"/>
    <m/>
  </r>
  <r>
    <n v="2648"/>
    <d v="2026-07-11T00:00:00"/>
    <x v="3"/>
    <x v="10"/>
    <s v="Bhongir"/>
    <s v="Turkapally"/>
    <s v="AP39TH0913 DCM Vehical Diesel Payment "/>
    <m/>
    <n v="145.73584905660377"/>
    <n v="106"/>
    <n v="15448"/>
    <m/>
  </r>
  <r>
    <n v="2649"/>
    <d v="2026-07-11T00:00:00"/>
    <x v="3"/>
    <x v="8"/>
    <s v="Bhongir"/>
    <s v="Turkapally"/>
    <s v="runners, sheets, chekkalu unloading Labour charges payment G Ganesh at vasalamarry"/>
    <m/>
    <m/>
    <m/>
    <n v="4000"/>
    <m/>
  </r>
  <r>
    <n v="2650"/>
    <d v="2026-07-12T00:00:00"/>
    <x v="3"/>
    <x v="10"/>
    <s v="Mehaboob Nagar"/>
    <s v="Hanwada"/>
    <s v="AP39KA1451 Tractor Diesel Payment"/>
    <m/>
    <n v="18.867924528301888"/>
    <n v="106"/>
    <n v="2000"/>
    <m/>
  </r>
  <r>
    <n v="2651"/>
    <d v="2026-07-12T00:00:00"/>
    <x v="3"/>
    <x v="10"/>
    <s v="Mehaboob Nagar"/>
    <s v="Hanwada"/>
    <s v="AP40JS1121 TRACTOR DEISEL PAYMENT "/>
    <s v="Diesel"/>
    <n v="18.867924528301888"/>
    <n v="106"/>
    <n v="2000"/>
    <m/>
  </r>
  <r>
    <n v="2652"/>
    <d v="2026-07-12T00:00:00"/>
    <x v="3"/>
    <x v="26"/>
    <s v="Mehaboob Nagar"/>
    <s v="Hanwada"/>
    <s v="msand purchased by m chennareddy at hanwada, monr"/>
    <s v="Msand"/>
    <n v="4"/>
    <n v="750"/>
    <n v="3000"/>
    <m/>
  </r>
  <r>
    <n v="2653"/>
    <d v="2026-07-12T00:00:00"/>
    <x v="3"/>
    <x v="26"/>
    <s v="Mehaboob Nagar"/>
    <s v="Hanwada"/>
    <s v="12 mm purchased by m chennareddy at hanwada, monr"/>
    <s v="12 MM Aggregate"/>
    <n v="4"/>
    <n v="625"/>
    <n v="2500"/>
    <m/>
  </r>
  <r>
    <n v="2654"/>
    <d v="2026-07-12T00:00:00"/>
    <x v="3"/>
    <x v="14"/>
    <s v="Kamareddy"/>
    <s v="machareddy"/>
    <s v="Cement bags-10 purchased by konireddy srinivasulu reddy at machareddy"/>
    <s v="Cement"/>
    <n v="260"/>
    <n v="10"/>
    <n v="2600"/>
    <m/>
  </r>
  <r>
    <n v="2655"/>
    <d v="2026-07-12T00:00:00"/>
    <x v="3"/>
    <x v="2"/>
    <s v="Hanamkonda"/>
    <s v="Hub"/>
    <s v="waste oil-15 lits purchased by krishna for bogutta rc centring"/>
    <s v="Black Oil"/>
    <n v="15"/>
    <n v="60"/>
    <n v="900"/>
    <m/>
  </r>
  <r>
    <n v="2656"/>
    <d v="2026-07-12T00:00:00"/>
    <x v="3"/>
    <x v="9"/>
    <s v="Hanamkonda"/>
    <s v="Nadikuda"/>
    <s v="Labour room rent payment by setti suresh for rl labour, nadikuda"/>
    <m/>
    <m/>
    <m/>
    <n v="2000"/>
    <m/>
  </r>
  <r>
    <n v="2657"/>
    <d v="2026-07-12T00:00:00"/>
    <x v="3"/>
    <x v="3"/>
    <s v="Kamareddy"/>
    <s v="Lingampet"/>
    <s v="RL WORK TOOLS PURCHASED BY MUPPANA VAMSI AT LINGUMPET FOR SRIRAMAMURTHY LABOUR"/>
    <m/>
    <m/>
    <m/>
    <n v="12100"/>
    <m/>
  </r>
  <r>
    <n v="2658"/>
    <d v="2026-07-12T00:00:00"/>
    <x v="3"/>
    <x v="8"/>
    <s v="Hanamkonda"/>
    <s v="Hub"/>
    <s v="nirmithkendram site materials loading and unloading charges payment Through AVS Reddy"/>
    <m/>
    <m/>
    <m/>
    <n v="15292"/>
    <m/>
  </r>
  <r>
    <n v="2659"/>
    <d v="2026-07-12T00:00:00"/>
    <x v="3"/>
    <x v="10"/>
    <s v="Hanamkonda"/>
    <s v="Parakal"/>
    <s v="AP27UB0957 Tractor Deisel Payment"/>
    <m/>
    <n v="48.801886792452834"/>
    <n v="106"/>
    <n v="5173"/>
    <m/>
  </r>
  <r>
    <n v="2660"/>
    <d v="2026-07-12T00:00:00"/>
    <x v="3"/>
    <x v="6"/>
    <s v="Bhongir"/>
    <s v="Turkapally"/>
    <s v="Electricals purchased by G Ganesh at vasalamarri for Murphy Labour"/>
    <m/>
    <m/>
    <m/>
    <n v="1010"/>
    <m/>
  </r>
  <r>
    <n v="2661"/>
    <d v="2026-07-12T00:00:00"/>
    <x v="3"/>
    <x v="74"/>
    <s v="Hanamkonda"/>
    <s v="Hanamkonda"/>
    <s v="Airtel Broadband Payment by Malyadri"/>
    <m/>
    <m/>
    <m/>
    <n v="606"/>
    <m/>
  </r>
  <r>
    <n v="2662"/>
    <d v="2026-07-12T00:00:00"/>
    <x v="3"/>
    <x v="26"/>
    <s v="Mehaboob Nagar"/>
    <s v="Hanwada"/>
    <s v="msand purchased by m chennareddy at hanwada, monr"/>
    <s v="Msand"/>
    <n v="4"/>
    <n v="750"/>
    <n v="3000"/>
    <m/>
  </r>
  <r>
    <n v="2663"/>
    <d v="2026-07-12T00:00:00"/>
    <x v="3"/>
    <x v="26"/>
    <s v="Mehaboob Nagar"/>
    <s v="Hanwada"/>
    <s v="12 mm purchased by m chennareddy at hanwada, monr"/>
    <s v="12 MM Aggregate"/>
    <n v="4"/>
    <n v="625"/>
    <n v="2500"/>
    <m/>
  </r>
  <r>
    <n v="2664"/>
    <d v="2026-07-12T00:00:00"/>
    <x v="3"/>
    <x v="18"/>
    <s v="Hanamkonda"/>
    <s v="Sangem"/>
    <s v="Rmc trip and pump charges payment by bablu at sangem, bl and rc"/>
    <m/>
    <m/>
    <m/>
    <n v="750"/>
    <m/>
  </r>
  <r>
    <n v="2665"/>
    <d v="2026-07-12T00:00:00"/>
    <x v="3"/>
    <x v="3"/>
    <s v="Hanamkonda"/>
    <s v="Wardhanpet"/>
    <s v="hammer,sanam purchased by g nagaraju at wardhanpet dt:11-07-2026"/>
    <m/>
    <m/>
    <m/>
    <n v="300"/>
    <m/>
  </r>
  <r>
    <n v="2666"/>
    <d v="2026-07-12T00:00:00"/>
    <x v="3"/>
    <x v="11"/>
    <s v="Siddipet"/>
    <s v="Doulthabad"/>
    <s v="VENKAT RAO AUGUR VEHICLE DEISEL PAYMENT BY BADDI SOMESH AT DOULTHABAB"/>
    <m/>
    <n v="18.867924528301888"/>
    <n v="106"/>
    <n v="2000"/>
    <m/>
  </r>
  <r>
    <n v="2667"/>
    <d v="2026-07-12T00:00:00"/>
    <x v="3"/>
    <x v="26"/>
    <s v="Mehaboob Nagar"/>
    <s v="Hanwada"/>
    <s v="msand purchased by m chennareddy at hanwada, monr"/>
    <s v="Msand"/>
    <n v="4"/>
    <n v="750"/>
    <n v="3000"/>
    <m/>
  </r>
  <r>
    <n v="2668"/>
    <d v="2026-07-12T00:00:00"/>
    <x v="3"/>
    <x v="26"/>
    <s v="Mehaboob Nagar"/>
    <s v="Hanwada"/>
    <s v="12 mm purchased by m chennareddy at hanwada, monr"/>
    <s v="12 MM Aggregate"/>
    <n v="4"/>
    <n v="625"/>
    <n v="2500"/>
    <m/>
  </r>
  <r>
    <n v="2669"/>
    <d v="2026-07-12T00:00:00"/>
    <x v="3"/>
    <x v="18"/>
    <s v="Hanamkonda"/>
    <s v="Parakal"/>
    <s v="rmc trip and pump charges payment by setti suresh at parkal Dt:02-07-2026,07-07-5026,11-07-2026"/>
    <m/>
    <m/>
    <m/>
    <n v="1100"/>
    <m/>
  </r>
  <r>
    <n v="2670"/>
    <d v="2026-07-12T00:00:00"/>
    <x v="3"/>
    <x v="3"/>
    <s v="Hanamkonda"/>
    <s v="Hub"/>
    <s v="Concrete tape purchased by krishna for bodagutta rc work"/>
    <m/>
    <m/>
    <m/>
    <n v="300"/>
    <m/>
  </r>
  <r>
    <n v="2671"/>
    <d v="2026-07-12T00:00:00"/>
    <x v="3"/>
    <x v="8"/>
    <s v="Hanamkonda"/>
    <s v="Wardhanpet"/>
    <s v="Brick unloading and shifted Labour payment charges THROUGH AVS REDDY at wardhanpet"/>
    <m/>
    <m/>
    <m/>
    <n v="1500"/>
    <m/>
  </r>
  <r>
    <n v="2672"/>
    <d v="2026-07-12T00:00:00"/>
    <x v="3"/>
    <x v="5"/>
    <s v="Kothagudem"/>
    <s v="Yellandu"/>
    <s v="site expenses charges payment by u manikanta at yellandu dt:02-07-2026,03-07-2026"/>
    <m/>
    <m/>
    <m/>
    <n v="6150"/>
    <m/>
  </r>
  <r>
    <n v="2673"/>
    <d v="2026-07-12T00:00:00"/>
    <x v="3"/>
    <x v="5"/>
    <s v="Kothagudem"/>
    <s v="Yellandu"/>
    <s v="site expenses charges payment by u manikanta at yellandu dt:04-07-2026,05-07-2026"/>
    <m/>
    <m/>
    <m/>
    <n v="4310"/>
    <m/>
  </r>
  <r>
    <n v="2674"/>
    <d v="2026-07-12T00:00:00"/>
    <x v="3"/>
    <x v="3"/>
    <s v="Hanamkonda"/>
    <s v="Wardhanpet"/>
    <s v="RI tools purchased, rl stand welding payment g nagaraju at wardhanpet dt:26-06-2026,27-06-2026,10-07-2026"/>
    <m/>
    <m/>
    <m/>
    <n v="645"/>
    <m/>
  </r>
  <r>
    <n v="2675"/>
    <d v="2026-07-13T00:00:00"/>
    <x v="3"/>
    <x v="5"/>
    <s v="Hanamkonda"/>
    <s v="Velair"/>
    <s v="Electrical work pipes, boxes, Lbends purchased by k govindu for picharaa Rc work"/>
    <s v="Sudhakar Pipes"/>
    <n v="10"/>
    <n v="95"/>
    <n v="950"/>
    <m/>
  </r>
  <r>
    <n v="2676"/>
    <d v="2026-07-13T00:00:00"/>
    <x v="3"/>
    <x v="5"/>
    <s v="Hanamkonda"/>
    <s v="Velair"/>
    <s v="Electrical work boxes purchased by k govindu for picharaa Rc work"/>
    <s v="D-Box"/>
    <n v="10"/>
    <n v="20"/>
    <n v="200"/>
    <m/>
  </r>
  <r>
    <n v="2677"/>
    <d v="2026-07-13T00:00:00"/>
    <x v="3"/>
    <x v="5"/>
    <s v="Hanamkonda"/>
    <s v="Velair"/>
    <s v="Electrical work Lbends purchased by k govindu for picharaa Rc work"/>
    <s v="L Bends"/>
    <n v="20"/>
    <n v="9"/>
    <n v="180"/>
    <m/>
  </r>
  <r>
    <n v="2678"/>
    <d v="2026-07-13T00:00:00"/>
    <x v="3"/>
    <x v="10"/>
    <s v="Mehaboob Nagar"/>
    <s v="Hanwada"/>
    <s v="AP40JS1121 TRACTOR DEISEL PAYMENT "/>
    <s v="Diesel"/>
    <n v="46.226415094339622"/>
    <n v="106"/>
    <n v="49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923FE-1FFE-47E0-B259-CECD474FCB40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3" firstHeaderRow="1" firstDataRow="2" firstDataCol="1"/>
  <pivotFields count="12">
    <pivotField showAll="0"/>
    <pivotField showAll="0"/>
    <pivotField axis="axisCol" showAll="0">
      <items count="6">
        <item x="1"/>
        <item x="3"/>
        <item x="2"/>
        <item x="0"/>
        <item m="1" x="4"/>
        <item t="default"/>
      </items>
    </pivotField>
    <pivotField axis="axisRow" showAll="0">
      <items count="106">
        <item m="1" x="92"/>
        <item m="1" x="99"/>
        <item x="26"/>
        <item m="1" x="96"/>
        <item x="47"/>
        <item x="75"/>
        <item x="18"/>
        <item x="34"/>
        <item x="2"/>
        <item x="66"/>
        <item x="38"/>
        <item x="14"/>
        <item x="60"/>
        <item x="10"/>
        <item x="11"/>
        <item x="33"/>
        <item x="58"/>
        <item x="6"/>
        <item x="50"/>
        <item x="13"/>
        <item x="4"/>
        <item x="41"/>
        <item x="17"/>
        <item x="71"/>
        <item x="63"/>
        <item x="61"/>
        <item x="28"/>
        <item x="20"/>
        <item x="65"/>
        <item x="19"/>
        <item x="76"/>
        <item m="1" x="89"/>
        <item m="1" x="98"/>
        <item m="1" x="95"/>
        <item m="1" x="101"/>
        <item x="69"/>
        <item x="68"/>
        <item x="15"/>
        <item x="16"/>
        <item x="56"/>
        <item x="37"/>
        <item x="32"/>
        <item x="59"/>
        <item x="48"/>
        <item x="57"/>
        <item x="21"/>
        <item x="36"/>
        <item x="64"/>
        <item x="72"/>
        <item m="1" x="91"/>
        <item m="1" x="94"/>
        <item x="9"/>
        <item x="31"/>
        <item x="7"/>
        <item x="46"/>
        <item x="30"/>
        <item x="53"/>
        <item x="12"/>
        <item x="39"/>
        <item x="22"/>
        <item m="1" x="100"/>
        <item x="25"/>
        <item m="1" x="93"/>
        <item x="78"/>
        <item m="1" x="102"/>
        <item x="5"/>
        <item x="44"/>
        <item x="70"/>
        <item x="23"/>
        <item x="49"/>
        <item x="62"/>
        <item x="52"/>
        <item x="77"/>
        <item x="54"/>
        <item x="40"/>
        <item x="73"/>
        <item x="67"/>
        <item x="35"/>
        <item x="3"/>
        <item x="0"/>
        <item m="1" x="104"/>
        <item x="51"/>
        <item m="1" x="90"/>
        <item x="24"/>
        <item m="1" x="97"/>
        <item x="55"/>
        <item m="1" x="88"/>
        <item m="1" x="103"/>
        <item x="43"/>
        <item x="29"/>
        <item x="87"/>
        <item x="1"/>
        <item x="8"/>
        <item x="27"/>
        <item x="42"/>
        <item x="45"/>
        <item x="74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9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1"/>
    </i>
    <i>
      <x v="83"/>
    </i>
    <i>
      <x v="85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DS@1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3F32-D683-41BC-BB3B-F47630DB8C08}">
  <sheetPr>
    <pageSetUpPr fitToPage="1"/>
  </sheetPr>
  <dimension ref="A1:AF616"/>
  <sheetViews>
    <sheetView showGridLines="0" view="pageBreakPreview" topLeftCell="A570" zoomScale="95" zoomScaleNormal="104" workbookViewId="0">
      <selection activeCell="C2" sqref="C2:C591"/>
    </sheetView>
  </sheetViews>
  <sheetFormatPr defaultColWidth="9" defaultRowHeight="14.4" x14ac:dyDescent="0.3"/>
  <cols>
    <col min="1" max="1" width="1.6640625" style="1" customWidth="1"/>
    <col min="2" max="2" width="5.6640625" style="5" customWidth="1"/>
    <col min="3" max="3" width="13.21875" style="5" bestFit="1" customWidth="1"/>
    <col min="4" max="4" width="26" style="17" bestFit="1" customWidth="1"/>
    <col min="5" max="5" width="11.21875" style="17" bestFit="1" customWidth="1"/>
    <col min="6" max="6" width="33.21875" style="5" bestFit="1" customWidth="1"/>
    <col min="7" max="7" width="52.6640625" style="5" bestFit="1" customWidth="1"/>
    <col min="8" max="8" width="24.44140625" style="18" bestFit="1" customWidth="1"/>
    <col min="9" max="9" width="11.77734375" style="19" bestFit="1" customWidth="1"/>
    <col min="10" max="10" width="16.33203125" style="5" bestFit="1" customWidth="1"/>
    <col min="11" max="11" width="23.77734375" style="5" bestFit="1" customWidth="1"/>
    <col min="12" max="13" width="9" style="5"/>
    <col min="14" max="14" width="52.33203125" style="5" customWidth="1"/>
    <col min="15" max="16384" width="9" style="1"/>
  </cols>
  <sheetData>
    <row r="1" spans="1:32" s="5" customFormat="1" ht="15" thickBot="1" x14ac:dyDescent="0.35">
      <c r="A1" s="1"/>
      <c r="B1" s="2" t="s">
        <v>0</v>
      </c>
      <c r="C1" s="2" t="s">
        <v>1</v>
      </c>
      <c r="D1" s="3" t="s">
        <v>233</v>
      </c>
      <c r="E1" s="3" t="s">
        <v>235</v>
      </c>
      <c r="F1" s="2" t="s">
        <v>2</v>
      </c>
      <c r="G1" s="2" t="s">
        <v>3</v>
      </c>
      <c r="H1" s="2" t="s">
        <v>4</v>
      </c>
      <c r="I1" s="4" t="s">
        <v>5</v>
      </c>
      <c r="J1" s="2" t="s">
        <v>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5" customFormat="1" ht="18.600000000000001" customHeight="1" thickBot="1" x14ac:dyDescent="0.35">
      <c r="A2" s="1"/>
      <c r="B2" s="6">
        <v>1</v>
      </c>
      <c r="C2" s="7">
        <v>45983</v>
      </c>
      <c r="D2" s="6" t="s">
        <v>8</v>
      </c>
      <c r="E2" s="87"/>
      <c r="F2" s="7" t="s">
        <v>7</v>
      </c>
      <c r="G2" s="6" t="s">
        <v>8</v>
      </c>
      <c r="H2" s="8">
        <v>151850231859</v>
      </c>
      <c r="I2" s="9">
        <v>50400</v>
      </c>
      <c r="J2" s="10"/>
      <c r="M2" s="183" t="s">
        <v>9</v>
      </c>
      <c r="N2" s="18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5" customFormat="1" ht="15.6" x14ac:dyDescent="0.3">
      <c r="A3" s="1"/>
      <c r="B3" s="6">
        <f>+B2+1</f>
        <v>2</v>
      </c>
      <c r="C3" s="7">
        <v>45983</v>
      </c>
      <c r="D3" s="87"/>
      <c r="E3" s="87"/>
      <c r="F3" s="7" t="s">
        <v>10</v>
      </c>
      <c r="G3" s="6"/>
      <c r="H3" s="8">
        <v>923781745</v>
      </c>
      <c r="I3" s="9">
        <v>50000</v>
      </c>
      <c r="J3" s="10"/>
      <c r="M3" s="11">
        <v>1</v>
      </c>
      <c r="N3" s="12" t="s">
        <v>11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s="5" customFormat="1" ht="15.6" x14ac:dyDescent="0.3">
      <c r="A4" s="1"/>
      <c r="B4" s="6">
        <f t="shared" ref="B4:B67" si="0">+B3+1</f>
        <v>3</v>
      </c>
      <c r="C4" s="7">
        <v>45984</v>
      </c>
      <c r="D4" s="87"/>
      <c r="E4" s="87"/>
      <c r="F4" s="7" t="s">
        <v>12</v>
      </c>
      <c r="G4" s="6"/>
      <c r="H4" s="8">
        <v>2180660709</v>
      </c>
      <c r="I4" s="9">
        <v>40000</v>
      </c>
      <c r="J4" s="10"/>
      <c r="M4" s="13">
        <v>2</v>
      </c>
      <c r="N4" s="14" t="s">
        <v>13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s="5" customFormat="1" ht="15.6" x14ac:dyDescent="0.3">
      <c r="A5" s="1"/>
      <c r="B5" s="6">
        <f t="shared" si="0"/>
        <v>4</v>
      </c>
      <c r="C5" s="7">
        <v>45985</v>
      </c>
      <c r="D5" s="87" t="s">
        <v>369</v>
      </c>
      <c r="E5" s="87"/>
      <c r="F5" s="7" t="s">
        <v>14</v>
      </c>
      <c r="G5" s="6" t="s">
        <v>15</v>
      </c>
      <c r="H5" s="8">
        <v>152008357205</v>
      </c>
      <c r="I5" s="9">
        <v>100000</v>
      </c>
      <c r="J5" s="10"/>
      <c r="M5" s="13">
        <v>3</v>
      </c>
      <c r="N5" s="14" t="s">
        <v>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5" customFormat="1" ht="15.6" x14ac:dyDescent="0.3">
      <c r="A6" s="1"/>
      <c r="B6" s="6">
        <f t="shared" si="0"/>
        <v>5</v>
      </c>
      <c r="C6" s="7">
        <v>45985</v>
      </c>
      <c r="D6" s="87" t="s">
        <v>369</v>
      </c>
      <c r="E6" s="87"/>
      <c r="F6" s="7" t="s">
        <v>14</v>
      </c>
      <c r="G6" s="6" t="s">
        <v>15</v>
      </c>
      <c r="H6" s="8">
        <v>923887932</v>
      </c>
      <c r="I6" s="9">
        <v>161000</v>
      </c>
      <c r="J6" s="10"/>
      <c r="M6" s="13">
        <v>4</v>
      </c>
      <c r="N6" s="14" t="s">
        <v>17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5" customFormat="1" ht="15.6" x14ac:dyDescent="0.3">
      <c r="A7" s="1"/>
      <c r="B7" s="6">
        <f t="shared" si="0"/>
        <v>6</v>
      </c>
      <c r="C7" s="7">
        <v>45985</v>
      </c>
      <c r="D7" s="87"/>
      <c r="E7" s="87"/>
      <c r="F7" s="7" t="s">
        <v>18</v>
      </c>
      <c r="G7" s="6" t="s">
        <v>19</v>
      </c>
      <c r="H7" s="8">
        <v>152052478851</v>
      </c>
      <c r="I7" s="9">
        <v>20000</v>
      </c>
      <c r="J7" s="10"/>
      <c r="M7" s="13">
        <v>5</v>
      </c>
      <c r="N7" s="14" t="s">
        <v>20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s="5" customFormat="1" ht="15.6" x14ac:dyDescent="0.3">
      <c r="A8" s="1"/>
      <c r="B8" s="6">
        <f t="shared" si="0"/>
        <v>7</v>
      </c>
      <c r="C8" s="7">
        <v>45987</v>
      </c>
      <c r="D8" s="87"/>
      <c r="E8" s="87"/>
      <c r="F8" s="7" t="s">
        <v>10</v>
      </c>
      <c r="G8" s="6"/>
      <c r="H8" s="8">
        <v>924234904</v>
      </c>
      <c r="I8" s="9">
        <v>50000</v>
      </c>
      <c r="J8" s="10"/>
      <c r="M8" s="13">
        <v>6</v>
      </c>
      <c r="N8" s="14" t="s">
        <v>21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s="5" customFormat="1" ht="15.6" x14ac:dyDescent="0.3">
      <c r="A9" s="1"/>
      <c r="B9" s="6">
        <f t="shared" si="0"/>
        <v>8</v>
      </c>
      <c r="C9" s="7">
        <v>45988</v>
      </c>
      <c r="D9" s="87"/>
      <c r="E9" s="87"/>
      <c r="F9" s="7" t="s">
        <v>10</v>
      </c>
      <c r="G9" s="6" t="s">
        <v>22</v>
      </c>
      <c r="H9" s="8">
        <v>924389414</v>
      </c>
      <c r="I9" s="9">
        <v>20000</v>
      </c>
      <c r="J9" s="10"/>
      <c r="M9" s="13">
        <v>7</v>
      </c>
      <c r="N9" s="14" t="s">
        <v>23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s="5" customFormat="1" ht="15.6" x14ac:dyDescent="0.3">
      <c r="A10" s="1"/>
      <c r="B10" s="6">
        <f t="shared" si="0"/>
        <v>9</v>
      </c>
      <c r="C10" s="7">
        <v>45991</v>
      </c>
      <c r="D10" s="87"/>
      <c r="E10" s="87"/>
      <c r="F10" s="7" t="s">
        <v>10</v>
      </c>
      <c r="G10" s="6"/>
      <c r="H10" s="8">
        <v>924722595</v>
      </c>
      <c r="I10" s="9">
        <v>50000</v>
      </c>
      <c r="J10" s="10"/>
      <c r="M10" s="13">
        <v>8</v>
      </c>
      <c r="N10" s="14" t="s">
        <v>24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s="5" customFormat="1" ht="18.600000000000001" customHeight="1" x14ac:dyDescent="0.3">
      <c r="A11" s="1"/>
      <c r="B11" s="6">
        <f t="shared" si="0"/>
        <v>10</v>
      </c>
      <c r="C11" s="7">
        <v>45991</v>
      </c>
      <c r="D11" s="6" t="s">
        <v>26</v>
      </c>
      <c r="E11" s="87"/>
      <c r="F11" s="7" t="s">
        <v>25</v>
      </c>
      <c r="G11" s="6" t="s">
        <v>26</v>
      </c>
      <c r="H11" s="8"/>
      <c r="I11" s="9">
        <v>300000</v>
      </c>
      <c r="J11" s="10" t="s">
        <v>27</v>
      </c>
      <c r="M11" s="13">
        <v>9</v>
      </c>
      <c r="N11" s="14" t="s">
        <v>28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s="5" customFormat="1" ht="18.600000000000001" customHeight="1" x14ac:dyDescent="0.3">
      <c r="A12" s="1"/>
      <c r="B12" s="6">
        <f t="shared" si="0"/>
        <v>11</v>
      </c>
      <c r="C12" s="7">
        <v>45991</v>
      </c>
      <c r="D12" s="6" t="s">
        <v>26</v>
      </c>
      <c r="E12" s="87"/>
      <c r="F12" s="7" t="s">
        <v>29</v>
      </c>
      <c r="G12" s="6" t="s">
        <v>26</v>
      </c>
      <c r="H12" s="8"/>
      <c r="I12" s="9">
        <v>300000</v>
      </c>
      <c r="J12" s="10" t="s">
        <v>27</v>
      </c>
      <c r="M12" s="13">
        <v>10</v>
      </c>
      <c r="N12" s="14" t="s">
        <v>30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s="5" customFormat="1" ht="15.6" x14ac:dyDescent="0.3">
      <c r="A13" s="1"/>
      <c r="B13" s="6">
        <f t="shared" si="0"/>
        <v>12</v>
      </c>
      <c r="C13" s="7">
        <v>45992</v>
      </c>
      <c r="D13" s="6" t="s">
        <v>26</v>
      </c>
      <c r="E13" s="87"/>
      <c r="F13" s="7" t="s">
        <v>31</v>
      </c>
      <c r="G13" s="6"/>
      <c r="H13" s="8">
        <v>924831007</v>
      </c>
      <c r="I13" s="9">
        <v>231280</v>
      </c>
      <c r="J13" s="10"/>
      <c r="M13" s="13">
        <v>11</v>
      </c>
      <c r="N13" s="15" t="s">
        <v>32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s="5" customFormat="1" ht="15.6" x14ac:dyDescent="0.3">
      <c r="A14" s="1"/>
      <c r="B14" s="6">
        <f t="shared" si="0"/>
        <v>13</v>
      </c>
      <c r="C14" s="7">
        <v>45992</v>
      </c>
      <c r="D14" s="87"/>
      <c r="E14" s="87"/>
      <c r="F14" s="7" t="s">
        <v>33</v>
      </c>
      <c r="G14" s="6"/>
      <c r="H14" s="8">
        <v>924852723</v>
      </c>
      <c r="I14" s="9">
        <v>52000</v>
      </c>
      <c r="J14" s="10"/>
      <c r="M14" s="13">
        <v>12</v>
      </c>
      <c r="N14" s="14" t="s">
        <v>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s="5" customFormat="1" ht="18.600000000000001" customHeight="1" x14ac:dyDescent="0.3">
      <c r="A15" s="1"/>
      <c r="B15" s="6">
        <f t="shared" si="0"/>
        <v>14</v>
      </c>
      <c r="C15" s="7">
        <v>45992</v>
      </c>
      <c r="D15" s="87"/>
      <c r="E15" s="87"/>
      <c r="F15" s="7" t="s">
        <v>35</v>
      </c>
      <c r="G15" s="6" t="s">
        <v>36</v>
      </c>
      <c r="H15" s="8" t="s">
        <v>37</v>
      </c>
      <c r="I15" s="9">
        <v>20000</v>
      </c>
      <c r="J15" s="10"/>
      <c r="M15" s="13">
        <v>13</v>
      </c>
      <c r="N15" s="14" t="s">
        <v>38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s="5" customFormat="1" ht="18.600000000000001" customHeight="1" x14ac:dyDescent="0.35">
      <c r="A16" s="1"/>
      <c r="B16" s="6">
        <f t="shared" si="0"/>
        <v>15</v>
      </c>
      <c r="C16" s="7">
        <v>45992</v>
      </c>
      <c r="D16" s="87"/>
      <c r="E16" s="87"/>
      <c r="F16" s="7" t="s">
        <v>39</v>
      </c>
      <c r="G16" s="6" t="s">
        <v>40</v>
      </c>
      <c r="H16" s="8" t="s">
        <v>37</v>
      </c>
      <c r="I16" s="9">
        <v>5000</v>
      </c>
      <c r="J16" s="10"/>
      <c r="M16" s="13">
        <v>14</v>
      </c>
      <c r="N16" s="16" t="s">
        <v>41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5" customFormat="1" ht="18.600000000000001" customHeight="1" x14ac:dyDescent="0.3">
      <c r="A17" s="1"/>
      <c r="B17" s="6">
        <f t="shared" si="0"/>
        <v>16</v>
      </c>
      <c r="C17" s="7">
        <v>45993</v>
      </c>
      <c r="D17" s="87" t="s">
        <v>341</v>
      </c>
      <c r="E17" s="87"/>
      <c r="F17" s="7" t="s">
        <v>42</v>
      </c>
      <c r="G17" s="6" t="s">
        <v>43</v>
      </c>
      <c r="H17" s="8">
        <v>924962689</v>
      </c>
      <c r="I17" s="9">
        <v>100000</v>
      </c>
      <c r="J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s="5" customFormat="1" ht="18.600000000000001" customHeight="1" x14ac:dyDescent="0.3">
      <c r="A18" s="1"/>
      <c r="B18" s="6">
        <f t="shared" si="0"/>
        <v>17</v>
      </c>
      <c r="C18" s="7">
        <v>45993</v>
      </c>
      <c r="D18" s="87"/>
      <c r="E18" s="87"/>
      <c r="F18" s="7" t="s">
        <v>12</v>
      </c>
      <c r="G18" s="6" t="s">
        <v>44</v>
      </c>
      <c r="H18" s="8">
        <v>2189988871</v>
      </c>
      <c r="I18" s="9">
        <v>142000</v>
      </c>
      <c r="J18" s="1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s="5" customFormat="1" ht="18.600000000000001" customHeight="1" x14ac:dyDescent="0.3">
      <c r="A19" s="1"/>
      <c r="B19" s="6">
        <f t="shared" si="0"/>
        <v>18</v>
      </c>
      <c r="C19" s="7">
        <v>45994</v>
      </c>
      <c r="D19" s="87"/>
      <c r="E19" s="87"/>
      <c r="F19" s="7" t="s">
        <v>12</v>
      </c>
      <c r="G19" s="6"/>
      <c r="H19" s="8">
        <v>2191085894</v>
      </c>
      <c r="I19" s="9">
        <v>50000</v>
      </c>
      <c r="J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5" customFormat="1" ht="18.600000000000001" customHeight="1" x14ac:dyDescent="0.3">
      <c r="A20" s="1"/>
      <c r="B20" s="6">
        <f t="shared" si="0"/>
        <v>19</v>
      </c>
      <c r="C20" s="7">
        <v>45994</v>
      </c>
      <c r="D20" s="87"/>
      <c r="E20" s="87"/>
      <c r="F20" s="7" t="s">
        <v>10</v>
      </c>
      <c r="G20" s="6"/>
      <c r="H20" s="8">
        <v>925229722</v>
      </c>
      <c r="I20" s="9">
        <v>100000</v>
      </c>
      <c r="J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s="5" customFormat="1" ht="18.600000000000001" customHeight="1" x14ac:dyDescent="0.3">
      <c r="A21" s="1"/>
      <c r="B21" s="6">
        <f t="shared" si="0"/>
        <v>20</v>
      </c>
      <c r="C21" s="7">
        <v>45994</v>
      </c>
      <c r="D21" s="6" t="s">
        <v>46</v>
      </c>
      <c r="E21" s="87"/>
      <c r="F21" s="7" t="s">
        <v>45</v>
      </c>
      <c r="G21" s="6" t="s">
        <v>46</v>
      </c>
      <c r="H21" s="8" t="s">
        <v>37</v>
      </c>
      <c r="I21" s="9">
        <v>12200</v>
      </c>
      <c r="J21" s="1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s="5" customFormat="1" ht="18.600000000000001" customHeight="1" x14ac:dyDescent="0.3">
      <c r="A22" s="1"/>
      <c r="B22" s="6">
        <f t="shared" si="0"/>
        <v>21</v>
      </c>
      <c r="C22" s="7">
        <v>45994</v>
      </c>
      <c r="D22" s="87" t="s">
        <v>341</v>
      </c>
      <c r="E22" s="87"/>
      <c r="F22" s="7" t="s">
        <v>42</v>
      </c>
      <c r="G22" s="6"/>
      <c r="H22" s="8">
        <v>925357069</v>
      </c>
      <c r="I22" s="9">
        <v>200000</v>
      </c>
      <c r="J22" s="1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s="5" customFormat="1" ht="18.600000000000001" customHeight="1" x14ac:dyDescent="0.3">
      <c r="A23" s="1"/>
      <c r="B23" s="6">
        <f t="shared" si="0"/>
        <v>22</v>
      </c>
      <c r="C23" s="7">
        <v>45996</v>
      </c>
      <c r="D23" s="87"/>
      <c r="E23" s="87"/>
      <c r="F23" s="7" t="s">
        <v>12</v>
      </c>
      <c r="G23" s="6"/>
      <c r="H23" s="8">
        <v>152917546952</v>
      </c>
      <c r="I23" s="9">
        <v>20000</v>
      </c>
      <c r="J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s="5" customFormat="1" ht="18.600000000000001" customHeight="1" x14ac:dyDescent="0.3">
      <c r="A24" s="1"/>
      <c r="B24" s="6">
        <f t="shared" si="0"/>
        <v>23</v>
      </c>
      <c r="C24" s="7">
        <v>45998</v>
      </c>
      <c r="D24" s="87" t="s">
        <v>234</v>
      </c>
      <c r="E24" s="87" t="s">
        <v>987</v>
      </c>
      <c r="F24" s="7" t="s">
        <v>47</v>
      </c>
      <c r="G24" s="10"/>
      <c r="H24" s="8"/>
      <c r="I24" s="9">
        <v>105534</v>
      </c>
      <c r="J24" s="1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s="5" customFormat="1" ht="18.600000000000001" customHeight="1" x14ac:dyDescent="0.3">
      <c r="A25" s="1"/>
      <c r="B25" s="6">
        <f t="shared" si="0"/>
        <v>24</v>
      </c>
      <c r="C25" s="7">
        <v>45999</v>
      </c>
      <c r="D25" s="87"/>
      <c r="E25" s="87"/>
      <c r="F25" s="7" t="s">
        <v>48</v>
      </c>
      <c r="G25" s="6" t="s">
        <v>49</v>
      </c>
      <c r="H25" s="8"/>
      <c r="I25" s="9">
        <v>500000</v>
      </c>
      <c r="J25" s="1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s="5" customFormat="1" ht="18.600000000000001" customHeight="1" x14ac:dyDescent="0.3">
      <c r="A26" s="1"/>
      <c r="B26" s="6">
        <f t="shared" si="0"/>
        <v>25</v>
      </c>
      <c r="C26" s="7">
        <v>46001</v>
      </c>
      <c r="D26" s="87"/>
      <c r="E26" s="87"/>
      <c r="F26" s="7" t="s">
        <v>10</v>
      </c>
      <c r="G26" s="6"/>
      <c r="H26" s="8">
        <v>926405684</v>
      </c>
      <c r="I26" s="9">
        <v>100000</v>
      </c>
      <c r="J26" s="1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s="5" customFormat="1" ht="18.600000000000001" customHeight="1" x14ac:dyDescent="0.3">
      <c r="A27" s="1"/>
      <c r="B27" s="6">
        <f t="shared" si="0"/>
        <v>26</v>
      </c>
      <c r="C27" s="7">
        <v>46003</v>
      </c>
      <c r="D27" s="87"/>
      <c r="E27" s="87"/>
      <c r="F27" s="7" t="s">
        <v>12</v>
      </c>
      <c r="G27" s="6"/>
      <c r="H27" s="8">
        <v>926633482</v>
      </c>
      <c r="I27" s="9">
        <v>50000</v>
      </c>
      <c r="J27" s="1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s="5" customFormat="1" ht="18.600000000000001" customHeight="1" x14ac:dyDescent="0.3">
      <c r="A28" s="1"/>
      <c r="B28" s="6">
        <f t="shared" si="0"/>
        <v>27</v>
      </c>
      <c r="C28" s="7">
        <v>46004</v>
      </c>
      <c r="D28" s="87" t="s">
        <v>341</v>
      </c>
      <c r="E28" s="87"/>
      <c r="F28" s="7" t="s">
        <v>50</v>
      </c>
      <c r="G28" s="6"/>
      <c r="H28" s="8">
        <v>926782213</v>
      </c>
      <c r="I28" s="9">
        <v>50000</v>
      </c>
      <c r="J28" s="1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s="5" customFormat="1" ht="18.600000000000001" customHeight="1" x14ac:dyDescent="0.3">
      <c r="A29" s="1"/>
      <c r="B29" s="6">
        <f t="shared" si="0"/>
        <v>28</v>
      </c>
      <c r="C29" s="7">
        <v>46006</v>
      </c>
      <c r="D29" s="87"/>
      <c r="E29" s="87"/>
      <c r="F29" s="7" t="s">
        <v>51</v>
      </c>
      <c r="G29" s="6" t="s">
        <v>52</v>
      </c>
      <c r="H29" s="8">
        <v>2206890232</v>
      </c>
      <c r="I29" s="9">
        <v>50000</v>
      </c>
      <c r="J29" s="1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5" customFormat="1" ht="18.600000000000001" customHeight="1" x14ac:dyDescent="0.3">
      <c r="A30" s="1"/>
      <c r="B30" s="6">
        <f t="shared" si="0"/>
        <v>29</v>
      </c>
      <c r="C30" s="7">
        <v>46006</v>
      </c>
      <c r="D30" s="87"/>
      <c r="E30" s="87"/>
      <c r="F30" s="7" t="s">
        <v>53</v>
      </c>
      <c r="G30" s="6" t="s">
        <v>54</v>
      </c>
      <c r="H30" s="8">
        <v>927096843</v>
      </c>
      <c r="I30" s="9">
        <v>300000</v>
      </c>
      <c r="J30" s="1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s="5" customFormat="1" ht="18.600000000000001" customHeight="1" x14ac:dyDescent="0.3">
      <c r="A31" s="1"/>
      <c r="B31" s="6">
        <f t="shared" si="0"/>
        <v>30</v>
      </c>
      <c r="C31" s="7">
        <v>46006</v>
      </c>
      <c r="D31" s="87"/>
      <c r="E31" s="87"/>
      <c r="F31" s="7" t="s">
        <v>55</v>
      </c>
      <c r="G31" s="6" t="s">
        <v>54</v>
      </c>
      <c r="H31" s="8">
        <v>927097090</v>
      </c>
      <c r="I31" s="9">
        <v>150000</v>
      </c>
      <c r="J31" s="1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s="5" customFormat="1" ht="18.600000000000001" customHeight="1" x14ac:dyDescent="0.3">
      <c r="A32" s="1"/>
      <c r="B32" s="6">
        <f t="shared" si="0"/>
        <v>31</v>
      </c>
      <c r="C32" s="7">
        <v>46006</v>
      </c>
      <c r="D32" s="87"/>
      <c r="E32" s="87"/>
      <c r="F32" s="7" t="s">
        <v>56</v>
      </c>
      <c r="G32" s="6" t="s">
        <v>54</v>
      </c>
      <c r="H32" s="8">
        <v>927097564</v>
      </c>
      <c r="I32" s="9">
        <v>154000</v>
      </c>
      <c r="J32" s="1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s="5" customFormat="1" ht="18.600000000000001" customHeight="1" x14ac:dyDescent="0.3">
      <c r="A33" s="1"/>
      <c r="B33" s="6">
        <f t="shared" si="0"/>
        <v>32</v>
      </c>
      <c r="C33" s="7">
        <v>46006</v>
      </c>
      <c r="D33" s="6" t="s">
        <v>26</v>
      </c>
      <c r="E33" s="87"/>
      <c r="F33" s="7" t="s">
        <v>57</v>
      </c>
      <c r="G33" s="6" t="s">
        <v>58</v>
      </c>
      <c r="H33" s="8" t="s">
        <v>37</v>
      </c>
      <c r="I33" s="9">
        <v>35000</v>
      </c>
      <c r="J33" s="1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s="5" customFormat="1" ht="18.600000000000001" customHeight="1" x14ac:dyDescent="0.3">
      <c r="A34" s="1"/>
      <c r="B34" s="6">
        <f t="shared" si="0"/>
        <v>33</v>
      </c>
      <c r="C34" s="7">
        <v>46008</v>
      </c>
      <c r="D34" s="87"/>
      <c r="E34" s="87"/>
      <c r="F34" s="7" t="s">
        <v>10</v>
      </c>
      <c r="G34" s="6"/>
      <c r="H34" s="8">
        <v>927312192</v>
      </c>
      <c r="I34" s="9">
        <v>150000</v>
      </c>
      <c r="J34" s="1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s="5" customFormat="1" ht="18.600000000000001" customHeight="1" x14ac:dyDescent="0.3">
      <c r="A35" s="1"/>
      <c r="B35" s="6">
        <f t="shared" si="0"/>
        <v>34</v>
      </c>
      <c r="C35" s="7">
        <v>46008</v>
      </c>
      <c r="D35" s="87" t="s">
        <v>234</v>
      </c>
      <c r="E35" s="87" t="s">
        <v>987</v>
      </c>
      <c r="F35" s="7" t="s">
        <v>47</v>
      </c>
      <c r="G35" s="10"/>
      <c r="H35" s="8">
        <v>927313677</v>
      </c>
      <c r="I35" s="9">
        <v>86130</v>
      </c>
      <c r="J35" s="1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s="5" customFormat="1" ht="18.600000000000001" customHeight="1" x14ac:dyDescent="0.3">
      <c r="A36" s="1"/>
      <c r="B36" s="6">
        <f t="shared" si="0"/>
        <v>35</v>
      </c>
      <c r="C36" s="7">
        <v>46009</v>
      </c>
      <c r="D36" s="87" t="s">
        <v>234</v>
      </c>
      <c r="E36" s="87"/>
      <c r="F36" s="7" t="s">
        <v>59</v>
      </c>
      <c r="G36" s="6" t="s">
        <v>66</v>
      </c>
      <c r="H36" s="8">
        <v>927456813</v>
      </c>
      <c r="I36" s="9">
        <v>71100</v>
      </c>
      <c r="J36" s="1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s="5" customFormat="1" ht="18.600000000000001" customHeight="1" x14ac:dyDescent="0.3">
      <c r="A37" s="1"/>
      <c r="B37" s="6">
        <f t="shared" si="0"/>
        <v>36</v>
      </c>
      <c r="C37" s="7">
        <v>46011</v>
      </c>
      <c r="D37" s="87" t="s">
        <v>234</v>
      </c>
      <c r="E37" s="87"/>
      <c r="F37" s="7" t="s">
        <v>59</v>
      </c>
      <c r="G37" s="6" t="s">
        <v>66</v>
      </c>
      <c r="H37" s="8">
        <v>927750572</v>
      </c>
      <c r="I37" s="9">
        <v>55300</v>
      </c>
      <c r="J37" s="1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s="5" customFormat="1" ht="18.600000000000001" customHeight="1" x14ac:dyDescent="0.3">
      <c r="A38" s="1"/>
      <c r="B38" s="6">
        <f t="shared" si="0"/>
        <v>37</v>
      </c>
      <c r="C38" s="7">
        <v>46013</v>
      </c>
      <c r="D38" s="87"/>
      <c r="E38" s="87"/>
      <c r="F38" s="7" t="s">
        <v>18</v>
      </c>
      <c r="G38" s="6"/>
      <c r="H38" s="8" t="s">
        <v>37</v>
      </c>
      <c r="I38" s="9">
        <v>5000</v>
      </c>
      <c r="J38" s="1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s="5" customFormat="1" ht="18.600000000000001" customHeight="1" x14ac:dyDescent="0.3">
      <c r="A39" s="1"/>
      <c r="B39" s="6">
        <f t="shared" si="0"/>
        <v>38</v>
      </c>
      <c r="C39" s="7">
        <v>46014</v>
      </c>
      <c r="D39" s="87" t="s">
        <v>234</v>
      </c>
      <c r="E39" s="87"/>
      <c r="F39" s="7" t="s">
        <v>59</v>
      </c>
      <c r="G39" s="6" t="s">
        <v>66</v>
      </c>
      <c r="H39" s="8">
        <v>928101158</v>
      </c>
      <c r="I39" s="9">
        <v>23700</v>
      </c>
      <c r="J39" s="1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s="5" customFormat="1" ht="18.600000000000001" customHeight="1" x14ac:dyDescent="0.3">
      <c r="A40" s="1"/>
      <c r="B40" s="6">
        <f t="shared" si="0"/>
        <v>39</v>
      </c>
      <c r="C40" s="7">
        <v>46014</v>
      </c>
      <c r="D40" s="87" t="s">
        <v>369</v>
      </c>
      <c r="E40" s="87"/>
      <c r="F40" s="7" t="s">
        <v>14</v>
      </c>
      <c r="G40" s="6"/>
      <c r="H40" s="8">
        <v>928171916</v>
      </c>
      <c r="I40" s="9">
        <v>108500</v>
      </c>
      <c r="J40" s="1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s="5" customFormat="1" ht="18.600000000000001" customHeight="1" x14ac:dyDescent="0.3">
      <c r="A41" s="1"/>
      <c r="B41" s="6">
        <f t="shared" si="0"/>
        <v>40</v>
      </c>
      <c r="C41" s="7">
        <v>46014</v>
      </c>
      <c r="D41" s="87" t="s">
        <v>369</v>
      </c>
      <c r="E41" s="87"/>
      <c r="F41" s="7" t="s">
        <v>60</v>
      </c>
      <c r="G41" s="6"/>
      <c r="H41" s="8">
        <v>928183419</v>
      </c>
      <c r="I41" s="9">
        <v>268580</v>
      </c>
      <c r="J41" s="1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s="5" customFormat="1" ht="18.600000000000001" customHeight="1" x14ac:dyDescent="0.3">
      <c r="A42" s="1"/>
      <c r="B42" s="6">
        <f t="shared" si="0"/>
        <v>41</v>
      </c>
      <c r="C42" s="7">
        <v>46014</v>
      </c>
      <c r="D42" s="87"/>
      <c r="E42" s="87"/>
      <c r="F42" s="7" t="s">
        <v>61</v>
      </c>
      <c r="G42" s="10"/>
      <c r="H42" s="8">
        <v>928208205</v>
      </c>
      <c r="I42" s="9">
        <v>178000</v>
      </c>
      <c r="J42" s="1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s="5" customFormat="1" ht="18.600000000000001" customHeight="1" x14ac:dyDescent="0.3">
      <c r="A43" s="1"/>
      <c r="B43" s="6">
        <f t="shared" si="0"/>
        <v>42</v>
      </c>
      <c r="C43" s="7">
        <v>46014</v>
      </c>
      <c r="D43" s="87"/>
      <c r="E43" s="87"/>
      <c r="F43" s="7" t="s">
        <v>62</v>
      </c>
      <c r="G43" s="10"/>
      <c r="H43" s="8">
        <v>928224539</v>
      </c>
      <c r="I43" s="9">
        <v>300000</v>
      </c>
      <c r="J43" s="1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s="5" customFormat="1" ht="18.600000000000001" customHeight="1" x14ac:dyDescent="0.3">
      <c r="A44" s="1"/>
      <c r="B44" s="6">
        <f t="shared" si="0"/>
        <v>43</v>
      </c>
      <c r="C44" s="7">
        <v>46019</v>
      </c>
      <c r="D44" s="87" t="s">
        <v>234</v>
      </c>
      <c r="E44" s="87" t="s">
        <v>502</v>
      </c>
      <c r="F44" s="7" t="s">
        <v>63</v>
      </c>
      <c r="G44" s="10" t="s">
        <v>64</v>
      </c>
      <c r="H44" s="8">
        <v>928772617</v>
      </c>
      <c r="I44" s="9">
        <v>48000</v>
      </c>
      <c r="J44" s="1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s="5" customFormat="1" ht="18.600000000000001" customHeight="1" x14ac:dyDescent="0.3">
      <c r="A45" s="1"/>
      <c r="B45" s="6">
        <f t="shared" si="0"/>
        <v>44</v>
      </c>
      <c r="C45" s="7">
        <v>46020</v>
      </c>
      <c r="D45" s="87"/>
      <c r="E45" s="87"/>
      <c r="F45" s="7" t="s">
        <v>10</v>
      </c>
      <c r="G45" s="10"/>
      <c r="H45" s="8">
        <v>928816410</v>
      </c>
      <c r="I45" s="9">
        <v>100000</v>
      </c>
      <c r="J45" s="1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s="5" customFormat="1" ht="18.600000000000001" customHeight="1" x14ac:dyDescent="0.3">
      <c r="A46" s="1"/>
      <c r="B46" s="6">
        <f t="shared" si="0"/>
        <v>45</v>
      </c>
      <c r="C46" s="7">
        <v>46020</v>
      </c>
      <c r="D46" s="87" t="s">
        <v>234</v>
      </c>
      <c r="E46" s="87" t="s">
        <v>502</v>
      </c>
      <c r="F46" s="7" t="s">
        <v>63</v>
      </c>
      <c r="G46" s="10" t="s">
        <v>64</v>
      </c>
      <c r="H46" s="8">
        <v>9288333951</v>
      </c>
      <c r="I46" s="9">
        <v>48000</v>
      </c>
      <c r="J46" s="1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s="5" customFormat="1" ht="18.600000000000001" customHeight="1" x14ac:dyDescent="0.3">
      <c r="A47" s="1"/>
      <c r="B47" s="6">
        <f t="shared" si="0"/>
        <v>46</v>
      </c>
      <c r="C47" s="7">
        <v>46024</v>
      </c>
      <c r="D47" s="87"/>
      <c r="E47" s="87"/>
      <c r="F47" s="7" t="s">
        <v>65</v>
      </c>
      <c r="G47" s="6"/>
      <c r="H47" s="8">
        <v>934431744</v>
      </c>
      <c r="I47" s="9">
        <v>200000</v>
      </c>
      <c r="J47" s="1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s="5" customFormat="1" ht="18.600000000000001" customHeight="1" x14ac:dyDescent="0.3">
      <c r="A48" s="1"/>
      <c r="B48" s="6">
        <f t="shared" si="0"/>
        <v>47</v>
      </c>
      <c r="C48" s="7">
        <v>46027</v>
      </c>
      <c r="D48" s="87" t="s">
        <v>234</v>
      </c>
      <c r="E48" s="87"/>
      <c r="F48" s="7" t="s">
        <v>59</v>
      </c>
      <c r="G48" s="6" t="s">
        <v>66</v>
      </c>
      <c r="H48" s="8">
        <v>929986196</v>
      </c>
      <c r="I48" s="9">
        <v>47400</v>
      </c>
      <c r="J48" s="1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s="5" customFormat="1" ht="18.600000000000001" customHeight="1" x14ac:dyDescent="0.3">
      <c r="A49" s="1"/>
      <c r="B49" s="6">
        <f t="shared" si="0"/>
        <v>48</v>
      </c>
      <c r="C49" s="7">
        <v>46027</v>
      </c>
      <c r="D49" s="87"/>
      <c r="E49" s="87"/>
      <c r="F49" s="7" t="s">
        <v>106</v>
      </c>
      <c r="G49" s="6" t="s">
        <v>107</v>
      </c>
      <c r="H49" s="8" t="s">
        <v>108</v>
      </c>
      <c r="I49" s="9">
        <v>10500</v>
      </c>
      <c r="J49" s="1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s="5" customFormat="1" ht="18.600000000000001" customHeight="1" x14ac:dyDescent="0.3">
      <c r="A50" s="1"/>
      <c r="B50" s="6">
        <f t="shared" si="0"/>
        <v>49</v>
      </c>
      <c r="C50" s="7">
        <v>46028</v>
      </c>
      <c r="D50" s="87"/>
      <c r="E50" s="87"/>
      <c r="F50" s="7" t="s">
        <v>10</v>
      </c>
      <c r="G50" s="6" t="s">
        <v>67</v>
      </c>
      <c r="H50" s="8"/>
      <c r="I50" s="9">
        <v>50000</v>
      </c>
      <c r="J50" s="1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s="5" customFormat="1" ht="18.600000000000001" customHeight="1" x14ac:dyDescent="0.3">
      <c r="A51" s="1"/>
      <c r="B51" s="6">
        <f t="shared" si="0"/>
        <v>50</v>
      </c>
      <c r="C51" s="7">
        <v>46028</v>
      </c>
      <c r="D51" s="87"/>
      <c r="E51" s="87"/>
      <c r="F51" s="7" t="s">
        <v>68</v>
      </c>
      <c r="G51" s="6" t="s">
        <v>67</v>
      </c>
      <c r="H51" s="8"/>
      <c r="I51" s="9">
        <v>20000</v>
      </c>
      <c r="J51" s="1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s="5" customFormat="1" ht="18.600000000000001" customHeight="1" x14ac:dyDescent="0.3">
      <c r="A52" s="1"/>
      <c r="B52" s="6">
        <f t="shared" si="0"/>
        <v>51</v>
      </c>
      <c r="C52" s="7">
        <v>46028</v>
      </c>
      <c r="D52" s="87" t="s">
        <v>234</v>
      </c>
      <c r="E52" s="87" t="s">
        <v>502</v>
      </c>
      <c r="F52" s="7" t="s">
        <v>63</v>
      </c>
      <c r="G52" s="10" t="s">
        <v>64</v>
      </c>
      <c r="H52" s="8">
        <v>930313913</v>
      </c>
      <c r="I52" s="9">
        <v>48000</v>
      </c>
      <c r="J52" s="1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s="5" customFormat="1" ht="18.600000000000001" customHeight="1" x14ac:dyDescent="0.3">
      <c r="A53" s="1"/>
      <c r="B53" s="6">
        <f t="shared" si="0"/>
        <v>52</v>
      </c>
      <c r="C53" s="7">
        <v>46031</v>
      </c>
      <c r="D53" s="87"/>
      <c r="E53" s="87"/>
      <c r="F53" s="7" t="s">
        <v>10</v>
      </c>
      <c r="G53" s="6"/>
      <c r="H53" s="8">
        <v>930847400</v>
      </c>
      <c r="I53" s="9">
        <v>100000</v>
      </c>
      <c r="J53" s="10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s="5" customFormat="1" ht="18.600000000000001" customHeight="1" x14ac:dyDescent="0.3">
      <c r="A54" s="1"/>
      <c r="B54" s="6">
        <f t="shared" si="0"/>
        <v>53</v>
      </c>
      <c r="C54" s="7">
        <v>46031</v>
      </c>
      <c r="D54" s="87" t="s">
        <v>26</v>
      </c>
      <c r="E54" s="87"/>
      <c r="F54" s="7" t="s">
        <v>31</v>
      </c>
      <c r="G54" s="6"/>
      <c r="H54" s="8">
        <v>930918780</v>
      </c>
      <c r="I54" s="9">
        <v>100000</v>
      </c>
      <c r="J54" s="1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s="5" customFormat="1" ht="18.600000000000001" customHeight="1" x14ac:dyDescent="0.3">
      <c r="A55" s="1"/>
      <c r="B55" s="6">
        <f t="shared" si="0"/>
        <v>54</v>
      </c>
      <c r="C55" s="7">
        <v>46032</v>
      </c>
      <c r="D55" s="87"/>
      <c r="E55" s="87"/>
      <c r="F55" s="7" t="s">
        <v>10</v>
      </c>
      <c r="G55" s="6"/>
      <c r="H55" s="8">
        <v>931176765</v>
      </c>
      <c r="I55" s="9">
        <v>150000</v>
      </c>
      <c r="J55" s="10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s="5" customFormat="1" ht="18.600000000000001" customHeight="1" x14ac:dyDescent="0.3">
      <c r="A56" s="1"/>
      <c r="B56" s="6">
        <f t="shared" si="0"/>
        <v>55</v>
      </c>
      <c r="C56" s="7">
        <v>46034</v>
      </c>
      <c r="D56" s="87" t="s">
        <v>234</v>
      </c>
      <c r="E56" s="87" t="s">
        <v>987</v>
      </c>
      <c r="F56" s="7" t="s">
        <v>47</v>
      </c>
      <c r="G56" s="10"/>
      <c r="H56" s="8">
        <v>931406406</v>
      </c>
      <c r="I56" s="9">
        <v>60200</v>
      </c>
      <c r="J56" s="1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s="5" customFormat="1" ht="18.600000000000001" customHeight="1" x14ac:dyDescent="0.3">
      <c r="A57" s="1"/>
      <c r="B57" s="6">
        <f t="shared" si="0"/>
        <v>56</v>
      </c>
      <c r="C57" s="7">
        <v>46034</v>
      </c>
      <c r="D57" s="87" t="s">
        <v>234</v>
      </c>
      <c r="E57" s="87"/>
      <c r="F57" s="7" t="s">
        <v>59</v>
      </c>
      <c r="G57" s="6" t="s">
        <v>66</v>
      </c>
      <c r="H57" s="8">
        <v>931407081</v>
      </c>
      <c r="I57" s="9">
        <v>23700</v>
      </c>
      <c r="J57" s="1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s="5" customFormat="1" ht="18.600000000000001" customHeight="1" x14ac:dyDescent="0.3">
      <c r="A58" s="1"/>
      <c r="B58" s="6">
        <f t="shared" si="0"/>
        <v>57</v>
      </c>
      <c r="C58" s="7">
        <v>46034</v>
      </c>
      <c r="D58" s="87" t="s">
        <v>234</v>
      </c>
      <c r="E58" s="87" t="s">
        <v>502</v>
      </c>
      <c r="F58" s="7" t="s">
        <v>63</v>
      </c>
      <c r="G58" s="10"/>
      <c r="H58" s="8">
        <v>931407284</v>
      </c>
      <c r="I58" s="9">
        <v>70200</v>
      </c>
      <c r="J58" s="1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s="5" customFormat="1" ht="18.600000000000001" customHeight="1" x14ac:dyDescent="0.3">
      <c r="A59" s="1"/>
      <c r="B59" s="6">
        <f t="shared" si="0"/>
        <v>58</v>
      </c>
      <c r="C59" s="7">
        <v>46034</v>
      </c>
      <c r="D59" s="87"/>
      <c r="E59" s="87"/>
      <c r="F59" s="7" t="s">
        <v>65</v>
      </c>
      <c r="G59" s="6"/>
      <c r="H59" s="8">
        <v>931410053</v>
      </c>
      <c r="I59" s="9">
        <v>80485</v>
      </c>
      <c r="J59" s="1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s="5" customFormat="1" ht="18.600000000000001" customHeight="1" x14ac:dyDescent="0.3">
      <c r="A60" s="1"/>
      <c r="B60" s="6">
        <f t="shared" si="0"/>
        <v>59</v>
      </c>
      <c r="C60" s="7">
        <v>46036</v>
      </c>
      <c r="D60" s="87" t="s">
        <v>341</v>
      </c>
      <c r="E60" s="87"/>
      <c r="F60" s="7" t="s">
        <v>50</v>
      </c>
      <c r="G60" s="6"/>
      <c r="H60" s="8">
        <v>931677316</v>
      </c>
      <c r="I60" s="9">
        <v>300000</v>
      </c>
      <c r="J60" s="10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s="5" customFormat="1" ht="18.600000000000001" customHeight="1" x14ac:dyDescent="0.3">
      <c r="A61" s="1"/>
      <c r="B61" s="6">
        <f t="shared" si="0"/>
        <v>60</v>
      </c>
      <c r="C61" s="7">
        <v>46036</v>
      </c>
      <c r="D61" s="87" t="s">
        <v>234</v>
      </c>
      <c r="E61" s="87" t="s">
        <v>2589</v>
      </c>
      <c r="F61" s="7" t="s">
        <v>69</v>
      </c>
      <c r="G61" s="10" t="s">
        <v>70</v>
      </c>
      <c r="H61" s="8">
        <v>931680108</v>
      </c>
      <c r="I61" s="9">
        <v>136800</v>
      </c>
      <c r="J61" s="1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s="5" customFormat="1" ht="18.600000000000001" customHeight="1" x14ac:dyDescent="0.3">
      <c r="A62" s="1"/>
      <c r="B62" s="6">
        <f t="shared" si="0"/>
        <v>61</v>
      </c>
      <c r="C62" s="7">
        <v>46042</v>
      </c>
      <c r="D62" s="87" t="s">
        <v>26</v>
      </c>
      <c r="E62" s="87"/>
      <c r="F62" s="7" t="s">
        <v>31</v>
      </c>
      <c r="G62" s="6" t="s">
        <v>26</v>
      </c>
      <c r="H62" s="8">
        <v>932694394</v>
      </c>
      <c r="I62" s="9">
        <v>246920</v>
      </c>
      <c r="J62" s="10" t="s">
        <v>27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s="5" customFormat="1" ht="18.600000000000001" customHeight="1" x14ac:dyDescent="0.3">
      <c r="A63" s="1"/>
      <c r="B63" s="6">
        <f t="shared" si="0"/>
        <v>62</v>
      </c>
      <c r="C63" s="7">
        <v>46043</v>
      </c>
      <c r="D63" s="87" t="s">
        <v>234</v>
      </c>
      <c r="E63" s="87" t="s">
        <v>502</v>
      </c>
      <c r="F63" s="7" t="s">
        <v>63</v>
      </c>
      <c r="G63" s="10"/>
      <c r="H63" s="8">
        <v>932843192</v>
      </c>
      <c r="I63" s="9">
        <v>120000</v>
      </c>
      <c r="J63" s="10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s="5" customFormat="1" ht="18.600000000000001" customHeight="1" x14ac:dyDescent="0.3">
      <c r="A64" s="1"/>
      <c r="B64" s="6">
        <f t="shared" si="0"/>
        <v>63</v>
      </c>
      <c r="C64" s="7">
        <v>46043</v>
      </c>
      <c r="D64" s="87" t="s">
        <v>26</v>
      </c>
      <c r="E64" s="87"/>
      <c r="F64" s="7" t="s">
        <v>156</v>
      </c>
      <c r="G64" s="6" t="s">
        <v>26</v>
      </c>
      <c r="H64" s="8"/>
      <c r="I64" s="9">
        <v>200000</v>
      </c>
      <c r="J64" s="1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s="5" customFormat="1" ht="18.600000000000001" customHeight="1" x14ac:dyDescent="0.3">
      <c r="A65" s="1"/>
      <c r="B65" s="6">
        <f t="shared" si="0"/>
        <v>64</v>
      </c>
      <c r="C65" s="7">
        <v>46043</v>
      </c>
      <c r="D65" s="87" t="s">
        <v>26</v>
      </c>
      <c r="E65" s="87"/>
      <c r="F65" s="7" t="s">
        <v>18</v>
      </c>
      <c r="G65" s="6" t="s">
        <v>26</v>
      </c>
      <c r="H65" s="8"/>
      <c r="I65" s="9">
        <v>95000</v>
      </c>
      <c r="J65" s="10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s="5" customFormat="1" ht="18.600000000000001" customHeight="1" x14ac:dyDescent="0.3">
      <c r="A66" s="1"/>
      <c r="B66" s="6">
        <f t="shared" si="0"/>
        <v>65</v>
      </c>
      <c r="C66" s="7">
        <v>46043</v>
      </c>
      <c r="D66" s="87" t="s">
        <v>26</v>
      </c>
      <c r="E66" s="87"/>
      <c r="F66" s="7" t="s">
        <v>12</v>
      </c>
      <c r="G66" s="6" t="s">
        <v>26</v>
      </c>
      <c r="H66" s="8"/>
      <c r="I66" s="9">
        <v>444000</v>
      </c>
      <c r="J66" s="10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s="5" customFormat="1" ht="18.600000000000001" customHeight="1" x14ac:dyDescent="0.3">
      <c r="A67" s="1"/>
      <c r="B67" s="6">
        <f t="shared" si="0"/>
        <v>66</v>
      </c>
      <c r="C67" s="7">
        <v>46043</v>
      </c>
      <c r="D67" s="87" t="s">
        <v>26</v>
      </c>
      <c r="E67" s="87"/>
      <c r="F67" s="7" t="s">
        <v>71</v>
      </c>
      <c r="G67" s="6" t="s">
        <v>26</v>
      </c>
      <c r="H67" s="8"/>
      <c r="I67" s="9">
        <v>185000</v>
      </c>
      <c r="J67" s="1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s="5" customFormat="1" ht="18.600000000000001" customHeight="1" x14ac:dyDescent="0.3">
      <c r="A68" s="1"/>
      <c r="B68" s="6">
        <f t="shared" ref="B68:B131" si="1">+B67+1</f>
        <v>67</v>
      </c>
      <c r="C68" s="7">
        <v>46044</v>
      </c>
      <c r="D68" s="87" t="s">
        <v>2630</v>
      </c>
      <c r="E68" s="87"/>
      <c r="F68" s="7" t="s">
        <v>72</v>
      </c>
      <c r="G68" s="6"/>
      <c r="H68" s="8">
        <v>933029801</v>
      </c>
      <c r="I68" s="9">
        <v>120000</v>
      </c>
      <c r="J68" s="10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s="5" customFormat="1" ht="18.600000000000001" customHeight="1" x14ac:dyDescent="0.3">
      <c r="A69" s="1"/>
      <c r="B69" s="6">
        <f t="shared" si="1"/>
        <v>68</v>
      </c>
      <c r="C69" s="7">
        <v>46045</v>
      </c>
      <c r="D69" s="87"/>
      <c r="E69" s="87"/>
      <c r="F69" s="7" t="s">
        <v>65</v>
      </c>
      <c r="G69" s="6" t="s">
        <v>67</v>
      </c>
      <c r="H69" s="8"/>
      <c r="I69" s="9">
        <v>90000</v>
      </c>
      <c r="J69" s="10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s="5" customFormat="1" ht="18.600000000000001" customHeight="1" x14ac:dyDescent="0.3">
      <c r="A70" s="1"/>
      <c r="B70" s="6">
        <f t="shared" si="1"/>
        <v>69</v>
      </c>
      <c r="C70" s="7">
        <v>46046</v>
      </c>
      <c r="D70" s="87" t="s">
        <v>234</v>
      </c>
      <c r="E70" s="87" t="s">
        <v>2589</v>
      </c>
      <c r="F70" s="7" t="s">
        <v>69</v>
      </c>
      <c r="G70" s="7" t="s">
        <v>73</v>
      </c>
      <c r="H70" s="8">
        <v>933230977</v>
      </c>
      <c r="I70" s="9">
        <v>177327</v>
      </c>
      <c r="J70" s="1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s="5" customFormat="1" ht="18.600000000000001" customHeight="1" x14ac:dyDescent="0.3">
      <c r="A71" s="1"/>
      <c r="B71" s="6">
        <f t="shared" si="1"/>
        <v>70</v>
      </c>
      <c r="C71" s="7">
        <v>46046</v>
      </c>
      <c r="D71" s="87"/>
      <c r="E71" s="87"/>
      <c r="F71" s="7" t="s">
        <v>65</v>
      </c>
      <c r="G71" s="6"/>
      <c r="H71" s="8">
        <v>933262148</v>
      </c>
      <c r="I71" s="9">
        <v>200000</v>
      </c>
      <c r="J71" s="1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s="5" customFormat="1" x14ac:dyDescent="0.3">
      <c r="A72" s="1"/>
      <c r="B72" s="6">
        <f t="shared" si="1"/>
        <v>71</v>
      </c>
      <c r="C72" s="7">
        <v>46046</v>
      </c>
      <c r="D72" s="87"/>
      <c r="E72" s="87"/>
      <c r="F72" s="7" t="s">
        <v>57</v>
      </c>
      <c r="G72" s="6" t="s">
        <v>74</v>
      </c>
      <c r="H72" s="8"/>
      <c r="I72" s="9">
        <v>25000</v>
      </c>
      <c r="J72" s="10" t="s">
        <v>75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s="5" customFormat="1" ht="18.600000000000001" customHeight="1" x14ac:dyDescent="0.3">
      <c r="A73" s="1"/>
      <c r="B73" s="6">
        <f t="shared" si="1"/>
        <v>72</v>
      </c>
      <c r="C73" s="7">
        <v>46047</v>
      </c>
      <c r="D73" s="87"/>
      <c r="E73" s="87"/>
      <c r="F73" s="7" t="s">
        <v>76</v>
      </c>
      <c r="G73" s="6" t="s">
        <v>67</v>
      </c>
      <c r="H73" s="8"/>
      <c r="I73" s="9">
        <v>40000</v>
      </c>
      <c r="J73" s="10" t="s">
        <v>77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s="5" customFormat="1" ht="18.600000000000001" customHeight="1" x14ac:dyDescent="0.3">
      <c r="A74" s="1"/>
      <c r="B74" s="6">
        <f t="shared" si="1"/>
        <v>73</v>
      </c>
      <c r="C74" s="7">
        <v>46047</v>
      </c>
      <c r="D74" s="87"/>
      <c r="E74" s="87"/>
      <c r="F74" s="7" t="s">
        <v>76</v>
      </c>
      <c r="G74" s="6" t="s">
        <v>74</v>
      </c>
      <c r="H74" s="8"/>
      <c r="I74" s="9">
        <v>40000</v>
      </c>
      <c r="J74" s="10" t="s">
        <v>78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s="5" customFormat="1" ht="18.600000000000001" customHeight="1" x14ac:dyDescent="0.3">
      <c r="A75" s="1"/>
      <c r="B75" s="6">
        <f t="shared" si="1"/>
        <v>74</v>
      </c>
      <c r="C75" s="7">
        <v>46048</v>
      </c>
      <c r="D75" s="87"/>
      <c r="E75" s="87"/>
      <c r="F75" s="7" t="s">
        <v>10</v>
      </c>
      <c r="G75" s="6"/>
      <c r="H75" s="8">
        <v>933387218</v>
      </c>
      <c r="I75" s="9">
        <v>250000</v>
      </c>
      <c r="J75" s="1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s="5" customFormat="1" ht="18.600000000000001" customHeight="1" x14ac:dyDescent="0.3">
      <c r="A76" s="1"/>
      <c r="B76" s="6">
        <f t="shared" si="1"/>
        <v>75</v>
      </c>
      <c r="C76" s="7">
        <v>46049</v>
      </c>
      <c r="D76" s="87" t="s">
        <v>366</v>
      </c>
      <c r="E76" s="87"/>
      <c r="F76" s="7" t="s">
        <v>367</v>
      </c>
      <c r="G76" s="6" t="s">
        <v>368</v>
      </c>
      <c r="H76" s="8">
        <v>933432397</v>
      </c>
      <c r="I76" s="9">
        <v>50000</v>
      </c>
      <c r="J76" s="10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s="5" customFormat="1" ht="18.600000000000001" customHeight="1" x14ac:dyDescent="0.3">
      <c r="A77" s="1"/>
      <c r="B77" s="6">
        <f t="shared" si="1"/>
        <v>76</v>
      </c>
      <c r="C77" s="7">
        <v>46049</v>
      </c>
      <c r="D77" s="87" t="s">
        <v>240</v>
      </c>
      <c r="E77" s="87"/>
      <c r="F77" s="7" t="s">
        <v>80</v>
      </c>
      <c r="G77" s="6"/>
      <c r="H77" s="8">
        <v>933497212</v>
      </c>
      <c r="I77" s="22">
        <v>96400</v>
      </c>
      <c r="J77" s="1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s="5" customFormat="1" ht="18.600000000000001" customHeight="1" x14ac:dyDescent="0.3">
      <c r="A78" s="1"/>
      <c r="B78" s="6">
        <f t="shared" si="1"/>
        <v>77</v>
      </c>
      <c r="C78" s="7">
        <v>46050</v>
      </c>
      <c r="D78" s="87"/>
      <c r="E78" s="87"/>
      <c r="F78" s="7" t="s">
        <v>65</v>
      </c>
      <c r="G78" s="6"/>
      <c r="H78" s="8">
        <v>933655125</v>
      </c>
      <c r="I78" s="9">
        <v>300000</v>
      </c>
      <c r="J78" s="1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s="5" customFormat="1" ht="18.600000000000001" customHeight="1" x14ac:dyDescent="0.3">
      <c r="A79" s="1"/>
      <c r="B79" s="6">
        <f t="shared" si="1"/>
        <v>78</v>
      </c>
      <c r="C79" s="7">
        <v>46050</v>
      </c>
      <c r="D79" s="87" t="s">
        <v>366</v>
      </c>
      <c r="E79" s="87"/>
      <c r="F79" s="7" t="s">
        <v>79</v>
      </c>
      <c r="G79" s="6" t="s">
        <v>368</v>
      </c>
      <c r="H79" s="8"/>
      <c r="I79" s="9">
        <v>138025</v>
      </c>
      <c r="J79" s="1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s="5" customFormat="1" ht="18.600000000000001" customHeight="1" x14ac:dyDescent="0.3">
      <c r="A80" s="1"/>
      <c r="B80" s="6">
        <f t="shared" si="1"/>
        <v>79</v>
      </c>
      <c r="C80" s="7">
        <v>46050</v>
      </c>
      <c r="D80" s="87" t="s">
        <v>240</v>
      </c>
      <c r="E80" s="87"/>
      <c r="F80" s="7" t="s">
        <v>80</v>
      </c>
      <c r="G80" s="6"/>
      <c r="H80" s="8"/>
      <c r="I80" s="22">
        <v>96400</v>
      </c>
      <c r="J80" s="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s="5" customFormat="1" ht="18.600000000000001" customHeight="1" x14ac:dyDescent="0.3">
      <c r="A81" s="1"/>
      <c r="B81" s="6">
        <f t="shared" si="1"/>
        <v>80</v>
      </c>
      <c r="C81" s="7">
        <v>46052</v>
      </c>
      <c r="D81" s="87" t="s">
        <v>240</v>
      </c>
      <c r="E81" s="87"/>
      <c r="F81" s="7" t="s">
        <v>89</v>
      </c>
      <c r="G81" s="6" t="s">
        <v>90</v>
      </c>
      <c r="H81" s="8">
        <v>934079774</v>
      </c>
      <c r="I81" s="22">
        <v>304000</v>
      </c>
      <c r="J81" s="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s="5" customFormat="1" ht="18.600000000000001" customHeight="1" x14ac:dyDescent="0.3">
      <c r="A82" s="1"/>
      <c r="B82" s="6">
        <f t="shared" si="1"/>
        <v>81</v>
      </c>
      <c r="C82" s="7">
        <v>46053</v>
      </c>
      <c r="D82" s="87" t="s">
        <v>234</v>
      </c>
      <c r="E82" s="87" t="s">
        <v>2589</v>
      </c>
      <c r="F82" s="7" t="s">
        <v>69</v>
      </c>
      <c r="G82" s="10" t="s">
        <v>203</v>
      </c>
      <c r="H82" s="8"/>
      <c r="I82" s="9">
        <v>150000</v>
      </c>
      <c r="J82" s="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s="5" customFormat="1" ht="18.600000000000001" customHeight="1" x14ac:dyDescent="0.3">
      <c r="A83" s="1"/>
      <c r="B83" s="6">
        <f t="shared" si="1"/>
        <v>82</v>
      </c>
      <c r="C83" s="7">
        <v>46054</v>
      </c>
      <c r="D83" s="87"/>
      <c r="E83" s="87"/>
      <c r="F83" s="7" t="s">
        <v>81</v>
      </c>
      <c r="G83" s="6"/>
      <c r="H83" s="8">
        <v>934359488</v>
      </c>
      <c r="I83" s="9">
        <v>70000</v>
      </c>
      <c r="J83" s="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s="5" customFormat="1" ht="18.600000000000001" customHeight="1" x14ac:dyDescent="0.3">
      <c r="A84" s="1"/>
      <c r="B84" s="6">
        <f t="shared" si="1"/>
        <v>83</v>
      </c>
      <c r="C84" s="7">
        <v>46054</v>
      </c>
      <c r="D84" s="87" t="s">
        <v>341</v>
      </c>
      <c r="E84" s="87"/>
      <c r="F84" s="7" t="s">
        <v>42</v>
      </c>
      <c r="G84" s="6"/>
      <c r="H84" s="8">
        <v>934359524</v>
      </c>
      <c r="I84" s="9">
        <v>200000</v>
      </c>
      <c r="J84" s="1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s="5" customFormat="1" ht="18.600000000000001" customHeight="1" x14ac:dyDescent="0.3">
      <c r="A85" s="1"/>
      <c r="B85" s="6">
        <f t="shared" si="1"/>
        <v>84</v>
      </c>
      <c r="C85" s="7">
        <v>46056</v>
      </c>
      <c r="D85" s="87"/>
      <c r="E85" s="87"/>
      <c r="F85" s="7" t="s">
        <v>10</v>
      </c>
      <c r="G85" s="6"/>
      <c r="H85" s="8">
        <v>934631283</v>
      </c>
      <c r="I85" s="9">
        <v>50000</v>
      </c>
      <c r="J85" s="1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s="5" customFormat="1" ht="18.600000000000001" customHeight="1" x14ac:dyDescent="0.3">
      <c r="A86" s="1"/>
      <c r="B86" s="6">
        <f t="shared" si="1"/>
        <v>85</v>
      </c>
      <c r="C86" s="7">
        <v>46056</v>
      </c>
      <c r="D86" s="87" t="s">
        <v>2608</v>
      </c>
      <c r="E86" s="87"/>
      <c r="F86" s="7" t="s">
        <v>95</v>
      </c>
      <c r="G86" s="6" t="s">
        <v>295</v>
      </c>
      <c r="H86" s="8">
        <v>939958529</v>
      </c>
      <c r="I86" s="9">
        <v>750000</v>
      </c>
      <c r="J86" s="1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s="5" customFormat="1" ht="18.600000000000001" customHeight="1" x14ac:dyDescent="0.3">
      <c r="A87" s="1"/>
      <c r="B87" s="6">
        <f t="shared" si="1"/>
        <v>86</v>
      </c>
      <c r="C87" s="7">
        <v>46056</v>
      </c>
      <c r="D87" s="87" t="s">
        <v>2608</v>
      </c>
      <c r="E87" s="87"/>
      <c r="F87" s="7" t="s">
        <v>95</v>
      </c>
      <c r="G87" s="6" t="s">
        <v>295</v>
      </c>
      <c r="H87" s="8">
        <v>939959047</v>
      </c>
      <c r="I87" s="9">
        <v>360930</v>
      </c>
      <c r="J87" s="1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s="5" customFormat="1" ht="18.600000000000001" customHeight="1" x14ac:dyDescent="0.3">
      <c r="A88" s="1"/>
      <c r="B88" s="6">
        <f t="shared" si="1"/>
        <v>87</v>
      </c>
      <c r="C88" s="7">
        <v>46057</v>
      </c>
      <c r="D88" s="87" t="s">
        <v>341</v>
      </c>
      <c r="E88" s="87"/>
      <c r="F88" s="7" t="s">
        <v>50</v>
      </c>
      <c r="G88" s="6"/>
      <c r="H88" s="8">
        <v>934848183</v>
      </c>
      <c r="I88" s="9">
        <v>50000</v>
      </c>
      <c r="J88" s="1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s="5" customFormat="1" ht="18.600000000000001" customHeight="1" x14ac:dyDescent="0.3">
      <c r="A89" s="1"/>
      <c r="B89" s="6">
        <f t="shared" si="1"/>
        <v>88</v>
      </c>
      <c r="C89" s="7">
        <v>46057</v>
      </c>
      <c r="D89" s="87" t="s">
        <v>240</v>
      </c>
      <c r="E89" s="87"/>
      <c r="F89" s="7" t="s">
        <v>80</v>
      </c>
      <c r="G89" s="6"/>
      <c r="H89" s="8">
        <v>934863630</v>
      </c>
      <c r="I89" s="22">
        <v>192860</v>
      </c>
      <c r="J89" s="1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s="5" customFormat="1" ht="18.600000000000001" customHeight="1" x14ac:dyDescent="0.3">
      <c r="A90" s="1"/>
      <c r="B90" s="6">
        <f t="shared" si="1"/>
        <v>89</v>
      </c>
      <c r="C90" s="7">
        <v>46057</v>
      </c>
      <c r="D90" s="87" t="s">
        <v>234</v>
      </c>
      <c r="E90" s="87" t="s">
        <v>502</v>
      </c>
      <c r="F90" s="7" t="s">
        <v>63</v>
      </c>
      <c r="G90" s="10"/>
      <c r="H90" s="8">
        <v>9440028312</v>
      </c>
      <c r="I90" s="9">
        <v>288000</v>
      </c>
      <c r="J90" s="1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s="5" customFormat="1" ht="18.600000000000001" customHeight="1" x14ac:dyDescent="0.3">
      <c r="A91" s="1"/>
      <c r="B91" s="6">
        <f t="shared" si="1"/>
        <v>90</v>
      </c>
      <c r="C91" s="7">
        <v>46058</v>
      </c>
      <c r="D91" s="87"/>
      <c r="E91" s="87"/>
      <c r="F91" s="7" t="s">
        <v>65</v>
      </c>
      <c r="G91" s="6"/>
      <c r="H91" s="8">
        <v>935058748</v>
      </c>
      <c r="I91" s="9">
        <v>200000</v>
      </c>
      <c r="J91" s="1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s="5" customFormat="1" ht="18.600000000000001" customHeight="1" x14ac:dyDescent="0.3">
      <c r="A92" s="1"/>
      <c r="B92" s="6">
        <f t="shared" si="1"/>
        <v>91</v>
      </c>
      <c r="C92" s="7">
        <v>46058</v>
      </c>
      <c r="D92" s="87" t="s">
        <v>240</v>
      </c>
      <c r="E92" s="87"/>
      <c r="F92" s="7" t="s">
        <v>80</v>
      </c>
      <c r="G92" s="6"/>
      <c r="H92" s="8">
        <v>935196676</v>
      </c>
      <c r="I92" s="22">
        <v>96400</v>
      </c>
      <c r="J92" s="1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s="5" customFormat="1" ht="18.600000000000001" customHeight="1" x14ac:dyDescent="0.3">
      <c r="A93" s="1"/>
      <c r="B93" s="6">
        <f t="shared" si="1"/>
        <v>92</v>
      </c>
      <c r="C93" s="7">
        <v>46059</v>
      </c>
      <c r="D93" s="87"/>
      <c r="E93" s="87"/>
      <c r="F93" s="7" t="s">
        <v>82</v>
      </c>
      <c r="G93" s="6"/>
      <c r="H93" s="8">
        <v>935281286</v>
      </c>
      <c r="I93" s="9">
        <v>123050</v>
      </c>
      <c r="J93" s="1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s="5" customFormat="1" ht="18.600000000000001" customHeight="1" x14ac:dyDescent="0.3">
      <c r="A94" s="1"/>
      <c r="B94" s="6">
        <f t="shared" si="1"/>
        <v>93</v>
      </c>
      <c r="C94" s="7">
        <v>46059</v>
      </c>
      <c r="D94" s="87"/>
      <c r="E94" s="87"/>
      <c r="F94" s="7" t="s">
        <v>88</v>
      </c>
      <c r="G94" s="6" t="s">
        <v>98</v>
      </c>
      <c r="H94" s="8">
        <v>940641599</v>
      </c>
      <c r="I94" s="9">
        <v>200000</v>
      </c>
      <c r="J94" s="1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s="5" customFormat="1" ht="18.600000000000001" customHeight="1" x14ac:dyDescent="0.3">
      <c r="A95" s="1"/>
      <c r="B95" s="6">
        <f t="shared" si="1"/>
        <v>94</v>
      </c>
      <c r="C95" s="7">
        <v>46060</v>
      </c>
      <c r="D95" s="87" t="s">
        <v>369</v>
      </c>
      <c r="E95" s="87"/>
      <c r="F95" s="7" t="s">
        <v>60</v>
      </c>
      <c r="G95" s="6"/>
      <c r="H95" s="8">
        <v>93536787</v>
      </c>
      <c r="I95" s="9">
        <v>700000</v>
      </c>
      <c r="J95" s="10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s="5" customFormat="1" ht="18.600000000000001" customHeight="1" x14ac:dyDescent="0.3">
      <c r="A96" s="1"/>
      <c r="B96" s="6">
        <f t="shared" si="1"/>
        <v>95</v>
      </c>
      <c r="C96" s="7">
        <v>46060</v>
      </c>
      <c r="D96" s="87"/>
      <c r="E96" s="87"/>
      <c r="F96" s="7" t="s">
        <v>72</v>
      </c>
      <c r="G96" s="6"/>
      <c r="H96" s="8">
        <v>935491165</v>
      </c>
      <c r="I96" s="9">
        <v>177640</v>
      </c>
      <c r="J96" s="10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s="5" customFormat="1" ht="18.600000000000001" customHeight="1" x14ac:dyDescent="0.3">
      <c r="A97" s="1"/>
      <c r="B97" s="6">
        <f t="shared" si="1"/>
        <v>96</v>
      </c>
      <c r="C97" s="7">
        <v>46061</v>
      </c>
      <c r="D97" s="87"/>
      <c r="E97" s="87"/>
      <c r="F97" s="7" t="s">
        <v>83</v>
      </c>
      <c r="G97" s="6"/>
      <c r="H97" s="8">
        <v>935761945</v>
      </c>
      <c r="I97" s="9">
        <v>114974</v>
      </c>
      <c r="J97" s="10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s="5" customFormat="1" ht="18.600000000000001" customHeight="1" x14ac:dyDescent="0.3">
      <c r="A98" s="1"/>
      <c r="B98" s="6">
        <f t="shared" si="1"/>
        <v>97</v>
      </c>
      <c r="C98" s="7">
        <v>46061</v>
      </c>
      <c r="D98" s="87" t="s">
        <v>341</v>
      </c>
      <c r="E98" s="87"/>
      <c r="F98" s="7" t="s">
        <v>84</v>
      </c>
      <c r="G98" s="6"/>
      <c r="H98" s="8">
        <v>935765864</v>
      </c>
      <c r="I98" s="9">
        <v>150000</v>
      </c>
      <c r="J98" s="10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s="5" customFormat="1" ht="18.600000000000001" customHeight="1" x14ac:dyDescent="0.3">
      <c r="A99" s="1"/>
      <c r="B99" s="6">
        <f t="shared" si="1"/>
        <v>98</v>
      </c>
      <c r="C99" s="7">
        <v>46061</v>
      </c>
      <c r="D99" s="87" t="s">
        <v>341</v>
      </c>
      <c r="E99" s="87"/>
      <c r="F99" s="7" t="s">
        <v>50</v>
      </c>
      <c r="G99" s="6"/>
      <c r="H99" s="8">
        <v>935769777</v>
      </c>
      <c r="I99" s="9">
        <v>200000</v>
      </c>
      <c r="J99" s="10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s="5" customFormat="1" ht="18.600000000000001" customHeight="1" x14ac:dyDescent="0.3">
      <c r="A100" s="1"/>
      <c r="B100" s="6">
        <f t="shared" si="1"/>
        <v>99</v>
      </c>
      <c r="C100" s="7">
        <v>46061</v>
      </c>
      <c r="D100" s="87"/>
      <c r="E100" s="87"/>
      <c r="F100" s="7" t="s">
        <v>68</v>
      </c>
      <c r="G100" s="6"/>
      <c r="H100" s="8">
        <v>935773236</v>
      </c>
      <c r="I100" s="9">
        <v>50000</v>
      </c>
      <c r="J100" s="10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s="5" customFormat="1" ht="18.600000000000001" customHeight="1" x14ac:dyDescent="0.3">
      <c r="A101" s="1"/>
      <c r="B101" s="6">
        <f t="shared" si="1"/>
        <v>100</v>
      </c>
      <c r="C101" s="7">
        <v>46062</v>
      </c>
      <c r="D101" s="87"/>
      <c r="E101" s="87"/>
      <c r="F101" s="7" t="s">
        <v>68</v>
      </c>
      <c r="G101" s="6"/>
      <c r="H101" s="8">
        <v>935819447</v>
      </c>
      <c r="I101" s="9">
        <v>100000</v>
      </c>
      <c r="J101" s="10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s="5" customFormat="1" ht="18.600000000000001" customHeight="1" x14ac:dyDescent="0.3">
      <c r="A102" s="1"/>
      <c r="B102" s="6">
        <f t="shared" si="1"/>
        <v>101</v>
      </c>
      <c r="C102" s="7">
        <v>46062</v>
      </c>
      <c r="D102" s="87"/>
      <c r="E102" s="87"/>
      <c r="F102" s="7" t="s">
        <v>14</v>
      </c>
      <c r="G102" s="6"/>
      <c r="H102" s="8">
        <v>935972274</v>
      </c>
      <c r="I102" s="9">
        <v>64550</v>
      </c>
      <c r="J102" s="10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s="5" customFormat="1" ht="18.600000000000001" customHeight="1" x14ac:dyDescent="0.3">
      <c r="A103" s="1"/>
      <c r="B103" s="6">
        <f t="shared" si="1"/>
        <v>102</v>
      </c>
      <c r="C103" s="7">
        <v>46063</v>
      </c>
      <c r="D103" s="87" t="s">
        <v>240</v>
      </c>
      <c r="E103" s="87"/>
      <c r="F103" s="7" t="s">
        <v>80</v>
      </c>
      <c r="G103" s="6"/>
      <c r="H103" s="8">
        <v>936085318</v>
      </c>
      <c r="I103" s="22">
        <v>149200</v>
      </c>
      <c r="J103" s="10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s="5" customFormat="1" ht="18.600000000000001" customHeight="1" x14ac:dyDescent="0.3">
      <c r="A104" s="1"/>
      <c r="B104" s="6">
        <f t="shared" si="1"/>
        <v>103</v>
      </c>
      <c r="C104" s="7">
        <v>46065</v>
      </c>
      <c r="D104" s="87"/>
      <c r="E104" s="87"/>
      <c r="F104" s="7" t="s">
        <v>10</v>
      </c>
      <c r="G104" s="6"/>
      <c r="H104" s="8">
        <v>936500336</v>
      </c>
      <c r="I104" s="9">
        <v>20000</v>
      </c>
      <c r="J104" s="10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s="5" customFormat="1" ht="18.600000000000001" customHeight="1" x14ac:dyDescent="0.3">
      <c r="A105" s="1"/>
      <c r="B105" s="6">
        <f t="shared" si="1"/>
        <v>104</v>
      </c>
      <c r="C105" s="7">
        <v>46065</v>
      </c>
      <c r="D105" s="87" t="s">
        <v>234</v>
      </c>
      <c r="E105" s="87" t="s">
        <v>502</v>
      </c>
      <c r="F105" s="7" t="s">
        <v>63</v>
      </c>
      <c r="G105" s="10"/>
      <c r="H105" s="8">
        <v>936617635</v>
      </c>
      <c r="I105" s="9">
        <v>48000</v>
      </c>
      <c r="J105" s="10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s="5" customFormat="1" ht="18.600000000000001" customHeight="1" x14ac:dyDescent="0.3">
      <c r="A106" s="1"/>
      <c r="B106" s="6">
        <f t="shared" si="1"/>
        <v>105</v>
      </c>
      <c r="C106" s="7">
        <v>46065</v>
      </c>
      <c r="D106" s="87"/>
      <c r="E106" s="87"/>
      <c r="F106" s="7" t="s">
        <v>85</v>
      </c>
      <c r="G106" s="6"/>
      <c r="H106" s="8">
        <v>936630031</v>
      </c>
      <c r="I106" s="9">
        <v>331900</v>
      </c>
      <c r="J106" s="10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s="5" customFormat="1" ht="18.600000000000001" customHeight="1" x14ac:dyDescent="0.3">
      <c r="A107" s="1"/>
      <c r="B107" s="6">
        <f t="shared" si="1"/>
        <v>106</v>
      </c>
      <c r="C107" s="7">
        <v>46066</v>
      </c>
      <c r="D107" s="87"/>
      <c r="E107" s="87"/>
      <c r="F107" s="7" t="s">
        <v>10</v>
      </c>
      <c r="G107" s="6"/>
      <c r="H107" s="8">
        <v>936706660</v>
      </c>
      <c r="I107" s="9">
        <v>100000</v>
      </c>
      <c r="J107" s="10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s="5" customFormat="1" ht="18.600000000000001" customHeight="1" x14ac:dyDescent="0.3">
      <c r="A108" s="1"/>
      <c r="B108" s="6">
        <f t="shared" si="1"/>
        <v>107</v>
      </c>
      <c r="C108" s="7">
        <v>46066</v>
      </c>
      <c r="D108" s="87"/>
      <c r="E108" s="87"/>
      <c r="F108" s="7" t="s">
        <v>68</v>
      </c>
      <c r="G108" s="6"/>
      <c r="H108" s="8">
        <v>936707408</v>
      </c>
      <c r="I108" s="9">
        <v>50000</v>
      </c>
      <c r="J108" s="10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s="5" customFormat="1" ht="18.600000000000001" customHeight="1" x14ac:dyDescent="0.3">
      <c r="A109" s="1"/>
      <c r="B109" s="6">
        <f t="shared" si="1"/>
        <v>108</v>
      </c>
      <c r="C109" s="7">
        <v>46067</v>
      </c>
      <c r="D109" s="87" t="s">
        <v>240</v>
      </c>
      <c r="E109" s="87"/>
      <c r="F109" s="7" t="s">
        <v>80</v>
      </c>
      <c r="G109" s="6"/>
      <c r="H109" s="8">
        <v>936882912</v>
      </c>
      <c r="I109" s="22">
        <v>83600</v>
      </c>
      <c r="J109" s="10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s="5" customFormat="1" ht="18.600000000000001" customHeight="1" x14ac:dyDescent="0.3">
      <c r="A110" s="1"/>
      <c r="B110" s="6">
        <f t="shared" si="1"/>
        <v>109</v>
      </c>
      <c r="C110" s="7">
        <v>46067</v>
      </c>
      <c r="D110" s="87"/>
      <c r="E110" s="87"/>
      <c r="F110" s="7" t="s">
        <v>86</v>
      </c>
      <c r="G110" s="6"/>
      <c r="H110" s="8">
        <v>937000008</v>
      </c>
      <c r="I110" s="9">
        <v>286750</v>
      </c>
      <c r="J110" s="10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s="5" customFormat="1" ht="18.600000000000001" customHeight="1" x14ac:dyDescent="0.3">
      <c r="A111" s="1"/>
      <c r="B111" s="6">
        <f t="shared" si="1"/>
        <v>110</v>
      </c>
      <c r="C111" s="7">
        <v>46068</v>
      </c>
      <c r="D111" s="87" t="s">
        <v>341</v>
      </c>
      <c r="E111" s="87"/>
      <c r="F111" s="7" t="s">
        <v>50</v>
      </c>
      <c r="G111" s="6"/>
      <c r="H111" s="8">
        <v>937035206</v>
      </c>
      <c r="I111" s="9">
        <v>200000</v>
      </c>
      <c r="J111" s="10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s="5" customFormat="1" ht="18.600000000000001" customHeight="1" x14ac:dyDescent="0.3">
      <c r="A112" s="1"/>
      <c r="B112" s="6">
        <f t="shared" si="1"/>
        <v>111</v>
      </c>
      <c r="C112" s="7">
        <v>46070</v>
      </c>
      <c r="D112" s="87" t="s">
        <v>234</v>
      </c>
      <c r="E112" s="87" t="s">
        <v>2589</v>
      </c>
      <c r="F112" s="7" t="s">
        <v>69</v>
      </c>
      <c r="G112" s="7" t="s">
        <v>87</v>
      </c>
      <c r="H112" s="8">
        <v>937289419</v>
      </c>
      <c r="I112" s="9">
        <v>800000</v>
      </c>
      <c r="J112" s="10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s="5" customFormat="1" ht="18.600000000000001" customHeight="1" x14ac:dyDescent="0.3">
      <c r="A113" s="1"/>
      <c r="B113" s="6">
        <f t="shared" si="1"/>
        <v>112</v>
      </c>
      <c r="C113" s="7">
        <v>46070</v>
      </c>
      <c r="D113" s="87" t="s">
        <v>240</v>
      </c>
      <c r="E113" s="87"/>
      <c r="F113" s="7" t="s">
        <v>80</v>
      </c>
      <c r="G113" s="6"/>
      <c r="H113" s="8">
        <v>937360387</v>
      </c>
      <c r="I113" s="22">
        <v>289200</v>
      </c>
      <c r="J113" s="10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s="5" customFormat="1" ht="18.600000000000001" customHeight="1" x14ac:dyDescent="0.3">
      <c r="A114" s="1"/>
      <c r="B114" s="6">
        <f t="shared" si="1"/>
        <v>113</v>
      </c>
      <c r="C114" s="7">
        <v>46070</v>
      </c>
      <c r="D114" s="87"/>
      <c r="E114" s="87"/>
      <c r="F114" s="7" t="s">
        <v>72</v>
      </c>
      <c r="G114" s="6"/>
      <c r="H114" s="8">
        <v>937361316</v>
      </c>
      <c r="I114" s="9">
        <v>70000</v>
      </c>
      <c r="J114" s="10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s="5" customFormat="1" ht="18.600000000000001" customHeight="1" x14ac:dyDescent="0.3">
      <c r="A115" s="1"/>
      <c r="B115" s="6">
        <f t="shared" si="1"/>
        <v>114</v>
      </c>
      <c r="C115" s="7">
        <v>46071</v>
      </c>
      <c r="D115" s="87"/>
      <c r="E115" s="87"/>
      <c r="F115" s="7" t="s">
        <v>88</v>
      </c>
      <c r="G115" s="6"/>
      <c r="H115" s="8">
        <v>937453271</v>
      </c>
      <c r="I115" s="9">
        <v>550000</v>
      </c>
      <c r="J115" s="10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s="5" customFormat="1" ht="18.600000000000001" customHeight="1" x14ac:dyDescent="0.3">
      <c r="A116" s="1"/>
      <c r="B116" s="6">
        <f t="shared" si="1"/>
        <v>115</v>
      </c>
      <c r="C116" s="7">
        <v>46071</v>
      </c>
      <c r="D116" s="87" t="s">
        <v>240</v>
      </c>
      <c r="E116" s="87"/>
      <c r="F116" s="7" t="s">
        <v>89</v>
      </c>
      <c r="G116" s="6" t="s">
        <v>90</v>
      </c>
      <c r="H116" s="8">
        <v>937481573</v>
      </c>
      <c r="I116" s="22">
        <v>228000</v>
      </c>
      <c r="J116" s="10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s="5" customFormat="1" ht="18.600000000000001" customHeight="1" x14ac:dyDescent="0.3">
      <c r="A117" s="1"/>
      <c r="B117" s="6">
        <f t="shared" si="1"/>
        <v>116</v>
      </c>
      <c r="C117" s="7">
        <v>46071</v>
      </c>
      <c r="D117" s="87"/>
      <c r="E117" s="87"/>
      <c r="F117" s="7" t="s">
        <v>31</v>
      </c>
      <c r="G117" s="6"/>
      <c r="H117" s="8">
        <v>937542514</v>
      </c>
      <c r="I117" s="9">
        <v>179024</v>
      </c>
      <c r="J117" s="10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s="5" customFormat="1" ht="18.600000000000001" customHeight="1" x14ac:dyDescent="0.3">
      <c r="A118" s="1"/>
      <c r="B118" s="6">
        <f t="shared" si="1"/>
        <v>117</v>
      </c>
      <c r="C118" s="7">
        <v>46071</v>
      </c>
      <c r="D118" s="87"/>
      <c r="E118" s="87"/>
      <c r="F118" s="7" t="s">
        <v>91</v>
      </c>
      <c r="G118" s="6"/>
      <c r="H118" s="8" t="s">
        <v>37</v>
      </c>
      <c r="I118" s="9">
        <v>20240</v>
      </c>
      <c r="J118" s="10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s="5" customFormat="1" ht="18.600000000000001" customHeight="1" x14ac:dyDescent="0.3">
      <c r="A119" s="1"/>
      <c r="B119" s="6">
        <f t="shared" si="1"/>
        <v>118</v>
      </c>
      <c r="C119" s="7">
        <v>46072</v>
      </c>
      <c r="D119" s="87" t="s">
        <v>341</v>
      </c>
      <c r="E119" s="87"/>
      <c r="F119" s="7" t="s">
        <v>84</v>
      </c>
      <c r="G119" s="6"/>
      <c r="H119" s="8">
        <v>937661199</v>
      </c>
      <c r="I119" s="9">
        <v>200000</v>
      </c>
      <c r="J119" s="10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s="5" customFormat="1" ht="18.600000000000001" customHeight="1" x14ac:dyDescent="0.3">
      <c r="A120" s="1"/>
      <c r="B120" s="6">
        <f t="shared" si="1"/>
        <v>119</v>
      </c>
      <c r="C120" s="7">
        <v>46072</v>
      </c>
      <c r="D120" s="87" t="s">
        <v>234</v>
      </c>
      <c r="E120" s="87" t="s">
        <v>502</v>
      </c>
      <c r="F120" s="7" t="s">
        <v>63</v>
      </c>
      <c r="G120" s="10"/>
      <c r="H120" s="8">
        <v>937675336</v>
      </c>
      <c r="I120" s="9">
        <v>76000</v>
      </c>
      <c r="J120" s="10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s="5" customFormat="1" ht="18.600000000000001" customHeight="1" x14ac:dyDescent="0.3">
      <c r="A121" s="1"/>
      <c r="B121" s="6">
        <f t="shared" si="1"/>
        <v>120</v>
      </c>
      <c r="C121" s="7">
        <v>46072</v>
      </c>
      <c r="D121" s="87"/>
      <c r="E121" s="87"/>
      <c r="F121" s="7" t="s">
        <v>88</v>
      </c>
      <c r="G121" s="6"/>
      <c r="H121" s="8">
        <v>937708429</v>
      </c>
      <c r="I121" s="9">
        <v>700000</v>
      </c>
      <c r="J121" s="10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s="5" customFormat="1" ht="18.600000000000001" customHeight="1" x14ac:dyDescent="0.3">
      <c r="A122" s="1"/>
      <c r="B122" s="6">
        <f t="shared" si="1"/>
        <v>121</v>
      </c>
      <c r="C122" s="7">
        <v>46072</v>
      </c>
      <c r="D122" s="87"/>
      <c r="E122" s="87"/>
      <c r="F122" s="7" t="s">
        <v>92</v>
      </c>
      <c r="G122" s="6" t="s">
        <v>93</v>
      </c>
      <c r="H122" s="8">
        <v>937731546</v>
      </c>
      <c r="I122" s="9">
        <v>55000</v>
      </c>
      <c r="J122" s="10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s="5" customFormat="1" ht="18.600000000000001" customHeight="1" x14ac:dyDescent="0.3">
      <c r="A123" s="1"/>
      <c r="B123" s="6">
        <f t="shared" si="1"/>
        <v>122</v>
      </c>
      <c r="C123" s="7">
        <v>46072</v>
      </c>
      <c r="D123" s="87"/>
      <c r="E123" s="87"/>
      <c r="F123" s="7" t="s">
        <v>106</v>
      </c>
      <c r="G123" s="6" t="s">
        <v>107</v>
      </c>
      <c r="H123" s="8" t="s">
        <v>108</v>
      </c>
      <c r="I123" s="9">
        <v>5000</v>
      </c>
      <c r="J123" s="10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s="5" customFormat="1" ht="18.600000000000001" customHeight="1" x14ac:dyDescent="0.3">
      <c r="A124" s="1"/>
      <c r="B124" s="6">
        <f t="shared" si="1"/>
        <v>123</v>
      </c>
      <c r="C124" s="7">
        <v>46075</v>
      </c>
      <c r="D124" s="87" t="s">
        <v>234</v>
      </c>
      <c r="E124" s="87" t="s">
        <v>502</v>
      </c>
      <c r="F124" s="7" t="s">
        <v>63</v>
      </c>
      <c r="G124" s="10"/>
      <c r="H124" s="8">
        <v>938241786</v>
      </c>
      <c r="I124" s="9">
        <v>120000</v>
      </c>
      <c r="J124" s="10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s="5" customFormat="1" ht="18.600000000000001" customHeight="1" x14ac:dyDescent="0.3">
      <c r="A125" s="1"/>
      <c r="B125" s="6">
        <f t="shared" si="1"/>
        <v>124</v>
      </c>
      <c r="C125" s="7">
        <v>46076</v>
      </c>
      <c r="D125" s="87"/>
      <c r="E125" s="87"/>
      <c r="F125" s="7" t="s">
        <v>88</v>
      </c>
      <c r="G125" s="6"/>
      <c r="H125" s="8">
        <v>938376670</v>
      </c>
      <c r="I125" s="9">
        <v>26700</v>
      </c>
      <c r="J125" s="10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s="5" customFormat="1" ht="18.600000000000001" customHeight="1" x14ac:dyDescent="0.3">
      <c r="A126" s="1"/>
      <c r="B126" s="6">
        <f t="shared" si="1"/>
        <v>125</v>
      </c>
      <c r="C126" s="7">
        <v>46078</v>
      </c>
      <c r="D126" s="87" t="s">
        <v>240</v>
      </c>
      <c r="E126" s="87"/>
      <c r="F126" s="7" t="s">
        <v>80</v>
      </c>
      <c r="G126" s="6"/>
      <c r="H126" s="8"/>
      <c r="I126" s="22">
        <v>237600</v>
      </c>
      <c r="J126" s="10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s="5" customFormat="1" ht="18.600000000000001" customHeight="1" x14ac:dyDescent="0.3">
      <c r="A127" s="1"/>
      <c r="B127" s="6">
        <f t="shared" si="1"/>
        <v>126</v>
      </c>
      <c r="C127" s="7">
        <v>46079</v>
      </c>
      <c r="D127" s="87"/>
      <c r="E127" s="87"/>
      <c r="F127" s="7" t="s">
        <v>85</v>
      </c>
      <c r="G127" s="6"/>
      <c r="H127" s="8">
        <v>938833693</v>
      </c>
      <c r="I127" s="9">
        <v>289000</v>
      </c>
      <c r="J127" s="10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s="5" customFormat="1" ht="18.600000000000001" customHeight="1" x14ac:dyDescent="0.3">
      <c r="A128" s="1"/>
      <c r="B128" s="6">
        <f t="shared" si="1"/>
        <v>127</v>
      </c>
      <c r="C128" s="7">
        <v>46080</v>
      </c>
      <c r="D128" s="87" t="s">
        <v>240</v>
      </c>
      <c r="E128" s="87"/>
      <c r="F128" s="7" t="s">
        <v>89</v>
      </c>
      <c r="G128" s="6" t="s">
        <v>90</v>
      </c>
      <c r="H128" s="8">
        <v>939030339</v>
      </c>
      <c r="I128" s="22">
        <v>45600</v>
      </c>
      <c r="J128" s="10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s="5" customFormat="1" ht="18.600000000000001" customHeight="1" x14ac:dyDescent="0.3">
      <c r="A129" s="1"/>
      <c r="B129" s="6">
        <f t="shared" si="1"/>
        <v>128</v>
      </c>
      <c r="C129" s="7">
        <v>46080</v>
      </c>
      <c r="D129" s="87" t="s">
        <v>234</v>
      </c>
      <c r="E129" s="87" t="s">
        <v>340</v>
      </c>
      <c r="F129" s="7" t="s">
        <v>94</v>
      </c>
      <c r="G129" s="10" t="s">
        <v>110</v>
      </c>
      <c r="H129" s="8">
        <v>939209075</v>
      </c>
      <c r="I129" s="9">
        <v>73062</v>
      </c>
      <c r="J129" s="10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s="5" customFormat="1" ht="18.600000000000001" customHeight="1" x14ac:dyDescent="0.3">
      <c r="A130" s="1"/>
      <c r="B130" s="6">
        <f t="shared" si="1"/>
        <v>129</v>
      </c>
      <c r="C130" s="7">
        <v>46080</v>
      </c>
      <c r="D130" s="87" t="s">
        <v>240</v>
      </c>
      <c r="E130" s="87"/>
      <c r="F130" s="7" t="s">
        <v>80</v>
      </c>
      <c r="G130" s="6"/>
      <c r="H130" s="8">
        <v>939209286</v>
      </c>
      <c r="I130" s="22">
        <v>57600</v>
      </c>
      <c r="J130" s="10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s="5" customFormat="1" ht="18.600000000000001" customHeight="1" x14ac:dyDescent="0.3">
      <c r="A131" s="1"/>
      <c r="B131" s="6">
        <f t="shared" si="1"/>
        <v>130</v>
      </c>
      <c r="C131" s="7">
        <v>46083</v>
      </c>
      <c r="D131" s="87" t="s">
        <v>240</v>
      </c>
      <c r="E131" s="87"/>
      <c r="F131" s="7" t="s">
        <v>80</v>
      </c>
      <c r="G131" s="6"/>
      <c r="H131" s="8"/>
      <c r="I131" s="22">
        <v>57600</v>
      </c>
      <c r="J131" s="10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s="5" customFormat="1" ht="18.600000000000001" customHeight="1" x14ac:dyDescent="0.3">
      <c r="A132" s="1"/>
      <c r="B132" s="6">
        <f t="shared" ref="B132:B195" si="2">+B131+1</f>
        <v>131</v>
      </c>
      <c r="C132" s="7">
        <v>46085</v>
      </c>
      <c r="D132" s="87"/>
      <c r="E132" s="87"/>
      <c r="F132" s="7" t="s">
        <v>87</v>
      </c>
      <c r="G132" s="6" t="s">
        <v>96</v>
      </c>
      <c r="H132" s="8">
        <v>940028588</v>
      </c>
      <c r="I132" s="9">
        <v>38421</v>
      </c>
      <c r="J132" s="10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s="5" customFormat="1" ht="18.600000000000001" customHeight="1" x14ac:dyDescent="0.3">
      <c r="A133" s="1"/>
      <c r="B133" s="6">
        <f t="shared" si="2"/>
        <v>132</v>
      </c>
      <c r="C133" s="7">
        <v>46085</v>
      </c>
      <c r="D133" s="87" t="s">
        <v>234</v>
      </c>
      <c r="E133" s="87" t="s">
        <v>2589</v>
      </c>
      <c r="F133" s="7" t="s">
        <v>69</v>
      </c>
      <c r="G133" s="7" t="s">
        <v>97</v>
      </c>
      <c r="H133" s="8">
        <v>940030196</v>
      </c>
      <c r="I133" s="9">
        <v>900000</v>
      </c>
      <c r="J133" s="10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s="5" customFormat="1" ht="18.600000000000001" customHeight="1" x14ac:dyDescent="0.3">
      <c r="A134" s="1"/>
      <c r="B134" s="6">
        <f t="shared" si="2"/>
        <v>133</v>
      </c>
      <c r="C134" s="7">
        <v>46085</v>
      </c>
      <c r="D134" s="87" t="s">
        <v>2608</v>
      </c>
      <c r="E134" s="87"/>
      <c r="F134" s="7" t="s">
        <v>95</v>
      </c>
      <c r="G134" s="6" t="s">
        <v>295</v>
      </c>
      <c r="H134" s="8">
        <v>940042358</v>
      </c>
      <c r="I134" s="9">
        <v>711000</v>
      </c>
      <c r="J134" s="10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s="5" customFormat="1" ht="18.600000000000001" customHeight="1" x14ac:dyDescent="0.3">
      <c r="A135" s="1"/>
      <c r="B135" s="6">
        <f t="shared" si="2"/>
        <v>134</v>
      </c>
      <c r="C135" s="7">
        <v>46085</v>
      </c>
      <c r="D135" s="87" t="s">
        <v>2608</v>
      </c>
      <c r="E135" s="87"/>
      <c r="F135" s="7" t="s">
        <v>95</v>
      </c>
      <c r="G135" s="6" t="s">
        <v>295</v>
      </c>
      <c r="H135" s="8">
        <v>940042753</v>
      </c>
      <c r="I135" s="9">
        <v>399930</v>
      </c>
      <c r="J135" s="10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s="5" customFormat="1" ht="18.600000000000001" customHeight="1" x14ac:dyDescent="0.3">
      <c r="A136" s="1"/>
      <c r="B136" s="6">
        <f t="shared" si="2"/>
        <v>135</v>
      </c>
      <c r="C136" s="7">
        <v>46086</v>
      </c>
      <c r="D136" s="87"/>
      <c r="E136" s="87"/>
      <c r="F136" s="7" t="s">
        <v>88</v>
      </c>
      <c r="G136" s="6"/>
      <c r="H136" s="8">
        <v>940242211</v>
      </c>
      <c r="I136" s="9">
        <v>734420</v>
      </c>
      <c r="J136" s="10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s="5" customFormat="1" ht="18.600000000000001" customHeight="1" x14ac:dyDescent="0.3">
      <c r="A137" s="1"/>
      <c r="B137" s="6">
        <f t="shared" si="2"/>
        <v>136</v>
      </c>
      <c r="C137" s="7">
        <v>46087</v>
      </c>
      <c r="D137" s="87"/>
      <c r="E137" s="87"/>
      <c r="F137" s="7" t="s">
        <v>88</v>
      </c>
      <c r="G137" s="6"/>
      <c r="H137" s="8">
        <v>940454799</v>
      </c>
      <c r="I137" s="9">
        <v>272358</v>
      </c>
      <c r="J137" s="10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s="5" customFormat="1" ht="18.600000000000001" customHeight="1" x14ac:dyDescent="0.3">
      <c r="A138" s="1"/>
      <c r="B138" s="6">
        <f t="shared" si="2"/>
        <v>137</v>
      </c>
      <c r="C138" s="7">
        <v>46088</v>
      </c>
      <c r="D138" s="87"/>
      <c r="E138" s="87"/>
      <c r="F138" s="7" t="s">
        <v>88</v>
      </c>
      <c r="G138" s="6"/>
      <c r="H138" s="8">
        <v>940683973</v>
      </c>
      <c r="I138" s="9">
        <v>100000</v>
      </c>
      <c r="J138" s="10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s="5" customFormat="1" ht="18.600000000000001" customHeight="1" x14ac:dyDescent="0.3">
      <c r="A139" s="1"/>
      <c r="B139" s="6">
        <f t="shared" si="2"/>
        <v>138</v>
      </c>
      <c r="C139" s="7">
        <v>46088</v>
      </c>
      <c r="D139" s="87" t="s">
        <v>240</v>
      </c>
      <c r="E139" s="87"/>
      <c r="F139" s="7" t="s">
        <v>99</v>
      </c>
      <c r="G139" s="6" t="s">
        <v>100</v>
      </c>
      <c r="H139" s="8">
        <v>940946558</v>
      </c>
      <c r="I139" s="9">
        <v>500000</v>
      </c>
      <c r="J139" s="1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s="5" customFormat="1" ht="18.600000000000001" customHeight="1" x14ac:dyDescent="0.3">
      <c r="A140" s="1"/>
      <c r="B140" s="6">
        <f t="shared" si="2"/>
        <v>139</v>
      </c>
      <c r="C140" s="7">
        <v>46089</v>
      </c>
      <c r="D140" s="87"/>
      <c r="E140" s="87"/>
      <c r="F140" s="7" t="s">
        <v>88</v>
      </c>
      <c r="G140" s="6"/>
      <c r="H140" s="8">
        <v>941007330</v>
      </c>
      <c r="I140" s="9">
        <v>100000</v>
      </c>
      <c r="J140" s="1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s="5" customFormat="1" ht="18.600000000000001" customHeight="1" x14ac:dyDescent="0.3">
      <c r="A141" s="1"/>
      <c r="B141" s="6">
        <f t="shared" si="2"/>
        <v>140</v>
      </c>
      <c r="C141" s="7">
        <v>46090</v>
      </c>
      <c r="D141" s="87" t="s">
        <v>234</v>
      </c>
      <c r="E141" s="87" t="s">
        <v>322</v>
      </c>
      <c r="F141" s="7" t="s">
        <v>101</v>
      </c>
      <c r="G141" s="10" t="s">
        <v>102</v>
      </c>
      <c r="H141" s="8">
        <v>941049950</v>
      </c>
      <c r="I141" s="9">
        <v>123000</v>
      </c>
      <c r="J141" s="1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s="5" customFormat="1" ht="18.600000000000001" customHeight="1" x14ac:dyDescent="0.3">
      <c r="A142" s="1"/>
      <c r="B142" s="6">
        <f t="shared" si="2"/>
        <v>141</v>
      </c>
      <c r="C142" s="7">
        <v>46091</v>
      </c>
      <c r="D142" s="87"/>
      <c r="E142" s="87"/>
      <c r="F142" s="7" t="s">
        <v>88</v>
      </c>
      <c r="G142" s="6"/>
      <c r="H142" s="8">
        <v>941383685</v>
      </c>
      <c r="I142" s="9">
        <v>200000</v>
      </c>
      <c r="J142" s="1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s="5" customFormat="1" ht="18.600000000000001" customHeight="1" x14ac:dyDescent="0.3">
      <c r="A143" s="1"/>
      <c r="B143" s="6">
        <f t="shared" si="2"/>
        <v>142</v>
      </c>
      <c r="C143" s="7">
        <v>46092</v>
      </c>
      <c r="D143" s="87" t="s">
        <v>234</v>
      </c>
      <c r="E143" s="87" t="s">
        <v>322</v>
      </c>
      <c r="F143" s="7" t="s">
        <v>101</v>
      </c>
      <c r="G143" s="10" t="s">
        <v>102</v>
      </c>
      <c r="H143" s="8">
        <v>941791166</v>
      </c>
      <c r="I143" s="9">
        <v>22550</v>
      </c>
      <c r="J143" s="1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s="5" customFormat="1" ht="18.600000000000001" customHeight="1" x14ac:dyDescent="0.3">
      <c r="A144" s="1"/>
      <c r="B144" s="6">
        <f t="shared" si="2"/>
        <v>143</v>
      </c>
      <c r="C144" s="7">
        <v>46093</v>
      </c>
      <c r="D144" s="87" t="s">
        <v>234</v>
      </c>
      <c r="E144" s="87" t="s">
        <v>350</v>
      </c>
      <c r="F144" s="7" t="s">
        <v>103</v>
      </c>
      <c r="G144" s="10" t="s">
        <v>104</v>
      </c>
      <c r="H144" s="8">
        <v>941818355</v>
      </c>
      <c r="I144" s="9">
        <v>174000</v>
      </c>
      <c r="J144" s="1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s="5" customFormat="1" ht="18.600000000000001" customHeight="1" x14ac:dyDescent="0.3">
      <c r="A145" s="1"/>
      <c r="B145" s="6">
        <f t="shared" si="2"/>
        <v>144</v>
      </c>
      <c r="C145" s="7">
        <v>46093</v>
      </c>
      <c r="D145" s="87"/>
      <c r="E145" s="87"/>
      <c r="F145" s="7" t="s">
        <v>105</v>
      </c>
      <c r="G145" s="6"/>
      <c r="H145" s="8">
        <v>941818922</v>
      </c>
      <c r="I145" s="9">
        <v>300000</v>
      </c>
      <c r="J145" s="1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s="5" customFormat="1" ht="18.600000000000001" customHeight="1" x14ac:dyDescent="0.3">
      <c r="A146" s="1"/>
      <c r="B146" s="6">
        <f t="shared" si="2"/>
        <v>145</v>
      </c>
      <c r="C146" s="7">
        <v>46093</v>
      </c>
      <c r="D146" s="87" t="s">
        <v>341</v>
      </c>
      <c r="E146" s="87"/>
      <c r="F146" s="7" t="s">
        <v>50</v>
      </c>
      <c r="G146" s="6"/>
      <c r="H146" s="8">
        <v>941819392</v>
      </c>
      <c r="I146" s="9">
        <v>200000</v>
      </c>
      <c r="J146" s="1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s="5" customFormat="1" ht="18.600000000000001" customHeight="1" x14ac:dyDescent="0.3">
      <c r="A147" s="1"/>
      <c r="B147" s="6">
        <f t="shared" si="2"/>
        <v>146</v>
      </c>
      <c r="C147" s="7">
        <v>46094</v>
      </c>
      <c r="D147" s="87"/>
      <c r="E147" s="87"/>
      <c r="F147" s="7" t="s">
        <v>88</v>
      </c>
      <c r="G147" s="6"/>
      <c r="H147" s="8">
        <v>942106967</v>
      </c>
      <c r="I147" s="9">
        <v>200000</v>
      </c>
      <c r="J147" s="1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s="5" customFormat="1" ht="18.600000000000001" customHeight="1" x14ac:dyDescent="0.3">
      <c r="A148" s="1"/>
      <c r="B148" s="6">
        <f t="shared" si="2"/>
        <v>147</v>
      </c>
      <c r="C148" s="7">
        <v>46095</v>
      </c>
      <c r="D148" s="87" t="s">
        <v>234</v>
      </c>
      <c r="E148" s="87" t="s">
        <v>322</v>
      </c>
      <c r="F148" s="7" t="s">
        <v>101</v>
      </c>
      <c r="G148" s="10" t="s">
        <v>102</v>
      </c>
      <c r="H148" s="8">
        <v>942362725</v>
      </c>
      <c r="I148" s="9">
        <v>69700</v>
      </c>
      <c r="J148" s="1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s="5" customFormat="1" ht="18.600000000000001" customHeight="1" x14ac:dyDescent="0.3">
      <c r="A149" s="1"/>
      <c r="B149" s="6">
        <f t="shared" si="2"/>
        <v>148</v>
      </c>
      <c r="C149" s="7">
        <v>46095</v>
      </c>
      <c r="D149" s="87" t="s">
        <v>234</v>
      </c>
      <c r="E149" s="87" t="s">
        <v>502</v>
      </c>
      <c r="F149" s="7" t="s">
        <v>63</v>
      </c>
      <c r="G149" s="10" t="s">
        <v>64</v>
      </c>
      <c r="H149" s="8">
        <v>942400836</v>
      </c>
      <c r="I149" s="9">
        <v>144000</v>
      </c>
      <c r="J149" s="1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s="5" customFormat="1" ht="18.600000000000001" customHeight="1" x14ac:dyDescent="0.3">
      <c r="A150" s="1"/>
      <c r="B150" s="6">
        <f t="shared" si="2"/>
        <v>149</v>
      </c>
      <c r="C150" s="7">
        <v>46096</v>
      </c>
      <c r="D150" s="87"/>
      <c r="E150" s="87"/>
      <c r="F150" s="7" t="s">
        <v>88</v>
      </c>
      <c r="G150" s="6"/>
      <c r="H150" s="8">
        <v>942496255</v>
      </c>
      <c r="I150" s="9">
        <v>200000</v>
      </c>
      <c r="J150" s="1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s="5" customFormat="1" ht="18.600000000000001" customHeight="1" x14ac:dyDescent="0.3">
      <c r="A151" s="1"/>
      <c r="B151" s="6">
        <f t="shared" si="2"/>
        <v>150</v>
      </c>
      <c r="C151" s="7">
        <v>46097</v>
      </c>
      <c r="D151" s="87" t="s">
        <v>234</v>
      </c>
      <c r="E151" s="87" t="s">
        <v>2589</v>
      </c>
      <c r="F151" s="7" t="s">
        <v>69</v>
      </c>
      <c r="G151" s="10" t="s">
        <v>109</v>
      </c>
      <c r="H151" s="8">
        <v>942747854</v>
      </c>
      <c r="I151" s="9">
        <v>945000</v>
      </c>
      <c r="J151" s="1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s="5" customFormat="1" ht="18.600000000000001" customHeight="1" x14ac:dyDescent="0.3">
      <c r="A152" s="1"/>
      <c r="B152" s="6">
        <f t="shared" si="2"/>
        <v>151</v>
      </c>
      <c r="C152" s="7">
        <v>46098</v>
      </c>
      <c r="D152" s="87"/>
      <c r="E152" s="87"/>
      <c r="F152" s="7" t="s">
        <v>88</v>
      </c>
      <c r="G152" s="6"/>
      <c r="H152" s="8">
        <v>942823059</v>
      </c>
      <c r="I152" s="9">
        <v>100000</v>
      </c>
      <c r="J152" s="10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s="5" customFormat="1" ht="18.600000000000001" customHeight="1" x14ac:dyDescent="0.3">
      <c r="A153" s="1"/>
      <c r="B153" s="6">
        <f t="shared" si="2"/>
        <v>152</v>
      </c>
      <c r="C153" s="7">
        <v>46098</v>
      </c>
      <c r="D153" s="87" t="s">
        <v>234</v>
      </c>
      <c r="E153" s="87" t="s">
        <v>322</v>
      </c>
      <c r="F153" s="7" t="s">
        <v>101</v>
      </c>
      <c r="G153" s="10" t="s">
        <v>102</v>
      </c>
      <c r="H153" s="8">
        <v>942829946</v>
      </c>
      <c r="I153" s="9">
        <v>98400</v>
      </c>
      <c r="J153" s="1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s="5" customFormat="1" ht="18.600000000000001" customHeight="1" x14ac:dyDescent="0.3">
      <c r="A154" s="1"/>
      <c r="B154" s="6">
        <f t="shared" si="2"/>
        <v>153</v>
      </c>
      <c r="C154" s="7">
        <v>46098</v>
      </c>
      <c r="D154" s="87"/>
      <c r="E154" s="87"/>
      <c r="F154" s="7" t="s">
        <v>88</v>
      </c>
      <c r="G154" s="6"/>
      <c r="H154" s="8">
        <v>943016938</v>
      </c>
      <c r="I154" s="9">
        <v>500000</v>
      </c>
      <c r="J154" s="10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s="5" customFormat="1" ht="18.600000000000001" customHeight="1" x14ac:dyDescent="0.3">
      <c r="A155" s="1"/>
      <c r="B155" s="6">
        <f t="shared" si="2"/>
        <v>154</v>
      </c>
      <c r="C155" s="7">
        <v>46099</v>
      </c>
      <c r="D155" s="87"/>
      <c r="E155" s="87"/>
      <c r="F155" s="7" t="s">
        <v>88</v>
      </c>
      <c r="G155" s="6"/>
      <c r="H155" s="8">
        <v>943061943</v>
      </c>
      <c r="I155" s="9">
        <v>200000</v>
      </c>
      <c r="J155" s="10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s="5" customFormat="1" ht="18.600000000000001" customHeight="1" x14ac:dyDescent="0.3">
      <c r="A156" s="1"/>
      <c r="B156" s="6">
        <f t="shared" si="2"/>
        <v>155</v>
      </c>
      <c r="C156" s="7">
        <v>46099</v>
      </c>
      <c r="D156" s="87"/>
      <c r="E156" s="87"/>
      <c r="F156" s="7" t="s">
        <v>88</v>
      </c>
      <c r="G156" s="6"/>
      <c r="H156" s="8">
        <v>943178816</v>
      </c>
      <c r="I156" s="9">
        <v>200000</v>
      </c>
      <c r="J156" s="10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s="5" customFormat="1" ht="18.600000000000001" customHeight="1" x14ac:dyDescent="0.3">
      <c r="A157" s="1"/>
      <c r="B157" s="6">
        <f t="shared" si="2"/>
        <v>156</v>
      </c>
      <c r="C157" s="7">
        <v>46100</v>
      </c>
      <c r="D157" s="87" t="s">
        <v>2608</v>
      </c>
      <c r="E157" s="87"/>
      <c r="F157" s="7" t="s">
        <v>95</v>
      </c>
      <c r="G157" s="6" t="s">
        <v>295</v>
      </c>
      <c r="H157" s="8">
        <v>943311405</v>
      </c>
      <c r="I157" s="9">
        <v>985000</v>
      </c>
      <c r="J157" s="10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s="5" customFormat="1" ht="18.600000000000001" customHeight="1" x14ac:dyDescent="0.3">
      <c r="A158" s="1"/>
      <c r="B158" s="6">
        <f t="shared" si="2"/>
        <v>157</v>
      </c>
      <c r="C158" s="7">
        <v>46101</v>
      </c>
      <c r="D158" s="87" t="s">
        <v>234</v>
      </c>
      <c r="E158" s="87" t="s">
        <v>340</v>
      </c>
      <c r="F158" s="7" t="s">
        <v>94</v>
      </c>
      <c r="G158" s="10" t="s">
        <v>110</v>
      </c>
      <c r="H158" s="8">
        <v>943592986</v>
      </c>
      <c r="I158" s="9">
        <v>74538</v>
      </c>
      <c r="J158" s="10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s="5" customFormat="1" ht="18.600000000000001" customHeight="1" x14ac:dyDescent="0.3">
      <c r="A159" s="1"/>
      <c r="B159" s="6">
        <f t="shared" si="2"/>
        <v>158</v>
      </c>
      <c r="C159" s="7">
        <v>46101</v>
      </c>
      <c r="D159" s="87" t="s">
        <v>240</v>
      </c>
      <c r="E159" s="87"/>
      <c r="F159" s="7" t="s">
        <v>89</v>
      </c>
      <c r="G159" s="6" t="s">
        <v>90</v>
      </c>
      <c r="H159" s="8">
        <v>943593668</v>
      </c>
      <c r="I159" s="22">
        <v>228000</v>
      </c>
      <c r="J159" s="10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s="5" customFormat="1" ht="18.600000000000001" customHeight="1" x14ac:dyDescent="0.3">
      <c r="A160" s="1"/>
      <c r="B160" s="6">
        <f t="shared" si="2"/>
        <v>159</v>
      </c>
      <c r="C160" s="7">
        <v>46102</v>
      </c>
      <c r="D160" s="87"/>
      <c r="E160" s="87"/>
      <c r="F160" s="7" t="s">
        <v>111</v>
      </c>
      <c r="G160" s="6"/>
      <c r="H160" s="8">
        <v>943823851</v>
      </c>
      <c r="I160" s="9">
        <v>18000</v>
      </c>
      <c r="J160" s="10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s="5" customFormat="1" ht="18.600000000000001" customHeight="1" x14ac:dyDescent="0.3">
      <c r="A161" s="1"/>
      <c r="B161" s="6">
        <f t="shared" si="2"/>
        <v>160</v>
      </c>
      <c r="C161" s="7">
        <v>46103</v>
      </c>
      <c r="D161" s="87" t="s">
        <v>234</v>
      </c>
      <c r="E161" s="87" t="s">
        <v>350</v>
      </c>
      <c r="F161" s="7" t="s">
        <v>103</v>
      </c>
      <c r="G161" s="10" t="s">
        <v>104</v>
      </c>
      <c r="H161" s="8">
        <v>943918899</v>
      </c>
      <c r="I161" s="9">
        <v>288000</v>
      </c>
      <c r="J161" s="10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s="5" customFormat="1" ht="18.600000000000001" customHeight="1" x14ac:dyDescent="0.3">
      <c r="A162" s="1"/>
      <c r="B162" s="6">
        <f t="shared" si="2"/>
        <v>161</v>
      </c>
      <c r="C162" s="7">
        <v>46103</v>
      </c>
      <c r="D162" s="87"/>
      <c r="E162" s="87"/>
      <c r="F162" s="7" t="s">
        <v>88</v>
      </c>
      <c r="G162" s="6"/>
      <c r="H162" s="8">
        <v>943918940</v>
      </c>
      <c r="I162" s="9">
        <v>100000</v>
      </c>
      <c r="J162" s="10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s="5" customFormat="1" ht="18.600000000000001" customHeight="1" x14ac:dyDescent="0.3">
      <c r="A163" s="1"/>
      <c r="B163" s="6">
        <f t="shared" si="2"/>
        <v>162</v>
      </c>
      <c r="C163" s="7">
        <v>46103</v>
      </c>
      <c r="D163" s="87"/>
      <c r="E163" s="87"/>
      <c r="F163" s="7" t="s">
        <v>112</v>
      </c>
      <c r="G163" s="6"/>
      <c r="H163" s="8">
        <v>943946630</v>
      </c>
      <c r="I163" s="9">
        <v>200000</v>
      </c>
      <c r="J163" s="10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s="5" customFormat="1" ht="18.600000000000001" customHeight="1" x14ac:dyDescent="0.3">
      <c r="A164" s="1"/>
      <c r="B164" s="6">
        <f t="shared" si="2"/>
        <v>163</v>
      </c>
      <c r="C164" s="7">
        <v>46103</v>
      </c>
      <c r="D164" s="87" t="s">
        <v>341</v>
      </c>
      <c r="E164" s="87"/>
      <c r="F164" s="7" t="s">
        <v>50</v>
      </c>
      <c r="G164" s="6"/>
      <c r="H164" s="8">
        <v>943946645</v>
      </c>
      <c r="I164" s="9">
        <v>100000</v>
      </c>
      <c r="J164" s="10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s="5" customFormat="1" ht="18.600000000000001" customHeight="1" x14ac:dyDescent="0.3">
      <c r="A165" s="1"/>
      <c r="B165" s="6">
        <f t="shared" si="2"/>
        <v>164</v>
      </c>
      <c r="C165" s="7">
        <v>46103</v>
      </c>
      <c r="D165" s="87" t="s">
        <v>341</v>
      </c>
      <c r="E165" s="87"/>
      <c r="F165" s="7" t="s">
        <v>42</v>
      </c>
      <c r="G165" s="6"/>
      <c r="H165" s="8">
        <v>943946675</v>
      </c>
      <c r="I165" s="9">
        <v>200000</v>
      </c>
      <c r="J165" s="10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s="5" customFormat="1" ht="18.600000000000001" customHeight="1" x14ac:dyDescent="0.3">
      <c r="A166" s="1"/>
      <c r="B166" s="6">
        <f t="shared" si="2"/>
        <v>165</v>
      </c>
      <c r="C166" s="7">
        <v>46104</v>
      </c>
      <c r="D166" s="87" t="s">
        <v>234</v>
      </c>
      <c r="E166" s="87" t="s">
        <v>322</v>
      </c>
      <c r="F166" s="7" t="s">
        <v>101</v>
      </c>
      <c r="G166" s="10" t="s">
        <v>102</v>
      </c>
      <c r="H166" s="8"/>
      <c r="I166" s="9">
        <v>98400</v>
      </c>
      <c r="J166" s="10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s="5" customFormat="1" ht="18.600000000000001" customHeight="1" x14ac:dyDescent="0.3">
      <c r="A167" s="1"/>
      <c r="B167" s="6">
        <f t="shared" si="2"/>
        <v>166</v>
      </c>
      <c r="C167" s="7">
        <v>46105</v>
      </c>
      <c r="D167" s="87"/>
      <c r="E167" s="87"/>
      <c r="F167" s="7" t="s">
        <v>88</v>
      </c>
      <c r="G167" s="6"/>
      <c r="H167" s="8">
        <v>944230542</v>
      </c>
      <c r="I167" s="9">
        <v>150000</v>
      </c>
      <c r="J167" s="10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s="5" customFormat="1" ht="18.600000000000001" customHeight="1" x14ac:dyDescent="0.3">
      <c r="A168" s="1"/>
      <c r="B168" s="6">
        <f t="shared" si="2"/>
        <v>167</v>
      </c>
      <c r="C168" s="7">
        <v>46105</v>
      </c>
      <c r="D168" s="87" t="s">
        <v>234</v>
      </c>
      <c r="E168" s="87" t="s">
        <v>352</v>
      </c>
      <c r="F168" s="7" t="s">
        <v>113</v>
      </c>
      <c r="G168" s="10" t="s">
        <v>114</v>
      </c>
      <c r="H168" s="8">
        <v>944231168</v>
      </c>
      <c r="I168" s="9">
        <v>39200</v>
      </c>
      <c r="J168" s="1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s="5" customFormat="1" ht="18.600000000000001" customHeight="1" x14ac:dyDescent="0.3">
      <c r="A169" s="1"/>
      <c r="B169" s="6">
        <f t="shared" si="2"/>
        <v>168</v>
      </c>
      <c r="C169" s="7">
        <v>46105</v>
      </c>
      <c r="D169" s="87" t="s">
        <v>240</v>
      </c>
      <c r="E169" s="87"/>
      <c r="F169" s="7" t="s">
        <v>80</v>
      </c>
      <c r="G169" s="6"/>
      <c r="H169" s="8"/>
      <c r="I169" s="22">
        <v>167200</v>
      </c>
      <c r="J169" s="1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s="5" customFormat="1" ht="18.600000000000001" customHeight="1" x14ac:dyDescent="0.3">
      <c r="A170" s="1"/>
      <c r="B170" s="6">
        <f t="shared" si="2"/>
        <v>169</v>
      </c>
      <c r="C170" s="7">
        <v>46107</v>
      </c>
      <c r="D170" s="87"/>
      <c r="E170" s="87"/>
      <c r="F170" s="7" t="s">
        <v>88</v>
      </c>
      <c r="G170" s="6"/>
      <c r="H170" s="8">
        <v>944716547</v>
      </c>
      <c r="I170" s="9">
        <v>150000</v>
      </c>
      <c r="J170" s="10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s="5" customFormat="1" ht="18.600000000000001" customHeight="1" x14ac:dyDescent="0.3">
      <c r="A171" s="1"/>
      <c r="B171" s="6">
        <f t="shared" si="2"/>
        <v>170</v>
      </c>
      <c r="C171" s="7">
        <v>46107</v>
      </c>
      <c r="D171" s="87" t="s">
        <v>240</v>
      </c>
      <c r="E171" s="87"/>
      <c r="F171" s="7" t="s">
        <v>80</v>
      </c>
      <c r="G171" s="6"/>
      <c r="H171" s="8">
        <v>944764814</v>
      </c>
      <c r="I171" s="22">
        <v>83600</v>
      </c>
      <c r="J171" s="10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s="5" customFormat="1" ht="18.600000000000001" customHeight="1" x14ac:dyDescent="0.3">
      <c r="A172" s="1"/>
      <c r="B172" s="6">
        <f t="shared" si="2"/>
        <v>171</v>
      </c>
      <c r="C172" s="7">
        <v>46108</v>
      </c>
      <c r="D172" s="87" t="s">
        <v>234</v>
      </c>
      <c r="E172" s="87" t="s">
        <v>446</v>
      </c>
      <c r="F172" s="7" t="s">
        <v>115</v>
      </c>
      <c r="G172" s="10" t="s">
        <v>116</v>
      </c>
      <c r="H172" s="8">
        <v>944916721</v>
      </c>
      <c r="I172" s="9">
        <v>124600</v>
      </c>
      <c r="J172" s="10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s="5" customFormat="1" ht="18.600000000000001" customHeight="1" x14ac:dyDescent="0.3">
      <c r="A173" s="1"/>
      <c r="B173" s="6">
        <f t="shared" si="2"/>
        <v>172</v>
      </c>
      <c r="C173" s="7">
        <v>46108</v>
      </c>
      <c r="D173" s="87"/>
      <c r="E173" s="87"/>
      <c r="F173" s="7" t="s">
        <v>88</v>
      </c>
      <c r="G173" s="6"/>
      <c r="H173" s="8">
        <v>944936891</v>
      </c>
      <c r="I173" s="9">
        <v>100000</v>
      </c>
      <c r="J173" s="10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s="5" customFormat="1" ht="18.600000000000001" customHeight="1" x14ac:dyDescent="0.3">
      <c r="A174" s="1"/>
      <c r="B174" s="6">
        <f t="shared" si="2"/>
        <v>173</v>
      </c>
      <c r="C174" s="7">
        <v>46108</v>
      </c>
      <c r="D174" s="87" t="s">
        <v>341</v>
      </c>
      <c r="E174" s="87"/>
      <c r="F174" s="7" t="s">
        <v>42</v>
      </c>
      <c r="G174" s="6"/>
      <c r="H174" s="8">
        <v>944938709</v>
      </c>
      <c r="I174" s="9">
        <v>50000</v>
      </c>
      <c r="J174" s="10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s="5" customFormat="1" ht="18.600000000000001" customHeight="1" x14ac:dyDescent="0.3">
      <c r="A175" s="1"/>
      <c r="B175" s="6">
        <f t="shared" si="2"/>
        <v>174</v>
      </c>
      <c r="C175" s="7">
        <v>46108</v>
      </c>
      <c r="D175" s="87" t="s">
        <v>240</v>
      </c>
      <c r="E175" s="87"/>
      <c r="F175" s="7" t="s">
        <v>80</v>
      </c>
      <c r="G175" s="6"/>
      <c r="H175" s="8">
        <v>945032949</v>
      </c>
      <c r="I175" s="22">
        <v>83612</v>
      </c>
      <c r="J175" s="10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s="5" customFormat="1" ht="18.600000000000001" customHeight="1" x14ac:dyDescent="0.3">
      <c r="A176" s="1"/>
      <c r="B176" s="6">
        <f t="shared" si="2"/>
        <v>175</v>
      </c>
      <c r="C176" s="7">
        <v>46109</v>
      </c>
      <c r="D176" s="87"/>
      <c r="E176" s="87"/>
      <c r="F176" s="7" t="s">
        <v>88</v>
      </c>
      <c r="G176" s="6"/>
      <c r="H176" s="8">
        <v>945255957</v>
      </c>
      <c r="I176" s="9">
        <v>150000</v>
      </c>
      <c r="J176" s="1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s="5" customFormat="1" ht="18.600000000000001" customHeight="1" x14ac:dyDescent="0.3">
      <c r="A177" s="1"/>
      <c r="B177" s="6">
        <f t="shared" si="2"/>
        <v>176</v>
      </c>
      <c r="C177" s="7">
        <v>46110</v>
      </c>
      <c r="D177" s="87"/>
      <c r="E177" s="87"/>
      <c r="F177" s="7" t="s">
        <v>88</v>
      </c>
      <c r="G177" s="6"/>
      <c r="H177" s="8">
        <v>945376943</v>
      </c>
      <c r="I177" s="9">
        <v>180000</v>
      </c>
      <c r="J177" s="10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s="5" customFormat="1" ht="18.600000000000001" customHeight="1" x14ac:dyDescent="0.3">
      <c r="A178" s="1"/>
      <c r="B178" s="6">
        <f t="shared" si="2"/>
        <v>177</v>
      </c>
      <c r="C178" s="7">
        <v>46110</v>
      </c>
      <c r="D178" s="87" t="s">
        <v>240</v>
      </c>
      <c r="E178" s="87"/>
      <c r="F178" s="7" t="s">
        <v>80</v>
      </c>
      <c r="G178" s="6"/>
      <c r="H178" s="8">
        <v>945417124</v>
      </c>
      <c r="I178" s="22">
        <v>83600</v>
      </c>
      <c r="J178" s="10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s="5" customFormat="1" ht="18.600000000000001" customHeight="1" x14ac:dyDescent="0.3">
      <c r="A179" s="1"/>
      <c r="B179" s="6">
        <f t="shared" si="2"/>
        <v>178</v>
      </c>
      <c r="C179" s="7">
        <v>46110</v>
      </c>
      <c r="D179" s="87"/>
      <c r="E179" s="87"/>
      <c r="F179" s="7" t="s">
        <v>117</v>
      </c>
      <c r="G179" s="6"/>
      <c r="H179" s="8">
        <v>945431878</v>
      </c>
      <c r="I179" s="9">
        <v>100000</v>
      </c>
      <c r="J179" s="1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s="5" customFormat="1" ht="18.600000000000001" customHeight="1" x14ac:dyDescent="0.3">
      <c r="A180" s="1"/>
      <c r="B180" s="6">
        <f t="shared" si="2"/>
        <v>179</v>
      </c>
      <c r="C180" s="7">
        <v>46110</v>
      </c>
      <c r="D180" s="87"/>
      <c r="E180" s="87"/>
      <c r="F180" s="7" t="s">
        <v>88</v>
      </c>
      <c r="G180" s="6"/>
      <c r="H180" s="8">
        <v>945431960</v>
      </c>
      <c r="I180" s="9">
        <v>33000</v>
      </c>
      <c r="J180" s="1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s="5" customFormat="1" ht="18.600000000000001" customHeight="1" x14ac:dyDescent="0.3">
      <c r="A181" s="1"/>
      <c r="B181" s="6">
        <f t="shared" si="2"/>
        <v>180</v>
      </c>
      <c r="C181" s="7">
        <v>46110</v>
      </c>
      <c r="D181" s="87"/>
      <c r="E181" s="87"/>
      <c r="F181" s="7" t="s">
        <v>88</v>
      </c>
      <c r="G181" s="6"/>
      <c r="H181" s="8">
        <v>2327373164</v>
      </c>
      <c r="I181" s="9">
        <v>100000</v>
      </c>
      <c r="J181" s="10" t="s">
        <v>118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s="5" customFormat="1" ht="18.600000000000001" customHeight="1" x14ac:dyDescent="0.3">
      <c r="A182" s="1"/>
      <c r="B182" s="6">
        <f t="shared" si="2"/>
        <v>181</v>
      </c>
      <c r="C182" s="7">
        <v>46111</v>
      </c>
      <c r="D182" s="87" t="s">
        <v>240</v>
      </c>
      <c r="E182" s="87"/>
      <c r="F182" s="7" t="s">
        <v>89</v>
      </c>
      <c r="G182" s="6" t="s">
        <v>90</v>
      </c>
      <c r="H182" s="8">
        <v>945505080</v>
      </c>
      <c r="I182" s="22">
        <v>182400</v>
      </c>
      <c r="J182" s="10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s="5" customFormat="1" ht="18.600000000000001" customHeight="1" x14ac:dyDescent="0.3">
      <c r="A183" s="1"/>
      <c r="B183" s="6">
        <f t="shared" si="2"/>
        <v>182</v>
      </c>
      <c r="C183" s="7">
        <v>46112</v>
      </c>
      <c r="D183" s="87"/>
      <c r="E183" s="87"/>
      <c r="F183" s="7" t="s">
        <v>88</v>
      </c>
      <c r="G183" s="6"/>
      <c r="H183" s="8">
        <v>945841656</v>
      </c>
      <c r="I183" s="9">
        <v>50000</v>
      </c>
      <c r="J183" s="10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s="5" customFormat="1" ht="18.600000000000001" customHeight="1" x14ac:dyDescent="0.3">
      <c r="A184" s="1"/>
      <c r="B184" s="6">
        <f t="shared" si="2"/>
        <v>183</v>
      </c>
      <c r="C184" s="7">
        <v>46112</v>
      </c>
      <c r="D184" s="87"/>
      <c r="E184" s="87"/>
      <c r="F184" s="7" t="s">
        <v>88</v>
      </c>
      <c r="G184" s="6"/>
      <c r="H184" s="8">
        <v>946135636</v>
      </c>
      <c r="I184" s="9">
        <v>20000</v>
      </c>
      <c r="J184" s="10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s="5" customFormat="1" ht="18.600000000000001" customHeight="1" x14ac:dyDescent="0.3">
      <c r="A185" s="1"/>
      <c r="B185" s="6">
        <f t="shared" si="2"/>
        <v>184</v>
      </c>
      <c r="C185" s="7">
        <v>46113</v>
      </c>
      <c r="D185" s="87"/>
      <c r="E185" s="87"/>
      <c r="F185" s="7" t="s">
        <v>119</v>
      </c>
      <c r="G185" s="6" t="s">
        <v>119</v>
      </c>
      <c r="H185" s="8">
        <v>946211934</v>
      </c>
      <c r="I185" s="9">
        <v>76676</v>
      </c>
      <c r="J185" s="10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s="5" customFormat="1" ht="18.600000000000001" customHeight="1" x14ac:dyDescent="0.3">
      <c r="A186" s="1"/>
      <c r="B186" s="6">
        <f t="shared" si="2"/>
        <v>185</v>
      </c>
      <c r="C186" s="7">
        <v>46113</v>
      </c>
      <c r="D186" s="87"/>
      <c r="E186" s="87"/>
      <c r="F186" s="7" t="s">
        <v>31</v>
      </c>
      <c r="G186" s="6"/>
      <c r="H186" s="8">
        <v>946212087</v>
      </c>
      <c r="I186" s="9">
        <v>105710</v>
      </c>
      <c r="J186" s="10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s="5" customFormat="1" ht="18.600000000000001" customHeight="1" x14ac:dyDescent="0.3">
      <c r="A187" s="1"/>
      <c r="B187" s="6">
        <f t="shared" si="2"/>
        <v>186</v>
      </c>
      <c r="C187" s="7">
        <v>46113</v>
      </c>
      <c r="D187" s="87"/>
      <c r="E187" s="87"/>
      <c r="F187" s="7" t="s">
        <v>120</v>
      </c>
      <c r="G187" s="6"/>
      <c r="H187" s="8" t="s">
        <v>37</v>
      </c>
      <c r="I187" s="9">
        <v>7137</v>
      </c>
      <c r="J187" s="10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s="5" customFormat="1" ht="18.600000000000001" customHeight="1" x14ac:dyDescent="0.3">
      <c r="A188" s="1"/>
      <c r="B188" s="6">
        <f t="shared" si="2"/>
        <v>187</v>
      </c>
      <c r="C188" s="7">
        <v>46113</v>
      </c>
      <c r="D188" s="87"/>
      <c r="E188" s="87"/>
      <c r="F188" s="7" t="s">
        <v>111</v>
      </c>
      <c r="G188" s="6"/>
      <c r="H188" s="8">
        <v>946235733</v>
      </c>
      <c r="I188" s="9">
        <v>100000</v>
      </c>
      <c r="J188" s="10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s="5" customFormat="1" ht="18.600000000000001" customHeight="1" x14ac:dyDescent="0.3">
      <c r="A189" s="1"/>
      <c r="B189" s="6">
        <f t="shared" si="2"/>
        <v>188</v>
      </c>
      <c r="C189" s="7">
        <v>46113</v>
      </c>
      <c r="D189" s="87" t="s">
        <v>234</v>
      </c>
      <c r="E189" s="87" t="s">
        <v>2589</v>
      </c>
      <c r="F189" s="7" t="s">
        <v>69</v>
      </c>
      <c r="G189" s="10" t="s">
        <v>121</v>
      </c>
      <c r="H189" s="8">
        <v>946315894</v>
      </c>
      <c r="I189" s="9">
        <v>600000</v>
      </c>
      <c r="J189" s="10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s="5" customFormat="1" ht="18.600000000000001" customHeight="1" x14ac:dyDescent="0.3">
      <c r="A190" s="1"/>
      <c r="B190" s="6">
        <f t="shared" si="2"/>
        <v>189</v>
      </c>
      <c r="C190" s="7">
        <v>46114</v>
      </c>
      <c r="D190" s="87"/>
      <c r="E190" s="87"/>
      <c r="F190" s="7" t="s">
        <v>112</v>
      </c>
      <c r="G190" s="6"/>
      <c r="H190" s="8">
        <v>946399644</v>
      </c>
      <c r="I190" s="9">
        <v>945000</v>
      </c>
      <c r="J190" s="10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s="5" customFormat="1" ht="18.600000000000001" customHeight="1" x14ac:dyDescent="0.3">
      <c r="A191" s="1"/>
      <c r="B191" s="6">
        <f t="shared" si="2"/>
        <v>190</v>
      </c>
      <c r="C191" s="7">
        <v>46114</v>
      </c>
      <c r="D191" s="87" t="s">
        <v>341</v>
      </c>
      <c r="E191" s="87"/>
      <c r="F191" s="7" t="s">
        <v>42</v>
      </c>
      <c r="G191" s="6"/>
      <c r="H191" s="8">
        <v>946399757</v>
      </c>
      <c r="I191" s="9">
        <v>560000</v>
      </c>
      <c r="J191" s="10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s="5" customFormat="1" ht="18.600000000000001" customHeight="1" x14ac:dyDescent="0.3">
      <c r="A192" s="1"/>
      <c r="B192" s="6">
        <f t="shared" si="2"/>
        <v>191</v>
      </c>
      <c r="C192" s="7">
        <v>46114</v>
      </c>
      <c r="D192" s="87" t="s">
        <v>341</v>
      </c>
      <c r="E192" s="87"/>
      <c r="F192" s="7" t="s">
        <v>50</v>
      </c>
      <c r="G192" s="6"/>
      <c r="H192" s="8">
        <v>946399831</v>
      </c>
      <c r="I192" s="9">
        <v>450000</v>
      </c>
      <c r="J192" s="10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s="5" customFormat="1" ht="18.600000000000001" customHeight="1" x14ac:dyDescent="0.3">
      <c r="A193" s="1"/>
      <c r="B193" s="6">
        <f t="shared" si="2"/>
        <v>192</v>
      </c>
      <c r="C193" s="7">
        <v>46114</v>
      </c>
      <c r="D193" s="87" t="s">
        <v>234</v>
      </c>
      <c r="E193" s="87" t="s">
        <v>502</v>
      </c>
      <c r="F193" s="7" t="s">
        <v>63</v>
      </c>
      <c r="G193" s="10" t="s">
        <v>64</v>
      </c>
      <c r="H193" s="8">
        <v>946400129</v>
      </c>
      <c r="I193" s="9">
        <v>140000</v>
      </c>
      <c r="J193" s="10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s="5" customFormat="1" ht="18.600000000000001" customHeight="1" x14ac:dyDescent="0.3">
      <c r="A194" s="1"/>
      <c r="B194" s="6">
        <f t="shared" si="2"/>
        <v>193</v>
      </c>
      <c r="C194" s="7">
        <v>46114</v>
      </c>
      <c r="D194" s="87"/>
      <c r="E194" s="87"/>
      <c r="F194" s="7" t="s">
        <v>122</v>
      </c>
      <c r="G194" s="6" t="s">
        <v>123</v>
      </c>
      <c r="H194" s="8" t="s">
        <v>37</v>
      </c>
      <c r="I194" s="9">
        <v>10000</v>
      </c>
      <c r="J194" s="10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s="5" customFormat="1" ht="18.600000000000001" customHeight="1" x14ac:dyDescent="0.3">
      <c r="A195" s="1"/>
      <c r="B195" s="6">
        <f t="shared" si="2"/>
        <v>194</v>
      </c>
      <c r="C195" s="7">
        <v>46114</v>
      </c>
      <c r="D195" s="87" t="s">
        <v>341</v>
      </c>
      <c r="E195" s="87"/>
      <c r="F195" s="7" t="s">
        <v>84</v>
      </c>
      <c r="G195" s="6" t="s">
        <v>124</v>
      </c>
      <c r="H195" s="8">
        <v>946401093</v>
      </c>
      <c r="I195" s="9">
        <v>200000</v>
      </c>
      <c r="J195" s="10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s="5" customFormat="1" ht="18.600000000000001" customHeight="1" x14ac:dyDescent="0.3">
      <c r="A196" s="1"/>
      <c r="B196" s="6">
        <f t="shared" ref="B196:B259" si="3">+B195+1</f>
        <v>195</v>
      </c>
      <c r="C196" s="7">
        <v>46114</v>
      </c>
      <c r="D196" s="87" t="s">
        <v>234</v>
      </c>
      <c r="E196" s="87" t="s">
        <v>446</v>
      </c>
      <c r="F196" s="7" t="s">
        <v>125</v>
      </c>
      <c r="G196" s="10" t="s">
        <v>126</v>
      </c>
      <c r="H196" s="8">
        <v>946423940</v>
      </c>
      <c r="I196" s="9">
        <v>176000</v>
      </c>
      <c r="J196" s="10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s="5" customFormat="1" ht="18.600000000000001" customHeight="1" x14ac:dyDescent="0.3">
      <c r="A197" s="1"/>
      <c r="B197" s="6">
        <f t="shared" si="3"/>
        <v>196</v>
      </c>
      <c r="C197" s="7">
        <v>46114</v>
      </c>
      <c r="D197" s="87" t="s">
        <v>234</v>
      </c>
      <c r="E197" s="87" t="s">
        <v>546</v>
      </c>
      <c r="F197" s="7" t="s">
        <v>127</v>
      </c>
      <c r="G197" s="10" t="s">
        <v>128</v>
      </c>
      <c r="H197" s="8">
        <v>946424741</v>
      </c>
      <c r="I197" s="9">
        <v>126900</v>
      </c>
      <c r="J197" s="10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s="5" customFormat="1" ht="18.600000000000001" customHeight="1" x14ac:dyDescent="0.3">
      <c r="A198" s="1"/>
      <c r="B198" s="6">
        <f t="shared" si="3"/>
        <v>197</v>
      </c>
      <c r="C198" s="7">
        <v>46114</v>
      </c>
      <c r="D198" s="87" t="s">
        <v>234</v>
      </c>
      <c r="E198" s="87" t="s">
        <v>350</v>
      </c>
      <c r="F198" s="7" t="s">
        <v>103</v>
      </c>
      <c r="G198" s="10" t="s">
        <v>104</v>
      </c>
      <c r="H198" s="8">
        <v>946425164</v>
      </c>
      <c r="I198" s="9">
        <v>98000</v>
      </c>
      <c r="J198" s="10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s="5" customFormat="1" ht="18.600000000000001" customHeight="1" x14ac:dyDescent="0.3">
      <c r="A199" s="1"/>
      <c r="B199" s="6">
        <f t="shared" si="3"/>
        <v>198</v>
      </c>
      <c r="C199" s="7">
        <v>46114</v>
      </c>
      <c r="D199" s="87"/>
      <c r="E199" s="87"/>
      <c r="F199" s="7" t="s">
        <v>88</v>
      </c>
      <c r="G199" s="6"/>
      <c r="H199" s="8">
        <v>946472754</v>
      </c>
      <c r="I199" s="9">
        <v>100000</v>
      </c>
      <c r="J199" s="10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s="5" customFormat="1" ht="18.600000000000001" customHeight="1" x14ac:dyDescent="0.3">
      <c r="A200" s="1"/>
      <c r="B200" s="6">
        <f t="shared" si="3"/>
        <v>199</v>
      </c>
      <c r="C200" s="7">
        <v>46115</v>
      </c>
      <c r="D200" s="87"/>
      <c r="E200" s="87"/>
      <c r="F200" s="7" t="s">
        <v>88</v>
      </c>
      <c r="G200" s="6"/>
      <c r="H200" s="8">
        <v>946638431</v>
      </c>
      <c r="I200" s="9">
        <v>120000</v>
      </c>
      <c r="J200" s="1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s="5" customFormat="1" ht="18.600000000000001" customHeight="1" x14ac:dyDescent="0.3">
      <c r="A201" s="1"/>
      <c r="B201" s="6">
        <f t="shared" si="3"/>
        <v>200</v>
      </c>
      <c r="C201" s="7">
        <v>46115</v>
      </c>
      <c r="D201" s="87"/>
      <c r="E201" s="87"/>
      <c r="F201" s="7" t="s">
        <v>57</v>
      </c>
      <c r="G201" s="6" t="s">
        <v>129</v>
      </c>
      <c r="H201" s="8" t="s">
        <v>37</v>
      </c>
      <c r="I201" s="9">
        <v>25000</v>
      </c>
      <c r="J201" s="10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s="5" customFormat="1" ht="18.600000000000001" customHeight="1" x14ac:dyDescent="0.3">
      <c r="A202" s="1"/>
      <c r="B202" s="6">
        <f t="shared" si="3"/>
        <v>201</v>
      </c>
      <c r="C202" s="7">
        <v>46115</v>
      </c>
      <c r="D202" s="87" t="s">
        <v>341</v>
      </c>
      <c r="E202" s="87"/>
      <c r="F202" s="7" t="s">
        <v>131</v>
      </c>
      <c r="G202" s="6" t="s">
        <v>132</v>
      </c>
      <c r="H202" s="8">
        <v>946781832</v>
      </c>
      <c r="I202" s="9">
        <v>50000</v>
      </c>
      <c r="J202" s="10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s="5" customFormat="1" ht="18.600000000000001" customHeight="1" x14ac:dyDescent="0.3">
      <c r="A203" s="1"/>
      <c r="B203" s="6">
        <f t="shared" si="3"/>
        <v>202</v>
      </c>
      <c r="C203" s="7">
        <v>46115</v>
      </c>
      <c r="D203" s="87"/>
      <c r="E203" s="87"/>
      <c r="F203" s="7" t="s">
        <v>117</v>
      </c>
      <c r="G203" s="6"/>
      <c r="H203" s="8">
        <v>946785769</v>
      </c>
      <c r="I203" s="9">
        <v>50000</v>
      </c>
      <c r="J203" s="10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s="5" customFormat="1" ht="18.600000000000001" customHeight="1" x14ac:dyDescent="0.3">
      <c r="A204" s="1"/>
      <c r="B204" s="6">
        <f t="shared" si="3"/>
        <v>203</v>
      </c>
      <c r="C204" s="7">
        <v>46115</v>
      </c>
      <c r="D204" s="87" t="s">
        <v>341</v>
      </c>
      <c r="E204" s="87"/>
      <c r="F204" s="7" t="s">
        <v>84</v>
      </c>
      <c r="G204" s="6" t="s">
        <v>133</v>
      </c>
      <c r="H204" s="8">
        <v>946785813</v>
      </c>
      <c r="I204" s="9">
        <v>50000</v>
      </c>
      <c r="J204" s="10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s="5" customFormat="1" ht="18.600000000000001" customHeight="1" x14ac:dyDescent="0.3">
      <c r="A205" s="1"/>
      <c r="B205" s="6">
        <f t="shared" si="3"/>
        <v>204</v>
      </c>
      <c r="C205" s="7">
        <v>46116</v>
      </c>
      <c r="D205" s="87" t="s">
        <v>2608</v>
      </c>
      <c r="E205" s="87"/>
      <c r="F205" s="7" t="s">
        <v>95</v>
      </c>
      <c r="G205" s="6" t="s">
        <v>295</v>
      </c>
      <c r="H205" s="8">
        <v>946920070</v>
      </c>
      <c r="I205" s="9">
        <v>221250</v>
      </c>
      <c r="J205" s="1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s="5" customFormat="1" ht="18.600000000000001" customHeight="1" x14ac:dyDescent="0.3">
      <c r="A206" s="1"/>
      <c r="B206" s="6">
        <f t="shared" si="3"/>
        <v>205</v>
      </c>
      <c r="C206" s="7">
        <v>46116</v>
      </c>
      <c r="D206" s="87" t="s">
        <v>240</v>
      </c>
      <c r="E206" s="87"/>
      <c r="F206" s="7" t="s">
        <v>80</v>
      </c>
      <c r="G206" s="6"/>
      <c r="H206" s="8">
        <v>946957284</v>
      </c>
      <c r="I206" s="22">
        <v>83600</v>
      </c>
      <c r="J206" s="10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s="5" customFormat="1" ht="18.600000000000001" customHeight="1" x14ac:dyDescent="0.3">
      <c r="A207" s="1"/>
      <c r="B207" s="6">
        <f t="shared" si="3"/>
        <v>206</v>
      </c>
      <c r="C207" s="7">
        <v>46117</v>
      </c>
      <c r="D207" s="87"/>
      <c r="E207" s="87"/>
      <c r="F207" s="7" t="s">
        <v>117</v>
      </c>
      <c r="G207" s="6"/>
      <c r="H207" s="8">
        <v>947047639</v>
      </c>
      <c r="I207" s="9">
        <v>100000</v>
      </c>
      <c r="J207" s="10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s="5" customFormat="1" ht="18.600000000000001" customHeight="1" x14ac:dyDescent="0.3">
      <c r="A208" s="1"/>
      <c r="B208" s="6">
        <f t="shared" si="3"/>
        <v>207</v>
      </c>
      <c r="C208" s="7">
        <v>46117</v>
      </c>
      <c r="D208" s="87" t="s">
        <v>341</v>
      </c>
      <c r="E208" s="87"/>
      <c r="F208" s="7" t="s">
        <v>84</v>
      </c>
      <c r="G208" s="6"/>
      <c r="H208" s="8">
        <v>947047659</v>
      </c>
      <c r="I208" s="9">
        <v>100000</v>
      </c>
      <c r="J208" s="10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s="5" customFormat="1" ht="18.600000000000001" customHeight="1" x14ac:dyDescent="0.3">
      <c r="A209" s="1"/>
      <c r="B209" s="6">
        <f t="shared" si="3"/>
        <v>208</v>
      </c>
      <c r="C209" s="7">
        <v>46117</v>
      </c>
      <c r="D209" s="87"/>
      <c r="E209" s="87"/>
      <c r="F209" s="7" t="s">
        <v>134</v>
      </c>
      <c r="G209" s="6" t="s">
        <v>135</v>
      </c>
      <c r="H209" s="8">
        <v>947049255</v>
      </c>
      <c r="I209" s="9">
        <v>76400</v>
      </c>
      <c r="J209" s="10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s="5" customFormat="1" ht="18.600000000000001" customHeight="1" x14ac:dyDescent="0.3">
      <c r="A210" s="1"/>
      <c r="B210" s="6">
        <f t="shared" si="3"/>
        <v>209</v>
      </c>
      <c r="C210" s="7">
        <v>46117</v>
      </c>
      <c r="D210" s="87"/>
      <c r="E210" s="87"/>
      <c r="F210" s="7" t="s">
        <v>117</v>
      </c>
      <c r="G210" s="6"/>
      <c r="H210" s="8">
        <v>947076732</v>
      </c>
      <c r="I210" s="9">
        <v>30000</v>
      </c>
      <c r="J210" s="10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s="5" customFormat="1" ht="18.600000000000001" customHeight="1" x14ac:dyDescent="0.3">
      <c r="A211" s="1"/>
      <c r="B211" s="6">
        <f t="shared" si="3"/>
        <v>210</v>
      </c>
      <c r="C211" s="7">
        <v>46117</v>
      </c>
      <c r="D211" s="87"/>
      <c r="E211" s="87"/>
      <c r="F211" s="7" t="s">
        <v>136</v>
      </c>
      <c r="G211" s="6"/>
      <c r="H211" s="8">
        <v>947109706</v>
      </c>
      <c r="I211" s="9">
        <v>129000</v>
      </c>
      <c r="J211" s="10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s="5" customFormat="1" ht="18.600000000000001" customHeight="1" x14ac:dyDescent="0.3">
      <c r="A212" s="1"/>
      <c r="B212" s="6">
        <f t="shared" si="3"/>
        <v>211</v>
      </c>
      <c r="C212" s="7">
        <v>46117</v>
      </c>
      <c r="D212" s="87"/>
      <c r="E212" s="87"/>
      <c r="F212" s="7" t="s">
        <v>117</v>
      </c>
      <c r="G212" s="6"/>
      <c r="H212" s="8" t="s">
        <v>177</v>
      </c>
      <c r="I212" s="9">
        <v>50000</v>
      </c>
      <c r="J212" s="1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s="5" customFormat="1" ht="18.600000000000001" customHeight="1" x14ac:dyDescent="0.3">
      <c r="A213" s="1"/>
      <c r="B213" s="6">
        <f t="shared" si="3"/>
        <v>212</v>
      </c>
      <c r="C213" s="7">
        <v>46117</v>
      </c>
      <c r="D213" s="87" t="s">
        <v>234</v>
      </c>
      <c r="E213" s="87"/>
      <c r="F213" s="7" t="s">
        <v>178</v>
      </c>
      <c r="G213" s="6" t="s">
        <v>179</v>
      </c>
      <c r="H213" s="8">
        <v>953316149</v>
      </c>
      <c r="I213" s="9">
        <v>153825</v>
      </c>
      <c r="J213" s="1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s="5" customFormat="1" ht="18.600000000000001" customHeight="1" x14ac:dyDescent="0.3">
      <c r="A214" s="1"/>
      <c r="B214" s="6">
        <f t="shared" si="3"/>
        <v>213</v>
      </c>
      <c r="C214" s="7">
        <v>46118</v>
      </c>
      <c r="D214" s="87"/>
      <c r="E214" s="87"/>
      <c r="F214" s="7" t="s">
        <v>88</v>
      </c>
      <c r="G214" s="6"/>
      <c r="H214" s="8">
        <v>947139558</v>
      </c>
      <c r="I214" s="9">
        <v>60000</v>
      </c>
      <c r="J214" s="1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s="5" customFormat="1" ht="18.600000000000001" customHeight="1" x14ac:dyDescent="0.3">
      <c r="A215" s="1"/>
      <c r="B215" s="6">
        <f t="shared" si="3"/>
        <v>214</v>
      </c>
      <c r="C215" s="7">
        <v>46118</v>
      </c>
      <c r="D215" s="87"/>
      <c r="E215" s="87"/>
      <c r="F215" s="7" t="s">
        <v>88</v>
      </c>
      <c r="G215" s="6"/>
      <c r="H215" s="8">
        <v>947207987</v>
      </c>
      <c r="I215" s="9">
        <v>250000</v>
      </c>
      <c r="J215" s="1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s="5" customFormat="1" ht="18.600000000000001" customHeight="1" x14ac:dyDescent="0.3">
      <c r="A216" s="1"/>
      <c r="B216" s="6">
        <f t="shared" si="3"/>
        <v>215</v>
      </c>
      <c r="C216" s="7">
        <v>46118</v>
      </c>
      <c r="D216" s="87" t="s">
        <v>240</v>
      </c>
      <c r="E216" s="87"/>
      <c r="F216" s="7" t="s">
        <v>80</v>
      </c>
      <c r="G216" s="6"/>
      <c r="H216" s="8">
        <v>947289619</v>
      </c>
      <c r="I216" s="22">
        <v>250000</v>
      </c>
      <c r="J216" s="1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s="5" customFormat="1" ht="18.600000000000001" customHeight="1" x14ac:dyDescent="0.3">
      <c r="A217" s="1"/>
      <c r="B217" s="6">
        <f t="shared" si="3"/>
        <v>216</v>
      </c>
      <c r="C217" s="7">
        <v>46119</v>
      </c>
      <c r="D217" s="87"/>
      <c r="E217" s="87"/>
      <c r="F217" s="7" t="s">
        <v>137</v>
      </c>
      <c r="G217" s="6"/>
      <c r="H217" s="8" t="s">
        <v>37</v>
      </c>
      <c r="I217" s="9">
        <v>10400</v>
      </c>
      <c r="J217" s="1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s="5" customFormat="1" ht="18.600000000000001" customHeight="1" x14ac:dyDescent="0.3">
      <c r="A218" s="1"/>
      <c r="B218" s="6">
        <f t="shared" si="3"/>
        <v>217</v>
      </c>
      <c r="C218" s="7">
        <v>46120</v>
      </c>
      <c r="D218" s="87"/>
      <c r="E218" s="87"/>
      <c r="F218" s="7" t="s">
        <v>117</v>
      </c>
      <c r="G218" s="6"/>
      <c r="H218" s="8">
        <v>947696887</v>
      </c>
      <c r="I218" s="9">
        <v>20000</v>
      </c>
      <c r="J218" s="1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s="5" customFormat="1" ht="18.600000000000001" customHeight="1" x14ac:dyDescent="0.3">
      <c r="A219" s="1"/>
      <c r="B219" s="6">
        <f t="shared" si="3"/>
        <v>218</v>
      </c>
      <c r="C219" s="7">
        <v>46120</v>
      </c>
      <c r="D219" s="87" t="s">
        <v>341</v>
      </c>
      <c r="E219" s="87"/>
      <c r="F219" s="7" t="s">
        <v>84</v>
      </c>
      <c r="G219" s="6" t="s">
        <v>138</v>
      </c>
      <c r="H219" s="8">
        <v>947720882</v>
      </c>
      <c r="I219" s="9">
        <v>50000</v>
      </c>
      <c r="J219" s="1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s="5" customFormat="1" ht="18.600000000000001" customHeight="1" x14ac:dyDescent="0.3">
      <c r="A220" s="1"/>
      <c r="B220" s="6">
        <f t="shared" si="3"/>
        <v>219</v>
      </c>
      <c r="C220" s="7">
        <v>46121</v>
      </c>
      <c r="D220" s="87" t="s">
        <v>240</v>
      </c>
      <c r="E220" s="87"/>
      <c r="F220" s="7" t="s">
        <v>80</v>
      </c>
      <c r="G220" s="6"/>
      <c r="H220" s="8">
        <v>947942917</v>
      </c>
      <c r="I220" s="22">
        <v>174342</v>
      </c>
      <c r="J220" s="1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s="5" customFormat="1" ht="18.600000000000001" customHeight="1" x14ac:dyDescent="0.3">
      <c r="A221" s="1"/>
      <c r="B221" s="6">
        <f t="shared" si="3"/>
        <v>220</v>
      </c>
      <c r="C221" s="7">
        <v>46121</v>
      </c>
      <c r="D221" s="87" t="s">
        <v>234</v>
      </c>
      <c r="E221" s="87" t="s">
        <v>446</v>
      </c>
      <c r="F221" s="7" t="s">
        <v>125</v>
      </c>
      <c r="G221" s="10" t="s">
        <v>126</v>
      </c>
      <c r="H221" s="8">
        <v>947949262</v>
      </c>
      <c r="I221" s="9">
        <v>246600</v>
      </c>
      <c r="J221" s="1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s="5" customFormat="1" ht="18.600000000000001" customHeight="1" x14ac:dyDescent="0.3">
      <c r="A222" s="1"/>
      <c r="B222" s="6">
        <f t="shared" si="3"/>
        <v>221</v>
      </c>
      <c r="C222" s="7">
        <v>46121</v>
      </c>
      <c r="D222" s="87" t="s">
        <v>234</v>
      </c>
      <c r="E222" s="87" t="s">
        <v>546</v>
      </c>
      <c r="F222" s="7" t="s">
        <v>127</v>
      </c>
      <c r="G222" s="10" t="s">
        <v>128</v>
      </c>
      <c r="H222" s="8">
        <v>947949565</v>
      </c>
      <c r="I222" s="9">
        <v>87500</v>
      </c>
      <c r="J222" s="1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s="5" customFormat="1" ht="18.600000000000001" customHeight="1" x14ac:dyDescent="0.3">
      <c r="A223" s="1"/>
      <c r="B223" s="6">
        <f t="shared" si="3"/>
        <v>222</v>
      </c>
      <c r="C223" s="7">
        <v>46121</v>
      </c>
      <c r="D223" s="87" t="s">
        <v>234</v>
      </c>
      <c r="E223" s="87" t="s">
        <v>2589</v>
      </c>
      <c r="F223" s="7" t="s">
        <v>69</v>
      </c>
      <c r="G223" s="10" t="s">
        <v>121</v>
      </c>
      <c r="H223" s="8">
        <v>947975323</v>
      </c>
      <c r="I223" s="9">
        <v>500000</v>
      </c>
      <c r="J223" s="1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s="5" customFormat="1" ht="18.600000000000001" customHeight="1" x14ac:dyDescent="0.3">
      <c r="A224" s="1"/>
      <c r="B224" s="6">
        <f t="shared" si="3"/>
        <v>223</v>
      </c>
      <c r="C224" s="7">
        <v>46121</v>
      </c>
      <c r="D224" s="87"/>
      <c r="E224" s="87"/>
      <c r="F224" s="7" t="s">
        <v>139</v>
      </c>
      <c r="G224" s="6" t="s">
        <v>140</v>
      </c>
      <c r="H224" s="8">
        <v>948022357</v>
      </c>
      <c r="I224" s="9">
        <v>47500</v>
      </c>
      <c r="J224" s="1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s="5" customFormat="1" ht="18.600000000000001" customHeight="1" x14ac:dyDescent="0.3">
      <c r="A225" s="1"/>
      <c r="B225" s="6">
        <f t="shared" si="3"/>
        <v>224</v>
      </c>
      <c r="C225" s="7">
        <v>46121</v>
      </c>
      <c r="D225" s="87"/>
      <c r="E225" s="87"/>
      <c r="F225" s="7" t="s">
        <v>141</v>
      </c>
      <c r="G225" s="6"/>
      <c r="H225" s="8">
        <v>948026183</v>
      </c>
      <c r="I225" s="9">
        <v>256000</v>
      </c>
      <c r="J225" s="10" t="s">
        <v>142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s="5" customFormat="1" ht="18.600000000000001" customHeight="1" x14ac:dyDescent="0.3">
      <c r="A226" s="1"/>
      <c r="B226" s="6">
        <f t="shared" si="3"/>
        <v>225</v>
      </c>
      <c r="C226" s="7">
        <v>46121</v>
      </c>
      <c r="D226" s="87" t="s">
        <v>234</v>
      </c>
      <c r="E226" s="87" t="s">
        <v>350</v>
      </c>
      <c r="F226" s="7" t="s">
        <v>103</v>
      </c>
      <c r="G226" s="10" t="s">
        <v>104</v>
      </c>
      <c r="H226" s="8">
        <v>948027187</v>
      </c>
      <c r="I226" s="9">
        <v>300000</v>
      </c>
      <c r="J226" s="1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s="5" customFormat="1" ht="18.600000000000001" customHeight="1" x14ac:dyDescent="0.3">
      <c r="A227" s="1"/>
      <c r="B227" s="6">
        <f t="shared" si="3"/>
        <v>226</v>
      </c>
      <c r="C227" s="7">
        <v>46121</v>
      </c>
      <c r="D227" s="87"/>
      <c r="E227" s="87"/>
      <c r="F227" s="7" t="s">
        <v>143</v>
      </c>
      <c r="G227" s="6" t="s">
        <v>144</v>
      </c>
      <c r="H227" s="8" t="s">
        <v>37</v>
      </c>
      <c r="I227" s="9">
        <v>19000</v>
      </c>
      <c r="J227" s="1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s="5" customFormat="1" ht="18.600000000000001" customHeight="1" x14ac:dyDescent="0.3">
      <c r="A228" s="1"/>
      <c r="B228" s="6">
        <f t="shared" si="3"/>
        <v>227</v>
      </c>
      <c r="C228" s="7">
        <v>46121</v>
      </c>
      <c r="D228" s="87"/>
      <c r="E228" s="87"/>
      <c r="F228" s="7" t="s">
        <v>145</v>
      </c>
      <c r="G228" s="6" t="s">
        <v>146</v>
      </c>
      <c r="H228" s="8" t="s">
        <v>37</v>
      </c>
      <c r="I228" s="9">
        <v>1000</v>
      </c>
      <c r="J228" s="1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s="5" customFormat="1" ht="18.600000000000001" customHeight="1" x14ac:dyDescent="0.3">
      <c r="A229" s="1"/>
      <c r="B229" s="6">
        <f t="shared" si="3"/>
        <v>228</v>
      </c>
      <c r="C229" s="7">
        <v>46121</v>
      </c>
      <c r="D229" s="87" t="s">
        <v>341</v>
      </c>
      <c r="E229" s="87"/>
      <c r="F229" s="7" t="s">
        <v>147</v>
      </c>
      <c r="G229" s="6" t="s">
        <v>148</v>
      </c>
      <c r="H229" s="8" t="s">
        <v>37</v>
      </c>
      <c r="I229" s="9">
        <v>50000</v>
      </c>
      <c r="J229" s="1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s="5" customFormat="1" ht="18.600000000000001" customHeight="1" x14ac:dyDescent="0.3">
      <c r="A230" s="1"/>
      <c r="B230" s="6">
        <f t="shared" si="3"/>
        <v>229</v>
      </c>
      <c r="C230" s="7">
        <v>46121</v>
      </c>
      <c r="D230" s="87"/>
      <c r="E230" s="87"/>
      <c r="F230" s="7" t="s">
        <v>117</v>
      </c>
      <c r="G230" s="6"/>
      <c r="H230" s="8">
        <v>948116605</v>
      </c>
      <c r="I230" s="9">
        <v>50000</v>
      </c>
      <c r="J230" s="1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s="5" customFormat="1" ht="18.600000000000001" customHeight="1" x14ac:dyDescent="0.3">
      <c r="A231" s="1"/>
      <c r="B231" s="6">
        <f t="shared" si="3"/>
        <v>230</v>
      </c>
      <c r="C231" s="7">
        <v>46121</v>
      </c>
      <c r="D231" s="87"/>
      <c r="E231" s="87"/>
      <c r="F231" s="7" t="s">
        <v>149</v>
      </c>
      <c r="G231" s="6" t="s">
        <v>150</v>
      </c>
      <c r="H231" s="8" t="s">
        <v>37</v>
      </c>
      <c r="I231" s="9">
        <v>16464</v>
      </c>
      <c r="J231" s="1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s="5" customFormat="1" ht="18.600000000000001" customHeight="1" x14ac:dyDescent="0.3">
      <c r="A232" s="1"/>
      <c r="B232" s="6">
        <f t="shared" si="3"/>
        <v>231</v>
      </c>
      <c r="C232" s="7">
        <v>46122</v>
      </c>
      <c r="D232" s="87"/>
      <c r="E232" s="87"/>
      <c r="F232" s="7" t="s">
        <v>117</v>
      </c>
      <c r="G232" s="6"/>
      <c r="H232" s="8">
        <v>948176410</v>
      </c>
      <c r="I232" s="9">
        <v>100000</v>
      </c>
      <c r="J232" s="1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s="5" customFormat="1" ht="18.600000000000001" customHeight="1" x14ac:dyDescent="0.3">
      <c r="A233" s="1"/>
      <c r="B233" s="6">
        <f t="shared" si="3"/>
        <v>232</v>
      </c>
      <c r="C233" s="7">
        <v>46122</v>
      </c>
      <c r="D233" s="87" t="s">
        <v>341</v>
      </c>
      <c r="E233" s="87"/>
      <c r="F233" s="7" t="s">
        <v>84</v>
      </c>
      <c r="G233" s="6" t="s">
        <v>133</v>
      </c>
      <c r="H233" s="8">
        <v>948182344</v>
      </c>
      <c r="I233" s="9">
        <v>100000</v>
      </c>
      <c r="J233" s="1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s="5" customFormat="1" ht="18.600000000000001" customHeight="1" x14ac:dyDescent="0.3">
      <c r="A234" s="1"/>
      <c r="B234" s="6">
        <f t="shared" si="3"/>
        <v>233</v>
      </c>
      <c r="C234" s="7">
        <v>46122</v>
      </c>
      <c r="D234" s="87" t="s">
        <v>341</v>
      </c>
      <c r="E234" s="87"/>
      <c r="F234" s="7" t="s">
        <v>42</v>
      </c>
      <c r="G234" s="6"/>
      <c r="H234" s="8">
        <v>948182162</v>
      </c>
      <c r="I234" s="9">
        <v>100000</v>
      </c>
      <c r="J234" s="1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s="5" customFormat="1" ht="18.600000000000001" customHeight="1" x14ac:dyDescent="0.3">
      <c r="A235" s="1"/>
      <c r="B235" s="6">
        <f t="shared" si="3"/>
        <v>234</v>
      </c>
      <c r="C235" s="7">
        <v>46122</v>
      </c>
      <c r="D235" s="87"/>
      <c r="E235" s="87"/>
      <c r="F235" s="7" t="s">
        <v>151</v>
      </c>
      <c r="G235" s="6" t="s">
        <v>15</v>
      </c>
      <c r="H235" s="8" t="s">
        <v>37</v>
      </c>
      <c r="I235" s="9">
        <v>46560</v>
      </c>
      <c r="J235" s="10" t="s">
        <v>152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s="5" customFormat="1" ht="18.600000000000001" customHeight="1" x14ac:dyDescent="0.3">
      <c r="A236" s="1"/>
      <c r="B236" s="6">
        <f t="shared" si="3"/>
        <v>235</v>
      </c>
      <c r="C236" s="7">
        <v>46122</v>
      </c>
      <c r="D236" s="87" t="s">
        <v>240</v>
      </c>
      <c r="E236" s="87"/>
      <c r="F236" s="7" t="s">
        <v>80</v>
      </c>
      <c r="G236" s="6"/>
      <c r="H236" s="8">
        <v>948237050</v>
      </c>
      <c r="I236" s="22">
        <v>173557</v>
      </c>
      <c r="J236" s="1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s="5" customFormat="1" ht="18.600000000000001" customHeight="1" x14ac:dyDescent="0.3">
      <c r="A237" s="1"/>
      <c r="B237" s="6">
        <f t="shared" si="3"/>
        <v>236</v>
      </c>
      <c r="C237" s="7">
        <v>46122</v>
      </c>
      <c r="D237" s="87"/>
      <c r="E237" s="87"/>
      <c r="F237" s="7" t="s">
        <v>139</v>
      </c>
      <c r="G237" s="6" t="s">
        <v>140</v>
      </c>
      <c r="H237" s="8">
        <v>9482888348</v>
      </c>
      <c r="I237" s="9">
        <v>62500</v>
      </c>
      <c r="J237" s="1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s="5" customFormat="1" ht="18.600000000000001" customHeight="1" x14ac:dyDescent="0.3">
      <c r="A238" s="1"/>
      <c r="B238" s="6">
        <f t="shared" si="3"/>
        <v>237</v>
      </c>
      <c r="C238" s="7">
        <v>46122</v>
      </c>
      <c r="D238" s="87"/>
      <c r="E238" s="87"/>
      <c r="F238" s="7" t="s">
        <v>153</v>
      </c>
      <c r="G238" s="6" t="s">
        <v>154</v>
      </c>
      <c r="H238" s="8">
        <v>948315430</v>
      </c>
      <c r="I238" s="9">
        <v>113000</v>
      </c>
      <c r="J238" s="1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s="5" customFormat="1" ht="18.600000000000001" customHeight="1" x14ac:dyDescent="0.3">
      <c r="A239" s="1"/>
      <c r="B239" s="6">
        <f t="shared" si="3"/>
        <v>238</v>
      </c>
      <c r="C239" s="7">
        <v>46123</v>
      </c>
      <c r="D239" s="87"/>
      <c r="E239" s="87"/>
      <c r="F239" s="7" t="s">
        <v>155</v>
      </c>
      <c r="G239" s="6"/>
      <c r="H239" s="8">
        <v>948451517</v>
      </c>
      <c r="I239" s="9">
        <v>112700</v>
      </c>
      <c r="J239" s="1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s="5" customFormat="1" ht="18.600000000000001" customHeight="1" x14ac:dyDescent="0.3">
      <c r="A240" s="1"/>
      <c r="B240" s="6">
        <f t="shared" si="3"/>
        <v>239</v>
      </c>
      <c r="C240" s="7">
        <v>46123</v>
      </c>
      <c r="D240" s="87"/>
      <c r="E240" s="87"/>
      <c r="F240" s="7" t="s">
        <v>156</v>
      </c>
      <c r="G240" s="6" t="s">
        <v>157</v>
      </c>
      <c r="H240" s="8">
        <v>948490340</v>
      </c>
      <c r="I240" s="9">
        <v>125370</v>
      </c>
      <c r="J240" s="1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s="5" customFormat="1" ht="18.600000000000001" customHeight="1" x14ac:dyDescent="0.3">
      <c r="A241" s="1"/>
      <c r="B241" s="6">
        <f t="shared" si="3"/>
        <v>240</v>
      </c>
      <c r="C241" s="7">
        <v>46123</v>
      </c>
      <c r="D241" s="87"/>
      <c r="E241" s="87"/>
      <c r="F241" s="7" t="s">
        <v>88</v>
      </c>
      <c r="G241" s="6"/>
      <c r="H241" s="8">
        <v>948519725</v>
      </c>
      <c r="I241" s="9">
        <v>20000</v>
      </c>
      <c r="J241" s="1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s="5" customFormat="1" ht="18.600000000000001" customHeight="1" x14ac:dyDescent="0.3">
      <c r="A242" s="1"/>
      <c r="B242" s="6">
        <f t="shared" si="3"/>
        <v>241</v>
      </c>
      <c r="C242" s="7">
        <v>46123</v>
      </c>
      <c r="D242" s="87" t="s">
        <v>240</v>
      </c>
      <c r="E242" s="87"/>
      <c r="F242" s="7" t="s">
        <v>80</v>
      </c>
      <c r="G242" s="6"/>
      <c r="H242" s="8">
        <v>948568657</v>
      </c>
      <c r="I242" s="22">
        <v>173557</v>
      </c>
      <c r="J242" s="1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s="5" customFormat="1" ht="18.600000000000001" customHeight="1" x14ac:dyDescent="0.3">
      <c r="A243" s="1"/>
      <c r="B243" s="6">
        <f t="shared" si="3"/>
        <v>242</v>
      </c>
      <c r="C243" s="7">
        <v>46124</v>
      </c>
      <c r="D243" s="87"/>
      <c r="E243" s="87"/>
      <c r="F243" s="7" t="s">
        <v>112</v>
      </c>
      <c r="G243" s="6"/>
      <c r="H243" s="8">
        <v>948657385</v>
      </c>
      <c r="I243" s="9">
        <v>200000</v>
      </c>
      <c r="J243" s="1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s="5" customFormat="1" ht="18.600000000000001" customHeight="1" x14ac:dyDescent="0.3">
      <c r="A244" s="1"/>
      <c r="B244" s="6">
        <f t="shared" si="3"/>
        <v>243</v>
      </c>
      <c r="C244" s="7">
        <v>46124</v>
      </c>
      <c r="D244" s="87" t="s">
        <v>341</v>
      </c>
      <c r="E244" s="87"/>
      <c r="F244" s="7" t="s">
        <v>42</v>
      </c>
      <c r="G244" s="6"/>
      <c r="H244" s="8">
        <v>948657522</v>
      </c>
      <c r="I244" s="9">
        <v>200000</v>
      </c>
      <c r="J244" s="1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s="5" customFormat="1" ht="18.600000000000001" customHeight="1" x14ac:dyDescent="0.3">
      <c r="A245" s="1"/>
      <c r="B245" s="6">
        <f t="shared" si="3"/>
        <v>244</v>
      </c>
      <c r="C245" s="7">
        <v>46124</v>
      </c>
      <c r="D245" s="87" t="s">
        <v>341</v>
      </c>
      <c r="E245" s="87"/>
      <c r="F245" s="7" t="s">
        <v>50</v>
      </c>
      <c r="G245" s="6"/>
      <c r="H245" s="8">
        <v>948676796</v>
      </c>
      <c r="I245" s="9">
        <v>100000</v>
      </c>
      <c r="J245" s="1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s="5" customFormat="1" ht="18.600000000000001" customHeight="1" x14ac:dyDescent="0.3">
      <c r="A246" s="1"/>
      <c r="B246" s="6">
        <f t="shared" si="3"/>
        <v>245</v>
      </c>
      <c r="C246" s="7">
        <v>46124</v>
      </c>
      <c r="D246" s="87" t="s">
        <v>341</v>
      </c>
      <c r="E246" s="87"/>
      <c r="F246" s="7" t="s">
        <v>84</v>
      </c>
      <c r="G246" s="6" t="s">
        <v>133</v>
      </c>
      <c r="H246" s="8">
        <v>948706318</v>
      </c>
      <c r="I246" s="9">
        <v>200000</v>
      </c>
      <c r="J246" s="1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s="5" customFormat="1" ht="18.600000000000001" customHeight="1" x14ac:dyDescent="0.3">
      <c r="A247" s="1"/>
      <c r="B247" s="6">
        <f t="shared" si="3"/>
        <v>246</v>
      </c>
      <c r="C247" s="7">
        <v>46124</v>
      </c>
      <c r="D247" s="87" t="s">
        <v>2608</v>
      </c>
      <c r="E247" s="87"/>
      <c r="F247" s="7" t="s">
        <v>95</v>
      </c>
      <c r="G247" s="6" t="s">
        <v>295</v>
      </c>
      <c r="H247" s="8">
        <v>961200456</v>
      </c>
      <c r="I247" s="9">
        <v>400000</v>
      </c>
      <c r="J247" s="1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s="5" customFormat="1" ht="18.600000000000001" customHeight="1" x14ac:dyDescent="0.3">
      <c r="A248" s="1"/>
      <c r="B248" s="6">
        <f t="shared" si="3"/>
        <v>247</v>
      </c>
      <c r="C248" s="7">
        <v>46125</v>
      </c>
      <c r="D248" s="87"/>
      <c r="E248" s="87"/>
      <c r="F248" s="7" t="s">
        <v>88</v>
      </c>
      <c r="G248" s="6"/>
      <c r="H248" s="8">
        <v>948943854</v>
      </c>
      <c r="I248" s="9">
        <v>150000</v>
      </c>
      <c r="J248" s="1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s="5" customFormat="1" ht="18.600000000000001" customHeight="1" x14ac:dyDescent="0.3">
      <c r="A249" s="1"/>
      <c r="B249" s="6">
        <f t="shared" si="3"/>
        <v>248</v>
      </c>
      <c r="C249" s="7">
        <v>46126</v>
      </c>
      <c r="D249" s="87"/>
      <c r="E249" s="87"/>
      <c r="F249" s="7" t="s">
        <v>88</v>
      </c>
      <c r="G249" s="6"/>
      <c r="H249" s="8">
        <v>949035114</v>
      </c>
      <c r="I249" s="9">
        <v>15000</v>
      </c>
      <c r="J249" s="1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s="5" customFormat="1" ht="18.600000000000001" customHeight="1" x14ac:dyDescent="0.3">
      <c r="A250" s="1"/>
      <c r="B250" s="6">
        <f t="shared" si="3"/>
        <v>249</v>
      </c>
      <c r="C250" s="7">
        <v>46126</v>
      </c>
      <c r="D250" s="87"/>
      <c r="E250" s="87"/>
      <c r="F250" s="7" t="s">
        <v>88</v>
      </c>
      <c r="G250" s="6"/>
      <c r="H250" s="8">
        <v>949139046</v>
      </c>
      <c r="I250" s="9">
        <v>20000</v>
      </c>
      <c r="J250" s="1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s="5" customFormat="1" ht="18.600000000000001" customHeight="1" x14ac:dyDescent="0.3">
      <c r="A251" s="1"/>
      <c r="B251" s="6">
        <f t="shared" si="3"/>
        <v>250</v>
      </c>
      <c r="C251" s="7">
        <v>46127</v>
      </c>
      <c r="D251" s="87"/>
      <c r="E251" s="87"/>
      <c r="F251" s="7" t="s">
        <v>88</v>
      </c>
      <c r="G251" s="6"/>
      <c r="H251" s="8">
        <v>949172066</v>
      </c>
      <c r="I251" s="9">
        <v>20000</v>
      </c>
      <c r="J251" s="1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s="5" customFormat="1" ht="18.600000000000001" customHeight="1" x14ac:dyDescent="0.3">
      <c r="A252" s="1"/>
      <c r="B252" s="6">
        <f t="shared" si="3"/>
        <v>251</v>
      </c>
      <c r="C252" s="7">
        <v>46127</v>
      </c>
      <c r="D252" s="87"/>
      <c r="E252" s="87"/>
      <c r="F252" s="7" t="s">
        <v>88</v>
      </c>
      <c r="G252" s="6"/>
      <c r="H252" s="8">
        <v>949248597</v>
      </c>
      <c r="I252" s="9">
        <v>20000</v>
      </c>
      <c r="J252" s="1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s="5" customFormat="1" ht="18.600000000000001" customHeight="1" x14ac:dyDescent="0.3">
      <c r="A253" s="1"/>
      <c r="B253" s="6">
        <f t="shared" si="3"/>
        <v>252</v>
      </c>
      <c r="C253" s="7">
        <v>46127</v>
      </c>
      <c r="D253" s="87"/>
      <c r="E253" s="87"/>
      <c r="F253" s="7" t="s">
        <v>158</v>
      </c>
      <c r="G253" s="6"/>
      <c r="H253" s="8">
        <v>949273459</v>
      </c>
      <c r="I253" s="9">
        <v>30000</v>
      </c>
      <c r="J253" s="1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s="5" customFormat="1" ht="18.600000000000001" customHeight="1" x14ac:dyDescent="0.3">
      <c r="A254" s="1"/>
      <c r="B254" s="6">
        <f t="shared" si="3"/>
        <v>253</v>
      </c>
      <c r="C254" s="7">
        <v>46127</v>
      </c>
      <c r="D254" s="87"/>
      <c r="E254" s="87"/>
      <c r="F254" s="7" t="s">
        <v>88</v>
      </c>
      <c r="G254" s="6"/>
      <c r="H254" s="8">
        <v>949385357</v>
      </c>
      <c r="I254" s="9">
        <v>500000</v>
      </c>
      <c r="J254" s="1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s="5" customFormat="1" ht="18.600000000000001" customHeight="1" x14ac:dyDescent="0.3">
      <c r="A255" s="1"/>
      <c r="B255" s="6">
        <f t="shared" si="3"/>
        <v>254</v>
      </c>
      <c r="C255" s="7">
        <v>46128</v>
      </c>
      <c r="D255" s="87"/>
      <c r="E255" s="87"/>
      <c r="F255" s="7" t="s">
        <v>159</v>
      </c>
      <c r="G255" s="6"/>
      <c r="H255" s="8">
        <v>949484466</v>
      </c>
      <c r="I255" s="9">
        <v>199800</v>
      </c>
      <c r="J255" s="1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s="5" customFormat="1" ht="18.600000000000001" customHeight="1" x14ac:dyDescent="0.3">
      <c r="A256" s="1"/>
      <c r="B256" s="6">
        <f t="shared" si="3"/>
        <v>255</v>
      </c>
      <c r="C256" s="7">
        <v>46128</v>
      </c>
      <c r="D256" s="87" t="s">
        <v>341</v>
      </c>
      <c r="E256" s="87"/>
      <c r="F256" s="7" t="s">
        <v>84</v>
      </c>
      <c r="G256" s="6" t="s">
        <v>133</v>
      </c>
      <c r="H256" s="8">
        <v>949484715</v>
      </c>
      <c r="I256" s="9">
        <v>100000</v>
      </c>
      <c r="J256" s="1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s="5" customFormat="1" ht="18.600000000000001" customHeight="1" x14ac:dyDescent="0.3">
      <c r="A257" s="1"/>
      <c r="B257" s="6">
        <f t="shared" si="3"/>
        <v>256</v>
      </c>
      <c r="C257" s="7">
        <v>46128</v>
      </c>
      <c r="D257" s="87" t="s">
        <v>341</v>
      </c>
      <c r="E257" s="87"/>
      <c r="F257" s="7" t="s">
        <v>147</v>
      </c>
      <c r="G257" s="6" t="s">
        <v>148</v>
      </c>
      <c r="H257" s="8" t="s">
        <v>37</v>
      </c>
      <c r="I257" s="9">
        <v>90000</v>
      </c>
      <c r="J257" s="1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s="5" customFormat="1" ht="18.600000000000001" customHeight="1" x14ac:dyDescent="0.3">
      <c r="A258" s="1"/>
      <c r="B258" s="6">
        <f t="shared" si="3"/>
        <v>257</v>
      </c>
      <c r="C258" s="7">
        <v>46129</v>
      </c>
      <c r="D258" s="87"/>
      <c r="E258" s="87"/>
      <c r="F258" s="7" t="s">
        <v>88</v>
      </c>
      <c r="G258" s="6"/>
      <c r="H258" s="8">
        <v>949623059</v>
      </c>
      <c r="I258" s="9">
        <v>30000</v>
      </c>
      <c r="J258" s="1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s="5" customFormat="1" ht="18.600000000000001" customHeight="1" x14ac:dyDescent="0.3">
      <c r="A259" s="1"/>
      <c r="B259" s="6">
        <f t="shared" si="3"/>
        <v>258</v>
      </c>
      <c r="C259" s="7">
        <v>46130</v>
      </c>
      <c r="D259" s="87" t="s">
        <v>240</v>
      </c>
      <c r="E259" s="87"/>
      <c r="F259" s="7" t="s">
        <v>80</v>
      </c>
      <c r="G259" s="6"/>
      <c r="H259" s="8">
        <v>949835531</v>
      </c>
      <c r="I259" s="22">
        <v>113000</v>
      </c>
      <c r="J259" s="1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s="5" customFormat="1" ht="18.600000000000001" customHeight="1" x14ac:dyDescent="0.3">
      <c r="A260" s="1"/>
      <c r="B260" s="6">
        <f t="shared" ref="B260:B323" si="4">+B259+1</f>
        <v>259</v>
      </c>
      <c r="C260" s="7">
        <v>46130</v>
      </c>
      <c r="D260" s="87"/>
      <c r="E260" s="87"/>
      <c r="F260" s="7" t="s">
        <v>88</v>
      </c>
      <c r="G260" s="6"/>
      <c r="H260" s="8">
        <v>949865611</v>
      </c>
      <c r="I260" s="9">
        <v>30000</v>
      </c>
      <c r="J260" s="1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s="5" customFormat="1" ht="18.600000000000001" customHeight="1" x14ac:dyDescent="0.3">
      <c r="A261" s="1"/>
      <c r="B261" s="6">
        <f t="shared" si="4"/>
        <v>260</v>
      </c>
      <c r="C261" s="7">
        <v>46130</v>
      </c>
      <c r="D261" s="87" t="s">
        <v>341</v>
      </c>
      <c r="E261" s="87"/>
      <c r="F261" s="7" t="s">
        <v>42</v>
      </c>
      <c r="G261" s="6"/>
      <c r="H261" s="8">
        <v>949868055</v>
      </c>
      <c r="I261" s="9">
        <v>200000</v>
      </c>
      <c r="J261" s="1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s="5" customFormat="1" ht="18.600000000000001" customHeight="1" x14ac:dyDescent="0.3">
      <c r="A262" s="1"/>
      <c r="B262" s="6">
        <f t="shared" si="4"/>
        <v>261</v>
      </c>
      <c r="C262" s="7">
        <v>46130</v>
      </c>
      <c r="D262" s="87" t="s">
        <v>234</v>
      </c>
      <c r="E262" s="87" t="s">
        <v>546</v>
      </c>
      <c r="F262" s="7" t="s">
        <v>127</v>
      </c>
      <c r="G262" s="10" t="s">
        <v>128</v>
      </c>
      <c r="H262" s="8">
        <v>949952828</v>
      </c>
      <c r="I262" s="9">
        <v>140000</v>
      </c>
      <c r="J262" s="1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s="5" customFormat="1" ht="18.600000000000001" customHeight="1" x14ac:dyDescent="0.3">
      <c r="A263" s="1"/>
      <c r="B263" s="6">
        <f t="shared" si="4"/>
        <v>262</v>
      </c>
      <c r="C263" s="7">
        <v>46130</v>
      </c>
      <c r="D263" s="87" t="s">
        <v>234</v>
      </c>
      <c r="E263" s="87" t="s">
        <v>446</v>
      </c>
      <c r="F263" s="7" t="s">
        <v>125</v>
      </c>
      <c r="G263" s="10" t="s">
        <v>126</v>
      </c>
      <c r="H263" s="8">
        <v>949952407</v>
      </c>
      <c r="I263" s="9">
        <v>130000</v>
      </c>
      <c r="J263" s="1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s="5" customFormat="1" ht="18.600000000000001" customHeight="1" x14ac:dyDescent="0.3">
      <c r="A264" s="1"/>
      <c r="B264" s="6">
        <f t="shared" si="4"/>
        <v>263</v>
      </c>
      <c r="C264" s="7">
        <v>46130</v>
      </c>
      <c r="D264" s="87" t="s">
        <v>234</v>
      </c>
      <c r="E264" s="87" t="s">
        <v>2589</v>
      </c>
      <c r="F264" s="7" t="s">
        <v>69</v>
      </c>
      <c r="G264" s="10" t="s">
        <v>121</v>
      </c>
      <c r="H264" s="8">
        <v>949953691</v>
      </c>
      <c r="I264" s="9">
        <v>600000</v>
      </c>
      <c r="J264" s="1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s="5" customFormat="1" ht="18.600000000000001" customHeight="1" x14ac:dyDescent="0.3">
      <c r="A265" s="1"/>
      <c r="B265" s="6">
        <f t="shared" si="4"/>
        <v>264</v>
      </c>
      <c r="C265" s="7">
        <v>46130</v>
      </c>
      <c r="D265" s="87" t="s">
        <v>234</v>
      </c>
      <c r="E265" s="87" t="s">
        <v>350</v>
      </c>
      <c r="F265" s="7" t="s">
        <v>103</v>
      </c>
      <c r="G265" s="10" t="s">
        <v>104</v>
      </c>
      <c r="H265" s="8">
        <v>949958814</v>
      </c>
      <c r="I265" s="9">
        <v>250000</v>
      </c>
      <c r="J265" s="1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s="5" customFormat="1" ht="18.600000000000001" customHeight="1" x14ac:dyDescent="0.3">
      <c r="A266" s="1"/>
      <c r="B266" s="6">
        <f t="shared" si="4"/>
        <v>265</v>
      </c>
      <c r="C266" s="7">
        <v>46131</v>
      </c>
      <c r="D266" s="87"/>
      <c r="E266" s="87"/>
      <c r="F266" s="7" t="s">
        <v>160</v>
      </c>
      <c r="G266" s="6" t="s">
        <v>161</v>
      </c>
      <c r="H266" s="8" t="s">
        <v>37</v>
      </c>
      <c r="I266" s="9">
        <v>40000</v>
      </c>
      <c r="J266" s="1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s="5" customFormat="1" ht="18.600000000000001" customHeight="1" x14ac:dyDescent="0.3">
      <c r="A267" s="1"/>
      <c r="B267" s="6">
        <f t="shared" si="4"/>
        <v>266</v>
      </c>
      <c r="C267" s="7">
        <v>46131</v>
      </c>
      <c r="D267" s="87"/>
      <c r="E267" s="87"/>
      <c r="F267" s="7" t="s">
        <v>88</v>
      </c>
      <c r="G267" s="6"/>
      <c r="H267" s="8">
        <v>950051380</v>
      </c>
      <c r="I267" s="9">
        <v>50000</v>
      </c>
      <c r="J267" s="1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s="5" customFormat="1" ht="18.600000000000001" customHeight="1" x14ac:dyDescent="0.3">
      <c r="A268" s="1"/>
      <c r="B268" s="6">
        <f t="shared" si="4"/>
        <v>267</v>
      </c>
      <c r="C268" s="7">
        <v>46131</v>
      </c>
      <c r="D268" s="87" t="s">
        <v>240</v>
      </c>
      <c r="E268" s="87"/>
      <c r="F268" s="7" t="s">
        <v>99</v>
      </c>
      <c r="G268" s="6" t="s">
        <v>100</v>
      </c>
      <c r="H268" s="8">
        <v>950052398</v>
      </c>
      <c r="I268" s="9">
        <v>117000</v>
      </c>
      <c r="J268" s="1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s="5" customFormat="1" ht="18.600000000000001" customHeight="1" x14ac:dyDescent="0.3">
      <c r="A269" s="1"/>
      <c r="B269" s="6">
        <f t="shared" si="4"/>
        <v>268</v>
      </c>
      <c r="C269" s="7">
        <v>46131</v>
      </c>
      <c r="D269" s="87"/>
      <c r="E269" s="87"/>
      <c r="F269" s="7" t="s">
        <v>87</v>
      </c>
      <c r="G269" s="6" t="s">
        <v>161</v>
      </c>
      <c r="H269" s="8">
        <v>950052521</v>
      </c>
      <c r="I269" s="9">
        <v>97307</v>
      </c>
      <c r="J269" s="1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s="5" customFormat="1" ht="18.600000000000001" customHeight="1" x14ac:dyDescent="0.3">
      <c r="A270" s="1"/>
      <c r="B270" s="6">
        <f t="shared" si="4"/>
        <v>269</v>
      </c>
      <c r="C270" s="7">
        <v>46131</v>
      </c>
      <c r="D270" s="87"/>
      <c r="E270" s="87"/>
      <c r="F270" s="7" t="s">
        <v>88</v>
      </c>
      <c r="G270" s="6"/>
      <c r="H270" s="8">
        <v>950072850</v>
      </c>
      <c r="I270" s="9">
        <v>100000</v>
      </c>
      <c r="J270" s="1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s="5" customFormat="1" ht="18.600000000000001" customHeight="1" x14ac:dyDescent="0.3">
      <c r="A271" s="1"/>
      <c r="B271" s="6">
        <f t="shared" si="4"/>
        <v>270</v>
      </c>
      <c r="C271" s="7">
        <v>46132</v>
      </c>
      <c r="D271" s="87"/>
      <c r="E271" s="87"/>
      <c r="F271" s="7" t="s">
        <v>159</v>
      </c>
      <c r="G271" s="6"/>
      <c r="H271" s="8">
        <v>950265352</v>
      </c>
      <c r="I271" s="9">
        <v>58600</v>
      </c>
      <c r="J271" s="1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s="5" customFormat="1" ht="18.600000000000001" customHeight="1" x14ac:dyDescent="0.3">
      <c r="A272" s="1"/>
      <c r="B272" s="6">
        <f t="shared" si="4"/>
        <v>271</v>
      </c>
      <c r="C272" s="7">
        <v>46132</v>
      </c>
      <c r="D272" s="87"/>
      <c r="E272" s="87"/>
      <c r="F272" s="7" t="s">
        <v>88</v>
      </c>
      <c r="G272" s="6"/>
      <c r="H272" s="8">
        <v>950284859</v>
      </c>
      <c r="I272" s="9">
        <v>70000</v>
      </c>
      <c r="J272" s="1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s="5" customFormat="1" ht="18.600000000000001" customHeight="1" x14ac:dyDescent="0.3">
      <c r="A273" s="1"/>
      <c r="B273" s="6">
        <f t="shared" si="4"/>
        <v>272</v>
      </c>
      <c r="C273" s="7">
        <v>46132</v>
      </c>
      <c r="D273" s="87"/>
      <c r="E273" s="87"/>
      <c r="F273" s="7" t="s">
        <v>88</v>
      </c>
      <c r="G273" s="6"/>
      <c r="H273" s="8">
        <v>950337756</v>
      </c>
      <c r="I273" s="9">
        <v>500000</v>
      </c>
      <c r="J273" s="1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s="5" customFormat="1" ht="18.600000000000001" customHeight="1" x14ac:dyDescent="0.3">
      <c r="A274" s="1"/>
      <c r="B274" s="6">
        <f t="shared" si="4"/>
        <v>273</v>
      </c>
      <c r="C274" s="7">
        <v>46132</v>
      </c>
      <c r="D274" s="87"/>
      <c r="E274" s="87"/>
      <c r="F274" s="7" t="s">
        <v>88</v>
      </c>
      <c r="G274" s="6"/>
      <c r="H274" s="8">
        <v>950343628</v>
      </c>
      <c r="I274" s="9">
        <v>100000</v>
      </c>
      <c r="J274" s="1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s="5" customFormat="1" ht="18.600000000000001" customHeight="1" x14ac:dyDescent="0.3">
      <c r="A275" s="1"/>
      <c r="B275" s="6">
        <f t="shared" si="4"/>
        <v>274</v>
      </c>
      <c r="C275" s="7">
        <v>46133</v>
      </c>
      <c r="D275" s="87" t="s">
        <v>240</v>
      </c>
      <c r="E275" s="87"/>
      <c r="F275" s="7" t="s">
        <v>80</v>
      </c>
      <c r="G275" s="6"/>
      <c r="H275" s="8">
        <v>950354946</v>
      </c>
      <c r="I275" s="22">
        <v>140000</v>
      </c>
      <c r="J275" s="1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s="5" customFormat="1" ht="18.600000000000001" customHeight="1" x14ac:dyDescent="0.3">
      <c r="A276" s="1"/>
      <c r="B276" s="6">
        <f t="shared" si="4"/>
        <v>275</v>
      </c>
      <c r="C276" s="7">
        <v>46133</v>
      </c>
      <c r="D276" s="87" t="s">
        <v>240</v>
      </c>
      <c r="E276" s="87" t="s">
        <v>1005</v>
      </c>
      <c r="F276" s="7" t="s">
        <v>162</v>
      </c>
      <c r="G276" s="6" t="s">
        <v>163</v>
      </c>
      <c r="H276" s="8">
        <v>950409013</v>
      </c>
      <c r="I276" s="9">
        <v>160000</v>
      </c>
      <c r="J276" s="1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s="5" customFormat="1" ht="18.600000000000001" customHeight="1" x14ac:dyDescent="0.3">
      <c r="A277" s="1"/>
      <c r="B277" s="6">
        <f t="shared" si="4"/>
        <v>276</v>
      </c>
      <c r="C277" s="7">
        <v>46134</v>
      </c>
      <c r="D277" s="87"/>
      <c r="E277" s="87"/>
      <c r="F277" s="7" t="s">
        <v>88</v>
      </c>
      <c r="G277" s="6"/>
      <c r="H277" s="8">
        <v>950577762</v>
      </c>
      <c r="I277" s="9">
        <v>100000</v>
      </c>
      <c r="J277" s="1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s="5" customFormat="1" ht="18.600000000000001" customHeight="1" x14ac:dyDescent="0.3">
      <c r="A278" s="1"/>
      <c r="B278" s="6">
        <f t="shared" si="4"/>
        <v>277</v>
      </c>
      <c r="C278" s="7">
        <v>46134</v>
      </c>
      <c r="D278" s="87" t="s">
        <v>341</v>
      </c>
      <c r="E278" s="87"/>
      <c r="F278" s="7" t="s">
        <v>50</v>
      </c>
      <c r="G278" s="6"/>
      <c r="H278" s="8">
        <v>950579218</v>
      </c>
      <c r="I278" s="9">
        <v>100000</v>
      </c>
      <c r="J278" s="1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s="5" customFormat="1" ht="18.600000000000001" customHeight="1" x14ac:dyDescent="0.3">
      <c r="A279" s="1"/>
      <c r="B279" s="6">
        <f t="shared" si="4"/>
        <v>278</v>
      </c>
      <c r="C279" s="7">
        <v>46134</v>
      </c>
      <c r="D279" s="87"/>
      <c r="E279" s="87"/>
      <c r="F279" s="7" t="s">
        <v>164</v>
      </c>
      <c r="G279" s="6"/>
      <c r="H279" s="8">
        <v>950578952</v>
      </c>
      <c r="I279" s="9">
        <v>200000</v>
      </c>
      <c r="J279" s="1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s="5" customFormat="1" ht="18.600000000000001" customHeight="1" x14ac:dyDescent="0.3">
      <c r="A280" s="1"/>
      <c r="B280" s="6">
        <f t="shared" si="4"/>
        <v>279</v>
      </c>
      <c r="C280" s="7">
        <v>46134</v>
      </c>
      <c r="D280" s="87"/>
      <c r="E280" s="87"/>
      <c r="F280" s="7" t="s">
        <v>88</v>
      </c>
      <c r="G280" s="6"/>
      <c r="H280" s="8">
        <v>950583087</v>
      </c>
      <c r="I280" s="9">
        <v>200000</v>
      </c>
      <c r="J280" s="1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s="5" customFormat="1" ht="18.600000000000001" customHeight="1" x14ac:dyDescent="0.3">
      <c r="A281" s="1"/>
      <c r="B281" s="6">
        <f t="shared" si="4"/>
        <v>280</v>
      </c>
      <c r="C281" s="7">
        <v>46135</v>
      </c>
      <c r="D281" s="87"/>
      <c r="E281" s="87"/>
      <c r="F281" s="7" t="s">
        <v>117</v>
      </c>
      <c r="G281" s="6"/>
      <c r="H281" s="8">
        <v>950778177</v>
      </c>
      <c r="I281" s="9">
        <v>100000</v>
      </c>
      <c r="J281" s="1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s="5" customFormat="1" ht="18.600000000000001" customHeight="1" x14ac:dyDescent="0.3">
      <c r="A282" s="1"/>
      <c r="B282" s="6">
        <f t="shared" si="4"/>
        <v>281</v>
      </c>
      <c r="C282" s="7">
        <v>46136</v>
      </c>
      <c r="D282" s="87" t="s">
        <v>240</v>
      </c>
      <c r="E282" s="87" t="s">
        <v>1005</v>
      </c>
      <c r="F282" s="7" t="s">
        <v>162</v>
      </c>
      <c r="G282" s="6" t="s">
        <v>163</v>
      </c>
      <c r="H282" s="8">
        <v>950949760</v>
      </c>
      <c r="I282" s="9">
        <v>251786</v>
      </c>
      <c r="J282" s="1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s="5" customFormat="1" ht="18.600000000000001" customHeight="1" x14ac:dyDescent="0.3">
      <c r="A283" s="1"/>
      <c r="B283" s="6">
        <f t="shared" si="4"/>
        <v>282</v>
      </c>
      <c r="C283" s="7">
        <v>46136</v>
      </c>
      <c r="D283" s="87" t="s">
        <v>341</v>
      </c>
      <c r="E283" s="87"/>
      <c r="F283" s="7" t="s">
        <v>50</v>
      </c>
      <c r="G283" s="6"/>
      <c r="H283" s="8">
        <v>950969921</v>
      </c>
      <c r="I283" s="9">
        <v>150000</v>
      </c>
      <c r="J283" s="1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s="5" customFormat="1" ht="18.600000000000001" customHeight="1" x14ac:dyDescent="0.3">
      <c r="A284" s="1"/>
      <c r="B284" s="6">
        <f t="shared" si="4"/>
        <v>283</v>
      </c>
      <c r="C284" s="7">
        <v>46136</v>
      </c>
      <c r="D284" s="87"/>
      <c r="E284" s="87"/>
      <c r="F284" s="7" t="s">
        <v>165</v>
      </c>
      <c r="G284" s="6" t="s">
        <v>166</v>
      </c>
      <c r="H284" s="8">
        <v>951072136</v>
      </c>
      <c r="I284" s="9">
        <v>50000</v>
      </c>
      <c r="J284" s="1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s="5" customFormat="1" ht="18.600000000000001" customHeight="1" x14ac:dyDescent="0.3">
      <c r="A285" s="1"/>
      <c r="B285" s="6">
        <f t="shared" si="4"/>
        <v>284</v>
      </c>
      <c r="C285" s="7">
        <v>46137</v>
      </c>
      <c r="D285" s="87"/>
      <c r="E285" s="87"/>
      <c r="F285" s="7" t="s">
        <v>167</v>
      </c>
      <c r="G285" s="6" t="s">
        <v>168</v>
      </c>
      <c r="H285" s="8" t="s">
        <v>37</v>
      </c>
      <c r="I285" s="9">
        <v>15400</v>
      </c>
      <c r="J285" s="1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s="5" customFormat="1" ht="18.600000000000001" customHeight="1" x14ac:dyDescent="0.3">
      <c r="A286" s="1"/>
      <c r="B286" s="6">
        <f t="shared" si="4"/>
        <v>285</v>
      </c>
      <c r="C286" s="7">
        <v>46137</v>
      </c>
      <c r="D286" s="87"/>
      <c r="E286" s="87"/>
      <c r="F286" s="7" t="s">
        <v>117</v>
      </c>
      <c r="G286" s="6"/>
      <c r="H286" s="8">
        <v>951254178</v>
      </c>
      <c r="I286" s="9">
        <v>40000</v>
      </c>
      <c r="J286" s="1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s="5" customFormat="1" ht="18.600000000000001" customHeight="1" x14ac:dyDescent="0.3">
      <c r="A287" s="1"/>
      <c r="B287" s="6">
        <f t="shared" si="4"/>
        <v>286</v>
      </c>
      <c r="C287" s="7">
        <v>46138</v>
      </c>
      <c r="D287" s="87" t="s">
        <v>341</v>
      </c>
      <c r="E287" s="87"/>
      <c r="F287" s="7" t="s">
        <v>147</v>
      </c>
      <c r="G287" s="6" t="s">
        <v>148</v>
      </c>
      <c r="H287" s="8" t="s">
        <v>37</v>
      </c>
      <c r="I287" s="9">
        <v>60000</v>
      </c>
      <c r="J287" s="1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s="5" customFormat="1" ht="18.600000000000001" customHeight="1" x14ac:dyDescent="0.3">
      <c r="A288" s="1"/>
      <c r="B288" s="6">
        <f t="shared" si="4"/>
        <v>287</v>
      </c>
      <c r="C288" s="7">
        <v>46138</v>
      </c>
      <c r="D288" s="87" t="s">
        <v>341</v>
      </c>
      <c r="E288" s="87"/>
      <c r="F288" s="7" t="s">
        <v>147</v>
      </c>
      <c r="G288" s="6" t="s">
        <v>148</v>
      </c>
      <c r="H288" s="8" t="s">
        <v>37</v>
      </c>
      <c r="I288" s="9">
        <v>90000</v>
      </c>
      <c r="J288" s="1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s="5" customFormat="1" ht="18.600000000000001" customHeight="1" x14ac:dyDescent="0.3">
      <c r="A289" s="1"/>
      <c r="B289" s="6">
        <f t="shared" si="4"/>
        <v>288</v>
      </c>
      <c r="C289" s="7">
        <v>46138</v>
      </c>
      <c r="D289" s="87"/>
      <c r="E289" s="87"/>
      <c r="F289" s="7" t="s">
        <v>88</v>
      </c>
      <c r="G289" s="6"/>
      <c r="H289" s="8">
        <v>951337851</v>
      </c>
      <c r="I289" s="9">
        <v>100000</v>
      </c>
      <c r="J289" s="1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s="5" customFormat="1" ht="18.600000000000001" customHeight="1" x14ac:dyDescent="0.3">
      <c r="A290" s="1"/>
      <c r="B290" s="6">
        <f t="shared" si="4"/>
        <v>289</v>
      </c>
      <c r="C290" s="7">
        <v>46138</v>
      </c>
      <c r="D290" s="87" t="s">
        <v>341</v>
      </c>
      <c r="E290" s="87"/>
      <c r="F290" s="7" t="s">
        <v>50</v>
      </c>
      <c r="G290" s="6"/>
      <c r="H290" s="8">
        <v>951349490</v>
      </c>
      <c r="I290" s="9">
        <v>60000</v>
      </c>
      <c r="J290" s="1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s="5" customFormat="1" ht="18.600000000000001" customHeight="1" x14ac:dyDescent="0.3">
      <c r="A291" s="1"/>
      <c r="B291" s="6">
        <f t="shared" si="4"/>
        <v>290</v>
      </c>
      <c r="C291" s="7">
        <v>46138</v>
      </c>
      <c r="D291" s="87" t="s">
        <v>341</v>
      </c>
      <c r="E291" s="87"/>
      <c r="F291" s="7" t="s">
        <v>84</v>
      </c>
      <c r="G291" s="6" t="s">
        <v>169</v>
      </c>
      <c r="H291" s="8" t="s">
        <v>37</v>
      </c>
      <c r="I291" s="9">
        <v>50000</v>
      </c>
      <c r="J291" s="1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s="5" customFormat="1" ht="18.600000000000001" customHeight="1" x14ac:dyDescent="0.3">
      <c r="A292" s="1"/>
      <c r="B292" s="6">
        <f t="shared" si="4"/>
        <v>291</v>
      </c>
      <c r="C292" s="7">
        <v>46139</v>
      </c>
      <c r="D292" s="87"/>
      <c r="E292" s="87"/>
      <c r="F292" s="7" t="s">
        <v>117</v>
      </c>
      <c r="G292" s="6"/>
      <c r="H292" s="8">
        <v>951384145</v>
      </c>
      <c r="I292" s="9">
        <v>30000</v>
      </c>
      <c r="J292" s="1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s="5" customFormat="1" ht="18.600000000000001" customHeight="1" x14ac:dyDescent="0.3">
      <c r="A293" s="1"/>
      <c r="B293" s="6">
        <f t="shared" si="4"/>
        <v>292</v>
      </c>
      <c r="C293" s="7">
        <v>46139</v>
      </c>
      <c r="D293" s="87"/>
      <c r="E293" s="87"/>
      <c r="F293" s="7" t="s">
        <v>170</v>
      </c>
      <c r="G293" s="6" t="s">
        <v>171</v>
      </c>
      <c r="H293" s="8" t="s">
        <v>37</v>
      </c>
      <c r="I293" s="9">
        <v>3500</v>
      </c>
      <c r="J293" s="1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s="5" customFormat="1" ht="18.600000000000001" customHeight="1" x14ac:dyDescent="0.3">
      <c r="A294" s="1"/>
      <c r="B294" s="6">
        <f t="shared" si="4"/>
        <v>293</v>
      </c>
      <c r="C294" s="7">
        <v>46140</v>
      </c>
      <c r="D294" s="87"/>
      <c r="E294" s="87"/>
      <c r="F294" s="7" t="s">
        <v>172</v>
      </c>
      <c r="G294" s="6" t="s">
        <v>173</v>
      </c>
      <c r="H294" s="8" t="s">
        <v>37</v>
      </c>
      <c r="I294" s="9">
        <v>36220</v>
      </c>
      <c r="J294" s="1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s="5" customFormat="1" ht="18.600000000000001" customHeight="1" x14ac:dyDescent="0.3">
      <c r="A295" s="1"/>
      <c r="B295" s="6">
        <f t="shared" si="4"/>
        <v>294</v>
      </c>
      <c r="C295" s="7">
        <v>46140</v>
      </c>
      <c r="D295" s="87" t="s">
        <v>234</v>
      </c>
      <c r="E295" s="87" t="s">
        <v>2589</v>
      </c>
      <c r="F295" s="7" t="s">
        <v>69</v>
      </c>
      <c r="G295" s="10" t="s">
        <v>121</v>
      </c>
      <c r="H295" s="8">
        <v>951810529</v>
      </c>
      <c r="I295" s="9">
        <v>700000</v>
      </c>
      <c r="J295" s="1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s="5" customFormat="1" ht="18.600000000000001" customHeight="1" x14ac:dyDescent="0.3">
      <c r="A296" s="1"/>
      <c r="B296" s="6">
        <f t="shared" si="4"/>
        <v>295</v>
      </c>
      <c r="C296" s="7">
        <v>46140</v>
      </c>
      <c r="D296" s="87" t="s">
        <v>234</v>
      </c>
      <c r="E296" s="87" t="s">
        <v>546</v>
      </c>
      <c r="F296" s="7" t="s">
        <v>127</v>
      </c>
      <c r="G296" s="10" t="s">
        <v>128</v>
      </c>
      <c r="H296" s="8">
        <v>951810440</v>
      </c>
      <c r="I296" s="9">
        <v>250000</v>
      </c>
      <c r="J296" s="1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s="5" customFormat="1" ht="18.600000000000001" customHeight="1" x14ac:dyDescent="0.3">
      <c r="A297" s="1"/>
      <c r="B297" s="6">
        <f t="shared" si="4"/>
        <v>296</v>
      </c>
      <c r="C297" s="7">
        <v>46140</v>
      </c>
      <c r="D297" s="87" t="s">
        <v>234</v>
      </c>
      <c r="E297" s="87" t="s">
        <v>350</v>
      </c>
      <c r="F297" s="7" t="s">
        <v>103</v>
      </c>
      <c r="G297" s="10" t="s">
        <v>104</v>
      </c>
      <c r="H297" s="8">
        <v>951810640</v>
      </c>
      <c r="I297" s="9">
        <v>85000</v>
      </c>
      <c r="J297" s="1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s="5" customFormat="1" ht="18.600000000000001" customHeight="1" x14ac:dyDescent="0.3">
      <c r="A298" s="1"/>
      <c r="B298" s="6">
        <f t="shared" si="4"/>
        <v>297</v>
      </c>
      <c r="C298" s="7">
        <v>46140</v>
      </c>
      <c r="D298" s="87" t="s">
        <v>240</v>
      </c>
      <c r="E298" s="87" t="s">
        <v>1005</v>
      </c>
      <c r="F298" s="7" t="s">
        <v>162</v>
      </c>
      <c r="G298" s="6" t="s">
        <v>163</v>
      </c>
      <c r="H298" s="8">
        <v>951810708</v>
      </c>
      <c r="I298" s="9">
        <v>500000</v>
      </c>
      <c r="J298" s="1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s="5" customFormat="1" ht="18.600000000000001" customHeight="1" x14ac:dyDescent="0.3">
      <c r="A299" s="1"/>
      <c r="B299" s="6">
        <f t="shared" si="4"/>
        <v>298</v>
      </c>
      <c r="C299" s="7">
        <v>46141</v>
      </c>
      <c r="D299" s="87" t="s">
        <v>234</v>
      </c>
      <c r="E299" s="87" t="s">
        <v>345</v>
      </c>
      <c r="F299" s="7" t="s">
        <v>174</v>
      </c>
      <c r="G299" s="10" t="s">
        <v>175</v>
      </c>
      <c r="H299" s="8" t="s">
        <v>176</v>
      </c>
      <c r="I299" s="9">
        <v>50000</v>
      </c>
      <c r="J299" s="10" t="s">
        <v>177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s="5" customFormat="1" ht="18.600000000000001" customHeight="1" x14ac:dyDescent="0.3">
      <c r="A300" s="1"/>
      <c r="B300" s="6">
        <f t="shared" si="4"/>
        <v>299</v>
      </c>
      <c r="C300" s="7">
        <v>46141</v>
      </c>
      <c r="D300" s="87" t="s">
        <v>234</v>
      </c>
      <c r="E300" s="87"/>
      <c r="F300" s="7" t="s">
        <v>178</v>
      </c>
      <c r="G300" s="6" t="s">
        <v>179</v>
      </c>
      <c r="H300" s="8" t="s">
        <v>180</v>
      </c>
      <c r="I300" s="9">
        <v>48600</v>
      </c>
      <c r="J300" s="1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s="5" customFormat="1" ht="18.600000000000001" customHeight="1" x14ac:dyDescent="0.3">
      <c r="A301" s="1"/>
      <c r="B301" s="6">
        <f t="shared" si="4"/>
        <v>300</v>
      </c>
      <c r="C301" s="7">
        <v>46141</v>
      </c>
      <c r="D301" s="87"/>
      <c r="E301" s="87"/>
      <c r="F301" s="7" t="s">
        <v>88</v>
      </c>
      <c r="G301" s="6"/>
      <c r="H301" s="8">
        <v>951823057</v>
      </c>
      <c r="I301" s="9">
        <v>600000</v>
      </c>
      <c r="J301" s="1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s="5" customFormat="1" ht="18.600000000000001" customHeight="1" x14ac:dyDescent="0.3">
      <c r="A302" s="1"/>
      <c r="B302" s="6">
        <f t="shared" si="4"/>
        <v>301</v>
      </c>
      <c r="C302" s="7">
        <v>46141</v>
      </c>
      <c r="D302" s="87"/>
      <c r="E302" s="87"/>
      <c r="F302" s="7" t="s">
        <v>117</v>
      </c>
      <c r="G302" s="6"/>
      <c r="H302" s="8" t="s">
        <v>181</v>
      </c>
      <c r="I302" s="9">
        <v>50000</v>
      </c>
      <c r="J302" s="1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s="5" customFormat="1" ht="18.600000000000001" customHeight="1" x14ac:dyDescent="0.3">
      <c r="A303" s="1"/>
      <c r="B303" s="6">
        <f t="shared" si="4"/>
        <v>302</v>
      </c>
      <c r="C303" s="7">
        <v>46141</v>
      </c>
      <c r="D303" s="87" t="s">
        <v>341</v>
      </c>
      <c r="E303" s="87"/>
      <c r="F303" s="7" t="s">
        <v>84</v>
      </c>
      <c r="G303" s="6"/>
      <c r="H303" s="8">
        <v>952028583</v>
      </c>
      <c r="I303" s="9">
        <v>200000</v>
      </c>
      <c r="J303" s="1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s="5" customFormat="1" ht="18.600000000000001" customHeight="1" x14ac:dyDescent="0.3">
      <c r="A304" s="1"/>
      <c r="B304" s="6">
        <f t="shared" si="4"/>
        <v>303</v>
      </c>
      <c r="C304" s="7">
        <v>46142</v>
      </c>
      <c r="D304" s="87" t="s">
        <v>234</v>
      </c>
      <c r="E304" s="87" t="s">
        <v>345</v>
      </c>
      <c r="F304" s="7" t="s">
        <v>174</v>
      </c>
      <c r="G304" s="10" t="s">
        <v>175</v>
      </c>
      <c r="H304" s="8" t="s">
        <v>182</v>
      </c>
      <c r="I304" s="9">
        <v>300000</v>
      </c>
      <c r="J304" s="1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s="5" customFormat="1" ht="18.600000000000001" customHeight="1" x14ac:dyDescent="0.3">
      <c r="A305" s="1"/>
      <c r="B305" s="6">
        <f t="shared" si="4"/>
        <v>304</v>
      </c>
      <c r="C305" s="7">
        <v>46142</v>
      </c>
      <c r="D305" s="87" t="s">
        <v>341</v>
      </c>
      <c r="E305" s="87"/>
      <c r="F305" s="7" t="s">
        <v>42</v>
      </c>
      <c r="G305" s="6"/>
      <c r="H305" s="8">
        <v>952064800</v>
      </c>
      <c r="I305" s="9">
        <v>200000</v>
      </c>
      <c r="J305" s="1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s="5" customFormat="1" ht="18.600000000000001" customHeight="1" x14ac:dyDescent="0.3">
      <c r="A306" s="1"/>
      <c r="B306" s="6">
        <f t="shared" si="4"/>
        <v>305</v>
      </c>
      <c r="C306" s="7">
        <v>46142</v>
      </c>
      <c r="D306" s="87"/>
      <c r="E306" s="87"/>
      <c r="F306" s="7" t="s">
        <v>112</v>
      </c>
      <c r="G306" s="6"/>
      <c r="H306" s="8">
        <v>952065014</v>
      </c>
      <c r="I306" s="9">
        <v>200000</v>
      </c>
      <c r="J306" s="1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s="5" customFormat="1" ht="18.600000000000001" customHeight="1" x14ac:dyDescent="0.3">
      <c r="A307" s="1"/>
      <c r="B307" s="6">
        <f t="shared" si="4"/>
        <v>306</v>
      </c>
      <c r="C307" s="7">
        <v>46143</v>
      </c>
      <c r="D307" s="87"/>
      <c r="E307" s="87"/>
      <c r="F307" s="7" t="s">
        <v>158</v>
      </c>
      <c r="G307" s="6"/>
      <c r="H307" s="8">
        <v>952482296</v>
      </c>
      <c r="I307" s="9">
        <v>68000</v>
      </c>
      <c r="J307" s="1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s="5" customFormat="1" ht="18.600000000000001" customHeight="1" x14ac:dyDescent="0.3">
      <c r="A308" s="1"/>
      <c r="B308" s="6">
        <f t="shared" si="4"/>
        <v>307</v>
      </c>
      <c r="C308" s="7">
        <v>46143</v>
      </c>
      <c r="D308" s="87"/>
      <c r="E308" s="87"/>
      <c r="F308" s="7" t="s">
        <v>88</v>
      </c>
      <c r="G308" s="6"/>
      <c r="H308" s="8">
        <v>952484211</v>
      </c>
      <c r="I308" s="9">
        <v>100000</v>
      </c>
      <c r="J308" s="1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s="5" customFormat="1" ht="18.600000000000001" customHeight="1" x14ac:dyDescent="0.3">
      <c r="A309" s="1"/>
      <c r="B309" s="6">
        <f t="shared" si="4"/>
        <v>308</v>
      </c>
      <c r="C309" s="7">
        <v>46144</v>
      </c>
      <c r="D309" s="87"/>
      <c r="E309" s="87"/>
      <c r="F309" s="7" t="s">
        <v>117</v>
      </c>
      <c r="G309" s="6"/>
      <c r="H309" s="8" t="s">
        <v>183</v>
      </c>
      <c r="I309" s="9">
        <v>50000</v>
      </c>
      <c r="J309" s="1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s="5" customFormat="1" ht="18.600000000000001" customHeight="1" x14ac:dyDescent="0.3">
      <c r="A310" s="1"/>
      <c r="B310" s="6">
        <f t="shared" si="4"/>
        <v>309</v>
      </c>
      <c r="C310" s="7">
        <v>46144</v>
      </c>
      <c r="D310" s="87"/>
      <c r="E310" s="87"/>
      <c r="F310" s="7" t="s">
        <v>117</v>
      </c>
      <c r="G310" s="6"/>
      <c r="H310" s="8" t="s">
        <v>184</v>
      </c>
      <c r="I310" s="9">
        <v>50000</v>
      </c>
      <c r="J310" s="1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s="5" customFormat="1" ht="18.600000000000001" customHeight="1" x14ac:dyDescent="0.3">
      <c r="A311" s="1"/>
      <c r="B311" s="6">
        <f t="shared" si="4"/>
        <v>310</v>
      </c>
      <c r="C311" s="7">
        <v>46144</v>
      </c>
      <c r="D311" s="87"/>
      <c r="E311" s="87"/>
      <c r="F311" s="7" t="s">
        <v>185</v>
      </c>
      <c r="G311" s="6"/>
      <c r="H311" s="8" t="s">
        <v>37</v>
      </c>
      <c r="I311" s="9">
        <v>15000</v>
      </c>
      <c r="J311" s="1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s="5" customFormat="1" ht="18.600000000000001" customHeight="1" x14ac:dyDescent="0.3">
      <c r="A312" s="1"/>
      <c r="B312" s="6">
        <f t="shared" si="4"/>
        <v>311</v>
      </c>
      <c r="C312" s="7">
        <v>46144</v>
      </c>
      <c r="D312" s="87" t="s">
        <v>234</v>
      </c>
      <c r="E312" s="87" t="s">
        <v>446</v>
      </c>
      <c r="F312" s="7" t="s">
        <v>186</v>
      </c>
      <c r="G312" s="10" t="s">
        <v>187</v>
      </c>
      <c r="H312" s="8">
        <v>952622685</v>
      </c>
      <c r="I312" s="9">
        <v>75000</v>
      </c>
      <c r="J312" s="1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s="5" customFormat="1" ht="18.600000000000001" customHeight="1" x14ac:dyDescent="0.3">
      <c r="A313" s="1"/>
      <c r="B313" s="6">
        <f t="shared" si="4"/>
        <v>312</v>
      </c>
      <c r="C313" s="7">
        <v>46144</v>
      </c>
      <c r="D313" s="87"/>
      <c r="E313" s="87"/>
      <c r="F313" s="7" t="s">
        <v>188</v>
      </c>
      <c r="G313" s="6" t="s">
        <v>191</v>
      </c>
      <c r="H313" s="8" t="s">
        <v>189</v>
      </c>
      <c r="I313" s="9">
        <v>44000</v>
      </c>
      <c r="J313" s="1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s="5" customFormat="1" ht="18.600000000000001" customHeight="1" x14ac:dyDescent="0.3">
      <c r="A314" s="1"/>
      <c r="B314" s="6">
        <f t="shared" si="4"/>
        <v>313</v>
      </c>
      <c r="C314" s="7">
        <v>46144</v>
      </c>
      <c r="D314" s="87"/>
      <c r="E314" s="87"/>
      <c r="F314" s="7" t="s">
        <v>190</v>
      </c>
      <c r="G314" s="6" t="s">
        <v>191</v>
      </c>
      <c r="H314" s="8" t="s">
        <v>189</v>
      </c>
      <c r="I314" s="9">
        <v>40800</v>
      </c>
      <c r="J314" s="1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s="5" customFormat="1" ht="18.600000000000001" customHeight="1" x14ac:dyDescent="0.3">
      <c r="A315" s="1"/>
      <c r="B315" s="6">
        <f t="shared" si="4"/>
        <v>314</v>
      </c>
      <c r="C315" s="7">
        <v>46145</v>
      </c>
      <c r="D315" s="87" t="s">
        <v>234</v>
      </c>
      <c r="E315" s="87" t="s">
        <v>446</v>
      </c>
      <c r="F315" s="7" t="s">
        <v>125</v>
      </c>
      <c r="G315" s="10" t="s">
        <v>126</v>
      </c>
      <c r="H315" s="8">
        <v>952735285</v>
      </c>
      <c r="I315" s="9">
        <v>58100</v>
      </c>
      <c r="J315" s="1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s="5" customFormat="1" ht="18.600000000000001" customHeight="1" x14ac:dyDescent="0.3">
      <c r="A316" s="1"/>
      <c r="B316" s="6">
        <f t="shared" si="4"/>
        <v>315</v>
      </c>
      <c r="C316" s="7">
        <v>46145</v>
      </c>
      <c r="D316" s="87" t="s">
        <v>341</v>
      </c>
      <c r="E316" s="87"/>
      <c r="F316" s="7" t="s">
        <v>147</v>
      </c>
      <c r="G316" s="6" t="s">
        <v>148</v>
      </c>
      <c r="H316" s="8" t="s">
        <v>37</v>
      </c>
      <c r="I316" s="9">
        <v>40000</v>
      </c>
      <c r="J316" s="1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s="5" customFormat="1" ht="18.600000000000001" customHeight="1" x14ac:dyDescent="0.3">
      <c r="A317" s="1"/>
      <c r="B317" s="6">
        <f t="shared" si="4"/>
        <v>316</v>
      </c>
      <c r="C317" s="7">
        <v>46145</v>
      </c>
      <c r="D317" s="87"/>
      <c r="E317" s="87"/>
      <c r="F317" s="7" t="s">
        <v>117</v>
      </c>
      <c r="G317" s="6"/>
      <c r="H317" s="8" t="s">
        <v>192</v>
      </c>
      <c r="I317" s="9">
        <v>50000</v>
      </c>
      <c r="J317" s="1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s="5" customFormat="1" ht="18.600000000000001" customHeight="1" x14ac:dyDescent="0.3">
      <c r="A318" s="1"/>
      <c r="B318" s="6">
        <f t="shared" si="4"/>
        <v>317</v>
      </c>
      <c r="C318" s="7">
        <v>46145</v>
      </c>
      <c r="D318" s="87"/>
      <c r="E318" s="87"/>
      <c r="F318" s="7" t="s">
        <v>193</v>
      </c>
      <c r="G318" s="6" t="s">
        <v>194</v>
      </c>
      <c r="H318" s="8" t="s">
        <v>37</v>
      </c>
      <c r="I318" s="9">
        <v>15000</v>
      </c>
      <c r="J318" s="1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s="5" customFormat="1" ht="18.600000000000001" customHeight="1" x14ac:dyDescent="0.3">
      <c r="A319" s="1"/>
      <c r="B319" s="6">
        <f t="shared" si="4"/>
        <v>318</v>
      </c>
      <c r="C319" s="7">
        <v>46146</v>
      </c>
      <c r="D319" s="87" t="s">
        <v>234</v>
      </c>
      <c r="E319" s="87" t="s">
        <v>345</v>
      </c>
      <c r="F319" s="7" t="s">
        <v>174</v>
      </c>
      <c r="G319" s="10" t="s">
        <v>175</v>
      </c>
      <c r="H319" s="8">
        <v>952902936</v>
      </c>
      <c r="I319" s="9">
        <v>100000</v>
      </c>
      <c r="J319" s="1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s="5" customFormat="1" ht="18.600000000000001" customHeight="1" x14ac:dyDescent="0.3">
      <c r="A320" s="1"/>
      <c r="B320" s="6">
        <f t="shared" si="4"/>
        <v>319</v>
      </c>
      <c r="C320" s="7">
        <v>46148</v>
      </c>
      <c r="D320" s="87" t="s">
        <v>2608</v>
      </c>
      <c r="E320" s="87"/>
      <c r="F320" s="7" t="s">
        <v>95</v>
      </c>
      <c r="G320" s="6" t="s">
        <v>295</v>
      </c>
      <c r="H320" s="8">
        <v>953324002</v>
      </c>
      <c r="I320" s="131">
        <v>306800</v>
      </c>
      <c r="J320" s="1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s="5" customFormat="1" ht="18.600000000000001" customHeight="1" x14ac:dyDescent="0.3">
      <c r="A321" s="1"/>
      <c r="B321" s="6">
        <f t="shared" si="4"/>
        <v>320</v>
      </c>
      <c r="C321" s="7">
        <v>46148</v>
      </c>
      <c r="D321" s="87" t="s">
        <v>240</v>
      </c>
      <c r="E321" s="87" t="s">
        <v>1005</v>
      </c>
      <c r="F321" s="7" t="s">
        <v>162</v>
      </c>
      <c r="G321" s="6" t="s">
        <v>163</v>
      </c>
      <c r="H321" s="8">
        <v>953323798</v>
      </c>
      <c r="I321" s="9">
        <v>500000</v>
      </c>
      <c r="J321" s="1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s="5" customFormat="1" ht="18.600000000000001" customHeight="1" x14ac:dyDescent="0.3">
      <c r="A322" s="1"/>
      <c r="B322" s="6">
        <f t="shared" si="4"/>
        <v>321</v>
      </c>
      <c r="C322" s="7">
        <v>46148</v>
      </c>
      <c r="D322" s="87" t="s">
        <v>341</v>
      </c>
      <c r="E322" s="87"/>
      <c r="F322" s="7" t="s">
        <v>84</v>
      </c>
      <c r="G322" s="6" t="s">
        <v>133</v>
      </c>
      <c r="H322" s="8">
        <v>953401324</v>
      </c>
      <c r="I322" s="9">
        <v>200000</v>
      </c>
      <c r="J322" s="1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s="5" customFormat="1" ht="18.600000000000001" customHeight="1" x14ac:dyDescent="0.3">
      <c r="A323" s="1"/>
      <c r="B323" s="6">
        <f t="shared" si="4"/>
        <v>322</v>
      </c>
      <c r="C323" s="7">
        <v>46148</v>
      </c>
      <c r="D323" s="87" t="s">
        <v>234</v>
      </c>
      <c r="E323" s="87" t="s">
        <v>345</v>
      </c>
      <c r="F323" s="7" t="s">
        <v>174</v>
      </c>
      <c r="G323" s="10" t="s">
        <v>175</v>
      </c>
      <c r="H323" s="8" t="s">
        <v>177</v>
      </c>
      <c r="I323" s="9">
        <v>100000</v>
      </c>
      <c r="J323" s="1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s="5" customFormat="1" ht="18.600000000000001" customHeight="1" x14ac:dyDescent="0.3">
      <c r="A324" s="1"/>
      <c r="B324" s="6">
        <f t="shared" ref="B324:B387" si="5">+B323+1</f>
        <v>323</v>
      </c>
      <c r="C324" s="7">
        <v>46148</v>
      </c>
      <c r="D324" s="87"/>
      <c r="E324" s="87"/>
      <c r="F324" s="7" t="s">
        <v>88</v>
      </c>
      <c r="G324" s="6"/>
      <c r="H324" s="8">
        <v>953555725</v>
      </c>
      <c r="I324" s="9">
        <v>100000</v>
      </c>
      <c r="J324" s="1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s="5" customFormat="1" ht="18.600000000000001" customHeight="1" x14ac:dyDescent="0.3">
      <c r="A325" s="1"/>
      <c r="B325" s="6">
        <f t="shared" si="5"/>
        <v>324</v>
      </c>
      <c r="C325" s="7">
        <v>46149</v>
      </c>
      <c r="D325" s="87"/>
      <c r="E325" s="87"/>
      <c r="F325" s="7" t="s">
        <v>82</v>
      </c>
      <c r="G325" s="6" t="s">
        <v>195</v>
      </c>
      <c r="H325" s="8">
        <v>953646084</v>
      </c>
      <c r="I325" s="9">
        <v>103745</v>
      </c>
      <c r="J325" s="1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s="5" customFormat="1" ht="18.600000000000001" customHeight="1" x14ac:dyDescent="0.3">
      <c r="A326" s="1"/>
      <c r="B326" s="6">
        <f t="shared" si="5"/>
        <v>325</v>
      </c>
      <c r="C326" s="7">
        <v>46149</v>
      </c>
      <c r="D326" s="87" t="s">
        <v>234</v>
      </c>
      <c r="E326" s="87" t="s">
        <v>546</v>
      </c>
      <c r="F326" s="7" t="s">
        <v>127</v>
      </c>
      <c r="G326" s="10" t="s">
        <v>128</v>
      </c>
      <c r="H326" s="8">
        <v>953813484</v>
      </c>
      <c r="I326" s="9">
        <v>250000</v>
      </c>
      <c r="J326" s="1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s="5" customFormat="1" ht="18.600000000000001" customHeight="1" x14ac:dyDescent="0.3">
      <c r="A327" s="1"/>
      <c r="B327" s="6">
        <f t="shared" si="5"/>
        <v>326</v>
      </c>
      <c r="C327" s="7">
        <v>46149</v>
      </c>
      <c r="D327" s="87" t="s">
        <v>341</v>
      </c>
      <c r="E327" s="87"/>
      <c r="F327" s="7" t="s">
        <v>50</v>
      </c>
      <c r="G327" s="6"/>
      <c r="H327" s="8">
        <v>953854137</v>
      </c>
      <c r="I327" s="9">
        <v>200000</v>
      </c>
      <c r="J327" s="1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s="5" customFormat="1" ht="18.600000000000001" customHeight="1" x14ac:dyDescent="0.3">
      <c r="A328" s="1"/>
      <c r="B328" s="6">
        <f t="shared" si="5"/>
        <v>327</v>
      </c>
      <c r="C328" s="7">
        <v>46149</v>
      </c>
      <c r="D328" s="87" t="s">
        <v>341</v>
      </c>
      <c r="E328" s="87"/>
      <c r="F328" s="7" t="s">
        <v>131</v>
      </c>
      <c r="G328" s="6" t="s">
        <v>132</v>
      </c>
      <c r="H328" s="8">
        <v>953856963</v>
      </c>
      <c r="I328" s="9">
        <v>200000</v>
      </c>
      <c r="J328" s="1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s="5" customFormat="1" ht="18.600000000000001" customHeight="1" x14ac:dyDescent="0.3">
      <c r="A329" s="1"/>
      <c r="B329" s="6">
        <f t="shared" si="5"/>
        <v>328</v>
      </c>
      <c r="C329" s="7">
        <v>46150</v>
      </c>
      <c r="D329" s="87"/>
      <c r="E329" s="87"/>
      <c r="F329" s="7" t="s">
        <v>117</v>
      </c>
      <c r="G329" s="6"/>
      <c r="H329" s="8" t="s">
        <v>177</v>
      </c>
      <c r="I329" s="9">
        <v>100000</v>
      </c>
      <c r="J329" s="1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s="5" customFormat="1" ht="18.600000000000001" customHeight="1" x14ac:dyDescent="0.3">
      <c r="A330" s="1"/>
      <c r="B330" s="6">
        <f t="shared" si="5"/>
        <v>329</v>
      </c>
      <c r="C330" s="7">
        <v>46150</v>
      </c>
      <c r="D330" s="87"/>
      <c r="E330" s="87"/>
      <c r="F330" s="7" t="s">
        <v>196</v>
      </c>
      <c r="G330" s="6" t="s">
        <v>197</v>
      </c>
      <c r="H330" s="8" t="s">
        <v>37</v>
      </c>
      <c r="I330" s="9">
        <v>10000</v>
      </c>
      <c r="J330" s="1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s="5" customFormat="1" ht="18.600000000000001" customHeight="1" x14ac:dyDescent="0.3">
      <c r="A331" s="1"/>
      <c r="B331" s="6">
        <f t="shared" si="5"/>
        <v>330</v>
      </c>
      <c r="C331" s="7">
        <v>46151</v>
      </c>
      <c r="D331" s="87"/>
      <c r="E331" s="87"/>
      <c r="F331" s="7" t="s">
        <v>88</v>
      </c>
      <c r="G331" s="6"/>
      <c r="H331" s="8">
        <v>954142065</v>
      </c>
      <c r="I331" s="9">
        <v>100000</v>
      </c>
      <c r="J331" s="1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s="5" customFormat="1" ht="18.600000000000001" customHeight="1" x14ac:dyDescent="0.3">
      <c r="A332" s="1"/>
      <c r="B332" s="6">
        <f t="shared" si="5"/>
        <v>331</v>
      </c>
      <c r="C332" s="7">
        <v>46152</v>
      </c>
      <c r="D332" s="87"/>
      <c r="E332" s="87"/>
      <c r="F332" s="7" t="s">
        <v>198</v>
      </c>
      <c r="G332" s="6" t="s">
        <v>199</v>
      </c>
      <c r="H332" s="8" t="s">
        <v>37</v>
      </c>
      <c r="I332" s="9">
        <v>100000</v>
      </c>
      <c r="J332" s="1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s="5" customFormat="1" ht="18.600000000000001" customHeight="1" x14ac:dyDescent="0.3">
      <c r="A333" s="1"/>
      <c r="B333" s="6">
        <f t="shared" si="5"/>
        <v>332</v>
      </c>
      <c r="C333" s="7">
        <v>46152</v>
      </c>
      <c r="D333" s="87"/>
      <c r="E333" s="87"/>
      <c r="F333" s="7" t="s">
        <v>117</v>
      </c>
      <c r="G333" s="6"/>
      <c r="H333" s="8">
        <v>954351301</v>
      </c>
      <c r="I333" s="9">
        <v>100000</v>
      </c>
      <c r="J333" s="1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s="5" customFormat="1" ht="18.600000000000001" customHeight="1" x14ac:dyDescent="0.3">
      <c r="A334" s="1"/>
      <c r="B334" s="6">
        <f t="shared" si="5"/>
        <v>333</v>
      </c>
      <c r="C334" s="7">
        <v>46152</v>
      </c>
      <c r="D334" s="87" t="s">
        <v>341</v>
      </c>
      <c r="E334" s="87"/>
      <c r="F334" s="7" t="s">
        <v>84</v>
      </c>
      <c r="G334" s="6" t="s">
        <v>133</v>
      </c>
      <c r="H334" s="8">
        <v>954384998</v>
      </c>
      <c r="I334" s="9">
        <v>100000</v>
      </c>
      <c r="J334" s="1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s="5" customFormat="1" ht="18.600000000000001" customHeight="1" x14ac:dyDescent="0.3">
      <c r="A335" s="1"/>
      <c r="B335" s="6">
        <f t="shared" si="5"/>
        <v>334</v>
      </c>
      <c r="C335" s="7">
        <v>46152</v>
      </c>
      <c r="D335" s="87" t="s">
        <v>341</v>
      </c>
      <c r="E335" s="87"/>
      <c r="F335" s="7" t="s">
        <v>84</v>
      </c>
      <c r="G335" s="6" t="s">
        <v>169</v>
      </c>
      <c r="H335" s="8" t="s">
        <v>37</v>
      </c>
      <c r="I335" s="9">
        <v>20000</v>
      </c>
      <c r="J335" s="1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s="5" customFormat="1" ht="18.600000000000001" customHeight="1" x14ac:dyDescent="0.3">
      <c r="A336" s="1"/>
      <c r="B336" s="6">
        <f t="shared" si="5"/>
        <v>335</v>
      </c>
      <c r="C336" s="7">
        <v>46152</v>
      </c>
      <c r="D336" s="87" t="s">
        <v>341</v>
      </c>
      <c r="E336" s="87"/>
      <c r="F336" s="7" t="s">
        <v>84</v>
      </c>
      <c r="G336" s="6" t="s">
        <v>200</v>
      </c>
      <c r="H336" s="8" t="s">
        <v>37</v>
      </c>
      <c r="I336" s="9">
        <v>17250</v>
      </c>
      <c r="J336" s="1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s="5" customFormat="1" ht="18.600000000000001" customHeight="1" x14ac:dyDescent="0.3">
      <c r="A337" s="1"/>
      <c r="B337" s="6">
        <f t="shared" si="5"/>
        <v>336</v>
      </c>
      <c r="C337" s="7">
        <v>46152</v>
      </c>
      <c r="D337" s="87"/>
      <c r="E337" s="87"/>
      <c r="F337" s="7" t="s">
        <v>88</v>
      </c>
      <c r="G337" s="6"/>
      <c r="H337" s="8">
        <v>954427677</v>
      </c>
      <c r="I337" s="9">
        <v>976000</v>
      </c>
      <c r="J337" s="1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s="5" customFormat="1" ht="18.600000000000001" customHeight="1" x14ac:dyDescent="0.3">
      <c r="A338" s="1"/>
      <c r="B338" s="6">
        <f t="shared" si="5"/>
        <v>337</v>
      </c>
      <c r="C338" s="7">
        <v>46152</v>
      </c>
      <c r="D338" s="87"/>
      <c r="E338" s="87"/>
      <c r="F338" s="7" t="s">
        <v>88</v>
      </c>
      <c r="G338" s="6"/>
      <c r="H338" s="8">
        <v>954427638</v>
      </c>
      <c r="I338" s="9">
        <v>800000</v>
      </c>
      <c r="J338" s="1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s="5" customFormat="1" ht="18.600000000000001" customHeight="1" x14ac:dyDescent="0.3">
      <c r="A339" s="1"/>
      <c r="B339" s="6">
        <f t="shared" si="5"/>
        <v>338</v>
      </c>
      <c r="C339" s="7">
        <v>46152</v>
      </c>
      <c r="D339" s="87"/>
      <c r="E339" s="87"/>
      <c r="F339" s="7" t="s">
        <v>88</v>
      </c>
      <c r="G339" s="6"/>
      <c r="H339" s="8">
        <v>954427655</v>
      </c>
      <c r="I339" s="9">
        <v>200000</v>
      </c>
      <c r="J339" s="1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s="5" customFormat="1" ht="18.600000000000001" customHeight="1" x14ac:dyDescent="0.3">
      <c r="A340" s="1"/>
      <c r="B340" s="6">
        <f t="shared" si="5"/>
        <v>339</v>
      </c>
      <c r="C340" s="7">
        <v>46153</v>
      </c>
      <c r="D340" s="87" t="s">
        <v>234</v>
      </c>
      <c r="E340" s="87" t="s">
        <v>345</v>
      </c>
      <c r="F340" s="7" t="s">
        <v>174</v>
      </c>
      <c r="G340" s="10" t="s">
        <v>175</v>
      </c>
      <c r="H340" s="8" t="s">
        <v>177</v>
      </c>
      <c r="I340" s="9">
        <v>50000</v>
      </c>
      <c r="J340" s="1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s="5" customFormat="1" ht="18.600000000000001" customHeight="1" x14ac:dyDescent="0.3">
      <c r="A341" s="1"/>
      <c r="B341" s="6">
        <f t="shared" si="5"/>
        <v>340</v>
      </c>
      <c r="C341" s="7">
        <v>46153</v>
      </c>
      <c r="D341" s="87" t="s">
        <v>369</v>
      </c>
      <c r="E341" s="87" t="s">
        <v>446</v>
      </c>
      <c r="F341" s="7" t="s">
        <v>2609</v>
      </c>
      <c r="G341" s="6" t="s">
        <v>2610</v>
      </c>
      <c r="H341" s="8" t="s">
        <v>2590</v>
      </c>
      <c r="I341" s="9">
        <v>1150000</v>
      </c>
      <c r="J341" s="1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s="5" customFormat="1" ht="18.600000000000001" customHeight="1" x14ac:dyDescent="0.3">
      <c r="A342" s="1"/>
      <c r="B342" s="6">
        <f t="shared" si="5"/>
        <v>341</v>
      </c>
      <c r="C342" s="7">
        <v>46154</v>
      </c>
      <c r="D342" s="87"/>
      <c r="E342" s="87"/>
      <c r="F342" s="7" t="s">
        <v>117</v>
      </c>
      <c r="G342" s="6"/>
      <c r="H342" s="8">
        <v>954741522</v>
      </c>
      <c r="I342" s="9">
        <v>100000</v>
      </c>
      <c r="J342" s="1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s="5" customFormat="1" ht="18.600000000000001" customHeight="1" x14ac:dyDescent="0.3">
      <c r="A343" s="1"/>
      <c r="B343" s="6">
        <f t="shared" si="5"/>
        <v>342</v>
      </c>
      <c r="C343" s="7">
        <v>46154</v>
      </c>
      <c r="D343" s="87"/>
      <c r="E343" s="87"/>
      <c r="F343" s="7" t="s">
        <v>158</v>
      </c>
      <c r="G343" s="6"/>
      <c r="H343" s="8">
        <v>954913464</v>
      </c>
      <c r="I343" s="9">
        <v>132000</v>
      </c>
      <c r="J343" s="1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s="5" customFormat="1" ht="18.600000000000001" customHeight="1" x14ac:dyDescent="0.3">
      <c r="A344" s="1"/>
      <c r="B344" s="6">
        <f t="shared" si="5"/>
        <v>343</v>
      </c>
      <c r="C344" s="7">
        <v>46154</v>
      </c>
      <c r="D344" s="87" t="s">
        <v>2608</v>
      </c>
      <c r="E344" s="87"/>
      <c r="F344" s="7" t="s">
        <v>95</v>
      </c>
      <c r="G344" s="6" t="s">
        <v>295</v>
      </c>
      <c r="H344" s="8"/>
      <c r="I344" s="131">
        <v>500000</v>
      </c>
      <c r="J344" s="1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s="5" customFormat="1" ht="18.600000000000001" customHeight="1" x14ac:dyDescent="0.3">
      <c r="A345" s="1"/>
      <c r="B345" s="6">
        <f t="shared" si="5"/>
        <v>344</v>
      </c>
      <c r="C345" s="7">
        <v>46155</v>
      </c>
      <c r="D345" s="87" t="s">
        <v>234</v>
      </c>
      <c r="E345" s="87" t="s">
        <v>345</v>
      </c>
      <c r="F345" s="7" t="s">
        <v>174</v>
      </c>
      <c r="G345" s="10" t="s">
        <v>175</v>
      </c>
      <c r="H345" s="8" t="s">
        <v>177</v>
      </c>
      <c r="I345" s="9">
        <v>50000</v>
      </c>
      <c r="J345" s="1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s="5" customFormat="1" ht="18.600000000000001" customHeight="1" x14ac:dyDescent="0.3">
      <c r="A346" s="1"/>
      <c r="B346" s="6">
        <f t="shared" si="5"/>
        <v>345</v>
      </c>
      <c r="C346" s="7">
        <v>46155</v>
      </c>
      <c r="D346" s="87" t="s">
        <v>341</v>
      </c>
      <c r="E346" s="87"/>
      <c r="F346" s="7" t="s">
        <v>50</v>
      </c>
      <c r="G346" s="6"/>
      <c r="H346" s="8">
        <v>955037282</v>
      </c>
      <c r="I346" s="9">
        <v>150000</v>
      </c>
      <c r="J346" s="1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s="5" customFormat="1" ht="18.600000000000001" customHeight="1" x14ac:dyDescent="0.3">
      <c r="A347" s="1"/>
      <c r="B347" s="6">
        <f t="shared" si="5"/>
        <v>346</v>
      </c>
      <c r="C347" s="7">
        <v>46156</v>
      </c>
      <c r="D347" s="87" t="s">
        <v>341</v>
      </c>
      <c r="E347" s="87"/>
      <c r="F347" s="7" t="s">
        <v>42</v>
      </c>
      <c r="G347" s="6"/>
      <c r="H347" s="8">
        <v>955240510</v>
      </c>
      <c r="I347" s="9">
        <v>150000</v>
      </c>
      <c r="J347" s="1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s="5" customFormat="1" ht="18.600000000000001" customHeight="1" x14ac:dyDescent="0.3">
      <c r="A348" s="1"/>
      <c r="B348" s="6">
        <f t="shared" si="5"/>
        <v>347</v>
      </c>
      <c r="C348" s="7">
        <v>46156</v>
      </c>
      <c r="D348" s="87" t="s">
        <v>341</v>
      </c>
      <c r="E348" s="87"/>
      <c r="F348" s="7" t="s">
        <v>201</v>
      </c>
      <c r="G348" s="6" t="s">
        <v>202</v>
      </c>
      <c r="H348" s="8" t="s">
        <v>37</v>
      </c>
      <c r="I348" s="9">
        <v>30000</v>
      </c>
      <c r="J348" s="1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s="5" customFormat="1" ht="18.600000000000001" customHeight="1" x14ac:dyDescent="0.3">
      <c r="A349" s="1"/>
      <c r="B349" s="6">
        <f t="shared" si="5"/>
        <v>348</v>
      </c>
      <c r="C349" s="7">
        <v>46156</v>
      </c>
      <c r="D349" s="87" t="s">
        <v>234</v>
      </c>
      <c r="E349" s="87"/>
      <c r="F349" s="7" t="s">
        <v>178</v>
      </c>
      <c r="G349" s="6" t="s">
        <v>179</v>
      </c>
      <c r="H349" s="8">
        <v>955304159</v>
      </c>
      <c r="I349" s="9">
        <v>24300</v>
      </c>
      <c r="J349" s="1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s="5" customFormat="1" ht="18.600000000000001" customHeight="1" x14ac:dyDescent="0.3">
      <c r="A350" s="1"/>
      <c r="B350" s="6">
        <f t="shared" si="5"/>
        <v>349</v>
      </c>
      <c r="C350" s="7">
        <v>46157</v>
      </c>
      <c r="D350" s="87" t="s">
        <v>234</v>
      </c>
      <c r="E350" s="87" t="s">
        <v>345</v>
      </c>
      <c r="F350" s="7" t="s">
        <v>174</v>
      </c>
      <c r="G350" s="10" t="s">
        <v>175</v>
      </c>
      <c r="H350" s="8" t="s">
        <v>177</v>
      </c>
      <c r="I350" s="9">
        <v>50000</v>
      </c>
      <c r="J350" s="1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s="5" customFormat="1" ht="18.600000000000001" customHeight="1" x14ac:dyDescent="0.3">
      <c r="A351" s="1"/>
      <c r="B351" s="6">
        <f t="shared" si="5"/>
        <v>350</v>
      </c>
      <c r="C351" s="7">
        <v>46157</v>
      </c>
      <c r="D351" s="87" t="s">
        <v>234</v>
      </c>
      <c r="E351" s="87" t="s">
        <v>2589</v>
      </c>
      <c r="F351" s="7" t="s">
        <v>69</v>
      </c>
      <c r="G351" s="10" t="s">
        <v>203</v>
      </c>
      <c r="H351" s="8">
        <v>955425751</v>
      </c>
      <c r="I351" s="9">
        <v>400000</v>
      </c>
      <c r="J351" s="1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s="5" customFormat="1" ht="18.600000000000001" customHeight="1" x14ac:dyDescent="0.3">
      <c r="A352" s="1"/>
      <c r="B352" s="6">
        <f t="shared" si="5"/>
        <v>351</v>
      </c>
      <c r="C352" s="7">
        <v>46157</v>
      </c>
      <c r="D352" s="87"/>
      <c r="E352" s="87"/>
      <c r="F352" s="7" t="s">
        <v>117</v>
      </c>
      <c r="G352" s="6"/>
      <c r="H352" s="8">
        <v>955529823</v>
      </c>
      <c r="I352" s="9">
        <v>46000</v>
      </c>
      <c r="J352" s="1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s="5" customFormat="1" ht="18.600000000000001" customHeight="1" x14ac:dyDescent="0.3">
      <c r="A353" s="1"/>
      <c r="B353" s="6">
        <f t="shared" si="5"/>
        <v>352</v>
      </c>
      <c r="C353" s="7">
        <v>46157</v>
      </c>
      <c r="D353" s="87" t="s">
        <v>240</v>
      </c>
      <c r="E353" s="87"/>
      <c r="F353" s="7" t="s">
        <v>80</v>
      </c>
      <c r="G353" s="6"/>
      <c r="H353" s="8">
        <v>955575292</v>
      </c>
      <c r="I353" s="22">
        <v>172000</v>
      </c>
      <c r="J353" s="1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s="5" customFormat="1" ht="18.600000000000001" customHeight="1" x14ac:dyDescent="0.3">
      <c r="A354" s="1"/>
      <c r="B354" s="6">
        <f t="shared" si="5"/>
        <v>353</v>
      </c>
      <c r="C354" s="7">
        <v>46157</v>
      </c>
      <c r="D354" s="87" t="s">
        <v>240</v>
      </c>
      <c r="E354" s="87" t="s">
        <v>1005</v>
      </c>
      <c r="F354" s="7" t="s">
        <v>162</v>
      </c>
      <c r="G354" s="6" t="s">
        <v>163</v>
      </c>
      <c r="H354" s="8">
        <v>955576126</v>
      </c>
      <c r="I354" s="9">
        <v>600000</v>
      </c>
      <c r="J354" s="1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s="5" customFormat="1" ht="18.600000000000001" customHeight="1" x14ac:dyDescent="0.3">
      <c r="A355" s="1"/>
      <c r="B355" s="6">
        <f t="shared" si="5"/>
        <v>354</v>
      </c>
      <c r="C355" s="7">
        <v>46158</v>
      </c>
      <c r="D355" s="87"/>
      <c r="E355" s="87"/>
      <c r="F355" s="7" t="s">
        <v>117</v>
      </c>
      <c r="G355" s="6"/>
      <c r="H355" s="8">
        <v>955666377</v>
      </c>
      <c r="I355" s="9">
        <v>100000</v>
      </c>
      <c r="J355" s="1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s="5" customFormat="1" ht="18.600000000000001" customHeight="1" x14ac:dyDescent="0.3">
      <c r="A356" s="1"/>
      <c r="B356" s="6">
        <f t="shared" si="5"/>
        <v>355</v>
      </c>
      <c r="C356" s="7">
        <v>46158</v>
      </c>
      <c r="D356" s="87" t="s">
        <v>234</v>
      </c>
      <c r="E356" s="87" t="s">
        <v>345</v>
      </c>
      <c r="F356" s="7" t="s">
        <v>174</v>
      </c>
      <c r="G356" s="10" t="s">
        <v>175</v>
      </c>
      <c r="H356" s="8" t="s">
        <v>177</v>
      </c>
      <c r="I356" s="9">
        <v>36000</v>
      </c>
      <c r="J356" s="1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s="5" customFormat="1" ht="18.600000000000001" customHeight="1" x14ac:dyDescent="0.3">
      <c r="A357" s="1"/>
      <c r="B357" s="6">
        <f t="shared" si="5"/>
        <v>356</v>
      </c>
      <c r="C357" s="7">
        <v>46158</v>
      </c>
      <c r="D357" s="87" t="s">
        <v>341</v>
      </c>
      <c r="E357" s="87"/>
      <c r="F357" s="7" t="s">
        <v>84</v>
      </c>
      <c r="G357" s="6" t="s">
        <v>133</v>
      </c>
      <c r="H357" s="8">
        <v>955856686</v>
      </c>
      <c r="I357" s="9">
        <v>200000</v>
      </c>
      <c r="J357" s="1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s="5" customFormat="1" ht="18.600000000000001" customHeight="1" x14ac:dyDescent="0.3">
      <c r="A358" s="1"/>
      <c r="B358" s="6">
        <f t="shared" si="5"/>
        <v>357</v>
      </c>
      <c r="C358" s="7">
        <v>46159</v>
      </c>
      <c r="D358" s="87" t="s">
        <v>341</v>
      </c>
      <c r="E358" s="87"/>
      <c r="F358" s="7" t="s">
        <v>50</v>
      </c>
      <c r="G358" s="6"/>
      <c r="H358" s="8">
        <v>955856726</v>
      </c>
      <c r="I358" s="9">
        <v>150000</v>
      </c>
      <c r="J358" s="1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s="5" customFormat="1" ht="18.600000000000001" customHeight="1" x14ac:dyDescent="0.3">
      <c r="A359" s="1"/>
      <c r="B359" s="6">
        <f t="shared" si="5"/>
        <v>358</v>
      </c>
      <c r="C359" s="7">
        <v>46159</v>
      </c>
      <c r="D359" s="87" t="s">
        <v>341</v>
      </c>
      <c r="E359" s="87"/>
      <c r="F359" s="7" t="s">
        <v>42</v>
      </c>
      <c r="G359" s="6"/>
      <c r="H359" s="8">
        <v>955856783</v>
      </c>
      <c r="I359" s="9">
        <v>100000</v>
      </c>
      <c r="J359" s="1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s="5" customFormat="1" ht="18.600000000000001" customHeight="1" x14ac:dyDescent="0.3">
      <c r="A360" s="1"/>
      <c r="B360" s="6">
        <f t="shared" si="5"/>
        <v>359</v>
      </c>
      <c r="C360" s="7">
        <v>46159</v>
      </c>
      <c r="D360" s="87"/>
      <c r="E360" s="87"/>
      <c r="F360" s="7" t="s">
        <v>112</v>
      </c>
      <c r="G360" s="6"/>
      <c r="H360" s="8">
        <v>955856798</v>
      </c>
      <c r="I360" s="9">
        <v>100000</v>
      </c>
      <c r="J360" s="1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s="5" customFormat="1" ht="18.600000000000001" customHeight="1" x14ac:dyDescent="0.3">
      <c r="A361" s="1"/>
      <c r="B361" s="6">
        <f t="shared" si="5"/>
        <v>360</v>
      </c>
      <c r="C361" s="7">
        <v>46159</v>
      </c>
      <c r="D361" s="87" t="s">
        <v>234</v>
      </c>
      <c r="E361" s="87" t="s">
        <v>446</v>
      </c>
      <c r="F361" s="7" t="s">
        <v>186</v>
      </c>
      <c r="G361" s="10" t="s">
        <v>187</v>
      </c>
      <c r="H361" s="8">
        <v>955857813</v>
      </c>
      <c r="I361" s="9">
        <v>300000</v>
      </c>
      <c r="J361" s="1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s="5" customFormat="1" ht="18.600000000000001" customHeight="1" x14ac:dyDescent="0.3">
      <c r="A362" s="1"/>
      <c r="B362" s="6">
        <f t="shared" si="5"/>
        <v>361</v>
      </c>
      <c r="C362" s="7">
        <v>46159</v>
      </c>
      <c r="D362" s="87" t="s">
        <v>234</v>
      </c>
      <c r="E362" s="87" t="s">
        <v>546</v>
      </c>
      <c r="F362" s="7" t="s">
        <v>127</v>
      </c>
      <c r="G362" s="10" t="s">
        <v>128</v>
      </c>
      <c r="H362" s="8">
        <v>955857848</v>
      </c>
      <c r="I362" s="9">
        <v>180000</v>
      </c>
      <c r="J362" s="1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s="5" customFormat="1" ht="18.600000000000001" customHeight="1" x14ac:dyDescent="0.3">
      <c r="A363" s="1"/>
      <c r="B363" s="6">
        <f t="shared" si="5"/>
        <v>362</v>
      </c>
      <c r="C363" s="7">
        <v>46159</v>
      </c>
      <c r="D363" s="87" t="s">
        <v>234</v>
      </c>
      <c r="E363" s="87" t="s">
        <v>446</v>
      </c>
      <c r="F363" s="7" t="s">
        <v>125</v>
      </c>
      <c r="G363" s="10" t="s">
        <v>126</v>
      </c>
      <c r="H363" s="8">
        <v>955857867</v>
      </c>
      <c r="I363" s="9">
        <v>150000</v>
      </c>
      <c r="J363" s="1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s="5" customFormat="1" ht="18.600000000000001" customHeight="1" x14ac:dyDescent="0.3">
      <c r="A364" s="1"/>
      <c r="B364" s="6">
        <f t="shared" si="5"/>
        <v>363</v>
      </c>
      <c r="C364" s="7">
        <v>46159</v>
      </c>
      <c r="D364" s="87" t="s">
        <v>240</v>
      </c>
      <c r="E364" s="87"/>
      <c r="F364" s="7" t="s">
        <v>80</v>
      </c>
      <c r="G364" s="6"/>
      <c r="H364" s="8">
        <v>955857894</v>
      </c>
      <c r="I364" s="22">
        <v>85800</v>
      </c>
      <c r="J364" s="1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s="5" customFormat="1" ht="18.600000000000001" customHeight="1" x14ac:dyDescent="0.3">
      <c r="A365" s="1"/>
      <c r="B365" s="6">
        <f t="shared" si="5"/>
        <v>364</v>
      </c>
      <c r="C365" s="7">
        <v>46159</v>
      </c>
      <c r="D365" s="87"/>
      <c r="E365" s="87"/>
      <c r="F365" s="7" t="s">
        <v>204</v>
      </c>
      <c r="G365" s="6"/>
      <c r="H365" s="8">
        <v>955856947</v>
      </c>
      <c r="I365" s="9">
        <v>20000</v>
      </c>
      <c r="J365" s="1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s="5" customFormat="1" ht="18.600000000000001" customHeight="1" x14ac:dyDescent="0.3">
      <c r="A366" s="1"/>
      <c r="B366" s="6">
        <f t="shared" si="5"/>
        <v>365</v>
      </c>
      <c r="C366" s="7">
        <v>46160</v>
      </c>
      <c r="D366" s="87"/>
      <c r="E366" s="87"/>
      <c r="F366" s="7" t="s">
        <v>117</v>
      </c>
      <c r="G366" s="6"/>
      <c r="H366" s="8" t="s">
        <v>192</v>
      </c>
      <c r="I366" s="9">
        <v>100000</v>
      </c>
      <c r="J366" s="1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s="5" customFormat="1" ht="18.600000000000001" customHeight="1" x14ac:dyDescent="0.3">
      <c r="A367" s="1"/>
      <c r="B367" s="6">
        <f t="shared" si="5"/>
        <v>366</v>
      </c>
      <c r="C367" s="7">
        <v>46160</v>
      </c>
      <c r="D367" s="87"/>
      <c r="E367" s="87"/>
      <c r="F367" s="7" t="s">
        <v>165</v>
      </c>
      <c r="G367" s="6" t="s">
        <v>166</v>
      </c>
      <c r="H367" s="8">
        <v>956084872</v>
      </c>
      <c r="I367" s="9">
        <v>15500</v>
      </c>
      <c r="J367" s="1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s="5" customFormat="1" ht="18.600000000000001" customHeight="1" x14ac:dyDescent="0.3">
      <c r="A368" s="1"/>
      <c r="B368" s="6">
        <f t="shared" si="5"/>
        <v>367</v>
      </c>
      <c r="C368" s="7">
        <v>46160</v>
      </c>
      <c r="D368" s="87" t="s">
        <v>240</v>
      </c>
      <c r="E368" s="87"/>
      <c r="F368" s="7" t="s">
        <v>99</v>
      </c>
      <c r="G368" s="6" t="s">
        <v>100</v>
      </c>
      <c r="H368" s="8">
        <v>956086615</v>
      </c>
      <c r="I368" s="9">
        <v>434500</v>
      </c>
      <c r="J368" s="1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s="5" customFormat="1" ht="18.600000000000001" customHeight="1" x14ac:dyDescent="0.3">
      <c r="A369" s="1"/>
      <c r="B369" s="6">
        <f t="shared" si="5"/>
        <v>368</v>
      </c>
      <c r="C369" s="7">
        <v>46160</v>
      </c>
      <c r="D369" s="87" t="s">
        <v>240</v>
      </c>
      <c r="E369" s="87"/>
      <c r="F369" s="7" t="s">
        <v>89</v>
      </c>
      <c r="G369" s="6" t="s">
        <v>90</v>
      </c>
      <c r="H369" s="8">
        <v>956087358</v>
      </c>
      <c r="I369" s="22">
        <v>108000</v>
      </c>
      <c r="J369" s="1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s="5" customFormat="1" ht="18.600000000000001" customHeight="1" x14ac:dyDescent="0.3">
      <c r="A370" s="1"/>
      <c r="B370" s="6">
        <f t="shared" si="5"/>
        <v>369</v>
      </c>
      <c r="C370" s="7">
        <v>46161</v>
      </c>
      <c r="D370" s="87"/>
      <c r="E370" s="87"/>
      <c r="F370" s="7" t="s">
        <v>88</v>
      </c>
      <c r="G370" s="6"/>
      <c r="H370" s="8">
        <v>956164595</v>
      </c>
      <c r="I370" s="9">
        <v>100000</v>
      </c>
      <c r="J370" s="1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s="5" customFormat="1" ht="18.600000000000001" customHeight="1" x14ac:dyDescent="0.3">
      <c r="A371" s="1"/>
      <c r="B371" s="6">
        <f t="shared" si="5"/>
        <v>370</v>
      </c>
      <c r="C371" s="7">
        <v>46161</v>
      </c>
      <c r="D371" s="87" t="s">
        <v>240</v>
      </c>
      <c r="E371" s="87"/>
      <c r="F371" s="7" t="s">
        <v>89</v>
      </c>
      <c r="G371" s="6" t="s">
        <v>205</v>
      </c>
      <c r="H371" s="8" t="s">
        <v>37</v>
      </c>
      <c r="I371" s="22">
        <v>28800</v>
      </c>
      <c r="J371" s="1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s="5" customFormat="1" ht="18.600000000000001" customHeight="1" x14ac:dyDescent="0.3">
      <c r="A372" s="1"/>
      <c r="B372" s="6">
        <f t="shared" si="5"/>
        <v>371</v>
      </c>
      <c r="C372" s="7">
        <v>46161</v>
      </c>
      <c r="D372" s="87"/>
      <c r="E372" s="87"/>
      <c r="F372" s="7" t="s">
        <v>206</v>
      </c>
      <c r="G372" s="6" t="s">
        <v>207</v>
      </c>
      <c r="H372" s="8" t="s">
        <v>37</v>
      </c>
      <c r="I372" s="9">
        <v>50000</v>
      </c>
      <c r="J372" s="1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s="5" customFormat="1" ht="18.600000000000001" customHeight="1" x14ac:dyDescent="0.3">
      <c r="A373" s="1"/>
      <c r="B373" s="6">
        <f t="shared" si="5"/>
        <v>372</v>
      </c>
      <c r="C373" s="7">
        <v>46161</v>
      </c>
      <c r="D373" s="87" t="s">
        <v>341</v>
      </c>
      <c r="E373" s="87"/>
      <c r="F373" s="7" t="s">
        <v>84</v>
      </c>
      <c r="G373" s="6" t="s">
        <v>138</v>
      </c>
      <c r="H373" s="8" t="s">
        <v>177</v>
      </c>
      <c r="I373" s="9">
        <v>50000</v>
      </c>
      <c r="J373" s="1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s="5" customFormat="1" ht="18.600000000000001" customHeight="1" x14ac:dyDescent="0.3">
      <c r="A374" s="1"/>
      <c r="B374" s="6">
        <f t="shared" si="5"/>
        <v>373</v>
      </c>
      <c r="C374" s="7">
        <v>46162</v>
      </c>
      <c r="D374" s="87" t="s">
        <v>234</v>
      </c>
      <c r="E374" s="87" t="s">
        <v>345</v>
      </c>
      <c r="F374" s="7" t="s">
        <v>174</v>
      </c>
      <c r="G374" s="10" t="s">
        <v>175</v>
      </c>
      <c r="H374" s="8" t="s">
        <v>208</v>
      </c>
      <c r="I374" s="9">
        <v>26350</v>
      </c>
      <c r="J374" s="1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s="5" customFormat="1" ht="18.600000000000001" customHeight="1" x14ac:dyDescent="0.3">
      <c r="A375" s="1"/>
      <c r="B375" s="6">
        <f t="shared" si="5"/>
        <v>374</v>
      </c>
      <c r="C375" s="7">
        <v>46162</v>
      </c>
      <c r="D375" s="87" t="s">
        <v>341</v>
      </c>
      <c r="E375" s="87"/>
      <c r="F375" s="7" t="s">
        <v>209</v>
      </c>
      <c r="G375" s="6" t="s">
        <v>210</v>
      </c>
      <c r="H375" s="8" t="s">
        <v>37</v>
      </c>
      <c r="I375" s="9">
        <v>50000</v>
      </c>
      <c r="J375" s="1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s="5" customFormat="1" ht="18.600000000000001" customHeight="1" x14ac:dyDescent="0.3">
      <c r="A376" s="1"/>
      <c r="B376" s="6">
        <f t="shared" si="5"/>
        <v>375</v>
      </c>
      <c r="C376" s="7">
        <v>46162</v>
      </c>
      <c r="D376" s="87"/>
      <c r="E376" s="87"/>
      <c r="F376" s="7" t="s">
        <v>211</v>
      </c>
      <c r="G376" s="6"/>
      <c r="H376" s="8" t="s">
        <v>177</v>
      </c>
      <c r="I376" s="9">
        <v>26000</v>
      </c>
      <c r="J376" s="1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s="5" customFormat="1" ht="18.600000000000001" customHeight="1" x14ac:dyDescent="0.3">
      <c r="A377" s="1"/>
      <c r="B377" s="6">
        <f t="shared" si="5"/>
        <v>376</v>
      </c>
      <c r="C377" s="7">
        <v>46162</v>
      </c>
      <c r="D377" s="87" t="s">
        <v>240</v>
      </c>
      <c r="E377" s="87"/>
      <c r="F377" s="7" t="s">
        <v>89</v>
      </c>
      <c r="G377" s="6" t="s">
        <v>90</v>
      </c>
      <c r="H377" s="8">
        <v>956547192</v>
      </c>
      <c r="I377" s="22">
        <v>273600</v>
      </c>
      <c r="J377" s="1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s="5" customFormat="1" ht="18.600000000000001" customHeight="1" x14ac:dyDescent="0.3">
      <c r="A378" s="1"/>
      <c r="B378" s="6">
        <f t="shared" si="5"/>
        <v>377</v>
      </c>
      <c r="C378" s="7">
        <v>46163</v>
      </c>
      <c r="D378" s="87" t="s">
        <v>234</v>
      </c>
      <c r="E378" s="87" t="s">
        <v>345</v>
      </c>
      <c r="F378" s="7" t="s">
        <v>174</v>
      </c>
      <c r="G378" s="10" t="s">
        <v>175</v>
      </c>
      <c r="H378" s="8" t="s">
        <v>177</v>
      </c>
      <c r="I378" s="9">
        <v>62700</v>
      </c>
      <c r="J378" s="1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s="5" customFormat="1" ht="18.600000000000001" customHeight="1" x14ac:dyDescent="0.3">
      <c r="A379" s="1"/>
      <c r="B379" s="6">
        <f t="shared" si="5"/>
        <v>378</v>
      </c>
      <c r="C379" s="7">
        <v>46163</v>
      </c>
      <c r="D379" s="87"/>
      <c r="E379" s="87"/>
      <c r="F379" s="7" t="s">
        <v>117</v>
      </c>
      <c r="G379" s="6"/>
      <c r="H379" s="8">
        <v>956742067</v>
      </c>
      <c r="I379" s="9">
        <v>50000</v>
      </c>
      <c r="J379" s="1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s="5" customFormat="1" ht="18.600000000000001" customHeight="1" x14ac:dyDescent="0.3">
      <c r="A380" s="1"/>
      <c r="B380" s="6">
        <f t="shared" si="5"/>
        <v>379</v>
      </c>
      <c r="C380" s="7">
        <v>46164</v>
      </c>
      <c r="D380" s="87"/>
      <c r="E380" s="87"/>
      <c r="F380" s="7" t="s">
        <v>212</v>
      </c>
      <c r="G380" s="6" t="s">
        <v>213</v>
      </c>
      <c r="H380" s="8" t="s">
        <v>37</v>
      </c>
      <c r="I380" s="9">
        <v>29000</v>
      </c>
      <c r="J380" s="1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s="5" customFormat="1" ht="18.600000000000001" customHeight="1" x14ac:dyDescent="0.3">
      <c r="A381" s="1"/>
      <c r="B381" s="6">
        <f t="shared" si="5"/>
        <v>380</v>
      </c>
      <c r="C381" s="7">
        <v>46164</v>
      </c>
      <c r="D381" s="87" t="s">
        <v>240</v>
      </c>
      <c r="E381" s="87"/>
      <c r="F381" s="7" t="s">
        <v>80</v>
      </c>
      <c r="G381" s="6"/>
      <c r="H381" s="8">
        <v>956959920</v>
      </c>
      <c r="I381" s="22">
        <v>292566</v>
      </c>
      <c r="J381" s="1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s="5" customFormat="1" ht="18.600000000000001" customHeight="1" x14ac:dyDescent="0.3">
      <c r="A382" s="1"/>
      <c r="B382" s="6">
        <f t="shared" si="5"/>
        <v>381</v>
      </c>
      <c r="C382" s="7">
        <v>46164</v>
      </c>
      <c r="D382" s="87" t="s">
        <v>240</v>
      </c>
      <c r="E382" s="87"/>
      <c r="F382" s="7" t="s">
        <v>99</v>
      </c>
      <c r="G382" s="6" t="s">
        <v>100</v>
      </c>
      <c r="H382" s="8">
        <v>956960268</v>
      </c>
      <c r="I382" s="9">
        <v>500000</v>
      </c>
      <c r="J382" s="1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s="5" customFormat="1" ht="18.600000000000001" customHeight="1" x14ac:dyDescent="0.3">
      <c r="A383" s="1"/>
      <c r="B383" s="6">
        <f t="shared" si="5"/>
        <v>382</v>
      </c>
      <c r="C383" s="7">
        <v>46164</v>
      </c>
      <c r="D383" s="87"/>
      <c r="E383" s="87"/>
      <c r="F383" s="7" t="s">
        <v>214</v>
      </c>
      <c r="G383" s="6" t="s">
        <v>215</v>
      </c>
      <c r="H383" s="8" t="s">
        <v>192</v>
      </c>
      <c r="I383" s="9">
        <v>50000</v>
      </c>
      <c r="J383" s="1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s="5" customFormat="1" ht="18.600000000000001" customHeight="1" x14ac:dyDescent="0.3">
      <c r="A384" s="1"/>
      <c r="B384" s="6">
        <f t="shared" si="5"/>
        <v>383</v>
      </c>
      <c r="C384" s="7">
        <v>46164</v>
      </c>
      <c r="D384" s="87" t="s">
        <v>234</v>
      </c>
      <c r="E384" s="87" t="s">
        <v>2589</v>
      </c>
      <c r="F384" s="7" t="s">
        <v>69</v>
      </c>
      <c r="G384" s="10" t="s">
        <v>121</v>
      </c>
      <c r="H384" s="8">
        <v>9569882972</v>
      </c>
      <c r="I384" s="9">
        <v>500000</v>
      </c>
      <c r="J384" s="1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s="5" customFormat="1" ht="18.600000000000001" customHeight="1" x14ac:dyDescent="0.3">
      <c r="A385" s="1"/>
      <c r="B385" s="6">
        <f t="shared" si="5"/>
        <v>384</v>
      </c>
      <c r="C385" s="7">
        <v>46164</v>
      </c>
      <c r="D385" s="87" t="s">
        <v>234</v>
      </c>
      <c r="E385" s="87" t="s">
        <v>446</v>
      </c>
      <c r="F385" s="7" t="s">
        <v>125</v>
      </c>
      <c r="G385" s="10" t="s">
        <v>126</v>
      </c>
      <c r="H385" s="8">
        <v>956983450</v>
      </c>
      <c r="I385" s="9">
        <v>300000</v>
      </c>
      <c r="J385" s="1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s="5" customFormat="1" ht="18.600000000000001" customHeight="1" x14ac:dyDescent="0.3">
      <c r="A386" s="1"/>
      <c r="B386" s="6">
        <f t="shared" si="5"/>
        <v>385</v>
      </c>
      <c r="C386" s="7">
        <v>46164</v>
      </c>
      <c r="D386" s="87" t="s">
        <v>234</v>
      </c>
      <c r="E386" s="87" t="s">
        <v>546</v>
      </c>
      <c r="F386" s="7" t="s">
        <v>127</v>
      </c>
      <c r="G386" s="10" t="s">
        <v>128</v>
      </c>
      <c r="H386" s="8">
        <v>956983564</v>
      </c>
      <c r="I386" s="9">
        <v>200000</v>
      </c>
      <c r="J386" s="1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s="5" customFormat="1" ht="18.600000000000001" customHeight="1" x14ac:dyDescent="0.3">
      <c r="A387" s="1"/>
      <c r="B387" s="6">
        <f t="shared" si="5"/>
        <v>386</v>
      </c>
      <c r="C387" s="7">
        <v>46164</v>
      </c>
      <c r="D387" s="87"/>
      <c r="E387" s="87"/>
      <c r="F387" s="7" t="s">
        <v>216</v>
      </c>
      <c r="G387" s="6"/>
      <c r="H387" s="8">
        <v>956983766</v>
      </c>
      <c r="I387" s="9">
        <v>200000</v>
      </c>
      <c r="J387" s="1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s="5" customFormat="1" ht="18.600000000000001" customHeight="1" x14ac:dyDescent="0.3">
      <c r="A388" s="1"/>
      <c r="B388" s="6">
        <f t="shared" ref="B388:B451" si="6">+B387+1</f>
        <v>387</v>
      </c>
      <c r="C388" s="7">
        <v>46164</v>
      </c>
      <c r="D388" s="87"/>
      <c r="E388" s="87"/>
      <c r="F388" s="7" t="s">
        <v>217</v>
      </c>
      <c r="G388" s="6"/>
      <c r="H388" s="8" t="s">
        <v>37</v>
      </c>
      <c r="I388" s="9">
        <v>72285</v>
      </c>
      <c r="J388" s="1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s="5" customFormat="1" ht="18.600000000000001" customHeight="1" x14ac:dyDescent="0.3">
      <c r="A389" s="1"/>
      <c r="B389" s="6">
        <f t="shared" si="6"/>
        <v>388</v>
      </c>
      <c r="C389" s="7">
        <v>46165</v>
      </c>
      <c r="D389" s="87"/>
      <c r="E389" s="87"/>
      <c r="F389" s="7" t="s">
        <v>112</v>
      </c>
      <c r="G389" s="6"/>
      <c r="H389" s="8">
        <v>957017737</v>
      </c>
      <c r="I389" s="9">
        <v>300000</v>
      </c>
      <c r="J389" s="1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s="5" customFormat="1" ht="18.600000000000001" customHeight="1" x14ac:dyDescent="0.3">
      <c r="A390" s="1"/>
      <c r="B390" s="6">
        <f t="shared" si="6"/>
        <v>389</v>
      </c>
      <c r="C390" s="7">
        <v>46165</v>
      </c>
      <c r="D390" s="87" t="s">
        <v>341</v>
      </c>
      <c r="E390" s="87"/>
      <c r="F390" s="7" t="s">
        <v>42</v>
      </c>
      <c r="G390" s="6"/>
      <c r="H390" s="8">
        <v>957017991</v>
      </c>
      <c r="I390" s="9">
        <v>200000</v>
      </c>
      <c r="J390" s="1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s="5" customFormat="1" ht="18.600000000000001" customHeight="1" x14ac:dyDescent="0.3">
      <c r="A391" s="1"/>
      <c r="B391" s="6">
        <f t="shared" si="6"/>
        <v>390</v>
      </c>
      <c r="C391" s="7">
        <v>46165</v>
      </c>
      <c r="D391" s="87" t="s">
        <v>234</v>
      </c>
      <c r="E391" s="87" t="s">
        <v>345</v>
      </c>
      <c r="F391" s="7" t="s">
        <v>174</v>
      </c>
      <c r="G391" s="10" t="s">
        <v>175</v>
      </c>
      <c r="H391" s="8" t="s">
        <v>177</v>
      </c>
      <c r="I391" s="9">
        <v>32300</v>
      </c>
      <c r="J391" s="1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s="5" customFormat="1" ht="18.600000000000001" customHeight="1" x14ac:dyDescent="0.3">
      <c r="A392" s="1"/>
      <c r="B392" s="6">
        <f t="shared" si="6"/>
        <v>391</v>
      </c>
      <c r="C392" s="7">
        <v>46165</v>
      </c>
      <c r="D392" s="87"/>
      <c r="E392" s="87"/>
      <c r="F392" s="7" t="s">
        <v>88</v>
      </c>
      <c r="G392" s="6"/>
      <c r="H392" s="8">
        <v>957049443</v>
      </c>
      <c r="I392" s="9">
        <v>58700</v>
      </c>
      <c r="J392" s="1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s="5" customFormat="1" ht="18.600000000000001" customHeight="1" x14ac:dyDescent="0.3">
      <c r="A393" s="1"/>
      <c r="B393" s="6">
        <f t="shared" si="6"/>
        <v>392</v>
      </c>
      <c r="C393" s="7">
        <v>46167</v>
      </c>
      <c r="D393" s="87"/>
      <c r="E393" s="87"/>
      <c r="F393" s="7" t="s">
        <v>117</v>
      </c>
      <c r="G393" s="6"/>
      <c r="H393" s="8" t="s">
        <v>177</v>
      </c>
      <c r="I393" s="9">
        <v>100000</v>
      </c>
      <c r="J393" s="1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s="5" customFormat="1" ht="18.600000000000001" customHeight="1" x14ac:dyDescent="0.3">
      <c r="A394" s="1"/>
      <c r="B394" s="6">
        <f t="shared" si="6"/>
        <v>393</v>
      </c>
      <c r="C394" s="7">
        <v>46167</v>
      </c>
      <c r="D394" s="87" t="s">
        <v>240</v>
      </c>
      <c r="E394" s="87"/>
      <c r="F394" s="7" t="s">
        <v>80</v>
      </c>
      <c r="G394" s="6"/>
      <c r="H394" s="8">
        <v>957247458</v>
      </c>
      <c r="I394" s="22">
        <v>400000</v>
      </c>
      <c r="J394" s="1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s="5" customFormat="1" ht="18.600000000000001" customHeight="1" x14ac:dyDescent="0.3">
      <c r="A395" s="1"/>
      <c r="B395" s="6">
        <f t="shared" si="6"/>
        <v>394</v>
      </c>
      <c r="C395" s="7">
        <v>46167</v>
      </c>
      <c r="D395" s="87"/>
      <c r="E395" s="87"/>
      <c r="F395" s="7" t="s">
        <v>88</v>
      </c>
      <c r="G395" s="6"/>
      <c r="H395" s="8">
        <v>957248776</v>
      </c>
      <c r="I395" s="9">
        <v>40600</v>
      </c>
      <c r="J395" s="1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s="5" customFormat="1" ht="18.600000000000001" customHeight="1" x14ac:dyDescent="0.3">
      <c r="A396" s="1"/>
      <c r="B396" s="6">
        <f t="shared" si="6"/>
        <v>395</v>
      </c>
      <c r="C396" s="7">
        <v>46167</v>
      </c>
      <c r="D396" s="87" t="s">
        <v>240</v>
      </c>
      <c r="E396" s="87"/>
      <c r="F396" s="7" t="s">
        <v>99</v>
      </c>
      <c r="G396" s="6" t="s">
        <v>100</v>
      </c>
      <c r="H396" s="8">
        <v>957432051</v>
      </c>
      <c r="I396" s="9">
        <v>500000</v>
      </c>
      <c r="J396" s="1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s="5" customFormat="1" ht="18.600000000000001" customHeight="1" x14ac:dyDescent="0.3">
      <c r="A397" s="1"/>
      <c r="B397" s="6">
        <f t="shared" si="6"/>
        <v>396</v>
      </c>
      <c r="C397" s="7">
        <v>46168</v>
      </c>
      <c r="D397" s="87" t="s">
        <v>2608</v>
      </c>
      <c r="E397" s="87"/>
      <c r="F397" s="7" t="s">
        <v>95</v>
      </c>
      <c r="G397" s="6" t="s">
        <v>295</v>
      </c>
      <c r="H397" s="8">
        <v>9574668801</v>
      </c>
      <c r="I397" s="22">
        <v>100000</v>
      </c>
      <c r="J397" s="1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s="5" customFormat="1" ht="18.600000000000001" customHeight="1" x14ac:dyDescent="0.3">
      <c r="A398" s="1"/>
      <c r="B398" s="6">
        <f t="shared" si="6"/>
        <v>397</v>
      </c>
      <c r="C398" s="7">
        <v>46168</v>
      </c>
      <c r="D398" s="87"/>
      <c r="E398" s="87"/>
      <c r="F398" s="7" t="s">
        <v>117</v>
      </c>
      <c r="G398" s="6"/>
      <c r="H398" s="8">
        <v>957476187</v>
      </c>
      <c r="I398" s="9">
        <v>40000</v>
      </c>
      <c r="J398" s="1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s="5" customFormat="1" ht="18.600000000000001" customHeight="1" x14ac:dyDescent="0.3">
      <c r="A399" s="1"/>
      <c r="B399" s="6">
        <f t="shared" si="6"/>
        <v>398</v>
      </c>
      <c r="C399" s="7">
        <v>46169</v>
      </c>
      <c r="D399" s="87" t="s">
        <v>341</v>
      </c>
      <c r="E399" s="87"/>
      <c r="F399" s="7" t="s">
        <v>50</v>
      </c>
      <c r="G399" s="6"/>
      <c r="H399" s="8">
        <v>957849828</v>
      </c>
      <c r="I399" s="9">
        <v>350000</v>
      </c>
      <c r="J399" s="1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s="5" customFormat="1" ht="18.600000000000001" customHeight="1" x14ac:dyDescent="0.3">
      <c r="A400" s="1"/>
      <c r="B400" s="6">
        <f t="shared" si="6"/>
        <v>399</v>
      </c>
      <c r="C400" s="7">
        <v>46169</v>
      </c>
      <c r="D400" s="87"/>
      <c r="E400" s="87"/>
      <c r="F400" s="7" t="s">
        <v>218</v>
      </c>
      <c r="G400" s="6" t="s">
        <v>219</v>
      </c>
      <c r="H400" s="8">
        <v>957871149</v>
      </c>
      <c r="I400" s="9">
        <v>100000</v>
      </c>
      <c r="J400" s="1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s="5" customFormat="1" ht="18.600000000000001" customHeight="1" x14ac:dyDescent="0.3">
      <c r="A401" s="1"/>
      <c r="B401" s="6">
        <f t="shared" si="6"/>
        <v>400</v>
      </c>
      <c r="C401" s="7">
        <v>46169</v>
      </c>
      <c r="D401" s="87" t="s">
        <v>234</v>
      </c>
      <c r="E401" s="87" t="s">
        <v>2589</v>
      </c>
      <c r="F401" s="7" t="s">
        <v>69</v>
      </c>
      <c r="G401" s="10" t="s">
        <v>121</v>
      </c>
      <c r="H401" s="8">
        <v>957871878</v>
      </c>
      <c r="I401" s="9">
        <v>300000</v>
      </c>
      <c r="J401" s="1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s="5" customFormat="1" ht="18.600000000000001" customHeight="1" x14ac:dyDescent="0.3">
      <c r="A402" s="1"/>
      <c r="B402" s="6">
        <f t="shared" si="6"/>
        <v>401</v>
      </c>
      <c r="C402" s="7">
        <v>46169</v>
      </c>
      <c r="D402" s="87"/>
      <c r="E402" s="87"/>
      <c r="F402" s="7" t="s">
        <v>392</v>
      </c>
      <c r="G402" s="6"/>
      <c r="H402" s="8" t="s">
        <v>430</v>
      </c>
      <c r="I402" s="9">
        <v>50000</v>
      </c>
      <c r="J402" s="1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s="5" customFormat="1" ht="18.600000000000001" customHeight="1" x14ac:dyDescent="0.3">
      <c r="A403" s="1"/>
      <c r="B403" s="6">
        <f t="shared" si="6"/>
        <v>402</v>
      </c>
      <c r="C403" s="7">
        <v>46170</v>
      </c>
      <c r="D403" s="87" t="s">
        <v>240</v>
      </c>
      <c r="E403" s="87"/>
      <c r="F403" s="7" t="s">
        <v>80</v>
      </c>
      <c r="G403" s="6"/>
      <c r="H403" s="8">
        <v>957885416</v>
      </c>
      <c r="I403" s="22">
        <v>400000</v>
      </c>
      <c r="J403" s="1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s="5" customFormat="1" ht="18.600000000000001" customHeight="1" x14ac:dyDescent="0.3">
      <c r="A404" s="1"/>
      <c r="B404" s="6">
        <f t="shared" si="6"/>
        <v>403</v>
      </c>
      <c r="C404" s="7">
        <v>46170</v>
      </c>
      <c r="D404" s="87" t="s">
        <v>240</v>
      </c>
      <c r="E404" s="87" t="s">
        <v>1005</v>
      </c>
      <c r="F404" s="7" t="s">
        <v>162</v>
      </c>
      <c r="G404" s="6" t="s">
        <v>163</v>
      </c>
      <c r="H404" s="8">
        <v>957885771</v>
      </c>
      <c r="I404" s="9">
        <v>500000</v>
      </c>
      <c r="J404" s="1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s="5" customFormat="1" ht="18.600000000000001" customHeight="1" x14ac:dyDescent="0.3">
      <c r="A405" s="1"/>
      <c r="B405" s="6">
        <f t="shared" si="6"/>
        <v>404</v>
      </c>
      <c r="C405" s="7">
        <v>46170</v>
      </c>
      <c r="D405" s="87"/>
      <c r="E405" s="87"/>
      <c r="F405" s="7" t="s">
        <v>218</v>
      </c>
      <c r="G405" s="6" t="s">
        <v>220</v>
      </c>
      <c r="H405" s="8">
        <v>957885736</v>
      </c>
      <c r="I405" s="9">
        <v>100000</v>
      </c>
      <c r="J405" s="1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s="5" customFormat="1" ht="18.600000000000001" customHeight="1" x14ac:dyDescent="0.3">
      <c r="A406" s="1"/>
      <c r="B406" s="6">
        <f t="shared" si="6"/>
        <v>405</v>
      </c>
      <c r="C406" s="7">
        <v>46170</v>
      </c>
      <c r="D406" s="87"/>
      <c r="E406" s="87"/>
      <c r="F406" s="7" t="s">
        <v>214</v>
      </c>
      <c r="G406" s="6" t="s">
        <v>215</v>
      </c>
      <c r="H406" s="8" t="s">
        <v>177</v>
      </c>
      <c r="I406" s="9">
        <v>100000</v>
      </c>
      <c r="J406" s="1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s="5" customFormat="1" ht="18.600000000000001" customHeight="1" x14ac:dyDescent="0.3">
      <c r="A407" s="1"/>
      <c r="B407" s="6">
        <f t="shared" si="6"/>
        <v>406</v>
      </c>
      <c r="C407" s="7">
        <v>46170</v>
      </c>
      <c r="D407" s="87"/>
      <c r="E407" s="87"/>
      <c r="F407" s="7" t="s">
        <v>221</v>
      </c>
      <c r="G407" s="6"/>
      <c r="H407" s="8">
        <v>957993887</v>
      </c>
      <c r="I407" s="9">
        <v>20000</v>
      </c>
      <c r="J407" s="1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s="5" customFormat="1" ht="18.600000000000001" customHeight="1" x14ac:dyDescent="0.3">
      <c r="A408" s="1"/>
      <c r="B408" s="6">
        <f t="shared" si="6"/>
        <v>407</v>
      </c>
      <c r="C408" s="7">
        <v>46171</v>
      </c>
      <c r="D408" s="87"/>
      <c r="E408" s="87"/>
      <c r="F408" s="7" t="s">
        <v>222</v>
      </c>
      <c r="G408" s="6"/>
      <c r="H408" s="8" t="s">
        <v>37</v>
      </c>
      <c r="I408" s="9">
        <v>100000</v>
      </c>
      <c r="J408" s="1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s="5" customFormat="1" ht="18.600000000000001" customHeight="1" x14ac:dyDescent="0.3">
      <c r="A409" s="1"/>
      <c r="B409" s="6">
        <f t="shared" si="6"/>
        <v>408</v>
      </c>
      <c r="C409" s="7">
        <v>46171</v>
      </c>
      <c r="D409" s="87"/>
      <c r="E409" s="87"/>
      <c r="F409" s="7" t="s">
        <v>222</v>
      </c>
      <c r="G409" s="6"/>
      <c r="H409" s="8" t="s">
        <v>37</v>
      </c>
      <c r="I409" s="9">
        <v>55250</v>
      </c>
      <c r="J409" s="1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s="5" customFormat="1" ht="18.600000000000001" customHeight="1" x14ac:dyDescent="0.3">
      <c r="A410" s="1"/>
      <c r="B410" s="6">
        <f t="shared" si="6"/>
        <v>409</v>
      </c>
      <c r="C410" s="7">
        <v>46172</v>
      </c>
      <c r="D410" s="87" t="s">
        <v>234</v>
      </c>
      <c r="E410" s="87" t="s">
        <v>345</v>
      </c>
      <c r="F410" s="7" t="s">
        <v>174</v>
      </c>
      <c r="G410" s="10" t="s">
        <v>175</v>
      </c>
      <c r="H410" s="8" t="s">
        <v>192</v>
      </c>
      <c r="I410" s="9">
        <v>61800</v>
      </c>
      <c r="J410" s="1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s="5" customFormat="1" ht="18.600000000000001" customHeight="1" x14ac:dyDescent="0.3">
      <c r="A411" s="1"/>
      <c r="B411" s="6">
        <f t="shared" si="6"/>
        <v>410</v>
      </c>
      <c r="C411" s="7">
        <v>46172</v>
      </c>
      <c r="D411" s="87" t="s">
        <v>2608</v>
      </c>
      <c r="E411" s="87"/>
      <c r="F411" s="7" t="s">
        <v>95</v>
      </c>
      <c r="G411" s="6" t="s">
        <v>295</v>
      </c>
      <c r="H411" s="8">
        <v>958420804</v>
      </c>
      <c r="I411" s="22">
        <v>500000</v>
      </c>
      <c r="J411" s="1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s="5" customFormat="1" ht="18.600000000000001" customHeight="1" x14ac:dyDescent="0.3">
      <c r="A412" s="1"/>
      <c r="B412" s="6">
        <f t="shared" si="6"/>
        <v>411</v>
      </c>
      <c r="C412" s="7">
        <v>46173</v>
      </c>
      <c r="D412" s="87"/>
      <c r="E412" s="87"/>
      <c r="F412" s="7" t="s">
        <v>223</v>
      </c>
      <c r="G412" s="6" t="s">
        <v>224</v>
      </c>
      <c r="H412" s="8" t="s">
        <v>37</v>
      </c>
      <c r="I412" s="9">
        <v>36000</v>
      </c>
      <c r="J412" s="1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s="5" customFormat="1" ht="18.600000000000001" customHeight="1" x14ac:dyDescent="0.3">
      <c r="A413" s="1"/>
      <c r="B413" s="6">
        <f t="shared" si="6"/>
        <v>412</v>
      </c>
      <c r="C413" s="7">
        <v>46173</v>
      </c>
      <c r="D413" s="87"/>
      <c r="E413" s="87"/>
      <c r="F413" s="7" t="s">
        <v>216</v>
      </c>
      <c r="G413" s="6"/>
      <c r="H413" s="8">
        <v>958444277</v>
      </c>
      <c r="I413" s="9">
        <v>200000</v>
      </c>
      <c r="J413" s="1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s="5" customFormat="1" ht="18.600000000000001" customHeight="1" x14ac:dyDescent="0.3">
      <c r="A414" s="1"/>
      <c r="B414" s="6">
        <f t="shared" si="6"/>
        <v>413</v>
      </c>
      <c r="C414" s="7">
        <v>46173</v>
      </c>
      <c r="D414" s="87" t="s">
        <v>341</v>
      </c>
      <c r="E414" s="87"/>
      <c r="F414" s="7" t="s">
        <v>84</v>
      </c>
      <c r="G414" s="6"/>
      <c r="H414" s="8">
        <v>958444283</v>
      </c>
      <c r="I414" s="9">
        <v>200000</v>
      </c>
      <c r="J414" s="1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s="5" customFormat="1" ht="18.600000000000001" customHeight="1" x14ac:dyDescent="0.3">
      <c r="A415" s="1"/>
      <c r="B415" s="6">
        <f t="shared" si="6"/>
        <v>414</v>
      </c>
      <c r="C415" s="7">
        <v>46173</v>
      </c>
      <c r="D415" s="87" t="s">
        <v>341</v>
      </c>
      <c r="E415" s="87"/>
      <c r="F415" s="7" t="s">
        <v>42</v>
      </c>
      <c r="G415" s="6"/>
      <c r="H415" s="8">
        <v>958444603</v>
      </c>
      <c r="I415" s="9">
        <v>100000</v>
      </c>
      <c r="J415" s="1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s="5" customFormat="1" ht="18.600000000000001" customHeight="1" x14ac:dyDescent="0.3">
      <c r="A416" s="1"/>
      <c r="B416" s="6">
        <f t="shared" si="6"/>
        <v>415</v>
      </c>
      <c r="C416" s="7">
        <v>46173</v>
      </c>
      <c r="D416" s="87"/>
      <c r="E416" s="87"/>
      <c r="F416" s="7" t="s">
        <v>88</v>
      </c>
      <c r="G416" s="6"/>
      <c r="H416" s="8">
        <v>958444613</v>
      </c>
      <c r="I416" s="9">
        <v>50000</v>
      </c>
      <c r="J416" s="1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s="5" customFormat="1" ht="18.600000000000001" customHeight="1" x14ac:dyDescent="0.3">
      <c r="A417" s="1"/>
      <c r="B417" s="6">
        <f t="shared" si="6"/>
        <v>416</v>
      </c>
      <c r="C417" s="7">
        <v>46173</v>
      </c>
      <c r="D417" s="87" t="s">
        <v>341</v>
      </c>
      <c r="E417" s="87"/>
      <c r="F417" s="7" t="s">
        <v>50</v>
      </c>
      <c r="G417" s="6"/>
      <c r="H417" s="8">
        <v>958444307</v>
      </c>
      <c r="I417" s="9">
        <v>200000</v>
      </c>
      <c r="J417" s="1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s="5" customFormat="1" ht="18.600000000000001" customHeight="1" x14ac:dyDescent="0.3">
      <c r="A418" s="1"/>
      <c r="B418" s="6">
        <f t="shared" si="6"/>
        <v>417</v>
      </c>
      <c r="C418" s="7">
        <v>46173</v>
      </c>
      <c r="D418" s="87"/>
      <c r="E418" s="87"/>
      <c r="F418" s="7" t="s">
        <v>112</v>
      </c>
      <c r="G418" s="6"/>
      <c r="H418" s="8">
        <v>958452842</v>
      </c>
      <c r="I418" s="9">
        <v>200000</v>
      </c>
      <c r="J418" s="1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s="5" customFormat="1" ht="18.600000000000001" customHeight="1" x14ac:dyDescent="0.3">
      <c r="A419" s="1"/>
      <c r="B419" s="6">
        <f t="shared" si="6"/>
        <v>418</v>
      </c>
      <c r="C419" s="7">
        <v>46173</v>
      </c>
      <c r="D419" s="87"/>
      <c r="E419" s="87"/>
      <c r="F419" s="7" t="s">
        <v>225</v>
      </c>
      <c r="G419" s="6" t="s">
        <v>195</v>
      </c>
      <c r="H419" s="8">
        <v>958467337</v>
      </c>
      <c r="I419" s="9">
        <v>39670</v>
      </c>
      <c r="J419" s="1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s="5" customFormat="1" ht="18.600000000000001" customHeight="1" x14ac:dyDescent="0.3">
      <c r="A420" s="1"/>
      <c r="B420" s="6">
        <f t="shared" si="6"/>
        <v>419</v>
      </c>
      <c r="C420" s="7">
        <v>46173</v>
      </c>
      <c r="D420" s="87"/>
      <c r="E420" s="87"/>
      <c r="F420" s="7" t="s">
        <v>218</v>
      </c>
      <c r="G420" s="6" t="s">
        <v>220</v>
      </c>
      <c r="H420" s="8">
        <v>958469774</v>
      </c>
      <c r="I420" s="9">
        <v>150000</v>
      </c>
      <c r="J420" s="1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s="5" customFormat="1" ht="18.600000000000001" customHeight="1" x14ac:dyDescent="0.3">
      <c r="A421" s="1"/>
      <c r="B421" s="6">
        <f t="shared" si="6"/>
        <v>420</v>
      </c>
      <c r="C421" s="7">
        <v>46173</v>
      </c>
      <c r="D421" s="87"/>
      <c r="E421" s="87"/>
      <c r="F421" s="7" t="s">
        <v>211</v>
      </c>
      <c r="G421" s="6" t="s">
        <v>226</v>
      </c>
      <c r="H421" s="8" t="s">
        <v>177</v>
      </c>
      <c r="I421" s="9">
        <v>120820</v>
      </c>
      <c r="J421" s="1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s="5" customFormat="1" ht="18.600000000000001" customHeight="1" x14ac:dyDescent="0.3">
      <c r="A422" s="1"/>
      <c r="B422" s="6">
        <f t="shared" si="6"/>
        <v>421</v>
      </c>
      <c r="C422" s="7">
        <v>46173</v>
      </c>
      <c r="D422" s="87"/>
      <c r="E422" s="87"/>
      <c r="F422" s="7" t="s">
        <v>211</v>
      </c>
      <c r="G422" s="6" t="s">
        <v>227</v>
      </c>
      <c r="H422" s="8" t="s">
        <v>177</v>
      </c>
      <c r="I422" s="9">
        <v>13000</v>
      </c>
      <c r="J422" s="1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s="5" customFormat="1" ht="18.600000000000001" customHeight="1" x14ac:dyDescent="0.3">
      <c r="A423" s="1"/>
      <c r="B423" s="6">
        <f t="shared" si="6"/>
        <v>422</v>
      </c>
      <c r="C423" s="7">
        <v>46173</v>
      </c>
      <c r="D423" s="87"/>
      <c r="E423" s="87"/>
      <c r="F423" s="7" t="s">
        <v>228</v>
      </c>
      <c r="G423" s="6" t="s">
        <v>228</v>
      </c>
      <c r="H423" s="8">
        <v>958488821</v>
      </c>
      <c r="I423" s="9">
        <v>10000</v>
      </c>
      <c r="J423" s="1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s="5" customFormat="1" ht="18.600000000000001" customHeight="1" x14ac:dyDescent="0.3">
      <c r="A424" s="1"/>
      <c r="B424" s="6">
        <f t="shared" si="6"/>
        <v>423</v>
      </c>
      <c r="C424" s="7">
        <v>46173</v>
      </c>
      <c r="D424" s="87"/>
      <c r="E424" s="87"/>
      <c r="F424" s="7" t="s">
        <v>229</v>
      </c>
      <c r="G424" s="6"/>
      <c r="H424" s="8" t="s">
        <v>37</v>
      </c>
      <c r="I424" s="9">
        <v>50000</v>
      </c>
      <c r="J424" s="1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s="5" customFormat="1" ht="18.600000000000001" customHeight="1" x14ac:dyDescent="0.3">
      <c r="A425" s="1"/>
      <c r="B425" s="6">
        <f t="shared" si="6"/>
        <v>424</v>
      </c>
      <c r="C425" s="7">
        <v>46174</v>
      </c>
      <c r="D425" s="87"/>
      <c r="E425" s="87"/>
      <c r="F425" s="7" t="s">
        <v>117</v>
      </c>
      <c r="G425" s="6"/>
      <c r="H425" s="8" t="s">
        <v>37</v>
      </c>
      <c r="I425" s="9">
        <v>100000</v>
      </c>
      <c r="J425" s="1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s="5" customFormat="1" ht="18.600000000000001" customHeight="1" x14ac:dyDescent="0.3">
      <c r="A426" s="1"/>
      <c r="B426" s="6">
        <f t="shared" si="6"/>
        <v>425</v>
      </c>
      <c r="C426" s="7">
        <v>46174</v>
      </c>
      <c r="D426" s="87" t="s">
        <v>234</v>
      </c>
      <c r="E426" s="87" t="s">
        <v>345</v>
      </c>
      <c r="F426" s="7" t="s">
        <v>174</v>
      </c>
      <c r="G426" s="10" t="s">
        <v>175</v>
      </c>
      <c r="H426" s="8" t="s">
        <v>177</v>
      </c>
      <c r="I426" s="9">
        <v>32850</v>
      </c>
      <c r="J426" s="1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s="5" customFormat="1" ht="18.600000000000001" customHeight="1" x14ac:dyDescent="0.3">
      <c r="A427" s="1"/>
      <c r="B427" s="6">
        <f t="shared" si="6"/>
        <v>426</v>
      </c>
      <c r="C427" s="7">
        <v>46175</v>
      </c>
      <c r="D427" s="87"/>
      <c r="E427" s="87"/>
      <c r="F427" s="7" t="s">
        <v>117</v>
      </c>
      <c r="G427" s="6"/>
      <c r="H427" s="8">
        <v>958805622</v>
      </c>
      <c r="I427" s="9">
        <v>100000</v>
      </c>
      <c r="J427" s="1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s="5" customFormat="1" ht="18.600000000000001" customHeight="1" x14ac:dyDescent="0.3">
      <c r="A428" s="1"/>
      <c r="B428" s="6">
        <f t="shared" si="6"/>
        <v>427</v>
      </c>
      <c r="C428" s="7">
        <v>46175</v>
      </c>
      <c r="D428" s="87" t="s">
        <v>2608</v>
      </c>
      <c r="E428" s="87"/>
      <c r="F428" s="7" t="s">
        <v>95</v>
      </c>
      <c r="G428" s="6" t="s">
        <v>295</v>
      </c>
      <c r="H428" s="8">
        <v>959013279</v>
      </c>
      <c r="I428" s="22">
        <v>200000</v>
      </c>
      <c r="J428" s="1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s="5" customFormat="1" ht="18.600000000000001" customHeight="1" x14ac:dyDescent="0.3">
      <c r="A429" s="1"/>
      <c r="B429" s="6">
        <f t="shared" si="6"/>
        <v>428</v>
      </c>
      <c r="C429" s="7">
        <v>46176</v>
      </c>
      <c r="D429" s="87"/>
      <c r="E429" s="87"/>
      <c r="F429" s="7" t="s">
        <v>117</v>
      </c>
      <c r="G429" s="6"/>
      <c r="H429" s="8" t="s">
        <v>177</v>
      </c>
      <c r="I429" s="9">
        <v>50000</v>
      </c>
      <c r="J429" s="1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s="5" customFormat="1" ht="18.600000000000001" customHeight="1" x14ac:dyDescent="0.3">
      <c r="A430" s="1"/>
      <c r="B430" s="6">
        <f t="shared" si="6"/>
        <v>429</v>
      </c>
      <c r="C430" s="7">
        <v>46176</v>
      </c>
      <c r="D430" s="87"/>
      <c r="E430" s="87"/>
      <c r="F430" s="7" t="s">
        <v>117</v>
      </c>
      <c r="G430" s="6"/>
      <c r="H430" s="8">
        <v>959036336</v>
      </c>
      <c r="I430" s="9">
        <v>50000</v>
      </c>
      <c r="J430" s="1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s="5" customFormat="1" ht="18.600000000000001" customHeight="1" x14ac:dyDescent="0.3">
      <c r="A431" s="1"/>
      <c r="B431" s="6">
        <f t="shared" si="6"/>
        <v>430</v>
      </c>
      <c r="C431" s="7">
        <v>46176</v>
      </c>
      <c r="D431" s="87" t="s">
        <v>240</v>
      </c>
      <c r="E431" s="87"/>
      <c r="F431" s="7" t="s">
        <v>89</v>
      </c>
      <c r="G431" s="6" t="s">
        <v>90</v>
      </c>
      <c r="H431" s="8">
        <v>959243189</v>
      </c>
      <c r="I431" s="22">
        <v>547200</v>
      </c>
      <c r="J431" s="1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s="5" customFormat="1" ht="18.600000000000001" customHeight="1" x14ac:dyDescent="0.3">
      <c r="A432" s="1"/>
      <c r="B432" s="6">
        <f t="shared" si="6"/>
        <v>431</v>
      </c>
      <c r="C432" s="7">
        <v>46177</v>
      </c>
      <c r="D432" s="87"/>
      <c r="E432" s="87"/>
      <c r="F432" s="7" t="s">
        <v>117</v>
      </c>
      <c r="G432" s="6"/>
      <c r="H432" s="8" t="s">
        <v>192</v>
      </c>
      <c r="I432" s="9">
        <v>100000</v>
      </c>
      <c r="J432" s="1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s="5" customFormat="1" ht="18.600000000000001" customHeight="1" x14ac:dyDescent="0.3">
      <c r="A433" s="1"/>
      <c r="B433" s="6">
        <f t="shared" si="6"/>
        <v>432</v>
      </c>
      <c r="C433" s="7">
        <v>46177</v>
      </c>
      <c r="D433" s="87" t="s">
        <v>240</v>
      </c>
      <c r="E433" s="87"/>
      <c r="F433" s="7" t="s">
        <v>99</v>
      </c>
      <c r="G433" s="6" t="s">
        <v>100</v>
      </c>
      <c r="H433" s="8">
        <v>959267648</v>
      </c>
      <c r="I433" s="9">
        <v>950000</v>
      </c>
      <c r="J433" s="1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s="5" customFormat="1" ht="18.600000000000001" customHeight="1" x14ac:dyDescent="0.3">
      <c r="A434" s="1"/>
      <c r="B434" s="6">
        <f t="shared" si="6"/>
        <v>433</v>
      </c>
      <c r="C434" s="7">
        <v>46177</v>
      </c>
      <c r="D434" s="87" t="s">
        <v>240</v>
      </c>
      <c r="E434" s="87"/>
      <c r="F434" s="7" t="s">
        <v>99</v>
      </c>
      <c r="G434" s="6" t="s">
        <v>100</v>
      </c>
      <c r="H434" s="8">
        <v>959267661</v>
      </c>
      <c r="I434" s="9">
        <v>50000</v>
      </c>
      <c r="J434" s="1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s="5" customFormat="1" ht="18.600000000000001" customHeight="1" x14ac:dyDescent="0.3">
      <c r="A435" s="1"/>
      <c r="B435" s="6">
        <f t="shared" si="6"/>
        <v>434</v>
      </c>
      <c r="C435" s="7">
        <v>46177</v>
      </c>
      <c r="D435" s="87" t="s">
        <v>234</v>
      </c>
      <c r="E435" s="87" t="s">
        <v>446</v>
      </c>
      <c r="F435" s="7" t="s">
        <v>125</v>
      </c>
      <c r="G435" s="10" t="s">
        <v>126</v>
      </c>
      <c r="H435" s="8">
        <v>959267893</v>
      </c>
      <c r="I435" s="9">
        <v>350000</v>
      </c>
      <c r="J435" s="1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s="5" customFormat="1" ht="18.600000000000001" customHeight="1" x14ac:dyDescent="0.3">
      <c r="A436" s="1"/>
      <c r="B436" s="6">
        <f t="shared" si="6"/>
        <v>435</v>
      </c>
      <c r="C436" s="7">
        <v>46177</v>
      </c>
      <c r="D436" s="87" t="s">
        <v>234</v>
      </c>
      <c r="E436" s="87" t="s">
        <v>546</v>
      </c>
      <c r="F436" s="7" t="s">
        <v>127</v>
      </c>
      <c r="G436" s="10" t="s">
        <v>128</v>
      </c>
      <c r="H436" s="8">
        <v>959267789</v>
      </c>
      <c r="I436" s="9">
        <v>250000</v>
      </c>
      <c r="J436" s="1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s="5" customFormat="1" ht="18.600000000000001" customHeight="1" x14ac:dyDescent="0.3">
      <c r="A437" s="1"/>
      <c r="B437" s="6">
        <f t="shared" si="6"/>
        <v>436</v>
      </c>
      <c r="C437" s="7">
        <v>46177</v>
      </c>
      <c r="D437" s="87"/>
      <c r="E437" s="87"/>
      <c r="F437" s="7" t="s">
        <v>230</v>
      </c>
      <c r="G437" s="6" t="s">
        <v>231</v>
      </c>
      <c r="H437" s="8" t="s">
        <v>37</v>
      </c>
      <c r="I437" s="9">
        <v>3900</v>
      </c>
      <c r="J437" s="1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s="5" customFormat="1" ht="18.600000000000001" customHeight="1" x14ac:dyDescent="0.3">
      <c r="A438" s="1"/>
      <c r="B438" s="6">
        <f t="shared" si="6"/>
        <v>437</v>
      </c>
      <c r="C438" s="7">
        <v>46177</v>
      </c>
      <c r="D438" s="87" t="s">
        <v>234</v>
      </c>
      <c r="E438" s="87" t="s">
        <v>446</v>
      </c>
      <c r="F438" s="7" t="s">
        <v>186</v>
      </c>
      <c r="G438" s="10" t="s">
        <v>187</v>
      </c>
      <c r="H438" s="8">
        <v>959343625</v>
      </c>
      <c r="I438" s="9">
        <v>250000</v>
      </c>
      <c r="J438" s="1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s="5" customFormat="1" ht="18.600000000000001" customHeight="1" x14ac:dyDescent="0.3">
      <c r="A439" s="1"/>
      <c r="B439" s="6">
        <f t="shared" si="6"/>
        <v>438</v>
      </c>
      <c r="C439" s="7">
        <v>46177</v>
      </c>
      <c r="D439" s="87" t="s">
        <v>240</v>
      </c>
      <c r="E439" s="87"/>
      <c r="F439" s="7" t="s">
        <v>80</v>
      </c>
      <c r="G439" s="6"/>
      <c r="H439" s="8">
        <v>959456448</v>
      </c>
      <c r="I439" s="22">
        <v>300000</v>
      </c>
      <c r="J439" s="1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s="5" customFormat="1" ht="18.600000000000001" customHeight="1" x14ac:dyDescent="0.3">
      <c r="A440" s="1"/>
      <c r="B440" s="6">
        <f t="shared" si="6"/>
        <v>439</v>
      </c>
      <c r="C440" s="7">
        <v>46178</v>
      </c>
      <c r="D440" s="87"/>
      <c r="E440" s="87"/>
      <c r="F440" s="7" t="s">
        <v>117</v>
      </c>
      <c r="G440" s="6"/>
      <c r="H440" s="8">
        <v>959525369</v>
      </c>
      <c r="I440" s="9">
        <v>100000</v>
      </c>
      <c r="J440" s="1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s="5" customFormat="1" ht="18.600000000000001" customHeight="1" x14ac:dyDescent="0.3">
      <c r="A441" s="1"/>
      <c r="B441" s="6">
        <f t="shared" si="6"/>
        <v>440</v>
      </c>
      <c r="C441" s="7">
        <v>46178</v>
      </c>
      <c r="D441" s="87"/>
      <c r="E441" s="87"/>
      <c r="F441" s="7" t="s">
        <v>88</v>
      </c>
      <c r="G441" s="6" t="s">
        <v>232</v>
      </c>
      <c r="H441" s="8"/>
      <c r="I441" s="9">
        <v>149900</v>
      </c>
      <c r="J441" s="1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s="5" customFormat="1" ht="18.600000000000001" customHeight="1" x14ac:dyDescent="0.3">
      <c r="A442" s="1"/>
      <c r="B442" s="6">
        <f t="shared" si="6"/>
        <v>441</v>
      </c>
      <c r="C442" s="7">
        <v>46179</v>
      </c>
      <c r="D442" s="87"/>
      <c r="E442" s="87"/>
      <c r="F442" s="7" t="s">
        <v>88</v>
      </c>
      <c r="G442" s="6"/>
      <c r="H442" s="8"/>
      <c r="I442" s="9">
        <v>230000</v>
      </c>
      <c r="J442" s="1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s="5" customFormat="1" ht="18.600000000000001" customHeight="1" x14ac:dyDescent="0.3">
      <c r="A443" s="1"/>
      <c r="B443" s="6">
        <f t="shared" si="6"/>
        <v>442</v>
      </c>
      <c r="C443" s="7">
        <v>46179</v>
      </c>
      <c r="D443" s="87" t="s">
        <v>341</v>
      </c>
      <c r="E443" s="87"/>
      <c r="F443" s="7" t="s">
        <v>50</v>
      </c>
      <c r="G443" s="6"/>
      <c r="H443" s="8"/>
      <c r="I443" s="9">
        <v>50000</v>
      </c>
      <c r="J443" s="1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s="5" customFormat="1" ht="18.600000000000001" customHeight="1" x14ac:dyDescent="0.3">
      <c r="A444" s="1"/>
      <c r="B444" s="6">
        <f t="shared" si="6"/>
        <v>443</v>
      </c>
      <c r="C444" s="7">
        <v>46179</v>
      </c>
      <c r="D444" s="87"/>
      <c r="E444" s="87"/>
      <c r="F444" s="7" t="s">
        <v>117</v>
      </c>
      <c r="G444" s="6"/>
      <c r="H444" s="8"/>
      <c r="I444" s="9">
        <v>100000</v>
      </c>
      <c r="J444" s="1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s="5" customFormat="1" ht="18.600000000000001" customHeight="1" x14ac:dyDescent="0.3">
      <c r="A445" s="1"/>
      <c r="B445" s="6">
        <f t="shared" si="6"/>
        <v>444</v>
      </c>
      <c r="C445" s="7">
        <v>46179</v>
      </c>
      <c r="D445" s="87" t="s">
        <v>341</v>
      </c>
      <c r="E445" s="87"/>
      <c r="F445" s="7" t="s">
        <v>50</v>
      </c>
      <c r="G445" s="6"/>
      <c r="H445" s="8"/>
      <c r="I445" s="9">
        <v>250000</v>
      </c>
      <c r="J445" s="1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s="5" customFormat="1" ht="18.600000000000001" customHeight="1" x14ac:dyDescent="0.3">
      <c r="A446" s="1"/>
      <c r="B446" s="6">
        <f t="shared" si="6"/>
        <v>445</v>
      </c>
      <c r="C446" s="7">
        <v>46179</v>
      </c>
      <c r="D446" s="87"/>
      <c r="E446" s="87"/>
      <c r="F446" s="7" t="s">
        <v>216</v>
      </c>
      <c r="G446" s="6" t="s">
        <v>232</v>
      </c>
      <c r="H446" s="8"/>
      <c r="I446" s="9">
        <v>450000</v>
      </c>
      <c r="J446" s="1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s="5" customFormat="1" ht="18.600000000000001" customHeight="1" x14ac:dyDescent="0.3">
      <c r="A447" s="1"/>
      <c r="B447" s="6">
        <f t="shared" si="6"/>
        <v>446</v>
      </c>
      <c r="C447" s="7">
        <v>46179</v>
      </c>
      <c r="D447" s="87"/>
      <c r="E447" s="87"/>
      <c r="F447" s="7" t="s">
        <v>218</v>
      </c>
      <c r="G447" s="6" t="s">
        <v>220</v>
      </c>
      <c r="H447" s="8"/>
      <c r="I447" s="9">
        <v>100000</v>
      </c>
      <c r="J447" s="1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s="5" customFormat="1" ht="18.600000000000001" customHeight="1" x14ac:dyDescent="0.3">
      <c r="A448" s="1"/>
      <c r="B448" s="6">
        <f t="shared" si="6"/>
        <v>447</v>
      </c>
      <c r="C448" s="7">
        <v>46179</v>
      </c>
      <c r="D448" s="87" t="s">
        <v>240</v>
      </c>
      <c r="E448" s="87" t="s">
        <v>1005</v>
      </c>
      <c r="F448" s="7" t="s">
        <v>162</v>
      </c>
      <c r="G448" s="6" t="s">
        <v>163</v>
      </c>
      <c r="H448" s="8" t="s">
        <v>2590</v>
      </c>
      <c r="I448" s="9">
        <v>700000</v>
      </c>
      <c r="J448" s="10" t="s">
        <v>2591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s="5" customFormat="1" ht="18.600000000000001" customHeight="1" x14ac:dyDescent="0.3">
      <c r="A449" s="1"/>
      <c r="B449" s="6">
        <f t="shared" si="6"/>
        <v>448</v>
      </c>
      <c r="C449" s="7">
        <v>46180</v>
      </c>
      <c r="D449" s="87" t="s">
        <v>341</v>
      </c>
      <c r="E449" s="87"/>
      <c r="F449" s="7" t="s">
        <v>370</v>
      </c>
      <c r="G449" s="6" t="s">
        <v>371</v>
      </c>
      <c r="H449" s="8">
        <v>960060979</v>
      </c>
      <c r="I449" s="9">
        <v>24000</v>
      </c>
      <c r="J449" s="1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s="5" customFormat="1" ht="18.600000000000001" customHeight="1" x14ac:dyDescent="0.3">
      <c r="A450" s="1"/>
      <c r="B450" s="6">
        <f t="shared" si="6"/>
        <v>449</v>
      </c>
      <c r="C450" s="7">
        <v>46180</v>
      </c>
      <c r="D450" s="87"/>
      <c r="E450" s="87"/>
      <c r="F450" s="7" t="s">
        <v>88</v>
      </c>
      <c r="G450" s="6"/>
      <c r="H450" s="8">
        <v>960098365</v>
      </c>
      <c r="I450" s="9">
        <v>200000</v>
      </c>
      <c r="J450" s="1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s="5" customFormat="1" ht="18.600000000000001" customHeight="1" x14ac:dyDescent="0.3">
      <c r="A451" s="1"/>
      <c r="B451" s="6">
        <f t="shared" si="6"/>
        <v>450</v>
      </c>
      <c r="C451" s="7">
        <v>46180</v>
      </c>
      <c r="D451" s="87" t="s">
        <v>341</v>
      </c>
      <c r="E451" s="87"/>
      <c r="F451" s="7" t="s">
        <v>50</v>
      </c>
      <c r="G451" s="6"/>
      <c r="H451" s="8">
        <v>960098419</v>
      </c>
      <c r="I451" s="9">
        <v>50000</v>
      </c>
      <c r="J451" s="1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s="5" customFormat="1" ht="18.600000000000001" customHeight="1" x14ac:dyDescent="0.3">
      <c r="A452" s="1"/>
      <c r="B452" s="6">
        <f t="shared" ref="B452:B515" si="7">+B451+1</f>
        <v>451</v>
      </c>
      <c r="C452" s="7">
        <v>46180</v>
      </c>
      <c r="D452" s="87"/>
      <c r="E452" s="87"/>
      <c r="F452" s="7" t="s">
        <v>229</v>
      </c>
      <c r="G452" s="6"/>
      <c r="H452" s="8" t="s">
        <v>37</v>
      </c>
      <c r="I452" s="9">
        <v>10000</v>
      </c>
      <c r="J452" s="1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s="5" customFormat="1" ht="18.600000000000001" customHeight="1" x14ac:dyDescent="0.3">
      <c r="A453" s="1"/>
      <c r="B453" s="6">
        <f t="shared" si="7"/>
        <v>452</v>
      </c>
      <c r="C453" s="7">
        <v>46180</v>
      </c>
      <c r="D453" s="87"/>
      <c r="E453" s="87"/>
      <c r="F453" s="7" t="s">
        <v>42</v>
      </c>
      <c r="G453" s="6"/>
      <c r="H453" s="8">
        <v>960117367</v>
      </c>
      <c r="I453" s="9">
        <v>50000</v>
      </c>
      <c r="J453" s="1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s="5" customFormat="1" ht="18.600000000000001" customHeight="1" x14ac:dyDescent="0.3">
      <c r="A454" s="1"/>
      <c r="B454" s="6">
        <f t="shared" si="7"/>
        <v>453</v>
      </c>
      <c r="C454" s="7">
        <v>46180</v>
      </c>
      <c r="D454" s="87"/>
      <c r="E454" s="87"/>
      <c r="F454" s="7" t="s">
        <v>392</v>
      </c>
      <c r="G454" s="6"/>
      <c r="H454" s="8" t="s">
        <v>37</v>
      </c>
      <c r="I454" s="9">
        <v>100000</v>
      </c>
      <c r="J454" s="1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s="5" customFormat="1" ht="18.600000000000001" customHeight="1" x14ac:dyDescent="0.3">
      <c r="A455" s="1"/>
      <c r="B455" s="6">
        <f t="shared" si="7"/>
        <v>454</v>
      </c>
      <c r="C455" s="7">
        <v>46180</v>
      </c>
      <c r="D455" s="87"/>
      <c r="E455" s="87"/>
      <c r="F455" s="7" t="s">
        <v>425</v>
      </c>
      <c r="G455" s="6"/>
      <c r="H455" s="8" t="s">
        <v>429</v>
      </c>
      <c r="I455" s="9">
        <v>50000</v>
      </c>
      <c r="J455" s="1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s="5" customFormat="1" ht="18.600000000000001" customHeight="1" x14ac:dyDescent="0.3">
      <c r="A456" s="1"/>
      <c r="B456" s="6">
        <f t="shared" si="7"/>
        <v>455</v>
      </c>
      <c r="C456" s="7">
        <v>46180</v>
      </c>
      <c r="D456" s="87" t="s">
        <v>2608</v>
      </c>
      <c r="E456" s="87"/>
      <c r="F456" s="7" t="s">
        <v>95</v>
      </c>
      <c r="G456" s="6" t="s">
        <v>295</v>
      </c>
      <c r="H456" s="8" t="s">
        <v>2590</v>
      </c>
      <c r="I456" s="131">
        <v>1200000</v>
      </c>
      <c r="J456" s="1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s="5" customFormat="1" ht="18.600000000000001" customHeight="1" x14ac:dyDescent="0.3">
      <c r="A457" s="1"/>
      <c r="B457" s="6">
        <f t="shared" si="7"/>
        <v>456</v>
      </c>
      <c r="C457" s="7">
        <v>46181</v>
      </c>
      <c r="D457" s="87"/>
      <c r="E457" s="87"/>
      <c r="F457" s="7" t="s">
        <v>88</v>
      </c>
      <c r="G457" s="6"/>
      <c r="H457" s="8" t="s">
        <v>428</v>
      </c>
      <c r="I457" s="9">
        <v>58000</v>
      </c>
      <c r="J457" s="1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s="5" customFormat="1" ht="18.600000000000001" customHeight="1" x14ac:dyDescent="0.3">
      <c r="A458" s="1"/>
      <c r="B458" s="6">
        <f t="shared" si="7"/>
        <v>457</v>
      </c>
      <c r="C458" s="7">
        <v>46181</v>
      </c>
      <c r="D458" s="87"/>
      <c r="E458" s="87"/>
      <c r="F458" s="7" t="s">
        <v>229</v>
      </c>
      <c r="G458" s="6"/>
      <c r="H458" s="8" t="s">
        <v>37</v>
      </c>
      <c r="I458" s="9">
        <v>30000</v>
      </c>
      <c r="J458" s="1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s="5" customFormat="1" ht="18.600000000000001" customHeight="1" x14ac:dyDescent="0.3">
      <c r="A459" s="1"/>
      <c r="B459" s="6">
        <f t="shared" si="7"/>
        <v>458</v>
      </c>
      <c r="C459" s="7">
        <v>46181</v>
      </c>
      <c r="D459" s="87"/>
      <c r="E459" s="87"/>
      <c r="F459" s="7" t="s">
        <v>99</v>
      </c>
      <c r="G459" s="6" t="s">
        <v>100</v>
      </c>
      <c r="H459" s="8">
        <v>960157755</v>
      </c>
      <c r="I459" s="9">
        <v>500000</v>
      </c>
      <c r="J459" s="1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s="5" customFormat="1" ht="18.600000000000001" customHeight="1" x14ac:dyDescent="0.3">
      <c r="A460" s="1"/>
      <c r="B460" s="6">
        <f t="shared" si="7"/>
        <v>459</v>
      </c>
      <c r="C460" s="7">
        <v>46181</v>
      </c>
      <c r="D460" s="87"/>
      <c r="E460" s="87"/>
      <c r="F460" s="7" t="s">
        <v>80</v>
      </c>
      <c r="G460" s="6"/>
      <c r="H460" s="8">
        <v>960157707</v>
      </c>
      <c r="I460" s="9">
        <v>300000</v>
      </c>
      <c r="J460" s="1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s="5" customFormat="1" ht="18.600000000000001" customHeight="1" x14ac:dyDescent="0.3">
      <c r="A461" s="1"/>
      <c r="B461" s="6">
        <f t="shared" si="7"/>
        <v>460</v>
      </c>
      <c r="C461" s="7">
        <v>46182</v>
      </c>
      <c r="D461" s="87"/>
      <c r="E461" s="87"/>
      <c r="F461" s="7" t="s">
        <v>89</v>
      </c>
      <c r="G461" s="6" t="s">
        <v>90</v>
      </c>
      <c r="H461" s="8">
        <v>960660606</v>
      </c>
      <c r="I461" s="9">
        <v>145650</v>
      </c>
      <c r="J461" s="1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s="5" customFormat="1" ht="18.600000000000001" customHeight="1" x14ac:dyDescent="0.3">
      <c r="A462" s="1"/>
      <c r="B462" s="6">
        <f t="shared" si="7"/>
        <v>461</v>
      </c>
      <c r="C462" s="7">
        <v>46182</v>
      </c>
      <c r="D462" s="87"/>
      <c r="E462" s="87"/>
      <c r="F462" s="7" t="s">
        <v>401</v>
      </c>
      <c r="G462" s="6"/>
      <c r="H462" s="8" t="s">
        <v>427</v>
      </c>
      <c r="I462" s="9">
        <v>20000</v>
      </c>
      <c r="J462" s="1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s="5" customFormat="1" ht="18.600000000000001" customHeight="1" x14ac:dyDescent="0.3">
      <c r="A463" s="1"/>
      <c r="B463" s="6">
        <f t="shared" si="7"/>
        <v>462</v>
      </c>
      <c r="C463" s="7">
        <v>46182</v>
      </c>
      <c r="D463" s="87"/>
      <c r="E463" s="87"/>
      <c r="F463" s="7" t="s">
        <v>229</v>
      </c>
      <c r="G463" s="6"/>
      <c r="H463" s="8" t="s">
        <v>37</v>
      </c>
      <c r="I463" s="9">
        <v>50000</v>
      </c>
      <c r="J463" s="1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s="5" customFormat="1" ht="18.600000000000001" customHeight="1" x14ac:dyDescent="0.3">
      <c r="A464" s="1"/>
      <c r="B464" s="6">
        <f t="shared" si="7"/>
        <v>463</v>
      </c>
      <c r="C464" s="7">
        <v>46183</v>
      </c>
      <c r="D464" s="87" t="s">
        <v>234</v>
      </c>
      <c r="E464" s="87" t="s">
        <v>2589</v>
      </c>
      <c r="F464" s="7" t="s">
        <v>69</v>
      </c>
      <c r="G464" s="10" t="s">
        <v>421</v>
      </c>
      <c r="H464" s="8">
        <v>960913722</v>
      </c>
      <c r="I464" s="9">
        <v>800000</v>
      </c>
      <c r="J464" s="1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s="5" customFormat="1" ht="18.600000000000001" customHeight="1" x14ac:dyDescent="0.3">
      <c r="A465" s="1"/>
      <c r="B465" s="6">
        <f t="shared" si="7"/>
        <v>464</v>
      </c>
      <c r="C465" s="7">
        <v>46183</v>
      </c>
      <c r="D465" s="87" t="s">
        <v>341</v>
      </c>
      <c r="E465" s="87"/>
      <c r="F465" s="7" t="s">
        <v>50</v>
      </c>
      <c r="G465" s="6"/>
      <c r="H465" s="8">
        <v>960827413</v>
      </c>
      <c r="I465" s="9">
        <v>600000</v>
      </c>
      <c r="J465" s="1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s="5" customFormat="1" ht="18.600000000000001" customHeight="1" x14ac:dyDescent="0.3">
      <c r="A466" s="1"/>
      <c r="B466" s="6">
        <f t="shared" si="7"/>
        <v>465</v>
      </c>
      <c r="C466" s="7">
        <v>46183</v>
      </c>
      <c r="D466" s="87" t="s">
        <v>423</v>
      </c>
      <c r="E466" s="87"/>
      <c r="F466" s="7" t="s">
        <v>424</v>
      </c>
      <c r="G466" s="6"/>
      <c r="H466" s="8" t="s">
        <v>37</v>
      </c>
      <c r="I466" s="9">
        <v>29750</v>
      </c>
      <c r="J466" s="1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s="5" customFormat="1" ht="18.600000000000001" customHeight="1" x14ac:dyDescent="0.3">
      <c r="A467" s="1"/>
      <c r="B467" s="6">
        <f t="shared" si="7"/>
        <v>466</v>
      </c>
      <c r="C467" s="7">
        <v>46183</v>
      </c>
      <c r="D467" s="87"/>
      <c r="E467" s="87"/>
      <c r="F467" s="7" t="s">
        <v>425</v>
      </c>
      <c r="G467" s="6"/>
      <c r="H467" s="8" t="s">
        <v>426</v>
      </c>
      <c r="I467" s="9">
        <v>50000</v>
      </c>
      <c r="J467" s="1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s="5" customFormat="1" ht="18.600000000000001" customHeight="1" x14ac:dyDescent="0.3">
      <c r="A468" s="1"/>
      <c r="B468" s="6">
        <f t="shared" si="7"/>
        <v>467</v>
      </c>
      <c r="C468" s="7">
        <v>46183</v>
      </c>
      <c r="D468" s="87"/>
      <c r="E468" s="87"/>
      <c r="F468" s="7" t="s">
        <v>84</v>
      </c>
      <c r="G468" s="6"/>
      <c r="H468" s="8">
        <v>960683223</v>
      </c>
      <c r="I468" s="9">
        <v>250000</v>
      </c>
      <c r="J468" s="1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s="5" customFormat="1" ht="18.600000000000001" customHeight="1" x14ac:dyDescent="0.3">
      <c r="A469" s="1"/>
      <c r="B469" s="6">
        <f t="shared" si="7"/>
        <v>468</v>
      </c>
      <c r="C469" s="7">
        <v>46183</v>
      </c>
      <c r="D469" s="87"/>
      <c r="E469" s="87"/>
      <c r="F469" s="7" t="s">
        <v>88</v>
      </c>
      <c r="G469" s="6"/>
      <c r="H469" s="8">
        <v>960681775</v>
      </c>
      <c r="I469" s="9">
        <v>160000</v>
      </c>
      <c r="J469" s="1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s="5" customFormat="1" ht="18.600000000000001" customHeight="1" x14ac:dyDescent="0.3">
      <c r="A470" s="1"/>
      <c r="B470" s="6">
        <f t="shared" si="7"/>
        <v>469</v>
      </c>
      <c r="C470" s="7">
        <v>46183</v>
      </c>
      <c r="D470" s="87"/>
      <c r="E470" s="87"/>
      <c r="F470" s="7" t="s">
        <v>218</v>
      </c>
      <c r="G470" s="6"/>
      <c r="H470" s="8">
        <v>960677315</v>
      </c>
      <c r="I470" s="9">
        <v>150000</v>
      </c>
      <c r="J470" s="1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s="5" customFormat="1" ht="18.600000000000001" customHeight="1" x14ac:dyDescent="0.3">
      <c r="A471" s="1"/>
      <c r="B471" s="6">
        <f t="shared" si="7"/>
        <v>470</v>
      </c>
      <c r="C471" s="7">
        <v>46183</v>
      </c>
      <c r="D471" s="87"/>
      <c r="E471" s="87"/>
      <c r="F471" s="7" t="s">
        <v>414</v>
      </c>
      <c r="G471" s="6"/>
      <c r="H471" s="8">
        <v>960676982</v>
      </c>
      <c r="I471" s="9">
        <v>214491</v>
      </c>
      <c r="J471" s="1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s="5" customFormat="1" ht="18.600000000000001" customHeight="1" x14ac:dyDescent="0.3">
      <c r="A472" s="1"/>
      <c r="B472" s="6">
        <f t="shared" si="7"/>
        <v>471</v>
      </c>
      <c r="C472" s="7">
        <v>46183</v>
      </c>
      <c r="D472" s="87" t="s">
        <v>2608</v>
      </c>
      <c r="E472" s="87"/>
      <c r="F472" s="7" t="s">
        <v>95</v>
      </c>
      <c r="G472" s="6" t="s">
        <v>295</v>
      </c>
      <c r="H472" s="8" t="s">
        <v>2590</v>
      </c>
      <c r="I472" s="131">
        <v>500000</v>
      </c>
      <c r="J472" s="1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s="5" customFormat="1" ht="18.600000000000001" customHeight="1" x14ac:dyDescent="0.3">
      <c r="A473" s="1"/>
      <c r="B473" s="6">
        <f t="shared" si="7"/>
        <v>472</v>
      </c>
      <c r="C473" s="7">
        <v>46184</v>
      </c>
      <c r="D473" s="87"/>
      <c r="E473" s="87"/>
      <c r="F473" s="7" t="s">
        <v>419</v>
      </c>
      <c r="G473" s="6"/>
      <c r="H473" s="8">
        <v>961178885</v>
      </c>
      <c r="I473" s="9">
        <v>995000</v>
      </c>
      <c r="J473" s="1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s="5" customFormat="1" ht="18.600000000000001" customHeight="1" x14ac:dyDescent="0.3">
      <c r="A474" s="1"/>
      <c r="B474" s="6">
        <f t="shared" si="7"/>
        <v>473</v>
      </c>
      <c r="C474" s="7">
        <v>46184</v>
      </c>
      <c r="D474" s="87"/>
      <c r="E474" s="87"/>
      <c r="F474" s="7" t="s">
        <v>80</v>
      </c>
      <c r="G474" s="6"/>
      <c r="H474" s="8">
        <v>961174459</v>
      </c>
      <c r="I474" s="9">
        <v>500000</v>
      </c>
      <c r="J474" s="1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s="5" customFormat="1" ht="18.600000000000001" customHeight="1" x14ac:dyDescent="0.3">
      <c r="A475" s="1"/>
      <c r="B475" s="6">
        <f t="shared" si="7"/>
        <v>474</v>
      </c>
      <c r="C475" s="7">
        <v>46184</v>
      </c>
      <c r="D475" s="87"/>
      <c r="E475" s="87"/>
      <c r="F475" s="7" t="s">
        <v>99</v>
      </c>
      <c r="G475" s="6" t="s">
        <v>100</v>
      </c>
      <c r="H475" s="8">
        <v>961174418</v>
      </c>
      <c r="I475" s="9">
        <v>500000</v>
      </c>
      <c r="J475" s="1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s="5" customFormat="1" ht="18.600000000000001" customHeight="1" x14ac:dyDescent="0.3">
      <c r="A476" s="1"/>
      <c r="B476" s="6">
        <f t="shared" si="7"/>
        <v>475</v>
      </c>
      <c r="C476" s="7">
        <v>46184</v>
      </c>
      <c r="D476" s="87"/>
      <c r="E476" s="87"/>
      <c r="F476" s="7" t="s">
        <v>88</v>
      </c>
      <c r="G476" s="6"/>
      <c r="H476" s="8">
        <v>961174069</v>
      </c>
      <c r="I476" s="9">
        <v>50000</v>
      </c>
      <c r="J476" s="1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s="5" customFormat="1" ht="18.600000000000001" customHeight="1" x14ac:dyDescent="0.3">
      <c r="A477" s="1"/>
      <c r="B477" s="6">
        <f t="shared" si="7"/>
        <v>476</v>
      </c>
      <c r="C477" s="7">
        <v>46184</v>
      </c>
      <c r="D477" s="87" t="s">
        <v>234</v>
      </c>
      <c r="E477" s="87" t="s">
        <v>446</v>
      </c>
      <c r="F477" s="7" t="s">
        <v>125</v>
      </c>
      <c r="G477" s="10" t="s">
        <v>126</v>
      </c>
      <c r="H477" s="8">
        <v>961173739</v>
      </c>
      <c r="I477" s="9">
        <v>300000</v>
      </c>
      <c r="J477" s="1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s="5" customFormat="1" ht="18.600000000000001" customHeight="1" x14ac:dyDescent="0.3">
      <c r="A478" s="1"/>
      <c r="B478" s="6">
        <f t="shared" si="7"/>
        <v>477</v>
      </c>
      <c r="C478" s="7">
        <v>46184</v>
      </c>
      <c r="D478" s="87" t="s">
        <v>234</v>
      </c>
      <c r="E478" s="87" t="s">
        <v>546</v>
      </c>
      <c r="F478" s="7" t="s">
        <v>127</v>
      </c>
      <c r="G478" s="10" t="s">
        <v>128</v>
      </c>
      <c r="H478" s="8">
        <v>961173973</v>
      </c>
      <c r="I478" s="9">
        <v>400000</v>
      </c>
      <c r="J478" s="1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s="5" customFormat="1" ht="18.600000000000001" customHeight="1" x14ac:dyDescent="0.3">
      <c r="A479" s="1"/>
      <c r="B479" s="6">
        <f t="shared" si="7"/>
        <v>478</v>
      </c>
      <c r="C479" s="7">
        <v>46184</v>
      </c>
      <c r="D479" s="87"/>
      <c r="E479" s="87"/>
      <c r="F479" s="7" t="s">
        <v>158</v>
      </c>
      <c r="G479" s="6"/>
      <c r="H479" s="8">
        <v>960952497</v>
      </c>
      <c r="I479" s="9">
        <v>50000</v>
      </c>
      <c r="J479" s="1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s="5" customFormat="1" ht="18.600000000000001" customHeight="1" x14ac:dyDescent="0.3">
      <c r="A480" s="1"/>
      <c r="B480" s="6">
        <f t="shared" si="7"/>
        <v>479</v>
      </c>
      <c r="C480" s="7">
        <v>46184</v>
      </c>
      <c r="D480" s="87"/>
      <c r="E480" s="87"/>
      <c r="F480" s="7" t="s">
        <v>407</v>
      </c>
      <c r="G480" s="6"/>
      <c r="H480" s="8">
        <v>960952371</v>
      </c>
      <c r="I480" s="9">
        <v>60000</v>
      </c>
      <c r="J480" s="1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s="5" customFormat="1" ht="18.600000000000001" customHeight="1" x14ac:dyDescent="0.3">
      <c r="A481" s="1"/>
      <c r="B481" s="6">
        <f t="shared" si="7"/>
        <v>480</v>
      </c>
      <c r="C481" s="7">
        <v>46184</v>
      </c>
      <c r="D481" s="87" t="s">
        <v>369</v>
      </c>
      <c r="E481" s="87"/>
      <c r="F481" s="7" t="s">
        <v>420</v>
      </c>
      <c r="G481" s="6"/>
      <c r="H481" s="8" t="s">
        <v>37</v>
      </c>
      <c r="I481" s="9">
        <v>56750</v>
      </c>
      <c r="J481" s="1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s="5" customFormat="1" ht="18.600000000000001" customHeight="1" x14ac:dyDescent="0.3">
      <c r="A482" s="1"/>
      <c r="B482" s="6">
        <f t="shared" si="7"/>
        <v>481</v>
      </c>
      <c r="C482" s="7">
        <v>46184</v>
      </c>
      <c r="D482" s="87" t="s">
        <v>240</v>
      </c>
      <c r="E482" s="87"/>
      <c r="F482" s="7" t="s">
        <v>89</v>
      </c>
      <c r="G482" s="6"/>
      <c r="H482" s="8">
        <v>960950681</v>
      </c>
      <c r="I482" s="9">
        <v>136800</v>
      </c>
      <c r="J482" s="1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s="5" customFormat="1" ht="18.600000000000001" customHeight="1" x14ac:dyDescent="0.3">
      <c r="A483" s="1"/>
      <c r="B483" s="6">
        <f t="shared" si="7"/>
        <v>482</v>
      </c>
      <c r="C483" s="7">
        <v>46185</v>
      </c>
      <c r="D483" s="87"/>
      <c r="E483" s="87"/>
      <c r="F483" s="7" t="s">
        <v>156</v>
      </c>
      <c r="G483" s="6"/>
      <c r="H483" s="8">
        <v>961242589</v>
      </c>
      <c r="I483" s="9">
        <v>190000</v>
      </c>
      <c r="J483" s="10" t="s">
        <v>418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s="5" customFormat="1" ht="18.600000000000001" customHeight="1" x14ac:dyDescent="0.3">
      <c r="A484" s="1"/>
      <c r="B484" s="6">
        <f t="shared" si="7"/>
        <v>483</v>
      </c>
      <c r="C484" s="7">
        <v>46185</v>
      </c>
      <c r="D484" s="87"/>
      <c r="E484" s="87"/>
      <c r="F484" s="7" t="s">
        <v>89</v>
      </c>
      <c r="G484" s="6" t="s">
        <v>90</v>
      </c>
      <c r="H484" s="8">
        <v>961200940</v>
      </c>
      <c r="I484" s="9">
        <v>136800</v>
      </c>
      <c r="J484" s="1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s="5" customFormat="1" ht="18.600000000000001" customHeight="1" x14ac:dyDescent="0.3">
      <c r="A485" s="1"/>
      <c r="B485" s="6">
        <f t="shared" si="7"/>
        <v>484</v>
      </c>
      <c r="C485" s="7">
        <v>46185</v>
      </c>
      <c r="D485" s="87" t="s">
        <v>2608</v>
      </c>
      <c r="E485" s="87"/>
      <c r="F485" s="7" t="s">
        <v>95</v>
      </c>
      <c r="G485" s="6" t="s">
        <v>295</v>
      </c>
      <c r="H485" s="8"/>
      <c r="I485" s="131">
        <v>400000</v>
      </c>
      <c r="J485" s="1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s="5" customFormat="1" ht="18.600000000000001" customHeight="1" x14ac:dyDescent="0.3">
      <c r="A486" s="1"/>
      <c r="B486" s="6">
        <f t="shared" si="7"/>
        <v>485</v>
      </c>
      <c r="C486" s="7">
        <v>46186</v>
      </c>
      <c r="D486" s="87"/>
      <c r="E486" s="87"/>
      <c r="F486" s="7" t="s">
        <v>401</v>
      </c>
      <c r="G486" s="6"/>
      <c r="H486" s="8" t="s">
        <v>413</v>
      </c>
      <c r="I486" s="9">
        <v>30000</v>
      </c>
      <c r="J486" s="1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s="5" customFormat="1" ht="18.600000000000001" customHeight="1" x14ac:dyDescent="0.3">
      <c r="A487" s="1"/>
      <c r="B487" s="6">
        <f t="shared" si="7"/>
        <v>486</v>
      </c>
      <c r="C487" s="7">
        <v>46186</v>
      </c>
      <c r="D487" s="87"/>
      <c r="E487" s="87"/>
      <c r="F487" s="7" t="s">
        <v>88</v>
      </c>
      <c r="G487" s="6"/>
      <c r="H487" s="8">
        <v>961523026</v>
      </c>
      <c r="I487" s="9">
        <v>430097</v>
      </c>
      <c r="J487" s="1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s="5" customFormat="1" ht="18.600000000000001" customHeight="1" x14ac:dyDescent="0.3">
      <c r="A488" s="1"/>
      <c r="B488" s="6">
        <f t="shared" si="7"/>
        <v>487</v>
      </c>
      <c r="C488" s="7">
        <v>46186</v>
      </c>
      <c r="D488" s="87"/>
      <c r="E488" s="87"/>
      <c r="F488" s="7" t="s">
        <v>88</v>
      </c>
      <c r="G488" s="6"/>
      <c r="H488" s="8">
        <v>961522158</v>
      </c>
      <c r="I488" s="9">
        <v>990000</v>
      </c>
      <c r="J488" s="1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s="5" customFormat="1" ht="18.600000000000001" customHeight="1" x14ac:dyDescent="0.3">
      <c r="A489" s="1"/>
      <c r="B489" s="6">
        <f t="shared" si="7"/>
        <v>488</v>
      </c>
      <c r="C489" s="7">
        <v>46186</v>
      </c>
      <c r="D489" s="87"/>
      <c r="E489" s="87"/>
      <c r="F489" s="7" t="s">
        <v>84</v>
      </c>
      <c r="G489" s="6"/>
      <c r="H489" s="8">
        <v>961466342</v>
      </c>
      <c r="I489" s="9">
        <v>200000</v>
      </c>
      <c r="J489" s="1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s="5" customFormat="1" ht="18.600000000000001" customHeight="1" x14ac:dyDescent="0.3">
      <c r="A490" s="1"/>
      <c r="B490" s="6">
        <f t="shared" si="7"/>
        <v>489</v>
      </c>
      <c r="C490" s="7">
        <v>46186</v>
      </c>
      <c r="D490" s="87" t="s">
        <v>240</v>
      </c>
      <c r="E490" s="87"/>
      <c r="F490" s="7" t="s">
        <v>414</v>
      </c>
      <c r="G490" s="6" t="s">
        <v>415</v>
      </c>
      <c r="H490" s="8">
        <v>961446491</v>
      </c>
      <c r="I490" s="9">
        <v>214491</v>
      </c>
      <c r="J490" s="1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s="5" customFormat="1" ht="18.600000000000001" customHeight="1" x14ac:dyDescent="0.3">
      <c r="A491" s="1"/>
      <c r="B491" s="6">
        <f t="shared" si="7"/>
        <v>490</v>
      </c>
      <c r="C491" s="7">
        <v>46186</v>
      </c>
      <c r="D491" s="87" t="s">
        <v>240</v>
      </c>
      <c r="E491" s="87"/>
      <c r="F491" s="7" t="s">
        <v>89</v>
      </c>
      <c r="G491" s="6" t="s">
        <v>90</v>
      </c>
      <c r="H491" s="8">
        <v>961444106</v>
      </c>
      <c r="I491" s="9">
        <v>136800</v>
      </c>
      <c r="J491" s="1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s="5" customFormat="1" ht="18.600000000000001" customHeight="1" x14ac:dyDescent="0.3">
      <c r="A492" s="1"/>
      <c r="B492" s="6">
        <f t="shared" si="7"/>
        <v>491</v>
      </c>
      <c r="C492" s="7">
        <v>46186</v>
      </c>
      <c r="D492" s="87"/>
      <c r="E492" s="87"/>
      <c r="F492" s="7" t="s">
        <v>117</v>
      </c>
      <c r="G492" s="6"/>
      <c r="H492" s="8">
        <v>961441787</v>
      </c>
      <c r="I492" s="9">
        <v>100000</v>
      </c>
      <c r="J492" s="1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s="5" customFormat="1" ht="18.600000000000001" customHeight="1" x14ac:dyDescent="0.3">
      <c r="A493" s="1"/>
      <c r="B493" s="6">
        <f t="shared" si="7"/>
        <v>492</v>
      </c>
      <c r="C493" s="7">
        <v>46186</v>
      </c>
      <c r="D493" s="87"/>
      <c r="E493" s="87"/>
      <c r="F493" s="7" t="s">
        <v>392</v>
      </c>
      <c r="G493" s="6"/>
      <c r="H493" s="8" t="s">
        <v>37</v>
      </c>
      <c r="I493" s="9">
        <v>20000</v>
      </c>
      <c r="J493" s="1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s="5" customFormat="1" ht="18.600000000000001" customHeight="1" x14ac:dyDescent="0.3">
      <c r="A494" s="1"/>
      <c r="B494" s="6">
        <f t="shared" si="7"/>
        <v>493</v>
      </c>
      <c r="C494" s="7">
        <v>46186</v>
      </c>
      <c r="D494" s="87"/>
      <c r="E494" s="87"/>
      <c r="F494" s="7" t="s">
        <v>216</v>
      </c>
      <c r="G494" s="6" t="s">
        <v>416</v>
      </c>
      <c r="H494" s="8" t="s">
        <v>417</v>
      </c>
      <c r="I494" s="9">
        <v>200000</v>
      </c>
      <c r="J494" s="1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s="5" customFormat="1" ht="18.600000000000001" customHeight="1" x14ac:dyDescent="0.3">
      <c r="A495" s="1"/>
      <c r="B495" s="6">
        <f t="shared" si="7"/>
        <v>494</v>
      </c>
      <c r="C495" s="7">
        <v>46187</v>
      </c>
      <c r="D495" s="87"/>
      <c r="E495" s="87"/>
      <c r="F495" s="7" t="s">
        <v>84</v>
      </c>
      <c r="G495" s="6"/>
      <c r="H495" s="8">
        <v>961668097</v>
      </c>
      <c r="I495" s="9">
        <v>200000</v>
      </c>
      <c r="J495" s="1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s="5" customFormat="1" ht="18.600000000000001" customHeight="1" x14ac:dyDescent="0.3">
      <c r="A496" s="1"/>
      <c r="B496" s="6">
        <f t="shared" si="7"/>
        <v>495</v>
      </c>
      <c r="C496" s="7">
        <v>46187</v>
      </c>
      <c r="D496" s="87"/>
      <c r="E496" s="87"/>
      <c r="F496" s="7" t="s">
        <v>392</v>
      </c>
      <c r="G496" s="6"/>
      <c r="H496" s="8" t="s">
        <v>37</v>
      </c>
      <c r="I496" s="9">
        <v>48000</v>
      </c>
      <c r="J496" s="1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s="5" customFormat="1" ht="18.600000000000001" customHeight="1" x14ac:dyDescent="0.3">
      <c r="A497" s="1"/>
      <c r="B497" s="6">
        <f t="shared" si="7"/>
        <v>496</v>
      </c>
      <c r="C497" s="7">
        <v>46187</v>
      </c>
      <c r="D497" s="87"/>
      <c r="E497" s="87"/>
      <c r="F497" s="7" t="s">
        <v>392</v>
      </c>
      <c r="G497" s="6"/>
      <c r="H497" s="8" t="s">
        <v>37</v>
      </c>
      <c r="I497" s="9">
        <v>80000</v>
      </c>
      <c r="J497" s="1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s="5" customFormat="1" ht="18.600000000000001" customHeight="1" x14ac:dyDescent="0.3">
      <c r="A498" s="1"/>
      <c r="B498" s="6">
        <f t="shared" si="7"/>
        <v>497</v>
      </c>
      <c r="C498" s="7">
        <v>46187</v>
      </c>
      <c r="D498" s="87"/>
      <c r="E498" s="87"/>
      <c r="F498" s="7" t="s">
        <v>396</v>
      </c>
      <c r="G498" s="6"/>
      <c r="H498" s="8">
        <v>961644041</v>
      </c>
      <c r="I498" s="9">
        <v>50000</v>
      </c>
      <c r="J498" s="1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s="5" customFormat="1" ht="18.600000000000001" customHeight="1" x14ac:dyDescent="0.3">
      <c r="A499" s="1"/>
      <c r="B499" s="6">
        <f t="shared" si="7"/>
        <v>498</v>
      </c>
      <c r="C499" s="7">
        <v>46187</v>
      </c>
      <c r="D499" s="87"/>
      <c r="E499" s="87"/>
      <c r="F499" s="7" t="s">
        <v>412</v>
      </c>
      <c r="G499" s="6"/>
      <c r="H499" s="8">
        <v>961643982</v>
      </c>
      <c r="I499" s="9">
        <v>50000</v>
      </c>
      <c r="J499" s="1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s="5" customFormat="1" ht="18.600000000000001" customHeight="1" x14ac:dyDescent="0.3">
      <c r="A500" s="1"/>
      <c r="B500" s="6">
        <f t="shared" si="7"/>
        <v>499</v>
      </c>
      <c r="C500" s="7">
        <v>46187</v>
      </c>
      <c r="D500" s="87"/>
      <c r="E500" s="87"/>
      <c r="F500" s="7" t="s">
        <v>50</v>
      </c>
      <c r="G500" s="6"/>
      <c r="H500" s="8">
        <v>961628481</v>
      </c>
      <c r="I500" s="9">
        <v>300000</v>
      </c>
      <c r="J500" s="1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s="5" customFormat="1" ht="18.600000000000001" customHeight="1" x14ac:dyDescent="0.3">
      <c r="A501" s="1"/>
      <c r="B501" s="6">
        <f t="shared" si="7"/>
        <v>500</v>
      </c>
      <c r="C501" s="7">
        <v>46187</v>
      </c>
      <c r="D501" s="87"/>
      <c r="E501" s="87"/>
      <c r="F501" s="7" t="s">
        <v>218</v>
      </c>
      <c r="G501" s="6"/>
      <c r="H501" s="8">
        <v>961628450</v>
      </c>
      <c r="I501" s="9">
        <v>100000</v>
      </c>
      <c r="J501" s="1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s="5" customFormat="1" ht="18.600000000000001" customHeight="1" x14ac:dyDescent="0.3">
      <c r="A502" s="1"/>
      <c r="B502" s="6">
        <f t="shared" si="7"/>
        <v>501</v>
      </c>
      <c r="C502" s="7">
        <v>46189</v>
      </c>
      <c r="D502" s="87" t="s">
        <v>410</v>
      </c>
      <c r="E502" s="87"/>
      <c r="F502" s="7" t="s">
        <v>409</v>
      </c>
      <c r="G502" s="6"/>
      <c r="H502" s="8">
        <v>962125663</v>
      </c>
      <c r="I502" s="9">
        <v>100000</v>
      </c>
      <c r="J502" s="1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s="5" customFormat="1" ht="18.600000000000001" customHeight="1" x14ac:dyDescent="0.3">
      <c r="A503" s="1"/>
      <c r="B503" s="6">
        <f t="shared" si="7"/>
        <v>502</v>
      </c>
      <c r="C503" s="7">
        <v>46189</v>
      </c>
      <c r="D503" s="87" t="s">
        <v>410</v>
      </c>
      <c r="E503" s="87"/>
      <c r="F503" s="7" t="s">
        <v>411</v>
      </c>
      <c r="G503" s="6"/>
      <c r="H503" s="8">
        <v>962125177</v>
      </c>
      <c r="I503" s="9">
        <v>100000</v>
      </c>
      <c r="J503" s="1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s="5" customFormat="1" ht="18.600000000000001" customHeight="1" x14ac:dyDescent="0.3">
      <c r="A504" s="1"/>
      <c r="B504" s="6">
        <f t="shared" si="7"/>
        <v>503</v>
      </c>
      <c r="C504" s="7">
        <v>46189</v>
      </c>
      <c r="D504" s="87"/>
      <c r="E504" s="87"/>
      <c r="F504" s="7" t="s">
        <v>88</v>
      </c>
      <c r="G504" s="6"/>
      <c r="H504" s="8">
        <v>962067517</v>
      </c>
      <c r="I504" s="9">
        <v>575429</v>
      </c>
      <c r="J504" s="1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s="5" customFormat="1" ht="18.600000000000001" customHeight="1" x14ac:dyDescent="0.3">
      <c r="A505" s="1"/>
      <c r="B505" s="6">
        <f t="shared" si="7"/>
        <v>504</v>
      </c>
      <c r="C505" s="7">
        <v>46189</v>
      </c>
      <c r="D505" s="87"/>
      <c r="E505" s="87"/>
      <c r="F505" s="7" t="s">
        <v>99</v>
      </c>
      <c r="G505" s="6" t="s">
        <v>100</v>
      </c>
      <c r="H505" s="8">
        <v>961971010</v>
      </c>
      <c r="I505" s="9">
        <v>500000</v>
      </c>
      <c r="J505" s="1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s="5" customFormat="1" ht="18.600000000000001" customHeight="1" x14ac:dyDescent="0.3">
      <c r="A506" s="1"/>
      <c r="B506" s="6">
        <f t="shared" si="7"/>
        <v>505</v>
      </c>
      <c r="C506" s="7">
        <v>46189</v>
      </c>
      <c r="D506" s="87"/>
      <c r="E506" s="87"/>
      <c r="F506" s="7" t="s">
        <v>89</v>
      </c>
      <c r="G506" s="6" t="s">
        <v>90</v>
      </c>
      <c r="H506" s="8">
        <v>961970922</v>
      </c>
      <c r="I506" s="9">
        <v>136800</v>
      </c>
      <c r="J506" s="1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s="5" customFormat="1" ht="18.600000000000001" customHeight="1" x14ac:dyDescent="0.3">
      <c r="A507" s="1"/>
      <c r="B507" s="6">
        <f t="shared" si="7"/>
        <v>506</v>
      </c>
      <c r="C507" s="7">
        <v>46189</v>
      </c>
      <c r="D507" s="87"/>
      <c r="E507" s="87"/>
      <c r="F507" s="7" t="s">
        <v>117</v>
      </c>
      <c r="G507" s="6"/>
      <c r="H507" s="8">
        <v>961698612</v>
      </c>
      <c r="I507" s="9">
        <v>100000</v>
      </c>
      <c r="J507" s="1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s="5" customFormat="1" ht="18.600000000000001" customHeight="1" x14ac:dyDescent="0.3">
      <c r="A508" s="1"/>
      <c r="B508" s="6">
        <f t="shared" si="7"/>
        <v>507</v>
      </c>
      <c r="C508" s="7">
        <v>46190</v>
      </c>
      <c r="D508" s="87"/>
      <c r="E508" s="87"/>
      <c r="F508" s="7" t="s">
        <v>204</v>
      </c>
      <c r="G508" s="6"/>
      <c r="H508" s="8">
        <v>962308661</v>
      </c>
      <c r="I508" s="9">
        <v>150000</v>
      </c>
      <c r="J508" s="1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s="5" customFormat="1" ht="18.600000000000001" customHeight="1" x14ac:dyDescent="0.3">
      <c r="A509" s="1"/>
      <c r="B509" s="6">
        <f t="shared" si="7"/>
        <v>508</v>
      </c>
      <c r="C509" s="7">
        <v>46190</v>
      </c>
      <c r="D509" s="87"/>
      <c r="E509" s="87"/>
      <c r="F509" s="7" t="s">
        <v>117</v>
      </c>
      <c r="G509" s="6"/>
      <c r="H509" s="8" t="s">
        <v>408</v>
      </c>
      <c r="I509" s="9">
        <v>50000</v>
      </c>
      <c r="J509" s="1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s="5" customFormat="1" ht="18.600000000000001" customHeight="1" x14ac:dyDescent="0.3">
      <c r="A510" s="1"/>
      <c r="B510" s="6">
        <f t="shared" si="7"/>
        <v>509</v>
      </c>
      <c r="C510" s="7">
        <v>46190</v>
      </c>
      <c r="D510" s="87"/>
      <c r="E510" s="87"/>
      <c r="F510" s="7" t="s">
        <v>89</v>
      </c>
      <c r="G510" s="6" t="s">
        <v>90</v>
      </c>
      <c r="H510" s="8">
        <v>962196734</v>
      </c>
      <c r="I510" s="9">
        <v>136800</v>
      </c>
      <c r="J510" s="1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s="5" customFormat="1" ht="18.600000000000001" customHeight="1" x14ac:dyDescent="0.3">
      <c r="A511" s="1"/>
      <c r="B511" s="6">
        <f t="shared" si="7"/>
        <v>510</v>
      </c>
      <c r="C511" s="7">
        <v>46190</v>
      </c>
      <c r="D511" s="87" t="s">
        <v>234</v>
      </c>
      <c r="E511" s="87" t="s">
        <v>446</v>
      </c>
      <c r="F511" s="7" t="s">
        <v>186</v>
      </c>
      <c r="G511" s="10"/>
      <c r="H511" s="8">
        <v>962181019</v>
      </c>
      <c r="I511" s="9">
        <v>200000</v>
      </c>
      <c r="J511" s="1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s="5" customFormat="1" ht="18.600000000000001" customHeight="1" x14ac:dyDescent="0.3">
      <c r="A512" s="1"/>
      <c r="B512" s="6">
        <f t="shared" si="7"/>
        <v>511</v>
      </c>
      <c r="C512" s="7">
        <v>46190</v>
      </c>
      <c r="D512" s="87" t="s">
        <v>2608</v>
      </c>
      <c r="E512" s="87"/>
      <c r="F512" s="7" t="s">
        <v>95</v>
      </c>
      <c r="G512" s="6" t="s">
        <v>295</v>
      </c>
      <c r="H512" s="8"/>
      <c r="I512" s="131">
        <v>800000</v>
      </c>
      <c r="J512" s="1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s="5" customFormat="1" ht="18.600000000000001" customHeight="1" x14ac:dyDescent="0.3">
      <c r="A513" s="1"/>
      <c r="B513" s="6">
        <f t="shared" si="7"/>
        <v>512</v>
      </c>
      <c r="C513" s="7">
        <v>46191</v>
      </c>
      <c r="D513" s="87" t="s">
        <v>341</v>
      </c>
      <c r="E513" s="87"/>
      <c r="F513" s="7" t="s">
        <v>218</v>
      </c>
      <c r="G513" s="6"/>
      <c r="H513" s="8">
        <v>962528383</v>
      </c>
      <c r="I513" s="9">
        <v>200000</v>
      </c>
      <c r="J513" s="1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s="5" customFormat="1" ht="18.600000000000001" customHeight="1" x14ac:dyDescent="0.3">
      <c r="A514" s="1"/>
      <c r="B514" s="6">
        <f t="shared" si="7"/>
        <v>513</v>
      </c>
      <c r="C514" s="7">
        <v>46191</v>
      </c>
      <c r="D514" s="87" t="s">
        <v>341</v>
      </c>
      <c r="E514" s="87"/>
      <c r="F514" s="7" t="s">
        <v>50</v>
      </c>
      <c r="G514" s="6"/>
      <c r="H514" s="8">
        <v>962528579</v>
      </c>
      <c r="I514" s="9">
        <v>300000</v>
      </c>
      <c r="J514" s="1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s="5" customFormat="1" ht="18.600000000000001" customHeight="1" x14ac:dyDescent="0.3">
      <c r="A515" s="1"/>
      <c r="B515" s="6">
        <f t="shared" si="7"/>
        <v>514</v>
      </c>
      <c r="C515" s="7">
        <v>46191</v>
      </c>
      <c r="D515" s="87"/>
      <c r="E515" s="87"/>
      <c r="F515" s="7" t="s">
        <v>105</v>
      </c>
      <c r="G515" s="6"/>
      <c r="H515" s="8">
        <v>962425690</v>
      </c>
      <c r="I515" s="9">
        <v>330000</v>
      </c>
      <c r="J515" s="1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s="5" customFormat="1" ht="18.600000000000001" customHeight="1" x14ac:dyDescent="0.3">
      <c r="A516" s="1"/>
      <c r="B516" s="6">
        <f t="shared" ref="B516:B579" si="8">+B515+1</f>
        <v>515</v>
      </c>
      <c r="C516" s="7">
        <v>46191</v>
      </c>
      <c r="D516" s="87" t="s">
        <v>234</v>
      </c>
      <c r="E516" s="87" t="s">
        <v>2589</v>
      </c>
      <c r="F516" s="7" t="s">
        <v>69</v>
      </c>
      <c r="G516" s="6"/>
      <c r="H516" s="8" t="s">
        <v>2590</v>
      </c>
      <c r="I516" s="9">
        <v>800000</v>
      </c>
      <c r="J516" s="10" t="s">
        <v>435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s="5" customFormat="1" ht="18.600000000000001" customHeight="1" x14ac:dyDescent="0.3">
      <c r="A517" s="1"/>
      <c r="B517" s="6">
        <f t="shared" si="8"/>
        <v>516</v>
      </c>
      <c r="C517" s="7">
        <v>46192</v>
      </c>
      <c r="D517" s="87"/>
      <c r="E517" s="87"/>
      <c r="F517" s="7" t="s">
        <v>407</v>
      </c>
      <c r="G517" s="6"/>
      <c r="H517" s="8">
        <v>962816497</v>
      </c>
      <c r="I517" s="9">
        <v>119000</v>
      </c>
      <c r="J517" s="1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s="5" customFormat="1" ht="18.600000000000001" customHeight="1" x14ac:dyDescent="0.3">
      <c r="A518" s="1"/>
      <c r="B518" s="6">
        <f t="shared" si="8"/>
        <v>517</v>
      </c>
      <c r="C518" s="7">
        <v>46192</v>
      </c>
      <c r="D518" s="87"/>
      <c r="E518" s="87"/>
      <c r="F518" s="7" t="s">
        <v>88</v>
      </c>
      <c r="G518" s="6"/>
      <c r="H518" s="8">
        <v>962769845</v>
      </c>
      <c r="I518" s="9">
        <v>250000</v>
      </c>
      <c r="J518" s="1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s="5" customFormat="1" ht="18.600000000000001" customHeight="1" x14ac:dyDescent="0.3">
      <c r="A519" s="1"/>
      <c r="B519" s="6">
        <f t="shared" si="8"/>
        <v>518</v>
      </c>
      <c r="C519" s="7">
        <v>46192</v>
      </c>
      <c r="D519" s="87" t="s">
        <v>240</v>
      </c>
      <c r="E519" s="87"/>
      <c r="F519" s="7" t="s">
        <v>89</v>
      </c>
      <c r="G519" s="6" t="s">
        <v>90</v>
      </c>
      <c r="H519" s="8">
        <v>962668407</v>
      </c>
      <c r="I519" s="9">
        <v>273600</v>
      </c>
      <c r="J519" s="1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s="5" customFormat="1" ht="18.600000000000001" customHeight="1" x14ac:dyDescent="0.3">
      <c r="A520" s="1"/>
      <c r="B520" s="6">
        <f t="shared" si="8"/>
        <v>519</v>
      </c>
      <c r="C520" s="7">
        <v>46192</v>
      </c>
      <c r="D520" s="87"/>
      <c r="E520" s="87"/>
      <c r="F520" s="7" t="s">
        <v>158</v>
      </c>
      <c r="G520" s="6"/>
      <c r="H520" s="8">
        <v>962614154</v>
      </c>
      <c r="I520" s="9">
        <v>382900</v>
      </c>
      <c r="J520" s="1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s="5" customFormat="1" ht="18.600000000000001" customHeight="1" x14ac:dyDescent="0.3">
      <c r="A521" s="1"/>
      <c r="B521" s="6">
        <f t="shared" si="8"/>
        <v>520</v>
      </c>
      <c r="C521" s="7">
        <v>46192</v>
      </c>
      <c r="D521" s="87" t="s">
        <v>341</v>
      </c>
      <c r="E521" s="87"/>
      <c r="F521" s="7" t="s">
        <v>42</v>
      </c>
      <c r="G521" s="6"/>
      <c r="H521" s="8">
        <v>9626077397</v>
      </c>
      <c r="I521" s="9">
        <v>200000</v>
      </c>
      <c r="J521" s="1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s="5" customFormat="1" ht="18.600000000000001" customHeight="1" x14ac:dyDescent="0.3">
      <c r="A522" s="1"/>
      <c r="B522" s="6">
        <f t="shared" si="8"/>
        <v>521</v>
      </c>
      <c r="C522" s="7">
        <v>46192</v>
      </c>
      <c r="D522" s="87" t="s">
        <v>240</v>
      </c>
      <c r="E522" s="87" t="s">
        <v>1005</v>
      </c>
      <c r="F522" s="7" t="s">
        <v>162</v>
      </c>
      <c r="G522" s="6" t="s">
        <v>163</v>
      </c>
      <c r="H522" s="8" t="s">
        <v>2590</v>
      </c>
      <c r="I522" s="9">
        <v>500000</v>
      </c>
      <c r="J522" s="10" t="s">
        <v>2591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s="5" customFormat="1" ht="18.600000000000001" customHeight="1" x14ac:dyDescent="0.3">
      <c r="A523" s="1"/>
      <c r="B523" s="6">
        <f t="shared" si="8"/>
        <v>522</v>
      </c>
      <c r="C523" s="7">
        <v>46193</v>
      </c>
      <c r="D523" s="87" t="s">
        <v>341</v>
      </c>
      <c r="E523" s="87"/>
      <c r="F523" s="7" t="s">
        <v>84</v>
      </c>
      <c r="G523" s="6" t="s">
        <v>403</v>
      </c>
      <c r="H523" s="8">
        <v>963010431</v>
      </c>
      <c r="I523" s="9">
        <v>200000</v>
      </c>
      <c r="J523" s="1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s="5" customFormat="1" ht="18.600000000000001" customHeight="1" x14ac:dyDescent="0.3">
      <c r="A524" s="1"/>
      <c r="B524" s="6">
        <f t="shared" si="8"/>
        <v>523</v>
      </c>
      <c r="C524" s="7">
        <v>46193</v>
      </c>
      <c r="D524" s="87" t="s">
        <v>234</v>
      </c>
      <c r="E524" s="87" t="s">
        <v>502</v>
      </c>
      <c r="F524" s="7" t="s">
        <v>63</v>
      </c>
      <c r="G524" s="10" t="s">
        <v>404</v>
      </c>
      <c r="H524" s="8">
        <v>963007789</v>
      </c>
      <c r="I524" s="9">
        <v>120000</v>
      </c>
      <c r="J524" s="1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s="5" customFormat="1" ht="18.600000000000001" customHeight="1" x14ac:dyDescent="0.3">
      <c r="A525" s="1"/>
      <c r="B525" s="6">
        <f t="shared" si="8"/>
        <v>524</v>
      </c>
      <c r="C525" s="7">
        <v>46193</v>
      </c>
      <c r="D525" s="87" t="s">
        <v>240</v>
      </c>
      <c r="E525" s="87"/>
      <c r="F525" s="7" t="s">
        <v>99</v>
      </c>
      <c r="G525" s="6" t="s">
        <v>100</v>
      </c>
      <c r="H525" s="8">
        <v>962899010</v>
      </c>
      <c r="I525" s="9">
        <v>800000</v>
      </c>
      <c r="J525" s="1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s="5" customFormat="1" ht="18.600000000000001" customHeight="1" x14ac:dyDescent="0.3">
      <c r="A526" s="1"/>
      <c r="B526" s="6">
        <f t="shared" si="8"/>
        <v>525</v>
      </c>
      <c r="C526" s="7">
        <v>46193</v>
      </c>
      <c r="D526" s="87" t="s">
        <v>240</v>
      </c>
      <c r="E526" s="87"/>
      <c r="F526" s="7" t="s">
        <v>80</v>
      </c>
      <c r="G526" s="6"/>
      <c r="H526" s="8">
        <v>962885980</v>
      </c>
      <c r="I526" s="9">
        <v>400000</v>
      </c>
      <c r="J526" s="1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s="5" customFormat="1" ht="18.600000000000001" customHeight="1" x14ac:dyDescent="0.3">
      <c r="A527" s="1"/>
      <c r="B527" s="6">
        <f t="shared" si="8"/>
        <v>526</v>
      </c>
      <c r="C527" s="7">
        <v>46193</v>
      </c>
      <c r="D527" s="87" t="s">
        <v>240</v>
      </c>
      <c r="E527" s="87"/>
      <c r="F527" s="7" t="s">
        <v>117</v>
      </c>
      <c r="G527" s="6"/>
      <c r="H527" s="8">
        <v>962885864</v>
      </c>
      <c r="I527" s="9">
        <v>100000</v>
      </c>
      <c r="J527" s="1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s="5" customFormat="1" ht="18.600000000000001" customHeight="1" x14ac:dyDescent="0.3">
      <c r="A528" s="1"/>
      <c r="B528" s="6">
        <f t="shared" si="8"/>
        <v>527</v>
      </c>
      <c r="C528" s="7">
        <v>46193</v>
      </c>
      <c r="D528" s="87" t="s">
        <v>405</v>
      </c>
      <c r="E528" s="87"/>
      <c r="F528" s="7" t="s">
        <v>406</v>
      </c>
      <c r="G528" s="6"/>
      <c r="H528" s="8" t="s">
        <v>37</v>
      </c>
      <c r="I528" s="9">
        <v>100000</v>
      </c>
      <c r="J528" s="10" t="s">
        <v>399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s="5" customFormat="1" ht="18.600000000000001" customHeight="1" x14ac:dyDescent="0.3">
      <c r="A529" s="1"/>
      <c r="B529" s="6">
        <f t="shared" si="8"/>
        <v>528</v>
      </c>
      <c r="C529" s="7">
        <v>46194</v>
      </c>
      <c r="D529" s="87" t="s">
        <v>341</v>
      </c>
      <c r="E529" s="87"/>
      <c r="F529" s="7" t="s">
        <v>112</v>
      </c>
      <c r="G529" s="6"/>
      <c r="H529" s="8">
        <v>963069832</v>
      </c>
      <c r="I529" s="9">
        <v>200000</v>
      </c>
      <c r="J529" s="1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s="5" customFormat="1" ht="18.600000000000001" customHeight="1" x14ac:dyDescent="0.3">
      <c r="A530" s="1"/>
      <c r="B530" s="6">
        <f t="shared" si="8"/>
        <v>529</v>
      </c>
      <c r="C530" s="7">
        <v>46194</v>
      </c>
      <c r="D530" s="87" t="s">
        <v>341</v>
      </c>
      <c r="E530" s="87"/>
      <c r="F530" s="7" t="s">
        <v>392</v>
      </c>
      <c r="G530" s="6"/>
      <c r="H530" s="8" t="s">
        <v>394</v>
      </c>
      <c r="I530" s="9">
        <v>100000</v>
      </c>
      <c r="J530" s="1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s="5" customFormat="1" ht="18.600000000000001" customHeight="1" x14ac:dyDescent="0.3">
      <c r="A531" s="1"/>
      <c r="B531" s="6">
        <f t="shared" si="8"/>
        <v>530</v>
      </c>
      <c r="C531" s="7">
        <v>46194</v>
      </c>
      <c r="D531" s="87"/>
      <c r="E531" s="87"/>
      <c r="F531" s="7" t="s">
        <v>395</v>
      </c>
      <c r="G531" s="6"/>
      <c r="H531" s="8">
        <v>963069140</v>
      </c>
      <c r="I531" s="9">
        <v>168800</v>
      </c>
      <c r="J531" s="1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s="5" customFormat="1" ht="18.600000000000001" customHeight="1" x14ac:dyDescent="0.3">
      <c r="A532" s="1"/>
      <c r="B532" s="6">
        <f t="shared" si="8"/>
        <v>531</v>
      </c>
      <c r="C532" s="7">
        <v>46194</v>
      </c>
      <c r="D532" s="87"/>
      <c r="E532" s="87"/>
      <c r="F532" s="7" t="s">
        <v>396</v>
      </c>
      <c r="G532" s="6"/>
      <c r="H532" s="8">
        <v>963051772</v>
      </c>
      <c r="I532" s="9">
        <v>50000</v>
      </c>
      <c r="J532" s="1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s="5" customFormat="1" ht="18.600000000000001" customHeight="1" x14ac:dyDescent="0.3">
      <c r="A533" s="1"/>
      <c r="B533" s="6">
        <f t="shared" si="8"/>
        <v>532</v>
      </c>
      <c r="C533" s="7">
        <v>46194</v>
      </c>
      <c r="D533" s="87" t="s">
        <v>341</v>
      </c>
      <c r="E533" s="87"/>
      <c r="F533" s="7" t="s">
        <v>218</v>
      </c>
      <c r="G533" s="6"/>
      <c r="H533" s="8">
        <v>963050399</v>
      </c>
      <c r="I533" s="9">
        <v>100000</v>
      </c>
      <c r="J533" s="1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s="5" customFormat="1" ht="18.600000000000001" customHeight="1" x14ac:dyDescent="0.3">
      <c r="A534" s="1"/>
      <c r="B534" s="6">
        <f t="shared" si="8"/>
        <v>533</v>
      </c>
      <c r="C534" s="7">
        <v>46194</v>
      </c>
      <c r="D534" s="87" t="s">
        <v>341</v>
      </c>
      <c r="E534" s="87"/>
      <c r="F534" s="7" t="s">
        <v>50</v>
      </c>
      <c r="G534" s="6"/>
      <c r="H534" s="8">
        <v>963050354</v>
      </c>
      <c r="I534" s="9">
        <v>300000</v>
      </c>
      <c r="J534" s="1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s="5" customFormat="1" ht="18.600000000000001" customHeight="1" x14ac:dyDescent="0.3">
      <c r="A535" s="1"/>
      <c r="B535" s="6">
        <f t="shared" si="8"/>
        <v>534</v>
      </c>
      <c r="C535" s="7">
        <v>46194</v>
      </c>
      <c r="D535" s="87" t="s">
        <v>397</v>
      </c>
      <c r="E535" s="87"/>
      <c r="F535" s="7" t="s">
        <v>398</v>
      </c>
      <c r="G535" s="6"/>
      <c r="H535" s="8" t="s">
        <v>37</v>
      </c>
      <c r="I535" s="9">
        <v>20000</v>
      </c>
      <c r="J535" s="10" t="s">
        <v>399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s="5" customFormat="1" ht="18.600000000000001" customHeight="1" x14ac:dyDescent="0.3">
      <c r="A536" s="1"/>
      <c r="B536" s="6">
        <f t="shared" si="8"/>
        <v>535</v>
      </c>
      <c r="C536" s="7">
        <v>46194</v>
      </c>
      <c r="D536" s="87"/>
      <c r="E536" s="87"/>
      <c r="F536" s="7" t="s">
        <v>117</v>
      </c>
      <c r="G536" s="6"/>
      <c r="H536" s="8" t="s">
        <v>400</v>
      </c>
      <c r="I536" s="9">
        <v>100000</v>
      </c>
      <c r="J536" s="1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s="5" customFormat="1" ht="18.600000000000001" customHeight="1" x14ac:dyDescent="0.3">
      <c r="A537" s="1"/>
      <c r="B537" s="6">
        <f t="shared" si="8"/>
        <v>536</v>
      </c>
      <c r="C537" s="7">
        <v>46194</v>
      </c>
      <c r="D537" s="87" t="s">
        <v>341</v>
      </c>
      <c r="E537" s="87"/>
      <c r="F537" s="7" t="s">
        <v>401</v>
      </c>
      <c r="G537" s="6"/>
      <c r="H537" s="8" t="s">
        <v>402</v>
      </c>
      <c r="I537" s="9">
        <v>50000</v>
      </c>
      <c r="J537" s="1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s="5" customFormat="1" ht="18.600000000000001" customHeight="1" x14ac:dyDescent="0.3">
      <c r="A538" s="1"/>
      <c r="B538" s="6">
        <f t="shared" si="8"/>
        <v>537</v>
      </c>
      <c r="C538" s="7">
        <v>46195</v>
      </c>
      <c r="D538" s="87"/>
      <c r="E538" s="87"/>
      <c r="F538" s="7" t="s">
        <v>117</v>
      </c>
      <c r="G538" s="6"/>
      <c r="H538" s="8">
        <v>693103721</v>
      </c>
      <c r="I538" s="9">
        <v>100000</v>
      </c>
      <c r="J538" s="1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s="5" customFormat="1" ht="18.600000000000001" customHeight="1" x14ac:dyDescent="0.3">
      <c r="A539" s="1"/>
      <c r="B539" s="6">
        <f t="shared" si="8"/>
        <v>538</v>
      </c>
      <c r="C539" s="7">
        <v>46197</v>
      </c>
      <c r="D539" s="87" t="s">
        <v>240</v>
      </c>
      <c r="E539" s="87"/>
      <c r="F539" s="7" t="s">
        <v>99</v>
      </c>
      <c r="G539" s="6" t="s">
        <v>100</v>
      </c>
      <c r="H539" s="8">
        <v>963689101</v>
      </c>
      <c r="I539" s="9">
        <v>600000</v>
      </c>
      <c r="J539" s="1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s="5" customFormat="1" ht="18.600000000000001" customHeight="1" x14ac:dyDescent="0.3">
      <c r="A540" s="1"/>
      <c r="B540" s="6">
        <f t="shared" si="8"/>
        <v>539</v>
      </c>
      <c r="C540" s="7">
        <v>46197</v>
      </c>
      <c r="D540" s="87" t="s">
        <v>341</v>
      </c>
      <c r="E540" s="87"/>
      <c r="F540" s="7" t="s">
        <v>392</v>
      </c>
      <c r="G540" s="6"/>
      <c r="H540" s="8" t="s">
        <v>393</v>
      </c>
      <c r="I540" s="9">
        <v>68000</v>
      </c>
      <c r="J540" s="1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s="5" customFormat="1" ht="18.600000000000001" customHeight="1" x14ac:dyDescent="0.3">
      <c r="A541" s="1"/>
      <c r="B541" s="6">
        <f t="shared" si="8"/>
        <v>540</v>
      </c>
      <c r="C541" s="7">
        <v>46197</v>
      </c>
      <c r="D541" s="87" t="s">
        <v>341</v>
      </c>
      <c r="E541" s="87"/>
      <c r="F541" s="7" t="s">
        <v>50</v>
      </c>
      <c r="G541" s="6"/>
      <c r="H541" s="8">
        <v>963511493</v>
      </c>
      <c r="I541" s="9">
        <v>400000</v>
      </c>
      <c r="J541" s="1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s="5" customFormat="1" ht="18.600000000000001" customHeight="1" x14ac:dyDescent="0.3">
      <c r="A542" s="1"/>
      <c r="B542" s="6">
        <f t="shared" si="8"/>
        <v>541</v>
      </c>
      <c r="C542" s="7">
        <v>46197</v>
      </c>
      <c r="D542" s="87" t="s">
        <v>234</v>
      </c>
      <c r="E542" s="87" t="s">
        <v>446</v>
      </c>
      <c r="F542" s="7" t="s">
        <v>125</v>
      </c>
      <c r="G542" s="10" t="s">
        <v>126</v>
      </c>
      <c r="H542" s="8">
        <v>963509680</v>
      </c>
      <c r="I542" s="9">
        <v>300000</v>
      </c>
      <c r="J542" s="1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s="5" customFormat="1" ht="18.600000000000001" customHeight="1" x14ac:dyDescent="0.3">
      <c r="A543" s="1"/>
      <c r="B543" s="6">
        <f t="shared" si="8"/>
        <v>542</v>
      </c>
      <c r="C543" s="7">
        <v>46197</v>
      </c>
      <c r="D543" s="87" t="s">
        <v>234</v>
      </c>
      <c r="E543" s="87" t="s">
        <v>546</v>
      </c>
      <c r="F543" s="7" t="s">
        <v>127</v>
      </c>
      <c r="G543" s="10" t="s">
        <v>128</v>
      </c>
      <c r="H543" s="8">
        <v>963509896</v>
      </c>
      <c r="I543" s="9">
        <v>450000</v>
      </c>
      <c r="J543" s="1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s="5" customFormat="1" ht="18.600000000000001" customHeight="1" x14ac:dyDescent="0.3">
      <c r="A544" s="1"/>
      <c r="B544" s="6">
        <f t="shared" si="8"/>
        <v>543</v>
      </c>
      <c r="C544" s="7">
        <v>46197</v>
      </c>
      <c r="D544" s="87"/>
      <c r="E544" s="87"/>
      <c r="F544" s="7" t="s">
        <v>117</v>
      </c>
      <c r="G544" s="6"/>
      <c r="H544" s="8">
        <v>963506019</v>
      </c>
      <c r="I544" s="9">
        <v>100000</v>
      </c>
      <c r="J544" s="1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s="5" customFormat="1" ht="18.600000000000001" customHeight="1" x14ac:dyDescent="0.3">
      <c r="A545" s="1"/>
      <c r="B545" s="6">
        <f t="shared" si="8"/>
        <v>544</v>
      </c>
      <c r="C545" s="7">
        <v>46198</v>
      </c>
      <c r="D545" s="87" t="s">
        <v>234</v>
      </c>
      <c r="E545" s="87" t="s">
        <v>663</v>
      </c>
      <c r="F545" s="7" t="s">
        <v>94</v>
      </c>
      <c r="G545" s="10"/>
      <c r="H545" s="8">
        <v>963825014</v>
      </c>
      <c r="I545" s="9">
        <v>150000</v>
      </c>
      <c r="J545" s="1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s="5" customFormat="1" ht="18.600000000000001" customHeight="1" x14ac:dyDescent="0.3">
      <c r="A546" s="1"/>
      <c r="B546" s="6">
        <f t="shared" si="8"/>
        <v>545</v>
      </c>
      <c r="C546" s="7">
        <v>46198</v>
      </c>
      <c r="D546" s="87"/>
      <c r="E546" s="87"/>
      <c r="F546" s="7" t="s">
        <v>117</v>
      </c>
      <c r="G546" s="6"/>
      <c r="H546" s="8">
        <v>963698771</v>
      </c>
      <c r="I546" s="9">
        <v>100000</v>
      </c>
      <c r="J546" s="1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s="5" customFormat="1" ht="18.600000000000001" customHeight="1" x14ac:dyDescent="0.3">
      <c r="A547" s="1"/>
      <c r="B547" s="6">
        <f t="shared" si="8"/>
        <v>546</v>
      </c>
      <c r="C547" s="7">
        <v>46199</v>
      </c>
      <c r="D547" s="87"/>
      <c r="E547" s="87"/>
      <c r="F547" s="7" t="s">
        <v>117</v>
      </c>
      <c r="G547" s="6"/>
      <c r="H547" s="8">
        <v>963906585</v>
      </c>
      <c r="I547" s="9">
        <v>100000</v>
      </c>
      <c r="J547" s="1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s="5" customFormat="1" ht="18.600000000000001" customHeight="1" x14ac:dyDescent="0.3">
      <c r="A548" s="1"/>
      <c r="B548" s="6">
        <f t="shared" si="8"/>
        <v>547</v>
      </c>
      <c r="C548" s="7">
        <v>46202</v>
      </c>
      <c r="D548" s="87" t="s">
        <v>341</v>
      </c>
      <c r="E548" s="87"/>
      <c r="F548" s="7" t="s">
        <v>401</v>
      </c>
      <c r="G548" s="6"/>
      <c r="H548" s="8" t="s">
        <v>2389</v>
      </c>
      <c r="I548" s="9">
        <v>40000</v>
      </c>
      <c r="J548" s="1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s="5" customFormat="1" ht="18.600000000000001" customHeight="1" x14ac:dyDescent="0.3">
      <c r="A549" s="1"/>
      <c r="B549" s="6">
        <f t="shared" si="8"/>
        <v>548</v>
      </c>
      <c r="C549" s="7">
        <v>46204</v>
      </c>
      <c r="D549" s="87"/>
      <c r="E549" s="87"/>
      <c r="F549" s="7" t="s">
        <v>425</v>
      </c>
      <c r="G549" s="6"/>
      <c r="H549" s="8" t="s">
        <v>2387</v>
      </c>
      <c r="I549" s="9">
        <v>50000</v>
      </c>
      <c r="J549" s="1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s="5" customFormat="1" ht="18.600000000000001" customHeight="1" x14ac:dyDescent="0.3">
      <c r="A550" s="1"/>
      <c r="B550" s="6">
        <f t="shared" si="8"/>
        <v>549</v>
      </c>
      <c r="C550" s="7">
        <v>46204</v>
      </c>
      <c r="D550" s="87"/>
      <c r="E550" s="87"/>
      <c r="F550" s="7" t="s">
        <v>117</v>
      </c>
      <c r="G550" s="6"/>
      <c r="H550" s="8" t="s">
        <v>2388</v>
      </c>
      <c r="I550" s="9">
        <v>50000</v>
      </c>
      <c r="J550" s="1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s="5" customFormat="1" ht="18.600000000000001" customHeight="1" x14ac:dyDescent="0.3">
      <c r="A551" s="1"/>
      <c r="B551" s="6">
        <f t="shared" si="8"/>
        <v>550</v>
      </c>
      <c r="C551" s="7">
        <v>46204</v>
      </c>
      <c r="D551" s="87"/>
      <c r="E551" s="87"/>
      <c r="F551" s="7" t="s">
        <v>117</v>
      </c>
      <c r="G551" s="6"/>
      <c r="H551" s="8">
        <v>964811533</v>
      </c>
      <c r="I551" s="9">
        <v>60000</v>
      </c>
      <c r="J551" s="1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s="5" customFormat="1" ht="18.600000000000001" customHeight="1" x14ac:dyDescent="0.3">
      <c r="A552" s="1"/>
      <c r="B552" s="6">
        <f t="shared" si="8"/>
        <v>551</v>
      </c>
      <c r="C552" s="7">
        <v>46205</v>
      </c>
      <c r="D552" s="87" t="s">
        <v>341</v>
      </c>
      <c r="E552" s="87"/>
      <c r="F552" s="7" t="s">
        <v>218</v>
      </c>
      <c r="G552" s="6" t="s">
        <v>291</v>
      </c>
      <c r="H552" s="8">
        <v>965121846</v>
      </c>
      <c r="I552" s="9">
        <v>100000</v>
      </c>
      <c r="J552" s="1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s="5" customFormat="1" ht="18.600000000000001" customHeight="1" x14ac:dyDescent="0.3">
      <c r="A553" s="1"/>
      <c r="B553" s="6">
        <f t="shared" si="8"/>
        <v>552</v>
      </c>
      <c r="C553" s="7">
        <v>46205</v>
      </c>
      <c r="D553" s="87" t="s">
        <v>341</v>
      </c>
      <c r="E553" s="87"/>
      <c r="F553" s="7" t="s">
        <v>50</v>
      </c>
      <c r="G553" s="6"/>
      <c r="H553" s="8">
        <v>965120320</v>
      </c>
      <c r="I553" s="9">
        <v>400000</v>
      </c>
      <c r="J553" s="1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s="5" customFormat="1" ht="18.600000000000001" customHeight="1" x14ac:dyDescent="0.3">
      <c r="A554" s="1"/>
      <c r="B554" s="6">
        <f t="shared" si="8"/>
        <v>553</v>
      </c>
      <c r="C554" s="7">
        <v>46205</v>
      </c>
      <c r="D554" s="87" t="s">
        <v>2608</v>
      </c>
      <c r="E554" s="87"/>
      <c r="F554" s="7" t="s">
        <v>95</v>
      </c>
      <c r="G554" s="6" t="s">
        <v>295</v>
      </c>
      <c r="H554" s="8">
        <v>965098611</v>
      </c>
      <c r="I554" s="9">
        <v>600000</v>
      </c>
      <c r="J554" s="1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s="5" customFormat="1" ht="18.600000000000001" customHeight="1" x14ac:dyDescent="0.3">
      <c r="A555" s="1"/>
      <c r="B555" s="6">
        <f t="shared" si="8"/>
        <v>554</v>
      </c>
      <c r="C555" s="7">
        <v>46205</v>
      </c>
      <c r="D555" s="87"/>
      <c r="E555" s="87"/>
      <c r="F555" s="7" t="s">
        <v>2385</v>
      </c>
      <c r="G555" s="6"/>
      <c r="H555" s="8">
        <v>965069859</v>
      </c>
      <c r="I555" s="9">
        <v>20000</v>
      </c>
      <c r="J555" s="1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s="5" customFormat="1" ht="18.600000000000001" customHeight="1" x14ac:dyDescent="0.3">
      <c r="A556" s="1"/>
      <c r="B556" s="6">
        <f t="shared" si="8"/>
        <v>555</v>
      </c>
      <c r="C556" s="7">
        <v>46205</v>
      </c>
      <c r="D556" s="87"/>
      <c r="E556" s="87"/>
      <c r="F556" s="7" t="s">
        <v>89</v>
      </c>
      <c r="G556" s="6" t="s">
        <v>90</v>
      </c>
      <c r="H556" s="8">
        <v>965059095</v>
      </c>
      <c r="I556" s="9">
        <v>144400</v>
      </c>
      <c r="J556" s="1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s="5" customFormat="1" ht="18.600000000000001" customHeight="1" x14ac:dyDescent="0.3">
      <c r="A557" s="1"/>
      <c r="B557" s="6">
        <f t="shared" si="8"/>
        <v>556</v>
      </c>
      <c r="C557" s="7">
        <v>46205</v>
      </c>
      <c r="D557" s="87" t="s">
        <v>234</v>
      </c>
      <c r="E557" s="87"/>
      <c r="F557" s="7" t="s">
        <v>2386</v>
      </c>
      <c r="G557" s="6" t="s">
        <v>1004</v>
      </c>
      <c r="H557" s="8">
        <v>965059052</v>
      </c>
      <c r="I557" s="9">
        <v>500000</v>
      </c>
      <c r="J557" s="1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s="5" customFormat="1" ht="18.600000000000001" customHeight="1" x14ac:dyDescent="0.3">
      <c r="A558" s="1"/>
      <c r="B558" s="6">
        <f t="shared" si="8"/>
        <v>557</v>
      </c>
      <c r="C558" s="7">
        <v>46205</v>
      </c>
      <c r="D558" s="87" t="s">
        <v>240</v>
      </c>
      <c r="E558" s="87"/>
      <c r="F558" s="7" t="s">
        <v>99</v>
      </c>
      <c r="G558" s="6" t="s">
        <v>100</v>
      </c>
      <c r="H558" s="8">
        <v>965059040</v>
      </c>
      <c r="I558" s="9">
        <v>700000</v>
      </c>
      <c r="J558" s="1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s="5" customFormat="1" ht="18.600000000000001" customHeight="1" x14ac:dyDescent="0.3">
      <c r="A559" s="1"/>
      <c r="B559" s="6">
        <f t="shared" si="8"/>
        <v>558</v>
      </c>
      <c r="C559" s="7">
        <v>46205</v>
      </c>
      <c r="D559" s="87" t="s">
        <v>240</v>
      </c>
      <c r="E559" s="87"/>
      <c r="F559" s="7" t="s">
        <v>80</v>
      </c>
      <c r="G559" s="6"/>
      <c r="H559" s="8">
        <v>965058759</v>
      </c>
      <c r="I559" s="9">
        <v>500000</v>
      </c>
      <c r="J559" s="1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s="5" customFormat="1" ht="18.600000000000001" customHeight="1" x14ac:dyDescent="0.3">
      <c r="A560" s="1"/>
      <c r="B560" s="6">
        <f t="shared" si="8"/>
        <v>559</v>
      </c>
      <c r="C560" s="7">
        <v>46206</v>
      </c>
      <c r="D560" s="87" t="s">
        <v>240</v>
      </c>
      <c r="E560" s="87" t="s">
        <v>1005</v>
      </c>
      <c r="F560" s="7" t="s">
        <v>162</v>
      </c>
      <c r="G560" s="6" t="s">
        <v>163</v>
      </c>
      <c r="H560" s="8" t="s">
        <v>2590</v>
      </c>
      <c r="I560" s="9">
        <v>600000</v>
      </c>
      <c r="J560" s="10" t="s">
        <v>2591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s="5" customFormat="1" ht="18.600000000000001" customHeight="1" x14ac:dyDescent="0.3">
      <c r="A561" s="1"/>
      <c r="B561" s="6">
        <f t="shared" si="8"/>
        <v>560</v>
      </c>
      <c r="C561" s="7">
        <v>46212</v>
      </c>
      <c r="D561" s="87" t="s">
        <v>341</v>
      </c>
      <c r="E561" s="87"/>
      <c r="F561" s="7" t="s">
        <v>218</v>
      </c>
      <c r="G561" s="6" t="s">
        <v>2611</v>
      </c>
      <c r="H561" s="8">
        <v>966920045</v>
      </c>
      <c r="I561" s="9">
        <v>150000</v>
      </c>
      <c r="J561" s="1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s="5" customFormat="1" ht="18.600000000000001" customHeight="1" x14ac:dyDescent="0.3">
      <c r="A562" s="1"/>
      <c r="B562" s="6">
        <f t="shared" si="8"/>
        <v>561</v>
      </c>
      <c r="C562" s="7">
        <v>46212</v>
      </c>
      <c r="D562" s="87" t="s">
        <v>341</v>
      </c>
      <c r="E562" s="87"/>
      <c r="F562" s="7" t="s">
        <v>50</v>
      </c>
      <c r="G562" s="6"/>
      <c r="H562" s="8">
        <v>966751202</v>
      </c>
      <c r="I562" s="9">
        <v>50000</v>
      </c>
      <c r="J562" s="1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s="5" customFormat="1" ht="18.600000000000001" customHeight="1" x14ac:dyDescent="0.3">
      <c r="A563" s="1"/>
      <c r="B563" s="6">
        <f t="shared" si="8"/>
        <v>562</v>
      </c>
      <c r="C563" s="7">
        <v>46213</v>
      </c>
      <c r="D563" s="87" t="s">
        <v>341</v>
      </c>
      <c r="E563" s="87"/>
      <c r="F563" s="7" t="s">
        <v>50</v>
      </c>
      <c r="G563" s="6"/>
      <c r="H563" s="8">
        <v>967203650</v>
      </c>
      <c r="I563" s="9">
        <v>100000</v>
      </c>
      <c r="J563" s="1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s="5" customFormat="1" ht="18.600000000000001" customHeight="1" x14ac:dyDescent="0.3">
      <c r="A564" s="1"/>
      <c r="B564" s="6">
        <f t="shared" si="8"/>
        <v>563</v>
      </c>
      <c r="C564" s="7">
        <v>46213</v>
      </c>
      <c r="D564" s="87" t="s">
        <v>341</v>
      </c>
      <c r="E564" s="87"/>
      <c r="F564" s="7" t="s">
        <v>2385</v>
      </c>
      <c r="G564" s="6"/>
      <c r="H564" s="8">
        <v>966969871</v>
      </c>
      <c r="I564" s="9">
        <v>20000</v>
      </c>
      <c r="J564" s="1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s="5" customFormat="1" ht="18.600000000000001" customHeight="1" x14ac:dyDescent="0.3">
      <c r="A565" s="1"/>
      <c r="B565" s="6">
        <f t="shared" si="8"/>
        <v>564</v>
      </c>
      <c r="C565" s="7">
        <v>46213</v>
      </c>
      <c r="D565" s="87"/>
      <c r="E565" s="87"/>
      <c r="F565" s="7" t="s">
        <v>117</v>
      </c>
      <c r="G565" s="6"/>
      <c r="H565" s="8">
        <v>966947175</v>
      </c>
      <c r="I565" s="9">
        <v>100000</v>
      </c>
      <c r="J565" s="1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s="5" customFormat="1" ht="18.600000000000001" customHeight="1" x14ac:dyDescent="0.3">
      <c r="A566" s="1"/>
      <c r="B566" s="6">
        <f t="shared" si="8"/>
        <v>565</v>
      </c>
      <c r="C566" s="7">
        <v>46212</v>
      </c>
      <c r="D566" s="87"/>
      <c r="E566" s="87"/>
      <c r="F566" s="7" t="s">
        <v>117</v>
      </c>
      <c r="G566" s="6"/>
      <c r="H566" s="8" t="s">
        <v>2612</v>
      </c>
      <c r="I566" s="9">
        <v>100000</v>
      </c>
      <c r="J566" s="1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s="5" customFormat="1" ht="18.600000000000001" customHeight="1" x14ac:dyDescent="0.3">
      <c r="A567" s="1"/>
      <c r="B567" s="6">
        <f t="shared" si="8"/>
        <v>566</v>
      </c>
      <c r="C567" s="7">
        <v>46211</v>
      </c>
      <c r="D567" s="87" t="s">
        <v>240</v>
      </c>
      <c r="E567" s="87"/>
      <c r="F567" s="7" t="s">
        <v>99</v>
      </c>
      <c r="G567" s="6" t="s">
        <v>100</v>
      </c>
      <c r="H567" s="8">
        <v>966697150</v>
      </c>
      <c r="I567" s="9">
        <v>500000</v>
      </c>
      <c r="J567" s="1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s="5" customFormat="1" ht="18.600000000000001" customHeight="1" x14ac:dyDescent="0.3">
      <c r="A568" s="1"/>
      <c r="B568" s="6">
        <f t="shared" si="8"/>
        <v>567</v>
      </c>
      <c r="C568" s="7">
        <v>46211</v>
      </c>
      <c r="D568" s="87" t="s">
        <v>240</v>
      </c>
      <c r="E568" s="87"/>
      <c r="F568" s="7" t="s">
        <v>80</v>
      </c>
      <c r="G568" s="6"/>
      <c r="H568" s="8">
        <v>9665143688</v>
      </c>
      <c r="I568" s="9">
        <v>500000</v>
      </c>
      <c r="J568" s="1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s="5" customFormat="1" ht="18.600000000000001" customHeight="1" x14ac:dyDescent="0.3">
      <c r="A569" s="1"/>
      <c r="B569" s="6">
        <f t="shared" si="8"/>
        <v>568</v>
      </c>
      <c r="C569" s="7">
        <v>46211</v>
      </c>
      <c r="D569" s="87"/>
      <c r="E569" s="87"/>
      <c r="F569" s="7" t="s">
        <v>117</v>
      </c>
      <c r="G569" s="6"/>
      <c r="H569" s="8" t="s">
        <v>2613</v>
      </c>
      <c r="I569" s="9">
        <v>100000</v>
      </c>
      <c r="J569" s="1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s="5" customFormat="1" ht="18.600000000000001" customHeight="1" x14ac:dyDescent="0.3">
      <c r="A570" s="1"/>
      <c r="B570" s="6">
        <f t="shared" si="8"/>
        <v>569</v>
      </c>
      <c r="C570" s="7">
        <v>46210</v>
      </c>
      <c r="D570" s="87" t="s">
        <v>410</v>
      </c>
      <c r="E570" s="87"/>
      <c r="F570" s="7" t="s">
        <v>2614</v>
      </c>
      <c r="G570" s="6" t="s">
        <v>2615</v>
      </c>
      <c r="H570" s="8">
        <v>2446836164</v>
      </c>
      <c r="I570" s="9">
        <v>99000</v>
      </c>
      <c r="J570" s="10" t="s">
        <v>2616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s="5" customFormat="1" ht="18.600000000000001" customHeight="1" x14ac:dyDescent="0.3">
      <c r="A571" s="1"/>
      <c r="B571" s="6">
        <f t="shared" si="8"/>
        <v>570</v>
      </c>
      <c r="C571" s="7">
        <v>46210</v>
      </c>
      <c r="D571" s="87" t="s">
        <v>410</v>
      </c>
      <c r="E571" s="87"/>
      <c r="F571" s="7" t="s">
        <v>2617</v>
      </c>
      <c r="G571" s="6" t="s">
        <v>2615</v>
      </c>
      <c r="H571" s="8">
        <v>2446828030</v>
      </c>
      <c r="I571" s="9">
        <v>100000</v>
      </c>
      <c r="J571" s="10" t="s">
        <v>2616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s="5" customFormat="1" ht="18.600000000000001" customHeight="1" x14ac:dyDescent="0.3">
      <c r="A572" s="1"/>
      <c r="B572" s="6">
        <f t="shared" si="8"/>
        <v>571</v>
      </c>
      <c r="C572" s="7">
        <v>46210</v>
      </c>
      <c r="D572" s="87"/>
      <c r="E572" s="87"/>
      <c r="F572" s="7" t="s">
        <v>117</v>
      </c>
      <c r="G572" s="6"/>
      <c r="H572" s="8" t="s">
        <v>2618</v>
      </c>
      <c r="I572" s="9">
        <v>100000</v>
      </c>
      <c r="J572" s="1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s="5" customFormat="1" ht="18.600000000000001" customHeight="1" x14ac:dyDescent="0.3">
      <c r="A573" s="1"/>
      <c r="B573" s="6">
        <f t="shared" si="8"/>
        <v>572</v>
      </c>
      <c r="C573" s="7">
        <v>46208</v>
      </c>
      <c r="D573" s="87" t="s">
        <v>341</v>
      </c>
      <c r="E573" s="87"/>
      <c r="F573" s="7" t="s">
        <v>392</v>
      </c>
      <c r="G573" s="6"/>
      <c r="H573" s="8" t="s">
        <v>2619</v>
      </c>
      <c r="I573" s="9">
        <v>100000</v>
      </c>
      <c r="J573" s="1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s="5" customFormat="1" ht="18.600000000000001" customHeight="1" x14ac:dyDescent="0.3">
      <c r="A574" s="1"/>
      <c r="B574" s="6">
        <f t="shared" si="8"/>
        <v>573</v>
      </c>
      <c r="C574" s="7">
        <v>46208</v>
      </c>
      <c r="D574" s="87" t="s">
        <v>341</v>
      </c>
      <c r="E574" s="87"/>
      <c r="F574" s="7" t="s">
        <v>50</v>
      </c>
      <c r="G574" s="6"/>
      <c r="H574" s="8">
        <v>965796599</v>
      </c>
      <c r="I574" s="9">
        <v>200000</v>
      </c>
      <c r="J574" s="1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s="5" customFormat="1" ht="18.600000000000001" customHeight="1" x14ac:dyDescent="0.3">
      <c r="A575" s="1"/>
      <c r="B575" s="6">
        <f t="shared" si="8"/>
        <v>574</v>
      </c>
      <c r="C575" s="7">
        <v>46208</v>
      </c>
      <c r="D575" s="87" t="s">
        <v>341</v>
      </c>
      <c r="E575" s="87"/>
      <c r="F575" s="7" t="s">
        <v>84</v>
      </c>
      <c r="G575" s="6"/>
      <c r="H575" s="8">
        <v>965785401</v>
      </c>
      <c r="I575" s="9">
        <v>60000</v>
      </c>
      <c r="J575" s="1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s="5" customFormat="1" ht="18.600000000000001" customHeight="1" x14ac:dyDescent="0.3">
      <c r="A576" s="1"/>
      <c r="B576" s="6">
        <f t="shared" si="8"/>
        <v>575</v>
      </c>
      <c r="C576" s="7">
        <v>46208</v>
      </c>
      <c r="D576" s="87" t="s">
        <v>369</v>
      </c>
      <c r="E576" s="87"/>
      <c r="F576" s="7" t="s">
        <v>2620</v>
      </c>
      <c r="G576" s="6" t="s">
        <v>2621</v>
      </c>
      <c r="H576" s="8">
        <v>965784977</v>
      </c>
      <c r="I576" s="9">
        <v>34000</v>
      </c>
      <c r="J576" s="1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s="5" customFormat="1" ht="18.600000000000001" customHeight="1" x14ac:dyDescent="0.3">
      <c r="A577" s="1"/>
      <c r="B577" s="6">
        <f t="shared" si="8"/>
        <v>576</v>
      </c>
      <c r="C577" s="7">
        <v>46208</v>
      </c>
      <c r="D577" s="87" t="s">
        <v>397</v>
      </c>
      <c r="E577" s="87"/>
      <c r="F577" s="7" t="s">
        <v>2622</v>
      </c>
      <c r="G577" s="6"/>
      <c r="H577" s="8" t="s">
        <v>37</v>
      </c>
      <c r="I577" s="9">
        <v>30000</v>
      </c>
      <c r="J577" s="1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s="5" customFormat="1" ht="18.600000000000001" customHeight="1" x14ac:dyDescent="0.3">
      <c r="A578" s="1"/>
      <c r="B578" s="6">
        <f t="shared" si="8"/>
        <v>577</v>
      </c>
      <c r="C578" s="7">
        <v>46208</v>
      </c>
      <c r="D578" s="87" t="s">
        <v>341</v>
      </c>
      <c r="E578" s="87"/>
      <c r="F578" s="7" t="s">
        <v>401</v>
      </c>
      <c r="G578" s="6"/>
      <c r="H578" s="8" t="s">
        <v>2623</v>
      </c>
      <c r="I578" s="9">
        <v>40000</v>
      </c>
      <c r="J578" s="1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s="5" customFormat="1" ht="18.600000000000001" customHeight="1" x14ac:dyDescent="0.3">
      <c r="A579" s="1"/>
      <c r="B579" s="6">
        <f t="shared" si="8"/>
        <v>578</v>
      </c>
      <c r="C579" s="7">
        <v>46202</v>
      </c>
      <c r="D579" s="87"/>
      <c r="E579" s="87"/>
      <c r="F579" s="7" t="s">
        <v>117</v>
      </c>
      <c r="G579" s="6"/>
      <c r="H579" s="8">
        <v>964294991</v>
      </c>
      <c r="I579" s="9">
        <v>50000</v>
      </c>
      <c r="J579" s="1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s="5" customFormat="1" ht="18.600000000000001" customHeight="1" x14ac:dyDescent="0.3">
      <c r="A580" s="1"/>
      <c r="B580" s="6">
        <f t="shared" ref="B580:B615" si="9">+B579+1</f>
        <v>579</v>
      </c>
      <c r="C580" s="7">
        <v>46202</v>
      </c>
      <c r="D580" s="87"/>
      <c r="E580" s="87"/>
      <c r="F580" s="7" t="s">
        <v>117</v>
      </c>
      <c r="G580" s="6"/>
      <c r="H580" s="8" t="s">
        <v>2624</v>
      </c>
      <c r="I580" s="9">
        <v>50000</v>
      </c>
      <c r="J580" s="1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s="5" customFormat="1" ht="18.600000000000001" customHeight="1" x14ac:dyDescent="0.3">
      <c r="A581" s="1"/>
      <c r="B581" s="6">
        <f t="shared" si="9"/>
        <v>580</v>
      </c>
      <c r="C581" s="7">
        <v>46201</v>
      </c>
      <c r="D581" s="87" t="s">
        <v>341</v>
      </c>
      <c r="E581" s="87"/>
      <c r="F581" s="7" t="s">
        <v>392</v>
      </c>
      <c r="G581" s="6"/>
      <c r="H581" s="8" t="s">
        <v>2625</v>
      </c>
      <c r="I581" s="9">
        <v>200000</v>
      </c>
      <c r="J581" s="1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s="5" customFormat="1" ht="18.600000000000001" customHeight="1" x14ac:dyDescent="0.3">
      <c r="A582" s="1"/>
      <c r="B582" s="6">
        <f t="shared" si="9"/>
        <v>581</v>
      </c>
      <c r="C582" s="7">
        <v>46201</v>
      </c>
      <c r="D582" s="87" t="s">
        <v>341</v>
      </c>
      <c r="E582" s="87"/>
      <c r="F582" s="7" t="s">
        <v>218</v>
      </c>
      <c r="G582" s="6"/>
      <c r="H582" s="8">
        <v>964261775</v>
      </c>
      <c r="I582" s="9">
        <v>150000</v>
      </c>
      <c r="J582" s="1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s="5" customFormat="1" ht="18.600000000000001" customHeight="1" x14ac:dyDescent="0.3">
      <c r="A583" s="1"/>
      <c r="B583" s="6">
        <f t="shared" si="9"/>
        <v>582</v>
      </c>
      <c r="C583" s="7">
        <v>46201</v>
      </c>
      <c r="D583" s="87" t="s">
        <v>341</v>
      </c>
      <c r="E583" s="87"/>
      <c r="F583" s="7" t="s">
        <v>84</v>
      </c>
      <c r="G583" s="6"/>
      <c r="H583" s="8">
        <v>964261685</v>
      </c>
      <c r="I583" s="9">
        <v>150000</v>
      </c>
      <c r="J583" s="1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s="5" customFormat="1" ht="18.600000000000001" customHeight="1" x14ac:dyDescent="0.3">
      <c r="A584" s="1"/>
      <c r="B584" s="6">
        <f t="shared" si="9"/>
        <v>583</v>
      </c>
      <c r="C584" s="7">
        <v>46201</v>
      </c>
      <c r="D584" s="87" t="s">
        <v>341</v>
      </c>
      <c r="E584" s="87"/>
      <c r="F584" s="7" t="s">
        <v>401</v>
      </c>
      <c r="G584" s="6"/>
      <c r="H584" s="8" t="s">
        <v>2626</v>
      </c>
      <c r="I584" s="9">
        <v>70000</v>
      </c>
      <c r="J584" s="1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s="5" customFormat="1" ht="18.600000000000001" customHeight="1" x14ac:dyDescent="0.3">
      <c r="A585" s="1"/>
      <c r="B585" s="6">
        <f t="shared" si="9"/>
        <v>584</v>
      </c>
      <c r="C585" s="7">
        <v>46201</v>
      </c>
      <c r="D585" s="87" t="s">
        <v>341</v>
      </c>
      <c r="E585" s="87"/>
      <c r="F585" s="7" t="s">
        <v>50</v>
      </c>
      <c r="G585" s="6"/>
      <c r="H585" s="8">
        <v>964258568</v>
      </c>
      <c r="I585" s="9">
        <v>250000</v>
      </c>
      <c r="J585" s="1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s="5" customFormat="1" ht="18.600000000000001" customHeight="1" x14ac:dyDescent="0.3">
      <c r="A586" s="1"/>
      <c r="B586" s="6">
        <f t="shared" si="9"/>
        <v>585</v>
      </c>
      <c r="C586" s="7">
        <v>46200</v>
      </c>
      <c r="D586" s="87" t="s">
        <v>240</v>
      </c>
      <c r="E586" s="87"/>
      <c r="F586" s="7" t="s">
        <v>99</v>
      </c>
      <c r="G586" s="6" t="s">
        <v>100</v>
      </c>
      <c r="H586" s="8">
        <v>964208065</v>
      </c>
      <c r="I586" s="9">
        <v>400000</v>
      </c>
      <c r="J586" s="1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s="5" customFormat="1" ht="18.600000000000001" customHeight="1" x14ac:dyDescent="0.3">
      <c r="A587" s="1"/>
      <c r="B587" s="6">
        <f t="shared" si="9"/>
        <v>586</v>
      </c>
      <c r="C587" s="7">
        <v>46200</v>
      </c>
      <c r="D587" s="87"/>
      <c r="E587" s="87"/>
      <c r="F587" s="7" t="s">
        <v>117</v>
      </c>
      <c r="G587" s="6"/>
      <c r="H587" s="8">
        <v>964156303</v>
      </c>
      <c r="I587" s="9">
        <v>100000</v>
      </c>
      <c r="J587" s="1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s="5" customFormat="1" ht="18.600000000000001" customHeight="1" x14ac:dyDescent="0.3">
      <c r="A588" s="1"/>
      <c r="B588" s="6">
        <f t="shared" si="9"/>
        <v>587</v>
      </c>
      <c r="C588" s="7">
        <v>46199</v>
      </c>
      <c r="D588" s="87"/>
      <c r="E588" s="87"/>
      <c r="F588" s="7" t="s">
        <v>117</v>
      </c>
      <c r="G588" s="6"/>
      <c r="H588" s="8">
        <v>964014841</v>
      </c>
      <c r="I588" s="9">
        <v>100000</v>
      </c>
      <c r="J588" s="1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s="5" customFormat="1" ht="18.600000000000001" customHeight="1" x14ac:dyDescent="0.3">
      <c r="A589" s="1"/>
      <c r="B589" s="6">
        <f t="shared" si="9"/>
        <v>588</v>
      </c>
      <c r="C589" s="7">
        <v>46199</v>
      </c>
      <c r="D589" s="87" t="s">
        <v>369</v>
      </c>
      <c r="E589" s="87" t="s">
        <v>257</v>
      </c>
      <c r="F589" s="7" t="s">
        <v>2627</v>
      </c>
      <c r="G589" s="6" t="s">
        <v>2628</v>
      </c>
      <c r="H589" s="8">
        <v>963998598</v>
      </c>
      <c r="I589" s="9">
        <v>184990</v>
      </c>
      <c r="J589" s="1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s="5" customFormat="1" ht="18.600000000000001" customHeight="1" x14ac:dyDescent="0.3">
      <c r="A590" s="1"/>
      <c r="B590" s="6">
        <f t="shared" si="9"/>
        <v>589</v>
      </c>
      <c r="C590" s="7">
        <v>46199</v>
      </c>
      <c r="D590" s="87" t="s">
        <v>369</v>
      </c>
      <c r="E590" s="87" t="s">
        <v>2629</v>
      </c>
      <c r="F590" s="7" t="s">
        <v>2620</v>
      </c>
      <c r="G590" s="6"/>
      <c r="H590" s="8">
        <v>963937193</v>
      </c>
      <c r="I590" s="9">
        <v>216000</v>
      </c>
      <c r="J590" s="1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s="5" customFormat="1" ht="18.600000000000001" customHeight="1" x14ac:dyDescent="0.3">
      <c r="A591" s="1"/>
      <c r="B591" s="6">
        <f t="shared" si="9"/>
        <v>590</v>
      </c>
      <c r="C591" s="7">
        <v>46204</v>
      </c>
      <c r="D591" s="87" t="s">
        <v>2631</v>
      </c>
      <c r="E591" s="87"/>
      <c r="F591" s="7" t="s">
        <v>2632</v>
      </c>
      <c r="G591" s="6"/>
      <c r="H591" s="8"/>
      <c r="I591" s="9">
        <v>1180000</v>
      </c>
      <c r="J591" s="10" t="s">
        <v>2633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s="5" customFormat="1" ht="18.600000000000001" customHeight="1" x14ac:dyDescent="0.3">
      <c r="A592" s="1"/>
      <c r="B592" s="6">
        <f t="shared" si="9"/>
        <v>591</v>
      </c>
      <c r="C592" s="7"/>
      <c r="D592" s="87"/>
      <c r="E592" s="87"/>
      <c r="F592" s="7"/>
      <c r="G592" s="6"/>
      <c r="H592" s="8"/>
      <c r="I592" s="9"/>
      <c r="J592" s="1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s="5" customFormat="1" ht="18.600000000000001" customHeight="1" x14ac:dyDescent="0.3">
      <c r="A593" s="1"/>
      <c r="B593" s="6">
        <f t="shared" si="9"/>
        <v>592</v>
      </c>
      <c r="C593" s="7"/>
      <c r="D593" s="87"/>
      <c r="E593" s="87"/>
      <c r="F593" s="7"/>
      <c r="G593" s="6"/>
      <c r="H593" s="8"/>
      <c r="I593" s="9"/>
      <c r="J593" s="1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s="5" customFormat="1" ht="18.600000000000001" customHeight="1" x14ac:dyDescent="0.3">
      <c r="A594" s="1"/>
      <c r="B594" s="6">
        <f t="shared" si="9"/>
        <v>593</v>
      </c>
      <c r="C594" s="7"/>
      <c r="D594" s="87"/>
      <c r="E594" s="87"/>
      <c r="F594" s="7"/>
      <c r="G594" s="6"/>
      <c r="H594" s="8"/>
      <c r="I594" s="9"/>
      <c r="J594" s="1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s="5" customFormat="1" ht="18.600000000000001" customHeight="1" x14ac:dyDescent="0.3">
      <c r="A595" s="1"/>
      <c r="B595" s="6">
        <f t="shared" si="9"/>
        <v>594</v>
      </c>
      <c r="C595" s="7"/>
      <c r="D595" s="87"/>
      <c r="E595" s="87"/>
      <c r="F595" s="7"/>
      <c r="G595" s="6"/>
      <c r="H595" s="8"/>
      <c r="I595" s="9"/>
      <c r="J595" s="1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s="5" customFormat="1" ht="18.600000000000001" customHeight="1" x14ac:dyDescent="0.3">
      <c r="A596" s="1"/>
      <c r="B596" s="6">
        <f t="shared" si="9"/>
        <v>595</v>
      </c>
      <c r="C596" s="7"/>
      <c r="D596" s="87"/>
      <c r="E596" s="87"/>
      <c r="F596" s="7"/>
      <c r="G596" s="6"/>
      <c r="H596" s="8"/>
      <c r="I596" s="9"/>
      <c r="J596" s="1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s="5" customFormat="1" ht="18.600000000000001" customHeight="1" x14ac:dyDescent="0.3">
      <c r="A597" s="1"/>
      <c r="B597" s="6">
        <f t="shared" si="9"/>
        <v>596</v>
      </c>
      <c r="C597" s="7"/>
      <c r="D597" s="87"/>
      <c r="E597" s="87"/>
      <c r="F597" s="7"/>
      <c r="G597" s="6"/>
      <c r="H597" s="8"/>
      <c r="I597" s="9"/>
      <c r="J597" s="1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s="5" customFormat="1" ht="18.600000000000001" customHeight="1" x14ac:dyDescent="0.3">
      <c r="A598" s="1"/>
      <c r="B598" s="6">
        <f t="shared" si="9"/>
        <v>597</v>
      </c>
      <c r="C598" s="7"/>
      <c r="D598" s="87"/>
      <c r="E598" s="87"/>
      <c r="F598" s="7"/>
      <c r="G598" s="6"/>
      <c r="H598" s="8"/>
      <c r="I598" s="9"/>
      <c r="J598" s="1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s="5" customFormat="1" ht="18.600000000000001" customHeight="1" x14ac:dyDescent="0.3">
      <c r="A599" s="1"/>
      <c r="B599" s="6">
        <f t="shared" si="9"/>
        <v>598</v>
      </c>
      <c r="C599" s="7"/>
      <c r="D599" s="87"/>
      <c r="E599" s="87"/>
      <c r="F599" s="7"/>
      <c r="G599" s="6"/>
      <c r="H599" s="8"/>
      <c r="I599" s="9"/>
      <c r="J599" s="1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s="5" customFormat="1" ht="18.600000000000001" customHeight="1" x14ac:dyDescent="0.3">
      <c r="A600" s="1"/>
      <c r="B600" s="6">
        <f t="shared" si="9"/>
        <v>599</v>
      </c>
      <c r="C600" s="7"/>
      <c r="D600" s="87"/>
      <c r="E600" s="87"/>
      <c r="F600" s="7"/>
      <c r="G600" s="6"/>
      <c r="H600" s="8"/>
      <c r="I600" s="9"/>
      <c r="J600" s="1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s="5" customFormat="1" ht="18.600000000000001" customHeight="1" x14ac:dyDescent="0.3">
      <c r="A601" s="1"/>
      <c r="B601" s="6">
        <f t="shared" si="9"/>
        <v>600</v>
      </c>
      <c r="C601" s="7"/>
      <c r="D601" s="87"/>
      <c r="E601" s="87"/>
      <c r="F601" s="7"/>
      <c r="G601" s="6"/>
      <c r="H601" s="8"/>
      <c r="I601" s="9"/>
      <c r="J601" s="1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s="5" customFormat="1" ht="18.600000000000001" customHeight="1" x14ac:dyDescent="0.3">
      <c r="A602" s="1"/>
      <c r="B602" s="6">
        <f t="shared" si="9"/>
        <v>601</v>
      </c>
      <c r="C602" s="7"/>
      <c r="D602" s="87"/>
      <c r="E602" s="87"/>
      <c r="F602" s="7"/>
      <c r="G602" s="6"/>
      <c r="H602" s="8"/>
      <c r="I602" s="9"/>
      <c r="J602" s="1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s="5" customFormat="1" ht="18.600000000000001" customHeight="1" x14ac:dyDescent="0.3">
      <c r="A603" s="1"/>
      <c r="B603" s="6">
        <f t="shared" si="9"/>
        <v>602</v>
      </c>
      <c r="C603" s="7"/>
      <c r="D603" s="87"/>
      <c r="E603" s="87"/>
      <c r="F603" s="7"/>
      <c r="G603" s="6"/>
      <c r="H603" s="8"/>
      <c r="I603" s="9"/>
      <c r="J603" s="1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s="5" customFormat="1" ht="18.600000000000001" customHeight="1" x14ac:dyDescent="0.3">
      <c r="A604" s="1"/>
      <c r="B604" s="6">
        <f t="shared" si="9"/>
        <v>603</v>
      </c>
      <c r="C604" s="7"/>
      <c r="D604" s="87"/>
      <c r="E604" s="87"/>
      <c r="F604" s="7"/>
      <c r="G604" s="6"/>
      <c r="H604" s="8"/>
      <c r="I604" s="9"/>
      <c r="J604" s="1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s="5" customFormat="1" ht="18.600000000000001" customHeight="1" x14ac:dyDescent="0.3">
      <c r="A605" s="1"/>
      <c r="B605" s="6">
        <f t="shared" si="9"/>
        <v>604</v>
      </c>
      <c r="C605" s="7"/>
      <c r="D605" s="87"/>
      <c r="E605" s="87"/>
      <c r="F605" s="7"/>
      <c r="G605" s="6"/>
      <c r="H605" s="8"/>
      <c r="I605" s="9"/>
      <c r="J605" s="1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s="5" customFormat="1" ht="18.600000000000001" customHeight="1" x14ac:dyDescent="0.3">
      <c r="A606" s="1"/>
      <c r="B606" s="6">
        <f t="shared" si="9"/>
        <v>605</v>
      </c>
      <c r="C606" s="7"/>
      <c r="D606" s="87"/>
      <c r="E606" s="87"/>
      <c r="F606" s="7"/>
      <c r="G606" s="6"/>
      <c r="H606" s="8"/>
      <c r="I606" s="9"/>
      <c r="J606" s="1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s="5" customFormat="1" ht="18.600000000000001" customHeight="1" x14ac:dyDescent="0.3">
      <c r="A607" s="1"/>
      <c r="B607" s="6">
        <f t="shared" si="9"/>
        <v>606</v>
      </c>
      <c r="C607" s="7"/>
      <c r="D607" s="87"/>
      <c r="E607" s="87"/>
      <c r="F607" s="7"/>
      <c r="G607" s="6"/>
      <c r="H607" s="8"/>
      <c r="I607" s="9"/>
      <c r="J607" s="1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s="5" customFormat="1" ht="18.600000000000001" customHeight="1" x14ac:dyDescent="0.3">
      <c r="A608" s="1"/>
      <c r="B608" s="6">
        <f t="shared" si="9"/>
        <v>607</v>
      </c>
      <c r="C608" s="7"/>
      <c r="D608" s="87"/>
      <c r="E608" s="87"/>
      <c r="F608" s="7"/>
      <c r="G608" s="6"/>
      <c r="H608" s="8"/>
      <c r="I608" s="9"/>
      <c r="J608" s="1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s="5" customFormat="1" ht="18.600000000000001" customHeight="1" x14ac:dyDescent="0.3">
      <c r="A609" s="1"/>
      <c r="B609" s="6">
        <f t="shared" si="9"/>
        <v>608</v>
      </c>
      <c r="C609" s="7"/>
      <c r="D609" s="87"/>
      <c r="E609" s="87"/>
      <c r="F609" s="7"/>
      <c r="G609" s="6"/>
      <c r="H609" s="8"/>
      <c r="I609" s="9"/>
      <c r="J609" s="1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s="5" customFormat="1" ht="18.600000000000001" customHeight="1" x14ac:dyDescent="0.3">
      <c r="A610" s="1"/>
      <c r="B610" s="6">
        <f t="shared" si="9"/>
        <v>609</v>
      </c>
      <c r="C610" s="7"/>
      <c r="D610" s="87"/>
      <c r="E610" s="87"/>
      <c r="F610" s="7"/>
      <c r="G610" s="6"/>
      <c r="H610" s="8"/>
      <c r="I610" s="9"/>
      <c r="J610" s="1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s="5" customFormat="1" ht="18.600000000000001" customHeight="1" x14ac:dyDescent="0.3">
      <c r="A611" s="1"/>
      <c r="B611" s="6">
        <f t="shared" si="9"/>
        <v>610</v>
      </c>
      <c r="C611" s="7"/>
      <c r="D611" s="87"/>
      <c r="E611" s="87"/>
      <c r="F611" s="7"/>
      <c r="G611" s="6"/>
      <c r="H611" s="8"/>
      <c r="I611" s="9"/>
      <c r="J611" s="1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s="5" customFormat="1" ht="18.600000000000001" customHeight="1" x14ac:dyDescent="0.3">
      <c r="A612" s="1"/>
      <c r="B612" s="6">
        <f t="shared" si="9"/>
        <v>611</v>
      </c>
      <c r="C612" s="7"/>
      <c r="D612" s="87"/>
      <c r="E612" s="87"/>
      <c r="F612" s="7"/>
      <c r="G612" s="6"/>
      <c r="H612" s="8"/>
      <c r="I612" s="9"/>
      <c r="J612" s="1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s="5" customFormat="1" ht="18.600000000000001" customHeight="1" x14ac:dyDescent="0.3">
      <c r="A613" s="1"/>
      <c r="B613" s="6">
        <f t="shared" si="9"/>
        <v>612</v>
      </c>
      <c r="C613" s="7"/>
      <c r="D613" s="87"/>
      <c r="E613" s="87"/>
      <c r="F613" s="7"/>
      <c r="G613" s="6"/>
      <c r="H613" s="8"/>
      <c r="I613" s="9"/>
      <c r="J613" s="1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s="5" customFormat="1" ht="18.600000000000001" customHeight="1" x14ac:dyDescent="0.3">
      <c r="A614" s="1"/>
      <c r="B614" s="6">
        <f t="shared" si="9"/>
        <v>613</v>
      </c>
      <c r="C614" s="7"/>
      <c r="D614" s="87"/>
      <c r="E614" s="87"/>
      <c r="F614" s="7"/>
      <c r="G614" s="6"/>
      <c r="H614" s="8"/>
      <c r="I614" s="9"/>
      <c r="J614" s="1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s="5" customFormat="1" ht="18.600000000000001" customHeight="1" thickBot="1" x14ac:dyDescent="0.35">
      <c r="A615" s="1"/>
      <c r="B615" s="6">
        <f t="shared" si="9"/>
        <v>614</v>
      </c>
      <c r="C615" s="7"/>
      <c r="D615" s="87"/>
      <c r="E615" s="87"/>
      <c r="F615" s="7"/>
      <c r="G615" s="6"/>
      <c r="H615" s="8"/>
      <c r="I615" s="9"/>
      <c r="J615" s="1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s="5" customFormat="1" ht="24" thickBot="1" x14ac:dyDescent="0.35">
      <c r="A616" s="1"/>
      <c r="D616" s="17"/>
      <c r="E616" s="17"/>
      <c r="G616" s="17"/>
      <c r="H616" s="18"/>
      <c r="I616" s="19"/>
      <c r="J616" s="20" t="s">
        <v>130</v>
      </c>
      <c r="K616" s="21">
        <f>SUM(I2:I615)</f>
        <v>107350685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</sheetData>
  <sortState xmlns:xlrd2="http://schemas.microsoft.com/office/spreadsheetml/2017/richdata2" ref="B2:J615">
    <sortCondition ref="C2:C615"/>
  </sortState>
  <mergeCells count="1">
    <mergeCell ref="M2:N2"/>
  </mergeCells>
  <pageMargins left="0" right="0" top="0" bottom="0" header="0" footer="0"/>
  <pageSetup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B6C1-12E9-44EC-A939-3B6FA6448AD8}">
  <sheetPr>
    <pageSetUpPr fitToPage="1"/>
  </sheetPr>
  <dimension ref="A1:AG584"/>
  <sheetViews>
    <sheetView showGridLines="0" zoomScale="104" zoomScaleNormal="104" zoomScaleSheetLayoutView="95" workbookViewId="0">
      <pane ySplit="2" topLeftCell="A480" activePane="bottomLeft" state="frozen"/>
      <selection pane="bottomLeft" activeCell="D498" sqref="D498"/>
    </sheetView>
  </sheetViews>
  <sheetFormatPr defaultColWidth="9" defaultRowHeight="14.4" x14ac:dyDescent="0.3"/>
  <cols>
    <col min="1" max="1" width="1.6640625" style="29" customWidth="1"/>
    <col min="2" max="2" width="6.88671875" style="5" bestFit="1" customWidth="1"/>
    <col min="3" max="3" width="11.44140625" style="5" bestFit="1" customWidth="1"/>
    <col min="4" max="4" width="13.88671875" style="5" bestFit="1" customWidth="1"/>
    <col min="5" max="5" width="15.21875" style="5" bestFit="1" customWidth="1"/>
    <col min="6" max="6" width="16.6640625" style="18" bestFit="1" customWidth="1"/>
    <col min="7" max="7" width="16.6640625" style="5" bestFit="1" customWidth="1"/>
    <col min="8" max="8" width="15" style="5" customWidth="1"/>
    <col min="9" max="9" width="7.109375" style="18" bestFit="1" customWidth="1"/>
    <col min="10" max="10" width="9.109375" style="24" bestFit="1" customWidth="1"/>
    <col min="11" max="11" width="13.33203125" style="5" bestFit="1" customWidth="1"/>
    <col min="12" max="12" width="22.109375" style="5" customWidth="1"/>
    <col min="13" max="13" width="9" style="5"/>
    <col min="14" max="14" width="5" style="5" bestFit="1" customWidth="1"/>
    <col min="15" max="15" width="21.77734375" style="31" bestFit="1" customWidth="1"/>
    <col min="16" max="16" width="10.5546875" style="36" bestFit="1" customWidth="1"/>
    <col min="17" max="17" width="8.88671875" style="29" customWidth="1"/>
    <col min="18" max="16384" width="9" style="29"/>
  </cols>
  <sheetData>
    <row r="1" spans="1:33" x14ac:dyDescent="0.3">
      <c r="B1" s="136" t="s">
        <v>240</v>
      </c>
      <c r="C1" s="136"/>
      <c r="D1" s="136"/>
      <c r="E1" s="136"/>
      <c r="F1" s="137"/>
      <c r="G1" s="136"/>
      <c r="H1" s="136"/>
      <c r="I1" s="137"/>
      <c r="J1" s="138"/>
      <c r="K1" s="139">
        <f>SUBTOTAL(9,K2:K374)</f>
        <v>33280571</v>
      </c>
    </row>
    <row r="2" spans="1:33" s="5" customFormat="1" ht="16.2" thickBot="1" x14ac:dyDescent="0.35">
      <c r="A2" s="29"/>
      <c r="B2" s="41" t="s">
        <v>0</v>
      </c>
      <c r="C2" s="41" t="s">
        <v>1</v>
      </c>
      <c r="D2" s="41" t="s">
        <v>236</v>
      </c>
      <c r="E2" s="41" t="s">
        <v>235</v>
      </c>
      <c r="F2" s="42" t="s">
        <v>245</v>
      </c>
      <c r="G2" s="41" t="s">
        <v>237</v>
      </c>
      <c r="H2" s="41" t="s">
        <v>243</v>
      </c>
      <c r="I2" s="41" t="s">
        <v>238</v>
      </c>
      <c r="J2" s="43" t="s">
        <v>239</v>
      </c>
      <c r="K2" s="41" t="s">
        <v>5</v>
      </c>
      <c r="O2" s="31"/>
      <c r="P2" s="36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s="5" customFormat="1" ht="15" thickBot="1" x14ac:dyDescent="0.35">
      <c r="A3" s="29"/>
      <c r="B3" s="10">
        <v>1</v>
      </c>
      <c r="C3" s="25">
        <v>46049</v>
      </c>
      <c r="D3" s="25" t="s">
        <v>241</v>
      </c>
      <c r="E3" s="25" t="s">
        <v>242</v>
      </c>
      <c r="F3" s="26" t="s">
        <v>248</v>
      </c>
      <c r="G3" s="25" t="s">
        <v>240</v>
      </c>
      <c r="H3" s="10" t="s">
        <v>244</v>
      </c>
      <c r="I3" s="8">
        <v>1100</v>
      </c>
      <c r="J3" s="27">
        <v>76</v>
      </c>
      <c r="K3" s="28">
        <f t="shared" ref="K3:K8" si="0">SUM(J3*I3)</f>
        <v>83600</v>
      </c>
      <c r="N3" s="30" t="s">
        <v>292</v>
      </c>
      <c r="O3" s="32" t="s">
        <v>237</v>
      </c>
      <c r="P3" s="37" t="s">
        <v>238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s="5" customFormat="1" ht="15.6" x14ac:dyDescent="0.3">
      <c r="A4" s="29"/>
      <c r="B4" s="10">
        <f>+B3+1</f>
        <v>2</v>
      </c>
      <c r="C4" s="25">
        <v>46049</v>
      </c>
      <c r="D4" s="25" t="s">
        <v>241</v>
      </c>
      <c r="E4" s="25" t="s">
        <v>242</v>
      </c>
      <c r="F4" s="26" t="s">
        <v>248</v>
      </c>
      <c r="G4" s="25" t="s">
        <v>246</v>
      </c>
      <c r="H4" s="10" t="s">
        <v>247</v>
      </c>
      <c r="I4" s="8">
        <v>32</v>
      </c>
      <c r="J4" s="27">
        <v>400</v>
      </c>
      <c r="K4" s="28">
        <f t="shared" si="0"/>
        <v>12800</v>
      </c>
      <c r="N4" s="11">
        <v>1</v>
      </c>
      <c r="O4" s="33" t="s">
        <v>244</v>
      </c>
      <c r="P4" s="38">
        <f>SUMIF($H:$H,O4,$I:$I)</f>
        <v>271690.68815789477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s="5" customFormat="1" ht="15.6" x14ac:dyDescent="0.3">
      <c r="A5" s="29"/>
      <c r="B5" s="10">
        <f t="shared" ref="B5:B68" si="1">+B4+1</f>
        <v>3</v>
      </c>
      <c r="C5" s="25">
        <v>46049</v>
      </c>
      <c r="D5" s="25" t="s">
        <v>241</v>
      </c>
      <c r="E5" s="25" t="s">
        <v>242</v>
      </c>
      <c r="F5" s="26" t="s">
        <v>249</v>
      </c>
      <c r="G5" s="25" t="s">
        <v>240</v>
      </c>
      <c r="H5" s="23" t="s">
        <v>244</v>
      </c>
      <c r="I5" s="8">
        <v>1100</v>
      </c>
      <c r="J5" s="27">
        <v>76</v>
      </c>
      <c r="K5" s="28">
        <f t="shared" si="0"/>
        <v>83600</v>
      </c>
      <c r="N5" s="13">
        <v>2</v>
      </c>
      <c r="O5" s="34" t="s">
        <v>253</v>
      </c>
      <c r="P5" s="38">
        <f>SUMIF($H:$H,O5,$I:$I)</f>
        <v>106480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s="5" customFormat="1" ht="15.6" x14ac:dyDescent="0.3">
      <c r="A6" s="29"/>
      <c r="B6" s="10">
        <f t="shared" si="1"/>
        <v>4</v>
      </c>
      <c r="C6" s="25">
        <v>46049</v>
      </c>
      <c r="D6" s="25" t="s">
        <v>241</v>
      </c>
      <c r="E6" s="25" t="s">
        <v>242</v>
      </c>
      <c r="F6" s="26" t="s">
        <v>249</v>
      </c>
      <c r="G6" s="25" t="s">
        <v>246</v>
      </c>
      <c r="H6" s="10" t="s">
        <v>247</v>
      </c>
      <c r="I6" s="8">
        <v>32</v>
      </c>
      <c r="J6" s="27">
        <v>400</v>
      </c>
      <c r="K6" s="28">
        <f t="shared" si="0"/>
        <v>12800</v>
      </c>
      <c r="N6" s="13">
        <v>3</v>
      </c>
      <c r="O6" s="34" t="s">
        <v>246</v>
      </c>
      <c r="P6" s="38">
        <f>SUMIF($G:$G,O6,$I:$I)</f>
        <v>9301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 s="5" customFormat="1" ht="15.6" x14ac:dyDescent="0.3">
      <c r="A7" s="29"/>
      <c r="B7" s="10">
        <f t="shared" si="1"/>
        <v>5</v>
      </c>
      <c r="C7" s="25">
        <v>46050</v>
      </c>
      <c r="D7" s="25" t="s">
        <v>241</v>
      </c>
      <c r="E7" s="25" t="s">
        <v>242</v>
      </c>
      <c r="F7" s="26" t="s">
        <v>2597</v>
      </c>
      <c r="G7" s="25" t="s">
        <v>240</v>
      </c>
      <c r="H7" s="10" t="s">
        <v>244</v>
      </c>
      <c r="I7" s="8">
        <v>1100</v>
      </c>
      <c r="J7" s="27">
        <v>76</v>
      </c>
      <c r="K7" s="28">
        <f t="shared" si="0"/>
        <v>83600</v>
      </c>
      <c r="N7" s="13">
        <v>4</v>
      </c>
      <c r="O7" s="34" t="s">
        <v>344</v>
      </c>
      <c r="P7" s="38">
        <f>SUMIF($G:$G,O7,$I:$I)</f>
        <v>1920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s="5" customFormat="1" ht="15.6" x14ac:dyDescent="0.3">
      <c r="A8" s="29"/>
      <c r="B8" s="10">
        <f t="shared" si="1"/>
        <v>6</v>
      </c>
      <c r="C8" s="25">
        <v>46050</v>
      </c>
      <c r="D8" s="25" t="s">
        <v>241</v>
      </c>
      <c r="E8" s="25" t="s">
        <v>242</v>
      </c>
      <c r="F8" s="26" t="s">
        <v>2597</v>
      </c>
      <c r="G8" s="25" t="s">
        <v>246</v>
      </c>
      <c r="H8" s="10" t="s">
        <v>247</v>
      </c>
      <c r="I8" s="8">
        <v>32</v>
      </c>
      <c r="J8" s="27">
        <v>400</v>
      </c>
      <c r="K8" s="28">
        <f t="shared" si="0"/>
        <v>12800</v>
      </c>
      <c r="N8" s="13">
        <v>5</v>
      </c>
      <c r="O8" s="34" t="s">
        <v>358</v>
      </c>
      <c r="P8" s="38">
        <f>SUMIF($H:$H,O8,$I:$I)</f>
        <v>2900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s="5" customFormat="1" ht="15.6" x14ac:dyDescent="0.3">
      <c r="A9" s="29"/>
      <c r="B9" s="10">
        <f t="shared" si="1"/>
        <v>7</v>
      </c>
      <c r="C9" s="25">
        <v>46053</v>
      </c>
      <c r="D9" s="25" t="s">
        <v>2383</v>
      </c>
      <c r="E9" s="25" t="s">
        <v>987</v>
      </c>
      <c r="F9" s="26">
        <v>1542</v>
      </c>
      <c r="G9" s="25" t="s">
        <v>240</v>
      </c>
      <c r="H9" s="10" t="s">
        <v>244</v>
      </c>
      <c r="I9" s="8">
        <v>2000</v>
      </c>
      <c r="J9" s="27">
        <v>76</v>
      </c>
      <c r="K9" s="28">
        <f>J9*I9</f>
        <v>152000</v>
      </c>
      <c r="N9" s="13">
        <v>6</v>
      </c>
      <c r="O9" s="34"/>
      <c r="P9" s="3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s="5" customFormat="1" ht="15.6" x14ac:dyDescent="0.3">
      <c r="A10" s="29"/>
      <c r="B10" s="10">
        <f t="shared" si="1"/>
        <v>8</v>
      </c>
      <c r="C10" s="25">
        <v>46053</v>
      </c>
      <c r="D10" s="25" t="s">
        <v>2383</v>
      </c>
      <c r="E10" s="25" t="s">
        <v>300</v>
      </c>
      <c r="F10" s="26">
        <v>1541</v>
      </c>
      <c r="G10" s="25" t="s">
        <v>240</v>
      </c>
      <c r="H10" s="10" t="s">
        <v>244</v>
      </c>
      <c r="I10" s="8">
        <v>2000</v>
      </c>
      <c r="J10" s="27">
        <v>76</v>
      </c>
      <c r="K10" s="28">
        <f>J10*I10</f>
        <v>152000</v>
      </c>
      <c r="N10" s="13">
        <v>7</v>
      </c>
      <c r="O10" s="34"/>
      <c r="P10" s="3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s="5" customFormat="1" ht="15.6" x14ac:dyDescent="0.3">
      <c r="A11" s="29"/>
      <c r="B11" s="10">
        <f t="shared" si="1"/>
        <v>9</v>
      </c>
      <c r="C11" s="25">
        <v>46075</v>
      </c>
      <c r="D11" s="25" t="s">
        <v>342</v>
      </c>
      <c r="E11" s="25" t="s">
        <v>300</v>
      </c>
      <c r="F11" s="26"/>
      <c r="G11" s="25" t="s">
        <v>344</v>
      </c>
      <c r="H11" s="10" t="s">
        <v>343</v>
      </c>
      <c r="I11" s="8">
        <v>640</v>
      </c>
      <c r="J11" s="27">
        <v>260</v>
      </c>
      <c r="K11" s="28">
        <f>I11*J11</f>
        <v>166400</v>
      </c>
      <c r="N11" s="13">
        <v>8</v>
      </c>
      <c r="O11" s="34"/>
      <c r="P11" s="3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s="5" customFormat="1" ht="15.6" x14ac:dyDescent="0.3">
      <c r="A12" s="29"/>
      <c r="B12" s="10">
        <f t="shared" si="1"/>
        <v>10</v>
      </c>
      <c r="C12" s="25">
        <v>46077</v>
      </c>
      <c r="D12" s="25" t="s">
        <v>2383</v>
      </c>
      <c r="E12" s="25" t="s">
        <v>300</v>
      </c>
      <c r="F12" s="26">
        <v>1634</v>
      </c>
      <c r="G12" s="25" t="s">
        <v>240</v>
      </c>
      <c r="H12" s="10" t="s">
        <v>244</v>
      </c>
      <c r="I12" s="8">
        <v>1800</v>
      </c>
      <c r="J12" s="27">
        <v>76</v>
      </c>
      <c r="K12" s="28">
        <v>136800</v>
      </c>
      <c r="N12" s="13">
        <v>9</v>
      </c>
      <c r="O12" s="34"/>
      <c r="P12" s="3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s="5" customFormat="1" ht="15.6" x14ac:dyDescent="0.3">
      <c r="A13" s="29"/>
      <c r="B13" s="10">
        <f t="shared" si="1"/>
        <v>11</v>
      </c>
      <c r="C13" s="25">
        <v>46079</v>
      </c>
      <c r="D13" s="25" t="s">
        <v>342</v>
      </c>
      <c r="E13" s="25" t="s">
        <v>300</v>
      </c>
      <c r="F13" s="26"/>
      <c r="G13" s="25" t="s">
        <v>246</v>
      </c>
      <c r="H13" s="10" t="s">
        <v>247</v>
      </c>
      <c r="I13" s="8">
        <v>275</v>
      </c>
      <c r="J13" s="27">
        <v>295</v>
      </c>
      <c r="K13" s="28">
        <f>I13*J13</f>
        <v>81125</v>
      </c>
      <c r="N13" s="13">
        <v>10</v>
      </c>
      <c r="O13" s="34"/>
      <c r="P13" s="3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s="5" customFormat="1" ht="15.6" x14ac:dyDescent="0.3">
      <c r="A14" s="29"/>
      <c r="B14" s="10">
        <f t="shared" si="1"/>
        <v>12</v>
      </c>
      <c r="C14" s="25">
        <v>46079</v>
      </c>
      <c r="D14" s="25" t="s">
        <v>342</v>
      </c>
      <c r="E14" s="25" t="s">
        <v>300</v>
      </c>
      <c r="F14" s="26"/>
      <c r="G14" s="25" t="s">
        <v>246</v>
      </c>
      <c r="H14" s="10" t="s">
        <v>247</v>
      </c>
      <c r="I14" s="8">
        <v>275</v>
      </c>
      <c r="J14" s="27">
        <v>295</v>
      </c>
      <c r="K14" s="28">
        <f>I14*J14</f>
        <v>81125</v>
      </c>
      <c r="N14" s="13">
        <v>11</v>
      </c>
      <c r="O14" s="34"/>
      <c r="P14" s="3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 s="5" customFormat="1" ht="15.6" x14ac:dyDescent="0.3">
      <c r="A15" s="29"/>
      <c r="B15" s="10">
        <f t="shared" si="1"/>
        <v>13</v>
      </c>
      <c r="C15" s="45">
        <v>46079</v>
      </c>
      <c r="D15" s="45" t="s">
        <v>342</v>
      </c>
      <c r="E15" s="45" t="s">
        <v>345</v>
      </c>
      <c r="F15" s="46"/>
      <c r="G15" s="45" t="s">
        <v>344</v>
      </c>
      <c r="H15" s="44" t="s">
        <v>343</v>
      </c>
      <c r="I15" s="47">
        <v>640</v>
      </c>
      <c r="J15" s="48">
        <v>260</v>
      </c>
      <c r="K15" s="49">
        <f>I15*J15</f>
        <v>166400</v>
      </c>
      <c r="N15" s="13">
        <v>12</v>
      </c>
      <c r="O15" s="34"/>
      <c r="P15" s="3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s="5" customFormat="1" ht="15.6" x14ac:dyDescent="0.3">
      <c r="A16" s="29"/>
      <c r="B16" s="10">
        <f t="shared" si="1"/>
        <v>14</v>
      </c>
      <c r="C16" s="25">
        <v>46079</v>
      </c>
      <c r="D16" s="25" t="s">
        <v>2383</v>
      </c>
      <c r="E16" s="25" t="s">
        <v>300</v>
      </c>
      <c r="F16" s="26">
        <v>1653</v>
      </c>
      <c r="G16" s="25" t="s">
        <v>240</v>
      </c>
      <c r="H16" s="10" t="s">
        <v>244</v>
      </c>
      <c r="I16" s="8">
        <v>1800</v>
      </c>
      <c r="J16" s="27">
        <v>76</v>
      </c>
      <c r="K16" s="28">
        <f>J16*I16</f>
        <v>136800</v>
      </c>
      <c r="N16" s="13">
        <v>13</v>
      </c>
      <c r="O16" s="34"/>
      <c r="P16" s="3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s="5" customFormat="1" ht="18" x14ac:dyDescent="0.35">
      <c r="A17" s="29"/>
      <c r="B17" s="10">
        <f t="shared" si="1"/>
        <v>15</v>
      </c>
      <c r="C17" s="25">
        <v>46080</v>
      </c>
      <c r="D17" s="25" t="s">
        <v>241</v>
      </c>
      <c r="E17" s="25" t="s">
        <v>261</v>
      </c>
      <c r="F17" s="26" t="s">
        <v>2598</v>
      </c>
      <c r="G17" s="25" t="s">
        <v>240</v>
      </c>
      <c r="H17" s="10" t="s">
        <v>244</v>
      </c>
      <c r="I17" s="8">
        <v>900</v>
      </c>
      <c r="J17" s="27">
        <v>64</v>
      </c>
      <c r="K17" s="28">
        <f>SUM(J17*I17)</f>
        <v>57600</v>
      </c>
      <c r="N17" s="13">
        <v>14</v>
      </c>
      <c r="O17" s="35"/>
      <c r="P17" s="40" t="s">
        <v>291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s="5" customFormat="1" x14ac:dyDescent="0.3">
      <c r="A18" s="29"/>
      <c r="B18" s="10">
        <f t="shared" si="1"/>
        <v>16</v>
      </c>
      <c r="C18" s="25">
        <v>46083</v>
      </c>
      <c r="D18" s="25" t="s">
        <v>241</v>
      </c>
      <c r="E18" s="25" t="s">
        <v>257</v>
      </c>
      <c r="F18" s="26" t="s">
        <v>2598</v>
      </c>
      <c r="G18" s="25" t="s">
        <v>240</v>
      </c>
      <c r="H18" s="10" t="s">
        <v>244</v>
      </c>
      <c r="I18" s="8">
        <v>900</v>
      </c>
      <c r="J18" s="27">
        <v>64</v>
      </c>
      <c r="K18" s="28">
        <f>SUM(J18*I18)</f>
        <v>57600</v>
      </c>
      <c r="O18" s="31"/>
      <c r="P18" s="36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s="5" customFormat="1" x14ac:dyDescent="0.3">
      <c r="A19" s="29"/>
      <c r="B19" s="10">
        <f t="shared" si="1"/>
        <v>17</v>
      </c>
      <c r="C19" s="25">
        <v>46086</v>
      </c>
      <c r="D19" s="25" t="s">
        <v>342</v>
      </c>
      <c r="E19" s="25" t="s">
        <v>300</v>
      </c>
      <c r="F19" s="26" t="s">
        <v>346</v>
      </c>
      <c r="G19" s="25" t="s">
        <v>347</v>
      </c>
      <c r="H19" s="10" t="s">
        <v>348</v>
      </c>
      <c r="I19" s="8">
        <v>20000</v>
      </c>
      <c r="J19" s="27">
        <f>K19/I19</f>
        <v>55.546500000000002</v>
      </c>
      <c r="K19" s="28">
        <v>1110930</v>
      </c>
      <c r="O19" s="31"/>
      <c r="P19" s="36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s="5" customFormat="1" x14ac:dyDescent="0.3">
      <c r="A20" s="29"/>
      <c r="B20" s="10">
        <f t="shared" si="1"/>
        <v>18</v>
      </c>
      <c r="C20" s="25">
        <v>46088</v>
      </c>
      <c r="D20" s="25" t="s">
        <v>342</v>
      </c>
      <c r="E20" s="25" t="s">
        <v>350</v>
      </c>
      <c r="F20" s="26" t="s">
        <v>349</v>
      </c>
      <c r="G20" s="25" t="s">
        <v>347</v>
      </c>
      <c r="H20" s="10" t="s">
        <v>348</v>
      </c>
      <c r="I20" s="8">
        <v>20000</v>
      </c>
      <c r="J20" s="27">
        <f>K20/I20</f>
        <v>55.894500000000001</v>
      </c>
      <c r="K20" s="28">
        <v>1117890</v>
      </c>
      <c r="O20" s="31"/>
      <c r="P20" s="36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s="5" customFormat="1" x14ac:dyDescent="0.3">
      <c r="A21" s="29"/>
      <c r="B21" s="10">
        <f t="shared" si="1"/>
        <v>19</v>
      </c>
      <c r="C21" s="25">
        <v>46089</v>
      </c>
      <c r="D21" s="25" t="s">
        <v>302</v>
      </c>
      <c r="E21" s="25" t="s">
        <v>303</v>
      </c>
      <c r="F21" s="26" t="s">
        <v>304</v>
      </c>
      <c r="G21" s="25" t="s">
        <v>240</v>
      </c>
      <c r="H21" s="10" t="s">
        <v>244</v>
      </c>
      <c r="I21" s="8">
        <f t="shared" ref="I21:I27" si="2">SUM(K21/J21)</f>
        <v>1200.1052631578948</v>
      </c>
      <c r="J21" s="27">
        <v>76</v>
      </c>
      <c r="K21" s="28">
        <v>91208</v>
      </c>
      <c r="O21" s="31"/>
      <c r="P21" s="36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s="5" customFormat="1" x14ac:dyDescent="0.3">
      <c r="A22" s="29"/>
      <c r="B22" s="10">
        <f t="shared" si="1"/>
        <v>20</v>
      </c>
      <c r="C22" s="25">
        <v>46089</v>
      </c>
      <c r="D22" s="25" t="s">
        <v>302</v>
      </c>
      <c r="E22" s="25" t="s">
        <v>303</v>
      </c>
      <c r="F22" s="26" t="s">
        <v>305</v>
      </c>
      <c r="G22" s="25" t="s">
        <v>240</v>
      </c>
      <c r="H22" s="10" t="s">
        <v>244</v>
      </c>
      <c r="I22" s="8">
        <f t="shared" si="2"/>
        <v>1200.1052631578948</v>
      </c>
      <c r="J22" s="27">
        <v>76</v>
      </c>
      <c r="K22" s="28">
        <v>91208</v>
      </c>
      <c r="O22" s="31"/>
      <c r="P22" s="36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s="5" customFormat="1" x14ac:dyDescent="0.3">
      <c r="A23" s="29"/>
      <c r="B23" s="10">
        <f t="shared" si="1"/>
        <v>21</v>
      </c>
      <c r="C23" s="25">
        <v>46089</v>
      </c>
      <c r="D23" s="25" t="s">
        <v>302</v>
      </c>
      <c r="E23" s="25" t="s">
        <v>300</v>
      </c>
      <c r="F23" s="26" t="s">
        <v>306</v>
      </c>
      <c r="G23" s="25" t="s">
        <v>240</v>
      </c>
      <c r="H23" s="10" t="s">
        <v>244</v>
      </c>
      <c r="I23" s="8">
        <f t="shared" si="2"/>
        <v>1000.078947368421</v>
      </c>
      <c r="J23" s="27">
        <v>76</v>
      </c>
      <c r="K23" s="28">
        <v>76006</v>
      </c>
      <c r="O23" s="31"/>
      <c r="P23" s="36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s="5" customFormat="1" x14ac:dyDescent="0.3">
      <c r="A24" s="29"/>
      <c r="B24" s="10">
        <f t="shared" si="1"/>
        <v>22</v>
      </c>
      <c r="C24" s="25">
        <v>46089</v>
      </c>
      <c r="D24" s="25" t="s">
        <v>302</v>
      </c>
      <c r="E24" s="25" t="s">
        <v>300</v>
      </c>
      <c r="F24" s="26" t="s">
        <v>307</v>
      </c>
      <c r="G24" s="25" t="s">
        <v>240</v>
      </c>
      <c r="H24" s="10" t="s">
        <v>244</v>
      </c>
      <c r="I24" s="8">
        <f t="shared" si="2"/>
        <v>1000.078947368421</v>
      </c>
      <c r="J24" s="27">
        <v>76</v>
      </c>
      <c r="K24" s="28">
        <v>76006</v>
      </c>
      <c r="O24" s="31"/>
      <c r="P24" s="36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s="5" customFormat="1" x14ac:dyDescent="0.3">
      <c r="A25" s="29"/>
      <c r="B25" s="10">
        <f t="shared" si="1"/>
        <v>23</v>
      </c>
      <c r="C25" s="25">
        <v>46090</v>
      </c>
      <c r="D25" s="25" t="s">
        <v>302</v>
      </c>
      <c r="E25" s="25" t="s">
        <v>303</v>
      </c>
      <c r="F25" s="26" t="s">
        <v>308</v>
      </c>
      <c r="G25" s="25" t="s">
        <v>240</v>
      </c>
      <c r="H25" s="10" t="s">
        <v>244</v>
      </c>
      <c r="I25" s="8">
        <f t="shared" si="2"/>
        <v>400.03947368421052</v>
      </c>
      <c r="J25" s="27">
        <v>76</v>
      </c>
      <c r="K25" s="28">
        <v>30403</v>
      </c>
      <c r="O25" s="31"/>
      <c r="P25" s="36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s="5" customFormat="1" x14ac:dyDescent="0.3">
      <c r="A26" s="29"/>
      <c r="B26" s="10">
        <f t="shared" si="1"/>
        <v>24</v>
      </c>
      <c r="C26" s="25">
        <v>46090</v>
      </c>
      <c r="D26" s="25" t="s">
        <v>302</v>
      </c>
      <c r="E26" s="25" t="s">
        <v>303</v>
      </c>
      <c r="F26" s="26" t="s">
        <v>309</v>
      </c>
      <c r="G26" s="25" t="s">
        <v>240</v>
      </c>
      <c r="H26" s="10" t="s">
        <v>244</v>
      </c>
      <c r="I26" s="8">
        <f t="shared" si="2"/>
        <v>800.06578947368416</v>
      </c>
      <c r="J26" s="27">
        <v>76</v>
      </c>
      <c r="K26" s="28">
        <v>60805</v>
      </c>
      <c r="O26" s="31"/>
      <c r="P26" s="36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s="5" customFormat="1" x14ac:dyDescent="0.3">
      <c r="A27" s="29"/>
      <c r="B27" s="10">
        <f t="shared" si="1"/>
        <v>25</v>
      </c>
      <c r="C27" s="25">
        <v>46096</v>
      </c>
      <c r="D27" s="25" t="s">
        <v>302</v>
      </c>
      <c r="E27" s="25" t="s">
        <v>303</v>
      </c>
      <c r="F27" s="26" t="s">
        <v>310</v>
      </c>
      <c r="G27" s="25" t="s">
        <v>240</v>
      </c>
      <c r="H27" s="10" t="s">
        <v>244</v>
      </c>
      <c r="I27" s="8">
        <f t="shared" si="2"/>
        <v>400.03947368421052</v>
      </c>
      <c r="J27" s="27">
        <v>76</v>
      </c>
      <c r="K27" s="28">
        <v>30403</v>
      </c>
      <c r="O27" s="31"/>
      <c r="P27" s="36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s="5" customFormat="1" x14ac:dyDescent="0.3">
      <c r="A28" s="29"/>
      <c r="B28" s="10">
        <f t="shared" si="1"/>
        <v>26</v>
      </c>
      <c r="C28" s="25">
        <v>46101</v>
      </c>
      <c r="D28" s="25" t="s">
        <v>342</v>
      </c>
      <c r="E28" s="25" t="s">
        <v>300</v>
      </c>
      <c r="F28" s="26" t="s">
        <v>351</v>
      </c>
      <c r="G28" s="25" t="s">
        <v>347</v>
      </c>
      <c r="H28" s="10" t="s">
        <v>348</v>
      </c>
      <c r="I28" s="8">
        <v>10000</v>
      </c>
      <c r="J28" s="27">
        <f>K28/I28</f>
        <v>59.038899999999998</v>
      </c>
      <c r="K28" s="28">
        <v>590389</v>
      </c>
      <c r="O28" s="31"/>
      <c r="P28" s="36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s="5" customFormat="1" x14ac:dyDescent="0.3">
      <c r="A29" s="29"/>
      <c r="B29" s="10">
        <f t="shared" si="1"/>
        <v>27</v>
      </c>
      <c r="C29" s="25">
        <v>46102</v>
      </c>
      <c r="D29" s="25" t="s">
        <v>2383</v>
      </c>
      <c r="E29" s="25" t="s">
        <v>303</v>
      </c>
      <c r="F29" s="26">
        <v>1809</v>
      </c>
      <c r="G29" s="25" t="s">
        <v>240</v>
      </c>
      <c r="H29" s="10" t="s">
        <v>244</v>
      </c>
      <c r="I29" s="8">
        <v>1800</v>
      </c>
      <c r="J29" s="27">
        <v>76</v>
      </c>
      <c r="K29" s="28">
        <f>J29*I29</f>
        <v>136800</v>
      </c>
      <c r="O29" s="31"/>
      <c r="P29" s="36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s="5" customFormat="1" x14ac:dyDescent="0.3">
      <c r="A30" s="29"/>
      <c r="B30" s="10">
        <f t="shared" si="1"/>
        <v>28</v>
      </c>
      <c r="C30" s="25">
        <v>46104</v>
      </c>
      <c r="D30" s="25" t="s">
        <v>342</v>
      </c>
      <c r="E30" s="25" t="s">
        <v>352</v>
      </c>
      <c r="F30" s="26" t="s">
        <v>353</v>
      </c>
      <c r="G30" s="25" t="s">
        <v>347</v>
      </c>
      <c r="H30" s="10" t="s">
        <v>348</v>
      </c>
      <c r="I30" s="8">
        <v>4000</v>
      </c>
      <c r="J30" s="27">
        <f>K30/I30</f>
        <v>59.674999999999997</v>
      </c>
      <c r="K30" s="28">
        <v>238700</v>
      </c>
      <c r="O30" s="31"/>
      <c r="P30" s="36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s="5" customFormat="1" x14ac:dyDescent="0.3">
      <c r="A31" s="29"/>
      <c r="B31" s="10">
        <f t="shared" si="1"/>
        <v>29</v>
      </c>
      <c r="C31" s="25">
        <v>46104</v>
      </c>
      <c r="D31" s="25" t="s">
        <v>2383</v>
      </c>
      <c r="E31" s="25" t="s">
        <v>303</v>
      </c>
      <c r="F31" s="26">
        <v>1818</v>
      </c>
      <c r="G31" s="25" t="s">
        <v>240</v>
      </c>
      <c r="H31" s="10" t="s">
        <v>244</v>
      </c>
      <c r="I31" s="8">
        <v>1800</v>
      </c>
      <c r="J31" s="27">
        <v>76</v>
      </c>
      <c r="K31" s="28">
        <f>J31*I31</f>
        <v>136800</v>
      </c>
      <c r="O31" s="31"/>
      <c r="P31" s="36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s="5" customFormat="1" x14ac:dyDescent="0.3">
      <c r="A32" s="29"/>
      <c r="B32" s="10">
        <f t="shared" si="1"/>
        <v>30</v>
      </c>
      <c r="C32" s="25">
        <v>46105</v>
      </c>
      <c r="D32" s="25" t="s">
        <v>241</v>
      </c>
      <c r="E32" s="25" t="s">
        <v>257</v>
      </c>
      <c r="F32" s="26" t="s">
        <v>282</v>
      </c>
      <c r="G32" s="25" t="s">
        <v>240</v>
      </c>
      <c r="H32" s="10" t="s">
        <v>244</v>
      </c>
      <c r="I32" s="8">
        <v>1100</v>
      </c>
      <c r="J32" s="27">
        <v>76</v>
      </c>
      <c r="K32" s="28">
        <f>SUM(J32*I32)</f>
        <v>83600</v>
      </c>
      <c r="O32" s="31"/>
      <c r="P32" s="36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 s="5" customFormat="1" x14ac:dyDescent="0.3">
      <c r="A33" s="29"/>
      <c r="B33" s="10">
        <f t="shared" si="1"/>
        <v>31</v>
      </c>
      <c r="C33" s="25">
        <v>46105</v>
      </c>
      <c r="D33" s="25" t="s">
        <v>241</v>
      </c>
      <c r="E33" s="25" t="s">
        <v>257</v>
      </c>
      <c r="F33" s="26" t="s">
        <v>283</v>
      </c>
      <c r="G33" s="25" t="s">
        <v>240</v>
      </c>
      <c r="H33" s="10" t="s">
        <v>244</v>
      </c>
      <c r="I33" s="8">
        <v>1100</v>
      </c>
      <c r="J33" s="27">
        <v>76</v>
      </c>
      <c r="K33" s="28">
        <f>SUM(J33*I33)</f>
        <v>83600</v>
      </c>
      <c r="O33" s="31"/>
      <c r="P33" s="36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s="5" customFormat="1" x14ac:dyDescent="0.3">
      <c r="A34" s="29"/>
      <c r="B34" s="10">
        <f t="shared" si="1"/>
        <v>32</v>
      </c>
      <c r="C34" s="25">
        <v>46105</v>
      </c>
      <c r="D34" s="25" t="s">
        <v>342</v>
      </c>
      <c r="E34" s="25" t="s">
        <v>354</v>
      </c>
      <c r="F34" s="26" t="s">
        <v>355</v>
      </c>
      <c r="G34" s="25" t="s">
        <v>347</v>
      </c>
      <c r="H34" s="10" t="s">
        <v>348</v>
      </c>
      <c r="I34" s="8">
        <v>3500</v>
      </c>
      <c r="J34" s="27">
        <f>K34/I34</f>
        <v>59.3</v>
      </c>
      <c r="K34" s="28">
        <v>207550</v>
      </c>
      <c r="O34" s="31"/>
      <c r="P34" s="36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s="5" customFormat="1" x14ac:dyDescent="0.3">
      <c r="A35" s="29"/>
      <c r="B35" s="10">
        <f t="shared" si="1"/>
        <v>33</v>
      </c>
      <c r="C35" s="25">
        <v>46107</v>
      </c>
      <c r="D35" s="25" t="s">
        <v>241</v>
      </c>
      <c r="E35" s="25" t="s">
        <v>261</v>
      </c>
      <c r="F35" s="26" t="s">
        <v>281</v>
      </c>
      <c r="G35" s="25" t="s">
        <v>240</v>
      </c>
      <c r="H35" s="10" t="s">
        <v>244</v>
      </c>
      <c r="I35" s="8">
        <v>1100</v>
      </c>
      <c r="J35" s="27">
        <v>76</v>
      </c>
      <c r="K35" s="28">
        <f>SUM(J35*I35)</f>
        <v>83600</v>
      </c>
      <c r="O35" s="31"/>
      <c r="P35" s="36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s="5" customFormat="1" x14ac:dyDescent="0.3">
      <c r="A36" s="29"/>
      <c r="B36" s="10">
        <f t="shared" si="1"/>
        <v>34</v>
      </c>
      <c r="C36" s="25">
        <v>46108</v>
      </c>
      <c r="D36" s="25" t="s">
        <v>241</v>
      </c>
      <c r="E36" s="25" t="s">
        <v>261</v>
      </c>
      <c r="F36" s="26" t="s">
        <v>280</v>
      </c>
      <c r="G36" s="25" t="s">
        <v>240</v>
      </c>
      <c r="H36" s="10" t="s">
        <v>244</v>
      </c>
      <c r="I36" s="8">
        <v>1100</v>
      </c>
      <c r="J36" s="27">
        <v>76</v>
      </c>
      <c r="K36" s="28">
        <f>SUM(J36*I36)</f>
        <v>83600</v>
      </c>
      <c r="O36" s="31"/>
      <c r="P36" s="36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s="5" customFormat="1" x14ac:dyDescent="0.3">
      <c r="A37" s="29"/>
      <c r="B37" s="10">
        <f t="shared" si="1"/>
        <v>35</v>
      </c>
      <c r="C37" s="25">
        <v>46110</v>
      </c>
      <c r="D37" s="25" t="s">
        <v>342</v>
      </c>
      <c r="E37" s="25" t="s">
        <v>356</v>
      </c>
      <c r="F37" s="26"/>
      <c r="G37" s="25" t="s">
        <v>357</v>
      </c>
      <c r="H37" s="10" t="s">
        <v>358</v>
      </c>
      <c r="I37" s="8">
        <v>700</v>
      </c>
      <c r="J37" s="27">
        <v>28</v>
      </c>
      <c r="K37" s="28">
        <f>I37*J37</f>
        <v>19600</v>
      </c>
      <c r="O37" s="31"/>
      <c r="P37" s="36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s="5" customFormat="1" x14ac:dyDescent="0.3">
      <c r="A38" s="29"/>
      <c r="B38" s="10">
        <f t="shared" si="1"/>
        <v>36</v>
      </c>
      <c r="C38" s="25">
        <v>46111</v>
      </c>
      <c r="D38" s="25" t="s">
        <v>342</v>
      </c>
      <c r="E38" s="25" t="s">
        <v>359</v>
      </c>
      <c r="F38" s="26" t="s">
        <v>360</v>
      </c>
      <c r="G38" s="25" t="s">
        <v>347</v>
      </c>
      <c r="H38" s="10" t="s">
        <v>348</v>
      </c>
      <c r="I38" s="8">
        <v>2420</v>
      </c>
      <c r="J38" s="27">
        <f>K38/I38</f>
        <v>59.3</v>
      </c>
      <c r="K38" s="28">
        <v>143506</v>
      </c>
      <c r="O38" s="31"/>
      <c r="P38" s="36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s="5" customFormat="1" x14ac:dyDescent="0.3">
      <c r="A39" s="29"/>
      <c r="B39" s="10">
        <f t="shared" si="1"/>
        <v>37</v>
      </c>
      <c r="C39" s="25">
        <v>46112</v>
      </c>
      <c r="D39" s="25" t="s">
        <v>2383</v>
      </c>
      <c r="E39" s="25" t="s">
        <v>303</v>
      </c>
      <c r="F39" s="26">
        <v>1876</v>
      </c>
      <c r="G39" s="25" t="s">
        <v>240</v>
      </c>
      <c r="H39" s="10" t="s">
        <v>244</v>
      </c>
      <c r="I39" s="8">
        <v>1800</v>
      </c>
      <c r="J39" s="27">
        <v>76</v>
      </c>
      <c r="K39" s="28">
        <f>J39*I39</f>
        <v>136800</v>
      </c>
      <c r="O39" s="31"/>
      <c r="P39" s="36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s="5" customFormat="1" x14ac:dyDescent="0.3">
      <c r="A40" s="29"/>
      <c r="B40" s="10">
        <f t="shared" si="1"/>
        <v>38</v>
      </c>
      <c r="C40" s="25">
        <v>46114</v>
      </c>
      <c r="D40" s="25" t="s">
        <v>342</v>
      </c>
      <c r="E40" s="25" t="s">
        <v>356</v>
      </c>
      <c r="F40" s="26"/>
      <c r="G40" s="25" t="s">
        <v>357</v>
      </c>
      <c r="H40" s="10" t="s">
        <v>358</v>
      </c>
      <c r="I40" s="8">
        <v>400</v>
      </c>
      <c r="J40" s="27">
        <v>28</v>
      </c>
      <c r="K40" s="28">
        <f>J40*I40</f>
        <v>11200</v>
      </c>
      <c r="O40" s="31"/>
      <c r="P40" s="36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s="5" customFormat="1" x14ac:dyDescent="0.3">
      <c r="A41" s="29"/>
      <c r="B41" s="10">
        <f t="shared" si="1"/>
        <v>39</v>
      </c>
      <c r="C41" s="25">
        <v>46114</v>
      </c>
      <c r="D41" s="25" t="s">
        <v>342</v>
      </c>
      <c r="E41" s="25" t="s">
        <v>352</v>
      </c>
      <c r="F41" s="26"/>
      <c r="G41" s="25" t="s">
        <v>357</v>
      </c>
      <c r="H41" s="10" t="s">
        <v>358</v>
      </c>
      <c r="I41" s="8">
        <v>700</v>
      </c>
      <c r="J41" s="27">
        <v>28</v>
      </c>
      <c r="K41" s="28">
        <f>J41*I41</f>
        <v>19600</v>
      </c>
      <c r="O41" s="31"/>
      <c r="P41" s="36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s="5" customFormat="1" x14ac:dyDescent="0.3">
      <c r="A42" s="29"/>
      <c r="B42" s="10">
        <f t="shared" si="1"/>
        <v>40</v>
      </c>
      <c r="C42" s="25">
        <v>46115</v>
      </c>
      <c r="D42" s="25" t="s">
        <v>342</v>
      </c>
      <c r="E42" s="25" t="s">
        <v>352</v>
      </c>
      <c r="F42" s="26"/>
      <c r="G42" s="25" t="s">
        <v>344</v>
      </c>
      <c r="H42" s="10" t="s">
        <v>343</v>
      </c>
      <c r="I42" s="8">
        <v>640</v>
      </c>
      <c r="J42" s="27">
        <v>260</v>
      </c>
      <c r="K42" s="28">
        <f>J42*I42</f>
        <v>166400</v>
      </c>
      <c r="O42" s="31"/>
      <c r="P42" s="36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s="5" customFormat="1" x14ac:dyDescent="0.3">
      <c r="A43" s="29"/>
      <c r="B43" s="10">
        <f t="shared" si="1"/>
        <v>41</v>
      </c>
      <c r="C43" s="25">
        <v>46116</v>
      </c>
      <c r="D43" s="25" t="s">
        <v>241</v>
      </c>
      <c r="E43" s="25" t="s">
        <v>261</v>
      </c>
      <c r="F43" s="26" t="s">
        <v>279</v>
      </c>
      <c r="G43" s="25" t="s">
        <v>240</v>
      </c>
      <c r="H43" s="10" t="s">
        <v>244</v>
      </c>
      <c r="I43" s="8">
        <v>1100</v>
      </c>
      <c r="J43" s="27">
        <v>76</v>
      </c>
      <c r="K43" s="28">
        <f>SUM(J43*I43)</f>
        <v>83600</v>
      </c>
      <c r="O43" s="31"/>
      <c r="P43" s="36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s="5" customFormat="1" x14ac:dyDescent="0.3">
      <c r="A44" s="29"/>
      <c r="B44" s="10">
        <f t="shared" si="1"/>
        <v>42</v>
      </c>
      <c r="C44" s="25">
        <v>46116</v>
      </c>
      <c r="D44" s="25" t="s">
        <v>342</v>
      </c>
      <c r="E44" s="25" t="s">
        <v>300</v>
      </c>
      <c r="F44" s="26"/>
      <c r="G44" s="25" t="s">
        <v>246</v>
      </c>
      <c r="H44" s="10" t="s">
        <v>247</v>
      </c>
      <c r="I44" s="8">
        <v>750</v>
      </c>
      <c r="J44" s="27">
        <v>295</v>
      </c>
      <c r="K44" s="28">
        <f>J44*I44</f>
        <v>221250</v>
      </c>
      <c r="O44" s="31"/>
      <c r="P44" s="36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s="5" customFormat="1" x14ac:dyDescent="0.3">
      <c r="A45" s="29"/>
      <c r="B45" s="10">
        <f t="shared" si="1"/>
        <v>43</v>
      </c>
      <c r="C45" s="25">
        <v>46117</v>
      </c>
      <c r="D45" s="25" t="s">
        <v>241</v>
      </c>
      <c r="E45" s="25" t="s">
        <v>257</v>
      </c>
      <c r="F45" s="26" t="s">
        <v>278</v>
      </c>
      <c r="G45" s="25" t="s">
        <v>240</v>
      </c>
      <c r="H45" s="10" t="s">
        <v>244</v>
      </c>
      <c r="I45" s="8">
        <v>1100</v>
      </c>
      <c r="J45" s="27">
        <v>76</v>
      </c>
      <c r="K45" s="28">
        <f>SUM(J45*I45)</f>
        <v>83600</v>
      </c>
      <c r="O45" s="31"/>
      <c r="P45" s="36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s="5" customFormat="1" x14ac:dyDescent="0.3">
      <c r="A46" s="29"/>
      <c r="B46" s="10">
        <f t="shared" si="1"/>
        <v>44</v>
      </c>
      <c r="C46" s="25">
        <v>46118</v>
      </c>
      <c r="D46" s="25" t="s">
        <v>241</v>
      </c>
      <c r="E46" s="25" t="s">
        <v>261</v>
      </c>
      <c r="F46" s="26" t="s">
        <v>276</v>
      </c>
      <c r="G46" s="25" t="s">
        <v>240</v>
      </c>
      <c r="H46" s="10" t="s">
        <v>244</v>
      </c>
      <c r="I46" s="8">
        <v>1100</v>
      </c>
      <c r="J46" s="27">
        <v>76</v>
      </c>
      <c r="K46" s="28">
        <f>SUM(J46*I46)</f>
        <v>83600</v>
      </c>
      <c r="L46" s="23"/>
      <c r="O46" s="31"/>
      <c r="P46" s="36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s="5" customFormat="1" x14ac:dyDescent="0.3">
      <c r="A47" s="29"/>
      <c r="B47" s="10">
        <f t="shared" si="1"/>
        <v>45</v>
      </c>
      <c r="C47" s="25">
        <v>46118</v>
      </c>
      <c r="D47" s="25" t="s">
        <v>241</v>
      </c>
      <c r="E47" s="25" t="s">
        <v>261</v>
      </c>
      <c r="F47" s="26" t="s">
        <v>277</v>
      </c>
      <c r="G47" s="25" t="s">
        <v>240</v>
      </c>
      <c r="H47" s="10" t="s">
        <v>244</v>
      </c>
      <c r="I47" s="8">
        <v>1100</v>
      </c>
      <c r="J47" s="27">
        <v>76</v>
      </c>
      <c r="K47" s="28">
        <f>SUM(J47*I47)</f>
        <v>83600</v>
      </c>
      <c r="L47" s="23"/>
      <c r="O47" s="31"/>
      <c r="P47" s="36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s="5" customFormat="1" x14ac:dyDescent="0.3">
      <c r="A48" s="29"/>
      <c r="B48" s="10">
        <f t="shared" si="1"/>
        <v>46</v>
      </c>
      <c r="C48" s="25">
        <v>46118</v>
      </c>
      <c r="D48" s="25" t="s">
        <v>342</v>
      </c>
      <c r="E48" s="25" t="s">
        <v>356</v>
      </c>
      <c r="F48" s="26"/>
      <c r="G48" s="25" t="s">
        <v>357</v>
      </c>
      <c r="H48" s="10" t="s">
        <v>358</v>
      </c>
      <c r="I48" s="8">
        <v>400</v>
      </c>
      <c r="J48" s="27">
        <v>28</v>
      </c>
      <c r="K48" s="28">
        <f>J48*I48</f>
        <v>11200</v>
      </c>
      <c r="O48" s="31"/>
      <c r="P48" s="36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s="5" customFormat="1" x14ac:dyDescent="0.3">
      <c r="A49" s="29"/>
      <c r="B49" s="10">
        <f t="shared" si="1"/>
        <v>47</v>
      </c>
      <c r="C49" s="25">
        <v>46120</v>
      </c>
      <c r="D49" s="25" t="s">
        <v>241</v>
      </c>
      <c r="E49" s="25" t="s">
        <v>273</v>
      </c>
      <c r="F49" s="26" t="s">
        <v>274</v>
      </c>
      <c r="G49" s="25" t="s">
        <v>240</v>
      </c>
      <c r="H49" s="10" t="s">
        <v>253</v>
      </c>
      <c r="I49" s="8">
        <v>1500</v>
      </c>
      <c r="J49" s="27">
        <v>58.5</v>
      </c>
      <c r="K49" s="28">
        <f t="shared" ref="K49:K54" si="3">SUM(J49*I49)</f>
        <v>87750</v>
      </c>
      <c r="O49" s="31"/>
      <c r="P49" s="36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s="5" customFormat="1" x14ac:dyDescent="0.3">
      <c r="A50" s="29"/>
      <c r="B50" s="10">
        <f t="shared" si="1"/>
        <v>48</v>
      </c>
      <c r="C50" s="25">
        <v>46120</v>
      </c>
      <c r="D50" s="25" t="s">
        <v>241</v>
      </c>
      <c r="E50" s="25" t="s">
        <v>273</v>
      </c>
      <c r="F50" s="26" t="s">
        <v>275</v>
      </c>
      <c r="G50" s="25" t="s">
        <v>240</v>
      </c>
      <c r="H50" s="10" t="s">
        <v>244</v>
      </c>
      <c r="I50" s="8">
        <v>1100</v>
      </c>
      <c r="J50" s="27">
        <v>78</v>
      </c>
      <c r="K50" s="28">
        <f t="shared" si="3"/>
        <v>85800</v>
      </c>
      <c r="O50" s="31"/>
      <c r="P50" s="36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33" s="5" customFormat="1" x14ac:dyDescent="0.3">
      <c r="A51" s="29"/>
      <c r="B51" s="10">
        <f t="shared" si="1"/>
        <v>49</v>
      </c>
      <c r="C51" s="25">
        <v>46122</v>
      </c>
      <c r="D51" s="25" t="s">
        <v>241</v>
      </c>
      <c r="E51" s="25" t="s">
        <v>261</v>
      </c>
      <c r="F51" s="26" t="s">
        <v>284</v>
      </c>
      <c r="G51" s="25" t="s">
        <v>240</v>
      </c>
      <c r="H51" s="10" t="s">
        <v>253</v>
      </c>
      <c r="I51" s="8">
        <v>1500</v>
      </c>
      <c r="J51" s="27">
        <v>58.5</v>
      </c>
      <c r="K51" s="28">
        <f t="shared" si="3"/>
        <v>87750</v>
      </c>
      <c r="O51" s="31"/>
      <c r="P51" s="36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 s="5" customFormat="1" x14ac:dyDescent="0.3">
      <c r="A52" s="29"/>
      <c r="B52" s="10">
        <f t="shared" si="1"/>
        <v>50</v>
      </c>
      <c r="C52" s="25">
        <v>46122</v>
      </c>
      <c r="D52" s="25" t="s">
        <v>241</v>
      </c>
      <c r="E52" s="25" t="s">
        <v>261</v>
      </c>
      <c r="F52" s="26" t="s">
        <v>285</v>
      </c>
      <c r="G52" s="25" t="s">
        <v>240</v>
      </c>
      <c r="H52" s="10" t="s">
        <v>244</v>
      </c>
      <c r="I52" s="8">
        <v>1100</v>
      </c>
      <c r="J52" s="27">
        <v>78</v>
      </c>
      <c r="K52" s="28">
        <f t="shared" si="3"/>
        <v>85800</v>
      </c>
      <c r="O52" s="31"/>
      <c r="P52" s="36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s="5" customFormat="1" x14ac:dyDescent="0.3">
      <c r="A53" s="29"/>
      <c r="B53" s="10">
        <f t="shared" si="1"/>
        <v>51</v>
      </c>
      <c r="C53" s="25">
        <v>46123</v>
      </c>
      <c r="D53" s="25" t="s">
        <v>241</v>
      </c>
      <c r="E53" s="25" t="s">
        <v>273</v>
      </c>
      <c r="F53" s="26" t="s">
        <v>286</v>
      </c>
      <c r="G53" s="25" t="s">
        <v>240</v>
      </c>
      <c r="H53" s="10" t="s">
        <v>253</v>
      </c>
      <c r="I53" s="8">
        <v>1500</v>
      </c>
      <c r="J53" s="27">
        <v>58.5</v>
      </c>
      <c r="K53" s="28">
        <f t="shared" si="3"/>
        <v>87750</v>
      </c>
      <c r="O53" s="31"/>
      <c r="P53" s="36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 s="5" customFormat="1" x14ac:dyDescent="0.3">
      <c r="A54" s="29"/>
      <c r="B54" s="10">
        <f t="shared" si="1"/>
        <v>52</v>
      </c>
      <c r="C54" s="25">
        <v>46123</v>
      </c>
      <c r="D54" s="25" t="s">
        <v>241</v>
      </c>
      <c r="E54" s="25" t="s">
        <v>273</v>
      </c>
      <c r="F54" s="26" t="s">
        <v>287</v>
      </c>
      <c r="G54" s="25" t="s">
        <v>240</v>
      </c>
      <c r="H54" s="10" t="s">
        <v>244</v>
      </c>
      <c r="I54" s="8">
        <v>1100</v>
      </c>
      <c r="J54" s="27">
        <v>78</v>
      </c>
      <c r="K54" s="28">
        <f t="shared" si="3"/>
        <v>85800</v>
      </c>
      <c r="O54" s="31"/>
      <c r="P54" s="36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spans="1:33" s="5" customFormat="1" x14ac:dyDescent="0.3">
      <c r="A55" s="29"/>
      <c r="B55" s="10">
        <f t="shared" si="1"/>
        <v>53</v>
      </c>
      <c r="C55" s="25">
        <v>46123</v>
      </c>
      <c r="D55" s="25" t="s">
        <v>342</v>
      </c>
      <c r="E55" s="25" t="s">
        <v>313</v>
      </c>
      <c r="F55" s="26" t="s">
        <v>361</v>
      </c>
      <c r="G55" s="25" t="s">
        <v>347</v>
      </c>
      <c r="H55" s="10" t="s">
        <v>348</v>
      </c>
      <c r="I55" s="8">
        <v>10000</v>
      </c>
      <c r="J55" s="27">
        <f>K55/I55</f>
        <v>62.335099999999997</v>
      </c>
      <c r="K55" s="28">
        <v>623351</v>
      </c>
      <c r="O55" s="31"/>
      <c r="P55" s="36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 s="5" customFormat="1" x14ac:dyDescent="0.3">
      <c r="A56" s="29"/>
      <c r="B56" s="10">
        <f t="shared" si="1"/>
        <v>54</v>
      </c>
      <c r="C56" s="25">
        <v>46123</v>
      </c>
      <c r="D56" s="25" t="s">
        <v>342</v>
      </c>
      <c r="E56" s="25" t="s">
        <v>300</v>
      </c>
      <c r="F56" s="26" t="s">
        <v>362</v>
      </c>
      <c r="G56" s="25" t="s">
        <v>347</v>
      </c>
      <c r="H56" s="10" t="s">
        <v>348</v>
      </c>
      <c r="I56" s="8">
        <v>10000</v>
      </c>
      <c r="J56" s="27">
        <f>K56/I56</f>
        <v>63.336300000000001</v>
      </c>
      <c r="K56" s="28">
        <v>633363</v>
      </c>
      <c r="O56" s="31"/>
      <c r="P56" s="36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spans="1:33" s="5" customFormat="1" x14ac:dyDescent="0.3">
      <c r="A57" s="29"/>
      <c r="B57" s="10">
        <f t="shared" si="1"/>
        <v>55</v>
      </c>
      <c r="C57" s="25">
        <v>46123</v>
      </c>
      <c r="D57" s="25" t="s">
        <v>342</v>
      </c>
      <c r="E57" s="25" t="s">
        <v>300</v>
      </c>
      <c r="F57" s="26" t="s">
        <v>363</v>
      </c>
      <c r="G57" s="25" t="s">
        <v>347</v>
      </c>
      <c r="H57" s="10" t="s">
        <v>348</v>
      </c>
      <c r="I57" s="8">
        <v>10000</v>
      </c>
      <c r="J57" s="27">
        <f>K57/I57</f>
        <v>61.789499999999997</v>
      </c>
      <c r="K57" s="28">
        <v>617895</v>
      </c>
      <c r="O57" s="31"/>
      <c r="P57" s="36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 s="5" customFormat="1" x14ac:dyDescent="0.3">
      <c r="A58" s="29"/>
      <c r="B58" s="10">
        <f t="shared" si="1"/>
        <v>56</v>
      </c>
      <c r="C58" s="25">
        <v>46128</v>
      </c>
      <c r="D58" s="25" t="s">
        <v>342</v>
      </c>
      <c r="E58" s="25" t="s">
        <v>356</v>
      </c>
      <c r="F58" s="26"/>
      <c r="G58" s="25" t="s">
        <v>357</v>
      </c>
      <c r="H58" s="10" t="s">
        <v>358</v>
      </c>
      <c r="I58" s="8">
        <v>700</v>
      </c>
      <c r="J58" s="27">
        <v>28</v>
      </c>
      <c r="K58" s="28">
        <f>J58*I58</f>
        <v>19600</v>
      </c>
      <c r="O58" s="31"/>
      <c r="P58" s="36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s="5" customFormat="1" x14ac:dyDescent="0.3">
      <c r="A59" s="29"/>
      <c r="B59" s="10">
        <f t="shared" si="1"/>
        <v>57</v>
      </c>
      <c r="C59" s="25">
        <v>46129</v>
      </c>
      <c r="D59" s="25" t="s">
        <v>241</v>
      </c>
      <c r="E59" s="25" t="s">
        <v>261</v>
      </c>
      <c r="F59" s="26" t="s">
        <v>288</v>
      </c>
      <c r="G59" s="25" t="s">
        <v>240</v>
      </c>
      <c r="H59" s="10" t="s">
        <v>253</v>
      </c>
      <c r="I59" s="8">
        <v>1000</v>
      </c>
      <c r="J59" s="27">
        <v>58.5</v>
      </c>
      <c r="K59" s="28">
        <f>SUM(J59*I59)</f>
        <v>58500</v>
      </c>
      <c r="O59" s="31"/>
      <c r="P59" s="36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 s="5" customFormat="1" x14ac:dyDescent="0.3">
      <c r="A60" s="29"/>
      <c r="B60" s="10">
        <f t="shared" si="1"/>
        <v>58</v>
      </c>
      <c r="C60" s="25">
        <v>46129</v>
      </c>
      <c r="D60" s="25" t="s">
        <v>241</v>
      </c>
      <c r="E60" s="25" t="s">
        <v>261</v>
      </c>
      <c r="F60" s="26" t="s">
        <v>288</v>
      </c>
      <c r="G60" s="25" t="s">
        <v>240</v>
      </c>
      <c r="H60" s="10" t="s">
        <v>244</v>
      </c>
      <c r="I60" s="8">
        <v>900</v>
      </c>
      <c r="J60" s="27">
        <v>78</v>
      </c>
      <c r="K60" s="28">
        <f>SUM(J60*I60)</f>
        <v>70200</v>
      </c>
      <c r="O60" s="31"/>
      <c r="P60" s="36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33" s="5" customFormat="1" x14ac:dyDescent="0.3">
      <c r="A61" s="29"/>
      <c r="B61" s="10">
        <f t="shared" si="1"/>
        <v>59</v>
      </c>
      <c r="C61" s="25">
        <v>46131</v>
      </c>
      <c r="D61" s="25" t="s">
        <v>302</v>
      </c>
      <c r="E61" s="25" t="s">
        <v>273</v>
      </c>
      <c r="F61" s="26" t="s">
        <v>311</v>
      </c>
      <c r="G61" s="25" t="s">
        <v>240</v>
      </c>
      <c r="H61" s="10" t="s">
        <v>244</v>
      </c>
      <c r="I61" s="8">
        <f>SUM(K61/J61)</f>
        <v>1000.0875</v>
      </c>
      <c r="J61" s="27">
        <v>80</v>
      </c>
      <c r="K61" s="28">
        <v>80007</v>
      </c>
      <c r="O61" s="31"/>
      <c r="P61" s="36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 s="5" customFormat="1" x14ac:dyDescent="0.3">
      <c r="A62" s="29"/>
      <c r="B62" s="10">
        <f t="shared" si="1"/>
        <v>60</v>
      </c>
      <c r="C62" s="25">
        <v>46132</v>
      </c>
      <c r="D62" s="25" t="s">
        <v>241</v>
      </c>
      <c r="E62" s="25" t="s">
        <v>273</v>
      </c>
      <c r="F62" s="26" t="s">
        <v>289</v>
      </c>
      <c r="G62" s="25" t="s">
        <v>240</v>
      </c>
      <c r="H62" s="10" t="s">
        <v>244</v>
      </c>
      <c r="I62" s="8">
        <v>1600</v>
      </c>
      <c r="J62" s="27">
        <v>78</v>
      </c>
      <c r="K62" s="28">
        <f>SUM(J62*I62)</f>
        <v>124800</v>
      </c>
      <c r="O62" s="31"/>
      <c r="P62" s="36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33" s="5" customFormat="1" x14ac:dyDescent="0.3">
      <c r="A63" s="29"/>
      <c r="B63" s="10">
        <f t="shared" si="1"/>
        <v>61</v>
      </c>
      <c r="C63" s="25">
        <v>46132</v>
      </c>
      <c r="D63" s="25" t="s">
        <v>163</v>
      </c>
      <c r="E63" s="25" t="s">
        <v>242</v>
      </c>
      <c r="F63" s="26"/>
      <c r="G63" s="25" t="s">
        <v>240</v>
      </c>
      <c r="H63" s="10" t="s">
        <v>244</v>
      </c>
      <c r="I63" s="8">
        <v>700</v>
      </c>
      <c r="J63" s="27">
        <f>53200/700</f>
        <v>76</v>
      </c>
      <c r="K63" s="28">
        <f>SUM(J63*I63)</f>
        <v>53200</v>
      </c>
      <c r="O63" s="31"/>
      <c r="P63" s="36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33" s="5" customFormat="1" x14ac:dyDescent="0.3">
      <c r="A64" s="29"/>
      <c r="B64" s="10">
        <f t="shared" si="1"/>
        <v>62</v>
      </c>
      <c r="C64" s="25">
        <v>46132</v>
      </c>
      <c r="D64" s="25" t="s">
        <v>163</v>
      </c>
      <c r="E64" s="25" t="s">
        <v>242</v>
      </c>
      <c r="F64" s="26"/>
      <c r="G64" s="25" t="s">
        <v>240</v>
      </c>
      <c r="H64" s="10" t="s">
        <v>244</v>
      </c>
      <c r="I64" s="8">
        <v>700</v>
      </c>
      <c r="J64" s="27">
        <f>53200/700</f>
        <v>76</v>
      </c>
      <c r="K64" s="28">
        <f>SUM(J64*I64)</f>
        <v>53200</v>
      </c>
      <c r="O64" s="31"/>
      <c r="P64" s="36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s="5" customFormat="1" x14ac:dyDescent="0.3">
      <c r="A65" s="29"/>
      <c r="B65" s="10">
        <f t="shared" si="1"/>
        <v>63</v>
      </c>
      <c r="C65" s="25">
        <v>46132</v>
      </c>
      <c r="D65" s="25" t="s">
        <v>163</v>
      </c>
      <c r="E65" s="25" t="s">
        <v>242</v>
      </c>
      <c r="F65" s="26"/>
      <c r="G65" s="25" t="s">
        <v>240</v>
      </c>
      <c r="H65" s="10" t="s">
        <v>244</v>
      </c>
      <c r="I65" s="8">
        <v>48</v>
      </c>
      <c r="J65" s="27">
        <v>76</v>
      </c>
      <c r="K65" s="28">
        <f>SUM(J65*I65)</f>
        <v>3648</v>
      </c>
      <c r="O65" s="31"/>
      <c r="P65" s="36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 s="5" customFormat="1" x14ac:dyDescent="0.3">
      <c r="A66" s="29"/>
      <c r="B66" s="10">
        <f t="shared" si="1"/>
        <v>64</v>
      </c>
      <c r="C66" s="25">
        <v>46132</v>
      </c>
      <c r="D66" s="25" t="s">
        <v>163</v>
      </c>
      <c r="E66" s="25" t="s">
        <v>242</v>
      </c>
      <c r="F66" s="26"/>
      <c r="G66" s="25" t="s">
        <v>240</v>
      </c>
      <c r="H66" s="10" t="s">
        <v>253</v>
      </c>
      <c r="I66" s="8">
        <v>750</v>
      </c>
      <c r="J66" s="27">
        <f>43500/750</f>
        <v>58</v>
      </c>
      <c r="K66" s="28">
        <f>SUM(J66*I66)</f>
        <v>43500</v>
      </c>
      <c r="O66" s="31"/>
      <c r="P66" s="36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 s="5" customFormat="1" x14ac:dyDescent="0.3">
      <c r="A67" s="29"/>
      <c r="B67" s="10">
        <f t="shared" si="1"/>
        <v>65</v>
      </c>
      <c r="C67" s="25">
        <v>46132</v>
      </c>
      <c r="D67" s="25" t="s">
        <v>302</v>
      </c>
      <c r="E67" s="25" t="s">
        <v>273</v>
      </c>
      <c r="F67" s="26" t="s">
        <v>312</v>
      </c>
      <c r="G67" s="25" t="s">
        <v>240</v>
      </c>
      <c r="H67" s="10" t="s">
        <v>244</v>
      </c>
      <c r="I67" s="8">
        <f>SUM(K67/J67)</f>
        <v>1000.0875</v>
      </c>
      <c r="J67" s="27">
        <v>80</v>
      </c>
      <c r="K67" s="28">
        <v>80007</v>
      </c>
      <c r="O67" s="31"/>
      <c r="P67" s="36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s="5" customFormat="1" x14ac:dyDescent="0.3">
      <c r="A68" s="29"/>
      <c r="B68" s="10">
        <f t="shared" si="1"/>
        <v>66</v>
      </c>
      <c r="C68" s="25">
        <v>46133</v>
      </c>
      <c r="D68" s="25" t="s">
        <v>163</v>
      </c>
      <c r="E68" s="25" t="s">
        <v>273</v>
      </c>
      <c r="F68" s="26"/>
      <c r="G68" s="25" t="s">
        <v>240</v>
      </c>
      <c r="H68" s="10" t="s">
        <v>244</v>
      </c>
      <c r="I68" s="8">
        <v>700</v>
      </c>
      <c r="J68" s="27">
        <f>54600/700</f>
        <v>78</v>
      </c>
      <c r="K68" s="28">
        <f t="shared" ref="K68:K97" si="4">SUM(J68*I68)</f>
        <v>54600</v>
      </c>
      <c r="O68" s="31"/>
      <c r="P68" s="36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 s="5" customFormat="1" x14ac:dyDescent="0.3">
      <c r="A69" s="29"/>
      <c r="B69" s="10">
        <f t="shared" ref="B69:B132" si="5">+B68+1</f>
        <v>67</v>
      </c>
      <c r="C69" s="25">
        <v>46133</v>
      </c>
      <c r="D69" s="25" t="s">
        <v>163</v>
      </c>
      <c r="E69" s="25" t="s">
        <v>293</v>
      </c>
      <c r="F69" s="26"/>
      <c r="G69" s="25" t="s">
        <v>240</v>
      </c>
      <c r="H69" s="10" t="s">
        <v>244</v>
      </c>
      <c r="I69" s="8">
        <v>700</v>
      </c>
      <c r="J69" s="27">
        <f>54600/700</f>
        <v>78</v>
      </c>
      <c r="K69" s="28">
        <f t="shared" si="4"/>
        <v>54600</v>
      </c>
      <c r="O69" s="31"/>
      <c r="P69" s="36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 s="5" customFormat="1" x14ac:dyDescent="0.3">
      <c r="A70" s="29"/>
      <c r="B70" s="10">
        <f t="shared" si="5"/>
        <v>68</v>
      </c>
      <c r="C70" s="25">
        <v>46133</v>
      </c>
      <c r="D70" s="25" t="s">
        <v>163</v>
      </c>
      <c r="E70" s="25" t="s">
        <v>293</v>
      </c>
      <c r="F70" s="26"/>
      <c r="G70" s="25" t="s">
        <v>240</v>
      </c>
      <c r="H70" s="10" t="s">
        <v>244</v>
      </c>
      <c r="I70" s="8">
        <v>63</v>
      </c>
      <c r="J70" s="27">
        <f>54600/700</f>
        <v>78</v>
      </c>
      <c r="K70" s="28">
        <f t="shared" si="4"/>
        <v>4914</v>
      </c>
      <c r="O70" s="31"/>
      <c r="P70" s="36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s="5" customFormat="1" x14ac:dyDescent="0.3">
      <c r="A71" s="29"/>
      <c r="B71" s="10">
        <f t="shared" si="5"/>
        <v>69</v>
      </c>
      <c r="C71" s="25">
        <v>46133</v>
      </c>
      <c r="D71" s="25" t="s">
        <v>163</v>
      </c>
      <c r="E71" s="25" t="s">
        <v>293</v>
      </c>
      <c r="F71" s="26"/>
      <c r="G71" s="25" t="s">
        <v>240</v>
      </c>
      <c r="H71" s="10" t="s">
        <v>253</v>
      </c>
      <c r="I71" s="8">
        <v>750</v>
      </c>
      <c r="J71" s="27">
        <f>44250/750</f>
        <v>59</v>
      </c>
      <c r="K71" s="28">
        <f t="shared" si="4"/>
        <v>44250</v>
      </c>
      <c r="O71" s="31"/>
      <c r="P71" s="36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s="5" customFormat="1" x14ac:dyDescent="0.3">
      <c r="A72" s="29"/>
      <c r="B72" s="10">
        <f t="shared" si="5"/>
        <v>70</v>
      </c>
      <c r="C72" s="25">
        <v>46134</v>
      </c>
      <c r="D72" s="25" t="s">
        <v>163</v>
      </c>
      <c r="E72" s="25" t="s">
        <v>257</v>
      </c>
      <c r="F72" s="26"/>
      <c r="G72" s="25" t="s">
        <v>240</v>
      </c>
      <c r="H72" s="10" t="s">
        <v>244</v>
      </c>
      <c r="I72" s="8">
        <v>700</v>
      </c>
      <c r="J72" s="27">
        <f>53200/700</f>
        <v>76</v>
      </c>
      <c r="K72" s="28">
        <f t="shared" si="4"/>
        <v>53200</v>
      </c>
      <c r="O72" s="31"/>
      <c r="P72" s="36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s="5" customFormat="1" x14ac:dyDescent="0.3">
      <c r="A73" s="29"/>
      <c r="B73" s="10">
        <f t="shared" si="5"/>
        <v>71</v>
      </c>
      <c r="C73" s="25">
        <v>46134</v>
      </c>
      <c r="D73" s="25" t="s">
        <v>163</v>
      </c>
      <c r="E73" s="25" t="s">
        <v>257</v>
      </c>
      <c r="F73" s="26"/>
      <c r="G73" s="25" t="s">
        <v>240</v>
      </c>
      <c r="H73" s="10" t="s">
        <v>253</v>
      </c>
      <c r="I73" s="8">
        <v>750</v>
      </c>
      <c r="J73" s="27">
        <f>43500/I73</f>
        <v>58</v>
      </c>
      <c r="K73" s="28">
        <f t="shared" si="4"/>
        <v>43500</v>
      </c>
      <c r="O73" s="31"/>
      <c r="P73" s="36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s="5" customFormat="1" x14ac:dyDescent="0.3">
      <c r="A74" s="29"/>
      <c r="B74" s="10">
        <f t="shared" si="5"/>
        <v>72</v>
      </c>
      <c r="C74" s="25">
        <v>46134</v>
      </c>
      <c r="D74" s="25" t="s">
        <v>163</v>
      </c>
      <c r="E74" s="25" t="s">
        <v>257</v>
      </c>
      <c r="F74" s="26"/>
      <c r="G74" s="25" t="s">
        <v>240</v>
      </c>
      <c r="H74" s="10" t="s">
        <v>244</v>
      </c>
      <c r="I74" s="8">
        <v>640</v>
      </c>
      <c r="J74" s="27">
        <v>76</v>
      </c>
      <c r="K74" s="28">
        <f t="shared" si="4"/>
        <v>48640</v>
      </c>
      <c r="O74" s="31"/>
      <c r="P74" s="36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 s="5" customFormat="1" x14ac:dyDescent="0.3">
      <c r="A75" s="29"/>
      <c r="B75" s="10">
        <f t="shared" si="5"/>
        <v>73</v>
      </c>
      <c r="C75" s="25">
        <v>46136</v>
      </c>
      <c r="D75" s="25" t="s">
        <v>163</v>
      </c>
      <c r="E75" s="25" t="s">
        <v>273</v>
      </c>
      <c r="F75" s="26"/>
      <c r="G75" s="25" t="s">
        <v>240</v>
      </c>
      <c r="H75" s="10" t="s">
        <v>244</v>
      </c>
      <c r="I75" s="8">
        <v>700</v>
      </c>
      <c r="J75" s="27">
        <f>54600/I75</f>
        <v>78</v>
      </c>
      <c r="K75" s="28">
        <f t="shared" si="4"/>
        <v>54600</v>
      </c>
      <c r="O75" s="31"/>
      <c r="P75" s="36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 s="5" customFormat="1" x14ac:dyDescent="0.3">
      <c r="A76" s="29"/>
      <c r="B76" s="10">
        <f t="shared" si="5"/>
        <v>74</v>
      </c>
      <c r="C76" s="25">
        <v>46136</v>
      </c>
      <c r="D76" s="25" t="s">
        <v>163</v>
      </c>
      <c r="E76" s="25" t="s">
        <v>273</v>
      </c>
      <c r="F76" s="26"/>
      <c r="G76" s="25" t="s">
        <v>240</v>
      </c>
      <c r="H76" s="10" t="s">
        <v>244</v>
      </c>
      <c r="I76" s="8">
        <v>700</v>
      </c>
      <c r="J76" s="27">
        <f>54600/I76</f>
        <v>78</v>
      </c>
      <c r="K76" s="28">
        <f t="shared" si="4"/>
        <v>54600</v>
      </c>
      <c r="O76" s="31"/>
      <c r="P76" s="36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s="5" customFormat="1" x14ac:dyDescent="0.3">
      <c r="A77" s="29"/>
      <c r="B77" s="10">
        <f t="shared" si="5"/>
        <v>75</v>
      </c>
      <c r="C77" s="25">
        <v>46136</v>
      </c>
      <c r="D77" s="25" t="s">
        <v>163</v>
      </c>
      <c r="E77" s="25" t="s">
        <v>294</v>
      </c>
      <c r="F77" s="26"/>
      <c r="G77" s="25" t="s">
        <v>240</v>
      </c>
      <c r="H77" s="10" t="s">
        <v>244</v>
      </c>
      <c r="I77" s="8">
        <v>700</v>
      </c>
      <c r="J77" s="27">
        <f>54600/I77</f>
        <v>78</v>
      </c>
      <c r="K77" s="28">
        <f t="shared" si="4"/>
        <v>54600</v>
      </c>
      <c r="O77" s="31"/>
      <c r="P77" s="36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 s="5" customFormat="1" x14ac:dyDescent="0.3">
      <c r="A78" s="29"/>
      <c r="B78" s="10">
        <f t="shared" si="5"/>
        <v>76</v>
      </c>
      <c r="C78" s="25">
        <v>46137</v>
      </c>
      <c r="D78" s="25" t="s">
        <v>163</v>
      </c>
      <c r="E78" s="25" t="s">
        <v>257</v>
      </c>
      <c r="F78" s="26"/>
      <c r="G78" s="25" t="s">
        <v>240</v>
      </c>
      <c r="H78" s="10" t="s">
        <v>244</v>
      </c>
      <c r="I78" s="8">
        <v>700</v>
      </c>
      <c r="J78" s="27">
        <v>76</v>
      </c>
      <c r="K78" s="28">
        <f t="shared" si="4"/>
        <v>53200</v>
      </c>
      <c r="O78" s="31"/>
      <c r="P78" s="36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 s="5" customFormat="1" x14ac:dyDescent="0.3">
      <c r="A79" s="29"/>
      <c r="B79" s="10">
        <f t="shared" si="5"/>
        <v>77</v>
      </c>
      <c r="C79" s="25">
        <v>46138</v>
      </c>
      <c r="D79" s="25" t="s">
        <v>163</v>
      </c>
      <c r="E79" s="25" t="s">
        <v>242</v>
      </c>
      <c r="F79" s="26"/>
      <c r="G79" s="25" t="s">
        <v>240</v>
      </c>
      <c r="H79" s="10" t="s">
        <v>244</v>
      </c>
      <c r="I79" s="8">
        <v>700</v>
      </c>
      <c r="J79" s="27">
        <v>76</v>
      </c>
      <c r="K79" s="28">
        <f t="shared" si="4"/>
        <v>53200</v>
      </c>
      <c r="O79" s="31"/>
      <c r="P79" s="36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s="5" customFormat="1" x14ac:dyDescent="0.3">
      <c r="A80" s="29"/>
      <c r="B80" s="10">
        <f t="shared" si="5"/>
        <v>78</v>
      </c>
      <c r="C80" s="25">
        <v>46138</v>
      </c>
      <c r="D80" s="25" t="s">
        <v>163</v>
      </c>
      <c r="E80" s="25" t="s">
        <v>242</v>
      </c>
      <c r="F80" s="26"/>
      <c r="G80" s="25" t="s">
        <v>240</v>
      </c>
      <c r="H80" s="10" t="s">
        <v>244</v>
      </c>
      <c r="I80" s="8">
        <v>700</v>
      </c>
      <c r="J80" s="27">
        <v>76</v>
      </c>
      <c r="K80" s="28">
        <f t="shared" si="4"/>
        <v>53200</v>
      </c>
      <c r="O80" s="31"/>
      <c r="P80" s="36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 s="5" customFormat="1" x14ac:dyDescent="0.3">
      <c r="A81" s="29"/>
      <c r="B81" s="10">
        <f t="shared" si="5"/>
        <v>79</v>
      </c>
      <c r="C81" s="25">
        <v>46139</v>
      </c>
      <c r="D81" s="25" t="s">
        <v>163</v>
      </c>
      <c r="E81" s="25" t="s">
        <v>293</v>
      </c>
      <c r="F81" s="26"/>
      <c r="G81" s="25" t="s">
        <v>240</v>
      </c>
      <c r="H81" s="10" t="s">
        <v>244</v>
      </c>
      <c r="I81" s="8">
        <v>700</v>
      </c>
      <c r="J81" s="27">
        <v>78</v>
      </c>
      <c r="K81" s="28">
        <f t="shared" si="4"/>
        <v>54600</v>
      </c>
      <c r="O81" s="31"/>
      <c r="P81" s="36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 s="5" customFormat="1" x14ac:dyDescent="0.3">
      <c r="A82" s="29"/>
      <c r="B82" s="10">
        <f t="shared" si="5"/>
        <v>80</v>
      </c>
      <c r="C82" s="25">
        <v>46139</v>
      </c>
      <c r="D82" s="25" t="s">
        <v>163</v>
      </c>
      <c r="E82" s="25" t="s">
        <v>293</v>
      </c>
      <c r="F82" s="26"/>
      <c r="G82" s="25" t="s">
        <v>240</v>
      </c>
      <c r="H82" s="10" t="s">
        <v>244</v>
      </c>
      <c r="I82" s="8">
        <v>700</v>
      </c>
      <c r="J82" s="27">
        <v>78</v>
      </c>
      <c r="K82" s="28">
        <f t="shared" si="4"/>
        <v>54600</v>
      </c>
      <c r="O82" s="31"/>
      <c r="P82" s="36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s="5" customFormat="1" x14ac:dyDescent="0.3">
      <c r="A83" s="29"/>
      <c r="B83" s="10">
        <f t="shared" si="5"/>
        <v>81</v>
      </c>
      <c r="C83" s="25">
        <v>46139</v>
      </c>
      <c r="D83" s="25" t="s">
        <v>163</v>
      </c>
      <c r="E83" s="25" t="s">
        <v>293</v>
      </c>
      <c r="F83" s="26"/>
      <c r="G83" s="25" t="s">
        <v>240</v>
      </c>
      <c r="H83" s="10" t="s">
        <v>244</v>
      </c>
      <c r="I83" s="8">
        <v>700</v>
      </c>
      <c r="J83" s="27">
        <v>78</v>
      </c>
      <c r="K83" s="28">
        <f t="shared" si="4"/>
        <v>54600</v>
      </c>
      <c r="O83" s="31"/>
      <c r="P83" s="36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 s="5" customFormat="1" x14ac:dyDescent="0.3">
      <c r="A84" s="29"/>
      <c r="B84" s="10">
        <f t="shared" si="5"/>
        <v>82</v>
      </c>
      <c r="C84" s="25">
        <v>46140</v>
      </c>
      <c r="D84" s="25" t="s">
        <v>163</v>
      </c>
      <c r="E84" s="25" t="s">
        <v>293</v>
      </c>
      <c r="F84" s="26"/>
      <c r="G84" s="25" t="s">
        <v>240</v>
      </c>
      <c r="H84" s="10" t="s">
        <v>244</v>
      </c>
      <c r="I84" s="8">
        <v>185</v>
      </c>
      <c r="J84" s="27">
        <v>78</v>
      </c>
      <c r="K84" s="28">
        <f t="shared" si="4"/>
        <v>14430</v>
      </c>
      <c r="O84" s="31"/>
      <c r="P84" s="36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s="5" customFormat="1" x14ac:dyDescent="0.3">
      <c r="A85" s="29"/>
      <c r="B85" s="10">
        <f t="shared" si="5"/>
        <v>83</v>
      </c>
      <c r="C85" s="25">
        <v>46140</v>
      </c>
      <c r="D85" s="25" t="s">
        <v>163</v>
      </c>
      <c r="E85" s="25" t="s">
        <v>293</v>
      </c>
      <c r="F85" s="26"/>
      <c r="G85" s="25" t="s">
        <v>240</v>
      </c>
      <c r="H85" s="10" t="s">
        <v>253</v>
      </c>
      <c r="I85" s="8">
        <v>500</v>
      </c>
      <c r="J85" s="27">
        <v>59</v>
      </c>
      <c r="K85" s="28">
        <f t="shared" si="4"/>
        <v>29500</v>
      </c>
      <c r="O85" s="31"/>
      <c r="P85" s="36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s="5" customFormat="1" x14ac:dyDescent="0.3">
      <c r="A86" s="29"/>
      <c r="B86" s="10">
        <f t="shared" si="5"/>
        <v>84</v>
      </c>
      <c r="C86" s="25">
        <v>46141</v>
      </c>
      <c r="D86" s="25" t="s">
        <v>163</v>
      </c>
      <c r="E86" s="25" t="s">
        <v>296</v>
      </c>
      <c r="F86" s="26"/>
      <c r="G86" s="25" t="s">
        <v>240</v>
      </c>
      <c r="H86" s="10" t="s">
        <v>244</v>
      </c>
      <c r="I86" s="8">
        <v>680</v>
      </c>
      <c r="J86" s="27">
        <v>76</v>
      </c>
      <c r="K86" s="28">
        <f t="shared" si="4"/>
        <v>51680</v>
      </c>
      <c r="O86" s="31"/>
      <c r="P86" s="36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s="5" customFormat="1" x14ac:dyDescent="0.3">
      <c r="A87" s="29"/>
      <c r="B87" s="10">
        <f t="shared" si="5"/>
        <v>85</v>
      </c>
      <c r="C87" s="25">
        <v>46141</v>
      </c>
      <c r="D87" s="25" t="s">
        <v>163</v>
      </c>
      <c r="E87" s="25" t="s">
        <v>296</v>
      </c>
      <c r="F87" s="26"/>
      <c r="G87" s="25" t="s">
        <v>240</v>
      </c>
      <c r="H87" s="10" t="s">
        <v>244</v>
      </c>
      <c r="I87" s="8">
        <v>700</v>
      </c>
      <c r="J87" s="27">
        <v>76</v>
      </c>
      <c r="K87" s="28">
        <f t="shared" si="4"/>
        <v>53200</v>
      </c>
      <c r="O87" s="31"/>
      <c r="P87" s="36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 s="5" customFormat="1" x14ac:dyDescent="0.3">
      <c r="A88" s="29"/>
      <c r="B88" s="10">
        <f t="shared" si="5"/>
        <v>86</v>
      </c>
      <c r="C88" s="25">
        <v>46142</v>
      </c>
      <c r="D88" s="25" t="s">
        <v>163</v>
      </c>
      <c r="E88" s="25" t="s">
        <v>297</v>
      </c>
      <c r="F88" s="26"/>
      <c r="G88" s="25" t="s">
        <v>240</v>
      </c>
      <c r="H88" s="10" t="s">
        <v>244</v>
      </c>
      <c r="I88" s="8">
        <v>700</v>
      </c>
      <c r="J88" s="27">
        <v>78</v>
      </c>
      <c r="K88" s="28">
        <f t="shared" si="4"/>
        <v>54600</v>
      </c>
      <c r="O88" s="31"/>
      <c r="P88" s="36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 s="5" customFormat="1" x14ac:dyDescent="0.3">
      <c r="A89" s="29"/>
      <c r="B89" s="10">
        <f t="shared" si="5"/>
        <v>87</v>
      </c>
      <c r="C89" s="25">
        <v>46142</v>
      </c>
      <c r="D89" s="25" t="s">
        <v>163</v>
      </c>
      <c r="E89" s="25" t="s">
        <v>297</v>
      </c>
      <c r="F89" s="26"/>
      <c r="G89" s="25" t="s">
        <v>240</v>
      </c>
      <c r="H89" s="10" t="s">
        <v>244</v>
      </c>
      <c r="I89" s="8">
        <v>700</v>
      </c>
      <c r="J89" s="27">
        <v>78</v>
      </c>
      <c r="K89" s="28">
        <f t="shared" si="4"/>
        <v>54600</v>
      </c>
      <c r="O89" s="31"/>
      <c r="P89" s="36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 s="5" customFormat="1" x14ac:dyDescent="0.3">
      <c r="A90" s="29"/>
      <c r="B90" s="10">
        <f t="shared" si="5"/>
        <v>88</v>
      </c>
      <c r="C90" s="25">
        <v>46143</v>
      </c>
      <c r="D90" s="25" t="s">
        <v>163</v>
      </c>
      <c r="E90" s="25" t="s">
        <v>296</v>
      </c>
      <c r="F90" s="26"/>
      <c r="G90" s="25" t="s">
        <v>240</v>
      </c>
      <c r="H90" s="10" t="s">
        <v>253</v>
      </c>
      <c r="I90" s="8">
        <v>750</v>
      </c>
      <c r="J90" s="27">
        <v>58</v>
      </c>
      <c r="K90" s="28">
        <f t="shared" si="4"/>
        <v>43500</v>
      </c>
      <c r="O90" s="31"/>
      <c r="P90" s="36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 s="5" customFormat="1" x14ac:dyDescent="0.3">
      <c r="A91" s="29"/>
      <c r="B91" s="10">
        <f t="shared" si="5"/>
        <v>89</v>
      </c>
      <c r="C91" s="25">
        <v>46144</v>
      </c>
      <c r="D91" s="25" t="s">
        <v>163</v>
      </c>
      <c r="E91" s="25" t="s">
        <v>242</v>
      </c>
      <c r="F91" s="26"/>
      <c r="G91" s="25" t="s">
        <v>240</v>
      </c>
      <c r="H91" s="10" t="s">
        <v>244</v>
      </c>
      <c r="I91" s="8">
        <v>694</v>
      </c>
      <c r="J91" s="27">
        <v>76</v>
      </c>
      <c r="K91" s="28">
        <f t="shared" si="4"/>
        <v>52744</v>
      </c>
      <c r="O91" s="31"/>
      <c r="P91" s="36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 s="5" customFormat="1" x14ac:dyDescent="0.3">
      <c r="A92" s="29"/>
      <c r="B92" s="10">
        <f t="shared" si="5"/>
        <v>90</v>
      </c>
      <c r="C92" s="25">
        <v>46145</v>
      </c>
      <c r="D92" s="25" t="s">
        <v>163</v>
      </c>
      <c r="E92" s="25" t="s">
        <v>250</v>
      </c>
      <c r="F92" s="26"/>
      <c r="G92" s="25" t="s">
        <v>240</v>
      </c>
      <c r="H92" s="10" t="s">
        <v>244</v>
      </c>
      <c r="I92" s="8">
        <v>700</v>
      </c>
      <c r="J92" s="27">
        <v>76</v>
      </c>
      <c r="K92" s="28">
        <f t="shared" si="4"/>
        <v>53200</v>
      </c>
      <c r="O92" s="31"/>
      <c r="P92" s="36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 s="5" customFormat="1" x14ac:dyDescent="0.3">
      <c r="A93" s="29"/>
      <c r="B93" s="10">
        <f t="shared" si="5"/>
        <v>91</v>
      </c>
      <c r="C93" s="25">
        <v>46145</v>
      </c>
      <c r="D93" s="25" t="s">
        <v>163</v>
      </c>
      <c r="E93" s="25" t="s">
        <v>296</v>
      </c>
      <c r="F93" s="26"/>
      <c r="G93" s="25" t="s">
        <v>240</v>
      </c>
      <c r="H93" s="10" t="s">
        <v>244</v>
      </c>
      <c r="I93" s="8">
        <v>700</v>
      </c>
      <c r="J93" s="27">
        <v>76</v>
      </c>
      <c r="K93" s="28">
        <f t="shared" si="4"/>
        <v>53200</v>
      </c>
      <c r="O93" s="31"/>
      <c r="P93" s="36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 s="5" customFormat="1" x14ac:dyDescent="0.3">
      <c r="A94" s="29"/>
      <c r="B94" s="10">
        <f t="shared" si="5"/>
        <v>92</v>
      </c>
      <c r="C94" s="25">
        <v>46146</v>
      </c>
      <c r="D94" s="25" t="s">
        <v>163</v>
      </c>
      <c r="E94" s="25" t="s">
        <v>250</v>
      </c>
      <c r="F94" s="26"/>
      <c r="G94" s="25" t="s">
        <v>240</v>
      </c>
      <c r="H94" s="10" t="s">
        <v>244</v>
      </c>
      <c r="I94" s="8">
        <v>700</v>
      </c>
      <c r="J94" s="27">
        <v>76</v>
      </c>
      <c r="K94" s="28">
        <f t="shared" si="4"/>
        <v>53200</v>
      </c>
      <c r="O94" s="31"/>
      <c r="P94" s="36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 s="5" customFormat="1" x14ac:dyDescent="0.3">
      <c r="A95" s="29"/>
      <c r="B95" s="10">
        <f t="shared" si="5"/>
        <v>93</v>
      </c>
      <c r="C95" s="25">
        <v>46146</v>
      </c>
      <c r="D95" s="25" t="s">
        <v>163</v>
      </c>
      <c r="E95" s="25" t="s">
        <v>296</v>
      </c>
      <c r="F95" s="26"/>
      <c r="G95" s="25" t="s">
        <v>240</v>
      </c>
      <c r="H95" s="10" t="s">
        <v>253</v>
      </c>
      <c r="I95" s="8">
        <v>750</v>
      </c>
      <c r="J95" s="27">
        <v>58</v>
      </c>
      <c r="K95" s="28">
        <f t="shared" si="4"/>
        <v>43500</v>
      </c>
      <c r="O95" s="31"/>
      <c r="P95" s="36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 s="5" customFormat="1" x14ac:dyDescent="0.3">
      <c r="A96" s="29"/>
      <c r="B96" s="10">
        <f t="shared" si="5"/>
        <v>94</v>
      </c>
      <c r="C96" s="25">
        <v>46147</v>
      </c>
      <c r="D96" s="25" t="s">
        <v>163</v>
      </c>
      <c r="E96" s="25" t="s">
        <v>257</v>
      </c>
      <c r="F96" s="26"/>
      <c r="G96" s="25" t="s">
        <v>240</v>
      </c>
      <c r="H96" s="10" t="s">
        <v>244</v>
      </c>
      <c r="I96" s="8">
        <v>700</v>
      </c>
      <c r="J96" s="27">
        <v>76</v>
      </c>
      <c r="K96" s="28">
        <f t="shared" si="4"/>
        <v>53200</v>
      </c>
      <c r="O96" s="31"/>
      <c r="P96" s="36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s="5" customFormat="1" x14ac:dyDescent="0.3">
      <c r="A97" s="29"/>
      <c r="B97" s="10">
        <f t="shared" si="5"/>
        <v>95</v>
      </c>
      <c r="C97" s="25">
        <v>46148</v>
      </c>
      <c r="D97" s="25" t="s">
        <v>163</v>
      </c>
      <c r="E97" s="25" t="s">
        <v>250</v>
      </c>
      <c r="F97" s="26"/>
      <c r="G97" s="25" t="s">
        <v>240</v>
      </c>
      <c r="H97" s="10" t="s">
        <v>253</v>
      </c>
      <c r="I97" s="8">
        <v>1000</v>
      </c>
      <c r="J97" s="27">
        <v>58</v>
      </c>
      <c r="K97" s="28">
        <f t="shared" si="4"/>
        <v>58000</v>
      </c>
      <c r="O97" s="31"/>
      <c r="P97" s="36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 s="5" customFormat="1" x14ac:dyDescent="0.3">
      <c r="A98" s="29"/>
      <c r="B98" s="10">
        <f t="shared" si="5"/>
        <v>96</v>
      </c>
      <c r="C98" s="25">
        <v>46148</v>
      </c>
      <c r="D98" s="25" t="s">
        <v>342</v>
      </c>
      <c r="E98" s="25" t="s">
        <v>300</v>
      </c>
      <c r="F98" s="26"/>
      <c r="G98" s="25" t="s">
        <v>246</v>
      </c>
      <c r="H98" s="10" t="s">
        <v>247</v>
      </c>
      <c r="I98" s="8">
        <v>520</v>
      </c>
      <c r="J98" s="27">
        <v>295</v>
      </c>
      <c r="K98" s="28">
        <f>J98*I98</f>
        <v>153400</v>
      </c>
      <c r="O98" s="31"/>
      <c r="P98" s="36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 s="5" customFormat="1" x14ac:dyDescent="0.3">
      <c r="A99" s="29"/>
      <c r="B99" s="10">
        <f t="shared" si="5"/>
        <v>97</v>
      </c>
      <c r="C99" s="25">
        <v>46149</v>
      </c>
      <c r="D99" s="25" t="s">
        <v>163</v>
      </c>
      <c r="E99" s="25" t="s">
        <v>296</v>
      </c>
      <c r="F99" s="26"/>
      <c r="G99" s="25" t="s">
        <v>240</v>
      </c>
      <c r="H99" s="10" t="s">
        <v>244</v>
      </c>
      <c r="I99" s="8">
        <v>700</v>
      </c>
      <c r="J99" s="27">
        <v>76</v>
      </c>
      <c r="K99" s="28">
        <f>SUM(J99*I99)</f>
        <v>53200</v>
      </c>
      <c r="O99" s="31"/>
      <c r="P99" s="36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s="5" customFormat="1" x14ac:dyDescent="0.3">
      <c r="A100" s="29"/>
      <c r="B100" s="10">
        <f t="shared" si="5"/>
        <v>98</v>
      </c>
      <c r="C100" s="25">
        <v>46149</v>
      </c>
      <c r="D100" s="25" t="s">
        <v>163</v>
      </c>
      <c r="E100" s="25" t="s">
        <v>257</v>
      </c>
      <c r="F100" s="26"/>
      <c r="G100" s="25" t="s">
        <v>240</v>
      </c>
      <c r="H100" s="10" t="s">
        <v>244</v>
      </c>
      <c r="I100" s="8">
        <v>700</v>
      </c>
      <c r="J100" s="27">
        <v>76</v>
      </c>
      <c r="K100" s="28">
        <f>SUM(J100*I100)</f>
        <v>53200</v>
      </c>
      <c r="O100" s="31"/>
      <c r="P100" s="36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 s="5" customFormat="1" x14ac:dyDescent="0.3">
      <c r="A101" s="29"/>
      <c r="B101" s="10">
        <f t="shared" si="5"/>
        <v>99</v>
      </c>
      <c r="C101" s="25">
        <v>46149</v>
      </c>
      <c r="D101" s="25" t="s">
        <v>163</v>
      </c>
      <c r="E101" s="25" t="s">
        <v>257</v>
      </c>
      <c r="F101" s="26"/>
      <c r="G101" s="25" t="s">
        <v>240</v>
      </c>
      <c r="H101" s="10" t="s">
        <v>244</v>
      </c>
      <c r="I101" s="8">
        <v>700</v>
      </c>
      <c r="J101" s="27">
        <v>76</v>
      </c>
      <c r="K101" s="28">
        <f>SUM(J101*I101)</f>
        <v>53200</v>
      </c>
      <c r="O101" s="31"/>
      <c r="P101" s="36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 s="5" customFormat="1" x14ac:dyDescent="0.3">
      <c r="A102" s="29"/>
      <c r="B102" s="10">
        <f t="shared" si="5"/>
        <v>100</v>
      </c>
      <c r="C102" s="25">
        <v>46149</v>
      </c>
      <c r="D102" s="25" t="s">
        <v>342</v>
      </c>
      <c r="E102" s="25" t="s">
        <v>300</v>
      </c>
      <c r="F102" s="26" t="s">
        <v>362</v>
      </c>
      <c r="G102" s="25" t="s">
        <v>246</v>
      </c>
      <c r="H102" s="10" t="s">
        <v>247</v>
      </c>
      <c r="I102" s="8">
        <v>320</v>
      </c>
      <c r="J102" s="27">
        <v>295</v>
      </c>
      <c r="K102" s="28">
        <f>J102*I102</f>
        <v>94400</v>
      </c>
      <c r="O102" s="31"/>
      <c r="P102" s="36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s="5" customFormat="1" x14ac:dyDescent="0.3">
      <c r="A103" s="29"/>
      <c r="B103" s="10">
        <f t="shared" si="5"/>
        <v>101</v>
      </c>
      <c r="C103" s="25">
        <v>46149</v>
      </c>
      <c r="D103" s="25" t="s">
        <v>342</v>
      </c>
      <c r="E103" s="25" t="s">
        <v>257</v>
      </c>
      <c r="F103" s="26" t="s">
        <v>363</v>
      </c>
      <c r="G103" s="25" t="s">
        <v>246</v>
      </c>
      <c r="H103" s="10" t="s">
        <v>247</v>
      </c>
      <c r="I103" s="8">
        <v>320</v>
      </c>
      <c r="J103" s="27">
        <v>295</v>
      </c>
      <c r="K103" s="28">
        <f>J103*I103</f>
        <v>94400</v>
      </c>
      <c r="O103" s="31"/>
      <c r="P103" s="36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 s="5" customFormat="1" x14ac:dyDescent="0.3">
      <c r="A104" s="29"/>
      <c r="B104" s="10">
        <f t="shared" si="5"/>
        <v>102</v>
      </c>
      <c r="C104" s="25">
        <v>46150</v>
      </c>
      <c r="D104" s="25" t="s">
        <v>342</v>
      </c>
      <c r="E104" s="25" t="s">
        <v>250</v>
      </c>
      <c r="F104" s="26" t="s">
        <v>361</v>
      </c>
      <c r="G104" s="25" t="s">
        <v>246</v>
      </c>
      <c r="H104" s="10" t="s">
        <v>247</v>
      </c>
      <c r="I104" s="8">
        <v>275</v>
      </c>
      <c r="J104" s="27">
        <v>295</v>
      </c>
      <c r="K104" s="28">
        <f>J104*I104</f>
        <v>81125</v>
      </c>
      <c r="O104" s="31"/>
      <c r="P104" s="36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 s="5" customFormat="1" x14ac:dyDescent="0.3">
      <c r="A105" s="29"/>
      <c r="B105" s="10">
        <f t="shared" si="5"/>
        <v>103</v>
      </c>
      <c r="C105" s="25">
        <v>46151</v>
      </c>
      <c r="D105" s="25" t="s">
        <v>163</v>
      </c>
      <c r="E105" s="25" t="s">
        <v>242</v>
      </c>
      <c r="F105" s="26"/>
      <c r="G105" s="25" t="s">
        <v>240</v>
      </c>
      <c r="H105" s="10" t="s">
        <v>253</v>
      </c>
      <c r="I105" s="8">
        <v>1000</v>
      </c>
      <c r="J105" s="27">
        <v>58</v>
      </c>
      <c r="K105" s="28">
        <f>SUM(J105*I105)</f>
        <v>58000</v>
      </c>
      <c r="O105" s="31"/>
      <c r="P105" s="36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s="5" customFormat="1" x14ac:dyDescent="0.3">
      <c r="A106" s="29"/>
      <c r="B106" s="10">
        <f t="shared" si="5"/>
        <v>104</v>
      </c>
      <c r="C106" s="25">
        <v>46151</v>
      </c>
      <c r="D106" s="25" t="s">
        <v>163</v>
      </c>
      <c r="E106" s="25" t="s">
        <v>298</v>
      </c>
      <c r="F106" s="26"/>
      <c r="G106" s="25" t="s">
        <v>240</v>
      </c>
      <c r="H106" s="10" t="s">
        <v>253</v>
      </c>
      <c r="I106" s="8">
        <v>1000</v>
      </c>
      <c r="J106" s="27">
        <v>58</v>
      </c>
      <c r="K106" s="28">
        <f>SUM(J106*I106)</f>
        <v>58000</v>
      </c>
      <c r="O106" s="31"/>
      <c r="P106" s="36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 s="5" customFormat="1" x14ac:dyDescent="0.3">
      <c r="A107" s="29"/>
      <c r="B107" s="10">
        <f t="shared" si="5"/>
        <v>105</v>
      </c>
      <c r="C107" s="25">
        <v>46153</v>
      </c>
      <c r="D107" s="25" t="s">
        <v>2381</v>
      </c>
      <c r="E107" s="25" t="s">
        <v>313</v>
      </c>
      <c r="F107" s="26" t="s">
        <v>2382</v>
      </c>
      <c r="G107" s="25" t="s">
        <v>347</v>
      </c>
      <c r="H107" s="10" t="s">
        <v>348</v>
      </c>
      <c r="I107" s="8">
        <v>20000</v>
      </c>
      <c r="J107" s="27">
        <f>K107/I107</f>
        <v>57.5</v>
      </c>
      <c r="K107" s="28">
        <v>1150000</v>
      </c>
      <c r="O107" s="31"/>
      <c r="P107" s="36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 s="5" customFormat="1" x14ac:dyDescent="0.3">
      <c r="A108" s="29"/>
      <c r="B108" s="10">
        <f t="shared" si="5"/>
        <v>106</v>
      </c>
      <c r="C108" s="25">
        <v>46154</v>
      </c>
      <c r="D108" s="25" t="s">
        <v>163</v>
      </c>
      <c r="E108" s="25" t="s">
        <v>242</v>
      </c>
      <c r="F108" s="26"/>
      <c r="G108" s="25" t="s">
        <v>240</v>
      </c>
      <c r="H108" s="10" t="s">
        <v>244</v>
      </c>
      <c r="I108" s="8">
        <v>700</v>
      </c>
      <c r="J108" s="27">
        <v>76</v>
      </c>
      <c r="K108" s="28">
        <f t="shared" ref="K108:K117" si="6">SUM(J108*I108)</f>
        <v>53200</v>
      </c>
      <c r="O108" s="31"/>
      <c r="P108" s="36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s="5" customFormat="1" x14ac:dyDescent="0.3">
      <c r="A109" s="29"/>
      <c r="B109" s="10">
        <f t="shared" si="5"/>
        <v>107</v>
      </c>
      <c r="C109" s="25">
        <v>46155</v>
      </c>
      <c r="D109" s="25" t="s">
        <v>241</v>
      </c>
      <c r="E109" s="25" t="s">
        <v>257</v>
      </c>
      <c r="F109" s="26" t="s">
        <v>290</v>
      </c>
      <c r="G109" s="25" t="s">
        <v>240</v>
      </c>
      <c r="H109" s="10" t="s">
        <v>244</v>
      </c>
      <c r="I109" s="8">
        <v>1100</v>
      </c>
      <c r="J109" s="27">
        <v>78</v>
      </c>
      <c r="K109" s="28">
        <f t="shared" si="6"/>
        <v>85800</v>
      </c>
      <c r="O109" s="31"/>
      <c r="P109" s="36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s="5" customFormat="1" x14ac:dyDescent="0.3">
      <c r="A110" s="29"/>
      <c r="B110" s="10">
        <f t="shared" si="5"/>
        <v>108</v>
      </c>
      <c r="C110" s="25">
        <v>46155</v>
      </c>
      <c r="D110" s="25" t="s">
        <v>163</v>
      </c>
      <c r="E110" s="25" t="s">
        <v>299</v>
      </c>
      <c r="F110" s="26"/>
      <c r="G110" s="25" t="s">
        <v>240</v>
      </c>
      <c r="H110" s="10" t="s">
        <v>244</v>
      </c>
      <c r="I110" s="8">
        <v>700</v>
      </c>
      <c r="J110" s="27">
        <v>76</v>
      </c>
      <c r="K110" s="28">
        <f t="shared" si="6"/>
        <v>53200</v>
      </c>
      <c r="O110" s="31"/>
      <c r="P110" s="36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 s="5" customFormat="1" x14ac:dyDescent="0.3">
      <c r="A111" s="29"/>
      <c r="B111" s="10">
        <f t="shared" si="5"/>
        <v>109</v>
      </c>
      <c r="C111" s="25">
        <v>46155</v>
      </c>
      <c r="D111" s="25" t="s">
        <v>163</v>
      </c>
      <c r="E111" s="25" t="s">
        <v>299</v>
      </c>
      <c r="F111" s="26"/>
      <c r="G111" s="25" t="s">
        <v>240</v>
      </c>
      <c r="H111" s="10" t="s">
        <v>244</v>
      </c>
      <c r="I111" s="8">
        <v>700</v>
      </c>
      <c r="J111" s="27">
        <v>76</v>
      </c>
      <c r="K111" s="28">
        <f t="shared" si="6"/>
        <v>53200</v>
      </c>
      <c r="O111" s="31"/>
      <c r="P111" s="36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s="5" customFormat="1" x14ac:dyDescent="0.3">
      <c r="A112" s="29"/>
      <c r="B112" s="10">
        <f t="shared" si="5"/>
        <v>110</v>
      </c>
      <c r="C112" s="25">
        <v>46156</v>
      </c>
      <c r="D112" s="25" t="s">
        <v>163</v>
      </c>
      <c r="E112" s="25" t="s">
        <v>299</v>
      </c>
      <c r="F112" s="26"/>
      <c r="G112" s="25" t="s">
        <v>240</v>
      </c>
      <c r="H112" s="10" t="s">
        <v>253</v>
      </c>
      <c r="I112" s="8">
        <v>300</v>
      </c>
      <c r="J112" s="27">
        <v>58</v>
      </c>
      <c r="K112" s="28">
        <f t="shared" si="6"/>
        <v>17400</v>
      </c>
      <c r="O112" s="31"/>
      <c r="P112" s="36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spans="1:33" s="5" customFormat="1" x14ac:dyDescent="0.3">
      <c r="A113" s="29"/>
      <c r="B113" s="10">
        <f t="shared" si="5"/>
        <v>111</v>
      </c>
      <c r="C113" s="25">
        <v>46158</v>
      </c>
      <c r="D113" s="25" t="s">
        <v>241</v>
      </c>
      <c r="E113" s="25" t="s">
        <v>270</v>
      </c>
      <c r="F113" s="26" t="s">
        <v>272</v>
      </c>
      <c r="G113" s="25" t="s">
        <v>240</v>
      </c>
      <c r="H113" s="10" t="s">
        <v>244</v>
      </c>
      <c r="I113" s="8">
        <v>1100</v>
      </c>
      <c r="J113" s="27">
        <v>78</v>
      </c>
      <c r="K113" s="28">
        <f t="shared" si="6"/>
        <v>85800</v>
      </c>
      <c r="O113" s="31"/>
      <c r="P113" s="36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spans="1:33" s="5" customFormat="1" x14ac:dyDescent="0.3">
      <c r="A114" s="29"/>
      <c r="B114" s="10">
        <f t="shared" si="5"/>
        <v>112</v>
      </c>
      <c r="C114" s="25">
        <v>46158</v>
      </c>
      <c r="D114" s="25" t="s">
        <v>163</v>
      </c>
      <c r="E114" s="25" t="s">
        <v>299</v>
      </c>
      <c r="F114" s="26"/>
      <c r="G114" s="25" t="s">
        <v>240</v>
      </c>
      <c r="H114" s="10" t="s">
        <v>244</v>
      </c>
      <c r="I114" s="8">
        <v>700</v>
      </c>
      <c r="J114" s="27">
        <v>76</v>
      </c>
      <c r="K114" s="28">
        <f t="shared" si="6"/>
        <v>53200</v>
      </c>
      <c r="O114" s="31"/>
      <c r="P114" s="36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spans="1:33" s="5" customFormat="1" x14ac:dyDescent="0.3">
      <c r="A115" s="29"/>
      <c r="B115" s="10">
        <f t="shared" si="5"/>
        <v>113</v>
      </c>
      <c r="C115" s="25">
        <v>46159</v>
      </c>
      <c r="D115" s="25" t="s">
        <v>163</v>
      </c>
      <c r="E115" s="25" t="s">
        <v>257</v>
      </c>
      <c r="F115" s="26"/>
      <c r="G115" s="25" t="s">
        <v>240</v>
      </c>
      <c r="H115" s="10" t="s">
        <v>253</v>
      </c>
      <c r="I115" s="8">
        <v>1000</v>
      </c>
      <c r="J115" s="27">
        <v>58</v>
      </c>
      <c r="K115" s="28">
        <f t="shared" si="6"/>
        <v>58000</v>
      </c>
      <c r="O115" s="31"/>
      <c r="P115" s="36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spans="1:33" s="5" customFormat="1" x14ac:dyDescent="0.3">
      <c r="A116" s="29"/>
      <c r="B116" s="10">
        <f t="shared" si="5"/>
        <v>114</v>
      </c>
      <c r="C116" s="25">
        <v>46160</v>
      </c>
      <c r="D116" s="25" t="s">
        <v>163</v>
      </c>
      <c r="E116" s="25" t="s">
        <v>299</v>
      </c>
      <c r="F116" s="26"/>
      <c r="G116" s="25" t="s">
        <v>240</v>
      </c>
      <c r="H116" s="10" t="s">
        <v>253</v>
      </c>
      <c r="I116" s="8">
        <v>1000</v>
      </c>
      <c r="J116" s="27">
        <v>58</v>
      </c>
      <c r="K116" s="28">
        <f t="shared" si="6"/>
        <v>58000</v>
      </c>
      <c r="O116" s="31"/>
      <c r="P116" s="36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spans="1:33" s="5" customFormat="1" x14ac:dyDescent="0.3">
      <c r="A117" s="29"/>
      <c r="B117" s="10">
        <f t="shared" si="5"/>
        <v>115</v>
      </c>
      <c r="C117" s="25">
        <v>46160</v>
      </c>
      <c r="D117" s="25" t="s">
        <v>163</v>
      </c>
      <c r="E117" s="25" t="s">
        <v>257</v>
      </c>
      <c r="F117" s="26"/>
      <c r="G117" s="25" t="s">
        <v>240</v>
      </c>
      <c r="H117" s="10" t="s">
        <v>244</v>
      </c>
      <c r="I117" s="8">
        <v>700</v>
      </c>
      <c r="J117" s="27">
        <v>76</v>
      </c>
      <c r="K117" s="28">
        <f t="shared" si="6"/>
        <v>53200</v>
      </c>
      <c r="O117" s="31"/>
      <c r="P117" s="36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spans="1:33" s="5" customFormat="1" x14ac:dyDescent="0.3">
      <c r="A118" s="29"/>
      <c r="B118" s="10">
        <f t="shared" si="5"/>
        <v>116</v>
      </c>
      <c r="C118" s="25">
        <v>46160</v>
      </c>
      <c r="D118" s="25" t="s">
        <v>302</v>
      </c>
      <c r="E118" s="25" t="s">
        <v>313</v>
      </c>
      <c r="F118" s="26" t="s">
        <v>314</v>
      </c>
      <c r="G118" s="25" t="s">
        <v>240</v>
      </c>
      <c r="H118" s="10" t="s">
        <v>244</v>
      </c>
      <c r="I118" s="8">
        <v>1350</v>
      </c>
      <c r="J118" s="27">
        <v>78</v>
      </c>
      <c r="K118" s="28">
        <f>I118*J118</f>
        <v>105300</v>
      </c>
      <c r="O118" s="31"/>
      <c r="P118" s="36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spans="1:33" s="5" customFormat="1" x14ac:dyDescent="0.3">
      <c r="A119" s="29"/>
      <c r="B119" s="10">
        <f t="shared" si="5"/>
        <v>117</v>
      </c>
      <c r="C119" s="25">
        <v>46160</v>
      </c>
      <c r="D119" s="25" t="s">
        <v>342</v>
      </c>
      <c r="E119" s="25" t="s">
        <v>300</v>
      </c>
      <c r="F119" s="26" t="s">
        <v>364</v>
      </c>
      <c r="G119" s="25" t="s">
        <v>347</v>
      </c>
      <c r="H119" s="10" t="s">
        <v>348</v>
      </c>
      <c r="I119" s="8">
        <v>12000</v>
      </c>
      <c r="J119" s="27">
        <f>K119/I119</f>
        <v>59.833333333333336</v>
      </c>
      <c r="K119" s="28">
        <v>718000</v>
      </c>
      <c r="O119" s="31"/>
      <c r="P119" s="36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spans="1:33" s="5" customFormat="1" x14ac:dyDescent="0.3">
      <c r="A120" s="29"/>
      <c r="B120" s="10">
        <f t="shared" si="5"/>
        <v>118</v>
      </c>
      <c r="C120" s="25">
        <v>46160</v>
      </c>
      <c r="D120" s="25" t="s">
        <v>2383</v>
      </c>
      <c r="E120" s="25" t="s">
        <v>300</v>
      </c>
      <c r="F120" s="26">
        <v>323</v>
      </c>
      <c r="G120" s="25" t="s">
        <v>240</v>
      </c>
      <c r="H120" s="10" t="s">
        <v>244</v>
      </c>
      <c r="I120" s="8">
        <v>1600</v>
      </c>
      <c r="J120" s="27">
        <v>67.5</v>
      </c>
      <c r="K120" s="28">
        <f>J120*I120</f>
        <v>108000</v>
      </c>
      <c r="O120" s="31"/>
      <c r="P120" s="36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spans="1:33" s="5" customFormat="1" x14ac:dyDescent="0.3">
      <c r="A121" s="29"/>
      <c r="B121" s="10">
        <f t="shared" si="5"/>
        <v>119</v>
      </c>
      <c r="C121" s="25">
        <v>46161</v>
      </c>
      <c r="D121" s="25" t="s">
        <v>163</v>
      </c>
      <c r="E121" s="25" t="s">
        <v>298</v>
      </c>
      <c r="F121" s="26"/>
      <c r="G121" s="25" t="s">
        <v>240</v>
      </c>
      <c r="H121" s="10" t="s">
        <v>244</v>
      </c>
      <c r="I121" s="8">
        <v>700</v>
      </c>
      <c r="J121" s="27">
        <v>76</v>
      </c>
      <c r="K121" s="28">
        <f>SUM(J121*I121)</f>
        <v>53200</v>
      </c>
      <c r="O121" s="31"/>
      <c r="P121" s="36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spans="1:33" s="5" customFormat="1" x14ac:dyDescent="0.3">
      <c r="A122" s="29"/>
      <c r="B122" s="10">
        <f t="shared" si="5"/>
        <v>120</v>
      </c>
      <c r="C122" s="25">
        <v>46161</v>
      </c>
      <c r="D122" s="25" t="s">
        <v>163</v>
      </c>
      <c r="E122" s="25" t="s">
        <v>299</v>
      </c>
      <c r="F122" s="26"/>
      <c r="G122" s="25" t="s">
        <v>240</v>
      </c>
      <c r="H122" s="10" t="s">
        <v>244</v>
      </c>
      <c r="I122" s="8">
        <v>700</v>
      </c>
      <c r="J122" s="27">
        <v>76</v>
      </c>
      <c r="K122" s="28">
        <f>SUM(J122*I122)</f>
        <v>53200</v>
      </c>
      <c r="O122" s="31"/>
      <c r="P122" s="36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spans="1:33" s="5" customFormat="1" x14ac:dyDescent="0.3">
      <c r="A123" s="29"/>
      <c r="B123" s="10">
        <f t="shared" si="5"/>
        <v>121</v>
      </c>
      <c r="C123" s="25">
        <v>46161</v>
      </c>
      <c r="D123" s="25" t="s">
        <v>163</v>
      </c>
      <c r="E123" s="25" t="s">
        <v>270</v>
      </c>
      <c r="F123" s="26"/>
      <c r="G123" s="25" t="s">
        <v>240</v>
      </c>
      <c r="H123" s="10" t="s">
        <v>244</v>
      </c>
      <c r="I123" s="8">
        <v>700</v>
      </c>
      <c r="J123" s="27">
        <v>76</v>
      </c>
      <c r="K123" s="28">
        <f>SUM(J123*I123)</f>
        <v>53200</v>
      </c>
      <c r="O123" s="31"/>
      <c r="P123" s="36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spans="1:33" s="5" customFormat="1" x14ac:dyDescent="0.3">
      <c r="A124" s="29"/>
      <c r="B124" s="10">
        <f t="shared" si="5"/>
        <v>122</v>
      </c>
      <c r="C124" s="25">
        <v>46161</v>
      </c>
      <c r="D124" s="25" t="s">
        <v>302</v>
      </c>
      <c r="E124" s="25" t="s">
        <v>313</v>
      </c>
      <c r="F124" s="26" t="s">
        <v>315</v>
      </c>
      <c r="G124" s="25" t="s">
        <v>240</v>
      </c>
      <c r="H124" s="10" t="s">
        <v>244</v>
      </c>
      <c r="I124" s="8">
        <v>650</v>
      </c>
      <c r="J124" s="27">
        <v>78</v>
      </c>
      <c r="K124" s="28">
        <f>I124*J124</f>
        <v>50700</v>
      </c>
      <c r="O124" s="31"/>
      <c r="P124" s="36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spans="1:33" s="5" customFormat="1" x14ac:dyDescent="0.3">
      <c r="A125" s="29"/>
      <c r="B125" s="10">
        <f t="shared" si="5"/>
        <v>123</v>
      </c>
      <c r="C125" s="25">
        <v>46161</v>
      </c>
      <c r="D125" s="25" t="s">
        <v>302</v>
      </c>
      <c r="E125" s="25" t="s">
        <v>313</v>
      </c>
      <c r="F125" s="26" t="s">
        <v>315</v>
      </c>
      <c r="G125" s="25" t="s">
        <v>240</v>
      </c>
      <c r="H125" s="10" t="s">
        <v>253</v>
      </c>
      <c r="I125" s="8">
        <v>1000</v>
      </c>
      <c r="J125" s="27">
        <v>58.5</v>
      </c>
      <c r="K125" s="28">
        <f>I125*J125</f>
        <v>58500</v>
      </c>
      <c r="O125" s="31"/>
      <c r="P125" s="36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spans="1:33" s="5" customFormat="1" x14ac:dyDescent="0.3">
      <c r="A126" s="29"/>
      <c r="B126" s="10">
        <f t="shared" si="5"/>
        <v>124</v>
      </c>
      <c r="C126" s="25">
        <v>46161</v>
      </c>
      <c r="D126" s="25" t="s">
        <v>302</v>
      </c>
      <c r="E126" s="25" t="s">
        <v>316</v>
      </c>
      <c r="F126" s="26" t="s">
        <v>317</v>
      </c>
      <c r="G126" s="25" t="s">
        <v>240</v>
      </c>
      <c r="H126" s="10" t="s">
        <v>244</v>
      </c>
      <c r="I126" s="8">
        <v>1350</v>
      </c>
      <c r="J126" s="27">
        <v>80</v>
      </c>
      <c r="K126" s="28">
        <f>I126*J126</f>
        <v>108000</v>
      </c>
      <c r="O126" s="31"/>
      <c r="P126" s="36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spans="1:33" s="5" customFormat="1" x14ac:dyDescent="0.3">
      <c r="A127" s="29"/>
      <c r="B127" s="10">
        <f t="shared" si="5"/>
        <v>125</v>
      </c>
      <c r="C127" s="25">
        <v>46162</v>
      </c>
      <c r="D127" s="25" t="s">
        <v>241</v>
      </c>
      <c r="E127" s="25" t="s">
        <v>270</v>
      </c>
      <c r="F127" s="26" t="s">
        <v>271</v>
      </c>
      <c r="G127" s="25" t="s">
        <v>240</v>
      </c>
      <c r="H127" s="10" t="s">
        <v>244</v>
      </c>
      <c r="I127" s="8">
        <v>300</v>
      </c>
      <c r="J127" s="27">
        <v>78</v>
      </c>
      <c r="K127" s="28">
        <f>SUM(J127*I127)</f>
        <v>23400</v>
      </c>
      <c r="O127" s="31"/>
      <c r="P127" s="36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spans="1:33" s="5" customFormat="1" x14ac:dyDescent="0.3">
      <c r="A128" s="29"/>
      <c r="B128" s="10">
        <f t="shared" si="5"/>
        <v>126</v>
      </c>
      <c r="C128" s="25">
        <v>46162</v>
      </c>
      <c r="D128" s="25" t="s">
        <v>241</v>
      </c>
      <c r="E128" s="25" t="s">
        <v>270</v>
      </c>
      <c r="F128" s="26" t="s">
        <v>271</v>
      </c>
      <c r="G128" s="25" t="s">
        <v>240</v>
      </c>
      <c r="H128" s="10" t="s">
        <v>253</v>
      </c>
      <c r="I128" s="8">
        <v>1000</v>
      </c>
      <c r="J128" s="27">
        <v>58.5</v>
      </c>
      <c r="K128" s="28">
        <f>SUM(J128*I128)</f>
        <v>58500</v>
      </c>
      <c r="O128" s="31"/>
      <c r="P128" s="36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spans="1:33" s="5" customFormat="1" x14ac:dyDescent="0.3">
      <c r="A129" s="29"/>
      <c r="B129" s="10">
        <f t="shared" si="5"/>
        <v>127</v>
      </c>
      <c r="C129" s="25">
        <v>46162</v>
      </c>
      <c r="D129" s="25" t="s">
        <v>163</v>
      </c>
      <c r="E129" s="25" t="s">
        <v>299</v>
      </c>
      <c r="F129" s="26"/>
      <c r="G129" s="25" t="s">
        <v>240</v>
      </c>
      <c r="H129" s="10" t="s">
        <v>253</v>
      </c>
      <c r="I129" s="8">
        <v>1000</v>
      </c>
      <c r="J129" s="27">
        <v>58</v>
      </c>
      <c r="K129" s="28">
        <f>SUM(J129*I129)</f>
        <v>58000</v>
      </c>
      <c r="O129" s="31"/>
      <c r="P129" s="36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spans="1:33" s="5" customFormat="1" x14ac:dyDescent="0.3">
      <c r="A130" s="29"/>
      <c r="B130" s="10">
        <f t="shared" si="5"/>
        <v>128</v>
      </c>
      <c r="C130" s="25">
        <v>46162</v>
      </c>
      <c r="D130" s="25" t="s">
        <v>163</v>
      </c>
      <c r="E130" s="25" t="s">
        <v>270</v>
      </c>
      <c r="F130" s="26"/>
      <c r="G130" s="25" t="s">
        <v>240</v>
      </c>
      <c r="H130" s="10" t="s">
        <v>253</v>
      </c>
      <c r="I130" s="8">
        <v>1000</v>
      </c>
      <c r="J130" s="27">
        <v>58</v>
      </c>
      <c r="K130" s="28">
        <f>SUM(J130*I130)</f>
        <v>58000</v>
      </c>
      <c r="O130" s="31"/>
      <c r="P130" s="36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spans="1:33" s="5" customFormat="1" x14ac:dyDescent="0.3">
      <c r="A131" s="29"/>
      <c r="B131" s="10">
        <f t="shared" si="5"/>
        <v>129</v>
      </c>
      <c r="C131" s="25">
        <v>46162</v>
      </c>
      <c r="D131" s="25" t="s">
        <v>302</v>
      </c>
      <c r="E131" s="25" t="s">
        <v>316</v>
      </c>
      <c r="F131" s="26" t="s">
        <v>318</v>
      </c>
      <c r="G131" s="25" t="s">
        <v>240</v>
      </c>
      <c r="H131" s="10" t="s">
        <v>244</v>
      </c>
      <c r="I131" s="8">
        <v>650</v>
      </c>
      <c r="J131" s="27">
        <v>80</v>
      </c>
      <c r="K131" s="28">
        <f>I131*J131</f>
        <v>52000</v>
      </c>
      <c r="O131" s="31"/>
      <c r="P131" s="36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spans="1:33" s="5" customFormat="1" x14ac:dyDescent="0.3">
      <c r="A132" s="29"/>
      <c r="B132" s="10">
        <f t="shared" si="5"/>
        <v>130</v>
      </c>
      <c r="C132" s="25">
        <v>46162</v>
      </c>
      <c r="D132" s="25" t="s">
        <v>302</v>
      </c>
      <c r="E132" s="25" t="s">
        <v>316</v>
      </c>
      <c r="F132" s="26" t="s">
        <v>318</v>
      </c>
      <c r="G132" s="25" t="s">
        <v>240</v>
      </c>
      <c r="H132" s="10" t="s">
        <v>253</v>
      </c>
      <c r="I132" s="8">
        <v>1000</v>
      </c>
      <c r="J132" s="27">
        <v>60</v>
      </c>
      <c r="K132" s="28">
        <f>I132*J132</f>
        <v>60000</v>
      </c>
      <c r="O132" s="31"/>
      <c r="P132" s="36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spans="1:33" s="5" customFormat="1" x14ac:dyDescent="0.3">
      <c r="A133" s="29"/>
      <c r="B133" s="10">
        <f t="shared" ref="B133:B196" si="7">+B132+1</f>
        <v>131</v>
      </c>
      <c r="C133" s="25">
        <v>46162</v>
      </c>
      <c r="D133" s="25" t="s">
        <v>2383</v>
      </c>
      <c r="E133" s="25" t="s">
        <v>300</v>
      </c>
      <c r="F133" s="26">
        <v>332</v>
      </c>
      <c r="G133" s="25" t="s">
        <v>240</v>
      </c>
      <c r="H133" s="10" t="s">
        <v>244</v>
      </c>
      <c r="I133" s="8">
        <v>1600</v>
      </c>
      <c r="J133" s="27">
        <v>67.5</v>
      </c>
      <c r="K133" s="28">
        <f>J133*I133</f>
        <v>108000</v>
      </c>
      <c r="O133" s="31"/>
      <c r="P133" s="36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spans="1:33" s="5" customFormat="1" x14ac:dyDescent="0.3">
      <c r="A134" s="29"/>
      <c r="B134" s="10">
        <f t="shared" si="7"/>
        <v>132</v>
      </c>
      <c r="C134" s="25">
        <v>46163</v>
      </c>
      <c r="D134" s="25" t="s">
        <v>302</v>
      </c>
      <c r="E134" s="25" t="s">
        <v>316</v>
      </c>
      <c r="F134" s="26" t="s">
        <v>319</v>
      </c>
      <c r="G134" s="25" t="s">
        <v>240</v>
      </c>
      <c r="H134" s="10" t="s">
        <v>244</v>
      </c>
      <c r="I134" s="8">
        <v>1000</v>
      </c>
      <c r="J134" s="27">
        <v>80</v>
      </c>
      <c r="K134" s="28">
        <f>I134*J134</f>
        <v>80000</v>
      </c>
      <c r="O134" s="31"/>
      <c r="P134" s="36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spans="1:33" s="5" customFormat="1" x14ac:dyDescent="0.3">
      <c r="A135" s="29"/>
      <c r="B135" s="10">
        <f t="shared" si="7"/>
        <v>133</v>
      </c>
      <c r="C135" s="25">
        <v>46164</v>
      </c>
      <c r="D135" s="25" t="s">
        <v>241</v>
      </c>
      <c r="E135" s="25" t="s">
        <v>261</v>
      </c>
      <c r="F135" s="26" t="s">
        <v>268</v>
      </c>
      <c r="G135" s="25" t="s">
        <v>240</v>
      </c>
      <c r="H135" s="10" t="s">
        <v>244</v>
      </c>
      <c r="I135" s="8">
        <v>1100</v>
      </c>
      <c r="J135" s="27">
        <v>78</v>
      </c>
      <c r="K135" s="28">
        <f>SUM(J135*I135)</f>
        <v>85800</v>
      </c>
      <c r="O135" s="31"/>
      <c r="P135" s="36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spans="1:33" s="5" customFormat="1" x14ac:dyDescent="0.3">
      <c r="A136" s="29"/>
      <c r="B136" s="10">
        <f t="shared" si="7"/>
        <v>134</v>
      </c>
      <c r="C136" s="25">
        <v>46164</v>
      </c>
      <c r="D136" s="25" t="s">
        <v>241</v>
      </c>
      <c r="E136" s="25" t="s">
        <v>261</v>
      </c>
      <c r="F136" s="26" t="s">
        <v>269</v>
      </c>
      <c r="G136" s="25" t="s">
        <v>240</v>
      </c>
      <c r="H136" s="10" t="s">
        <v>244</v>
      </c>
      <c r="I136" s="8">
        <v>1600</v>
      </c>
      <c r="J136" s="27">
        <v>78</v>
      </c>
      <c r="K136" s="28">
        <f>SUM(J136*I136)</f>
        <v>124800</v>
      </c>
      <c r="O136" s="31"/>
      <c r="P136" s="36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spans="1:33" s="5" customFormat="1" x14ac:dyDescent="0.3">
      <c r="A137" s="29"/>
      <c r="B137" s="10">
        <f t="shared" si="7"/>
        <v>135</v>
      </c>
      <c r="C137" s="25">
        <v>46164</v>
      </c>
      <c r="D137" s="25" t="s">
        <v>163</v>
      </c>
      <c r="E137" s="25" t="s">
        <v>300</v>
      </c>
      <c r="F137" s="26"/>
      <c r="G137" s="25" t="s">
        <v>240</v>
      </c>
      <c r="H137" s="10" t="s">
        <v>253</v>
      </c>
      <c r="I137" s="8">
        <v>1000</v>
      </c>
      <c r="J137" s="27">
        <v>59</v>
      </c>
      <c r="K137" s="28">
        <f>SUM(J137*I137)</f>
        <v>59000</v>
      </c>
      <c r="O137" s="31"/>
      <c r="P137" s="36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spans="1:33" s="5" customFormat="1" x14ac:dyDescent="0.3">
      <c r="A138" s="29"/>
      <c r="B138" s="10">
        <f t="shared" si="7"/>
        <v>136</v>
      </c>
      <c r="C138" s="25">
        <v>46164</v>
      </c>
      <c r="D138" s="25" t="s">
        <v>302</v>
      </c>
      <c r="E138" s="25" t="s">
        <v>316</v>
      </c>
      <c r="F138" s="26" t="s">
        <v>320</v>
      </c>
      <c r="G138" s="25" t="s">
        <v>240</v>
      </c>
      <c r="H138" s="10" t="s">
        <v>244</v>
      </c>
      <c r="I138" s="8">
        <v>1000</v>
      </c>
      <c r="J138" s="27">
        <v>80</v>
      </c>
      <c r="K138" s="28">
        <f>I138*J138</f>
        <v>80000</v>
      </c>
      <c r="O138" s="31"/>
      <c r="P138" s="36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spans="1:33" s="5" customFormat="1" x14ac:dyDescent="0.3">
      <c r="A139" s="29"/>
      <c r="B139" s="10">
        <f t="shared" si="7"/>
        <v>137</v>
      </c>
      <c r="C139" s="25">
        <v>46164</v>
      </c>
      <c r="D139" s="25" t="s">
        <v>342</v>
      </c>
      <c r="E139" s="25" t="s">
        <v>300</v>
      </c>
      <c r="F139" s="26" t="s">
        <v>365</v>
      </c>
      <c r="G139" s="25" t="s">
        <v>347</v>
      </c>
      <c r="H139" s="10" t="s">
        <v>348</v>
      </c>
      <c r="I139" s="8">
        <v>12000</v>
      </c>
      <c r="J139" s="27">
        <f>K139/I139</f>
        <v>59.816833333333335</v>
      </c>
      <c r="K139" s="28">
        <v>717802</v>
      </c>
      <c r="O139" s="31"/>
      <c r="P139" s="36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spans="1:33" s="5" customFormat="1" x14ac:dyDescent="0.3">
      <c r="A140" s="29"/>
      <c r="B140" s="10">
        <f t="shared" si="7"/>
        <v>138</v>
      </c>
      <c r="C140" s="25">
        <v>46165</v>
      </c>
      <c r="D140" s="25" t="s">
        <v>241</v>
      </c>
      <c r="E140" s="25" t="s">
        <v>257</v>
      </c>
      <c r="F140" s="26" t="s">
        <v>266</v>
      </c>
      <c r="G140" s="25" t="s">
        <v>240</v>
      </c>
      <c r="H140" s="10" t="s">
        <v>244</v>
      </c>
      <c r="I140" s="8">
        <v>1100</v>
      </c>
      <c r="J140" s="27">
        <v>78</v>
      </c>
      <c r="K140" s="28">
        <f>SUM(J140*I140)</f>
        <v>85800</v>
      </c>
      <c r="O140" s="31"/>
      <c r="P140" s="36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spans="1:33" s="5" customFormat="1" x14ac:dyDescent="0.3">
      <c r="A141" s="29"/>
      <c r="B141" s="10">
        <f t="shared" si="7"/>
        <v>139</v>
      </c>
      <c r="C141" s="25">
        <v>46165</v>
      </c>
      <c r="D141" s="25" t="s">
        <v>241</v>
      </c>
      <c r="E141" s="25" t="s">
        <v>257</v>
      </c>
      <c r="F141" s="26" t="s">
        <v>267</v>
      </c>
      <c r="G141" s="25" t="s">
        <v>240</v>
      </c>
      <c r="H141" s="10" t="s">
        <v>244</v>
      </c>
      <c r="I141" s="8">
        <v>1100</v>
      </c>
      <c r="J141" s="27">
        <v>78</v>
      </c>
      <c r="K141" s="28">
        <f>SUM(J141*I141)</f>
        <v>85800</v>
      </c>
      <c r="O141" s="31"/>
      <c r="P141" s="36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spans="1:33" s="5" customFormat="1" x14ac:dyDescent="0.3">
      <c r="A142" s="29"/>
      <c r="B142" s="10">
        <f t="shared" si="7"/>
        <v>140</v>
      </c>
      <c r="C142" s="25">
        <v>46165</v>
      </c>
      <c r="D142" s="25" t="s">
        <v>163</v>
      </c>
      <c r="E142" s="25" t="s">
        <v>298</v>
      </c>
      <c r="F142" s="26"/>
      <c r="G142" s="25" t="s">
        <v>240</v>
      </c>
      <c r="H142" s="10" t="s">
        <v>244</v>
      </c>
      <c r="I142" s="8">
        <v>700</v>
      </c>
      <c r="J142" s="27">
        <v>76</v>
      </c>
      <c r="K142" s="28">
        <f>SUM(J142*I142)</f>
        <v>53200</v>
      </c>
      <c r="O142" s="31"/>
      <c r="P142" s="36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spans="1:33" s="5" customFormat="1" x14ac:dyDescent="0.3">
      <c r="A143" s="29"/>
      <c r="B143" s="10">
        <f t="shared" si="7"/>
        <v>141</v>
      </c>
      <c r="C143" s="25">
        <v>46165</v>
      </c>
      <c r="D143" s="25" t="s">
        <v>302</v>
      </c>
      <c r="E143" s="25" t="s">
        <v>316</v>
      </c>
      <c r="F143" s="26" t="s">
        <v>321</v>
      </c>
      <c r="G143" s="25" t="s">
        <v>240</v>
      </c>
      <c r="H143" s="10" t="s">
        <v>253</v>
      </c>
      <c r="I143" s="8">
        <v>1000</v>
      </c>
      <c r="J143" s="27">
        <v>60</v>
      </c>
      <c r="K143" s="28">
        <f>I143*J143</f>
        <v>60000</v>
      </c>
      <c r="O143" s="31"/>
      <c r="P143" s="36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spans="1:33" s="5" customFormat="1" x14ac:dyDescent="0.3">
      <c r="A144" s="29"/>
      <c r="B144" s="10">
        <f t="shared" si="7"/>
        <v>142</v>
      </c>
      <c r="C144" s="25">
        <v>46165</v>
      </c>
      <c r="D144" s="25" t="s">
        <v>302</v>
      </c>
      <c r="E144" s="25" t="s">
        <v>322</v>
      </c>
      <c r="F144" s="26" t="s">
        <v>323</v>
      </c>
      <c r="G144" s="25" t="s">
        <v>240</v>
      </c>
      <c r="H144" s="10" t="s">
        <v>244</v>
      </c>
      <c r="I144" s="8">
        <v>1375</v>
      </c>
      <c r="J144" s="27">
        <v>78</v>
      </c>
      <c r="K144" s="28">
        <f>I144*J144</f>
        <v>107250</v>
      </c>
      <c r="O144" s="31"/>
      <c r="P144" s="36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spans="1:33" s="5" customFormat="1" x14ac:dyDescent="0.3">
      <c r="A145" s="29"/>
      <c r="B145" s="10">
        <f t="shared" si="7"/>
        <v>143</v>
      </c>
      <c r="C145" s="25">
        <v>46165</v>
      </c>
      <c r="D145" s="25" t="s">
        <v>2383</v>
      </c>
      <c r="E145" s="25" t="s">
        <v>2584</v>
      </c>
      <c r="F145" s="26">
        <v>349</v>
      </c>
      <c r="G145" s="25" t="s">
        <v>240</v>
      </c>
      <c r="H145" s="10" t="s">
        <v>244</v>
      </c>
      <c r="I145" s="8">
        <v>1800</v>
      </c>
      <c r="J145" s="27">
        <v>76</v>
      </c>
      <c r="K145" s="28">
        <f>J145*I145</f>
        <v>136800</v>
      </c>
      <c r="O145" s="31"/>
      <c r="P145" s="36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spans="1:33" s="5" customFormat="1" x14ac:dyDescent="0.3">
      <c r="A146" s="29"/>
      <c r="B146" s="10">
        <f t="shared" si="7"/>
        <v>144</v>
      </c>
      <c r="C146" s="25">
        <v>46166</v>
      </c>
      <c r="D146" s="25" t="s">
        <v>163</v>
      </c>
      <c r="E146" s="25" t="s">
        <v>300</v>
      </c>
      <c r="F146" s="26"/>
      <c r="G146" s="25" t="s">
        <v>240</v>
      </c>
      <c r="H146" s="10" t="s">
        <v>244</v>
      </c>
      <c r="I146" s="8">
        <v>700</v>
      </c>
      <c r="J146" s="27">
        <v>78</v>
      </c>
      <c r="K146" s="28">
        <f>SUM(J146*I146)</f>
        <v>54600</v>
      </c>
      <c r="O146" s="31"/>
      <c r="P146" s="36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spans="1:33" s="5" customFormat="1" x14ac:dyDescent="0.3">
      <c r="A147" s="29"/>
      <c r="B147" s="10">
        <f t="shared" si="7"/>
        <v>145</v>
      </c>
      <c r="C147" s="25">
        <v>46166</v>
      </c>
      <c r="D147" s="25" t="s">
        <v>302</v>
      </c>
      <c r="E147" s="25" t="s">
        <v>322</v>
      </c>
      <c r="F147" s="26" t="s">
        <v>324</v>
      </c>
      <c r="G147" s="25" t="s">
        <v>240</v>
      </c>
      <c r="H147" s="10" t="s">
        <v>244</v>
      </c>
      <c r="I147" s="8">
        <v>625</v>
      </c>
      <c r="J147" s="27">
        <v>78</v>
      </c>
      <c r="K147" s="28">
        <f>I147*J147</f>
        <v>48750</v>
      </c>
      <c r="O147" s="31"/>
      <c r="P147" s="36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spans="1:33" s="5" customFormat="1" x14ac:dyDescent="0.3">
      <c r="A148" s="29"/>
      <c r="B148" s="10">
        <f t="shared" si="7"/>
        <v>146</v>
      </c>
      <c r="C148" s="25">
        <v>46166</v>
      </c>
      <c r="D148" s="25" t="s">
        <v>302</v>
      </c>
      <c r="E148" s="25" t="s">
        <v>322</v>
      </c>
      <c r="F148" s="26" t="s">
        <v>324</v>
      </c>
      <c r="G148" s="25" t="s">
        <v>240</v>
      </c>
      <c r="H148" s="10" t="s">
        <v>253</v>
      </c>
      <c r="I148" s="8">
        <v>1000</v>
      </c>
      <c r="J148" s="27">
        <v>58.5</v>
      </c>
      <c r="K148" s="28">
        <f>I148*J148</f>
        <v>58500</v>
      </c>
      <c r="O148" s="31"/>
      <c r="P148" s="36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spans="1:33" s="5" customFormat="1" x14ac:dyDescent="0.3">
      <c r="A149" s="29"/>
      <c r="B149" s="10">
        <f t="shared" si="7"/>
        <v>147</v>
      </c>
      <c r="C149" s="25">
        <v>46166</v>
      </c>
      <c r="D149" s="25" t="s">
        <v>302</v>
      </c>
      <c r="E149" s="25" t="s">
        <v>257</v>
      </c>
      <c r="F149" s="26" t="s">
        <v>325</v>
      </c>
      <c r="G149" s="25" t="s">
        <v>240</v>
      </c>
      <c r="H149" s="10" t="s">
        <v>253</v>
      </c>
      <c r="I149" s="8">
        <v>1000</v>
      </c>
      <c r="J149" s="27">
        <v>60</v>
      </c>
      <c r="K149" s="28">
        <f>I149*J149</f>
        <v>60000</v>
      </c>
      <c r="O149" s="31"/>
      <c r="P149" s="36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spans="1:33" s="5" customFormat="1" x14ac:dyDescent="0.3">
      <c r="A150" s="29"/>
      <c r="B150" s="10">
        <f t="shared" si="7"/>
        <v>148</v>
      </c>
      <c r="C150" s="25">
        <v>46166</v>
      </c>
      <c r="D150" s="25" t="s">
        <v>342</v>
      </c>
      <c r="E150" s="25" t="s">
        <v>313</v>
      </c>
      <c r="F150" s="26"/>
      <c r="G150" s="25" t="s">
        <v>246</v>
      </c>
      <c r="H150" s="10" t="s">
        <v>247</v>
      </c>
      <c r="I150" s="8">
        <v>650</v>
      </c>
      <c r="J150" s="27">
        <v>295</v>
      </c>
      <c r="K150" s="28">
        <f>J150*I150</f>
        <v>191750</v>
      </c>
      <c r="O150" s="31"/>
      <c r="P150" s="36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spans="1:33" s="5" customFormat="1" x14ac:dyDescent="0.3">
      <c r="A151" s="29"/>
      <c r="B151" s="10">
        <f t="shared" si="7"/>
        <v>149</v>
      </c>
      <c r="C151" s="25">
        <v>46167</v>
      </c>
      <c r="D151" s="25" t="s">
        <v>241</v>
      </c>
      <c r="E151" s="25" t="s">
        <v>254</v>
      </c>
      <c r="F151" s="26" t="s">
        <v>265</v>
      </c>
      <c r="G151" s="25" t="s">
        <v>240</v>
      </c>
      <c r="H151" s="10" t="s">
        <v>253</v>
      </c>
      <c r="I151" s="8">
        <v>600</v>
      </c>
      <c r="J151" s="27">
        <v>58.5</v>
      </c>
      <c r="K151" s="28">
        <f>SUM(J151*I151)</f>
        <v>35100</v>
      </c>
      <c r="O151" s="31"/>
      <c r="P151" s="36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spans="1:33" s="5" customFormat="1" x14ac:dyDescent="0.3">
      <c r="A152" s="29"/>
      <c r="B152" s="10">
        <f t="shared" si="7"/>
        <v>150</v>
      </c>
      <c r="C152" s="25">
        <v>46167</v>
      </c>
      <c r="D152" s="25" t="s">
        <v>241</v>
      </c>
      <c r="E152" s="25" t="s">
        <v>254</v>
      </c>
      <c r="F152" s="26" t="s">
        <v>265</v>
      </c>
      <c r="G152" s="25" t="s">
        <v>240</v>
      </c>
      <c r="H152" s="10" t="s">
        <v>244</v>
      </c>
      <c r="I152" s="8">
        <v>1000</v>
      </c>
      <c r="J152" s="27">
        <v>78</v>
      </c>
      <c r="K152" s="28">
        <f>SUM(J152*I152)</f>
        <v>78000</v>
      </c>
      <c r="O152" s="31"/>
      <c r="P152" s="36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spans="1:33" s="5" customFormat="1" x14ac:dyDescent="0.3">
      <c r="A153" s="29"/>
      <c r="B153" s="10">
        <f t="shared" si="7"/>
        <v>151</v>
      </c>
      <c r="C153" s="25">
        <v>46167</v>
      </c>
      <c r="D153" s="25" t="s">
        <v>163</v>
      </c>
      <c r="E153" s="25" t="s">
        <v>257</v>
      </c>
      <c r="F153" s="26"/>
      <c r="G153" s="25" t="s">
        <v>240</v>
      </c>
      <c r="H153" s="10" t="s">
        <v>253</v>
      </c>
      <c r="I153" s="8">
        <v>1000</v>
      </c>
      <c r="J153" s="27">
        <v>58</v>
      </c>
      <c r="K153" s="28">
        <f>SUM(J153*I153)</f>
        <v>58000</v>
      </c>
      <c r="O153" s="31"/>
      <c r="P153" s="36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spans="1:33" s="5" customFormat="1" x14ac:dyDescent="0.3">
      <c r="A154" s="29"/>
      <c r="B154" s="10">
        <f t="shared" si="7"/>
        <v>152</v>
      </c>
      <c r="C154" s="25">
        <v>46167</v>
      </c>
      <c r="D154" s="25" t="s">
        <v>2383</v>
      </c>
      <c r="E154" s="25" t="s">
        <v>300</v>
      </c>
      <c r="F154" s="26">
        <v>362</v>
      </c>
      <c r="G154" s="25" t="s">
        <v>240</v>
      </c>
      <c r="H154" s="10" t="s">
        <v>244</v>
      </c>
      <c r="I154" s="8">
        <v>1800</v>
      </c>
      <c r="J154" s="27">
        <v>76</v>
      </c>
      <c r="K154" s="28">
        <f>J154*I154</f>
        <v>136800</v>
      </c>
      <c r="O154" s="31"/>
      <c r="P154" s="36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spans="1:33" s="5" customFormat="1" x14ac:dyDescent="0.3">
      <c r="A155" s="29"/>
      <c r="B155" s="10">
        <f t="shared" si="7"/>
        <v>153</v>
      </c>
      <c r="C155" s="25">
        <v>46167</v>
      </c>
      <c r="D155" s="25" t="s">
        <v>2383</v>
      </c>
      <c r="E155" s="25" t="s">
        <v>498</v>
      </c>
      <c r="F155" s="26">
        <v>402</v>
      </c>
      <c r="G155" s="25" t="s">
        <v>240</v>
      </c>
      <c r="H155" s="10" t="s">
        <v>244</v>
      </c>
      <c r="I155" s="8">
        <v>1800</v>
      </c>
      <c r="J155" s="27">
        <v>76</v>
      </c>
      <c r="K155" s="28">
        <f>J155*I155</f>
        <v>136800</v>
      </c>
      <c r="O155" s="31"/>
      <c r="P155" s="36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spans="1:33" s="5" customFormat="1" x14ac:dyDescent="0.3">
      <c r="A156" s="29"/>
      <c r="B156" s="10">
        <f t="shared" si="7"/>
        <v>154</v>
      </c>
      <c r="C156" s="25">
        <v>46168</v>
      </c>
      <c r="D156" s="25" t="s">
        <v>241</v>
      </c>
      <c r="E156" s="25" t="s">
        <v>257</v>
      </c>
      <c r="F156" s="26" t="s">
        <v>264</v>
      </c>
      <c r="G156" s="25" t="s">
        <v>240</v>
      </c>
      <c r="H156" s="10" t="s">
        <v>244</v>
      </c>
      <c r="I156" s="8">
        <v>1100</v>
      </c>
      <c r="J156" s="27">
        <v>78</v>
      </c>
      <c r="K156" s="28">
        <f>SUM(J156*I156)</f>
        <v>85800</v>
      </c>
      <c r="O156" s="31"/>
      <c r="P156" s="36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spans="1:33" s="5" customFormat="1" x14ac:dyDescent="0.3">
      <c r="A157" s="29"/>
      <c r="B157" s="10">
        <f t="shared" si="7"/>
        <v>155</v>
      </c>
      <c r="C157" s="25">
        <v>46168</v>
      </c>
      <c r="D157" s="25" t="s">
        <v>163</v>
      </c>
      <c r="E157" s="25" t="s">
        <v>270</v>
      </c>
      <c r="F157" s="26"/>
      <c r="G157" s="25" t="s">
        <v>240</v>
      </c>
      <c r="H157" s="10" t="s">
        <v>244</v>
      </c>
      <c r="I157" s="8">
        <v>700</v>
      </c>
      <c r="J157" s="27">
        <v>76</v>
      </c>
      <c r="K157" s="28">
        <f>SUM(J157*I157)</f>
        <v>53200</v>
      </c>
      <c r="L157" s="50"/>
      <c r="O157" s="31"/>
      <c r="P157" s="36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spans="1:33" s="5" customFormat="1" x14ac:dyDescent="0.3">
      <c r="A158" s="29"/>
      <c r="B158" s="10">
        <f t="shared" si="7"/>
        <v>156</v>
      </c>
      <c r="C158" s="25">
        <v>46168</v>
      </c>
      <c r="D158" s="25" t="s">
        <v>302</v>
      </c>
      <c r="E158" s="25" t="s">
        <v>270</v>
      </c>
      <c r="F158" s="26" t="s">
        <v>326</v>
      </c>
      <c r="G158" s="25" t="s">
        <v>240</v>
      </c>
      <c r="H158" s="10" t="s">
        <v>244</v>
      </c>
      <c r="I158" s="8">
        <v>1375</v>
      </c>
      <c r="J158" s="27">
        <v>78</v>
      </c>
      <c r="K158" s="28">
        <f>I158*J158</f>
        <v>107250</v>
      </c>
      <c r="O158" s="31"/>
      <c r="P158" s="36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spans="1:33" s="5" customFormat="1" x14ac:dyDescent="0.3">
      <c r="A159" s="29"/>
      <c r="B159" s="10">
        <f t="shared" si="7"/>
        <v>157</v>
      </c>
      <c r="C159" s="25">
        <v>46168</v>
      </c>
      <c r="D159" s="25" t="s">
        <v>302</v>
      </c>
      <c r="E159" s="25" t="s">
        <v>270</v>
      </c>
      <c r="F159" s="26" t="s">
        <v>327</v>
      </c>
      <c r="G159" s="25" t="s">
        <v>240</v>
      </c>
      <c r="H159" s="10" t="s">
        <v>244</v>
      </c>
      <c r="I159" s="8">
        <v>625</v>
      </c>
      <c r="J159" s="27">
        <v>78</v>
      </c>
      <c r="K159" s="28">
        <f>I159*J159</f>
        <v>48750</v>
      </c>
      <c r="O159" s="31"/>
      <c r="P159" s="36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spans="1:33" s="5" customFormat="1" x14ac:dyDescent="0.3">
      <c r="A160" s="29"/>
      <c r="B160" s="10">
        <f t="shared" si="7"/>
        <v>158</v>
      </c>
      <c r="C160" s="25">
        <v>46168</v>
      </c>
      <c r="D160" s="25" t="s">
        <v>302</v>
      </c>
      <c r="E160" s="25" t="s">
        <v>270</v>
      </c>
      <c r="F160" s="26" t="s">
        <v>327</v>
      </c>
      <c r="G160" s="25" t="s">
        <v>240</v>
      </c>
      <c r="H160" s="10" t="s">
        <v>253</v>
      </c>
      <c r="I160" s="8">
        <v>1000</v>
      </c>
      <c r="J160" s="27">
        <v>58.5</v>
      </c>
      <c r="K160" s="28">
        <f>I160*J160</f>
        <v>58500</v>
      </c>
      <c r="O160" s="31"/>
      <c r="P160" s="36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spans="1:33" s="5" customFormat="1" x14ac:dyDescent="0.3">
      <c r="A161" s="29"/>
      <c r="B161" s="10">
        <f t="shared" si="7"/>
        <v>159</v>
      </c>
      <c r="C161" s="25">
        <v>46168</v>
      </c>
      <c r="D161" s="25" t="s">
        <v>302</v>
      </c>
      <c r="E161" s="25" t="s">
        <v>298</v>
      </c>
      <c r="F161" s="26" t="s">
        <v>328</v>
      </c>
      <c r="G161" s="25" t="s">
        <v>240</v>
      </c>
      <c r="H161" s="10" t="s">
        <v>244</v>
      </c>
      <c r="I161" s="8">
        <v>1167</v>
      </c>
      <c r="J161" s="27">
        <v>78</v>
      </c>
      <c r="K161" s="28">
        <f>I161*J161</f>
        <v>91026</v>
      </c>
      <c r="O161" s="31"/>
      <c r="P161" s="36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spans="1:33" s="5" customFormat="1" x14ac:dyDescent="0.3">
      <c r="A162" s="29"/>
      <c r="B162" s="10">
        <f t="shared" si="7"/>
        <v>160</v>
      </c>
      <c r="C162" s="25">
        <v>46168</v>
      </c>
      <c r="D162" s="25" t="s">
        <v>302</v>
      </c>
      <c r="E162" s="25" t="s">
        <v>298</v>
      </c>
      <c r="F162" s="26" t="s">
        <v>329</v>
      </c>
      <c r="G162" s="25" t="s">
        <v>240</v>
      </c>
      <c r="H162" s="10" t="s">
        <v>244</v>
      </c>
      <c r="I162" s="8">
        <v>833</v>
      </c>
      <c r="J162" s="27">
        <v>78</v>
      </c>
      <c r="K162" s="28">
        <f>I162*J162</f>
        <v>64974</v>
      </c>
      <c r="O162" s="31"/>
      <c r="P162" s="36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spans="1:33" s="5" customFormat="1" x14ac:dyDescent="0.3">
      <c r="A163" s="29"/>
      <c r="B163" s="10">
        <f t="shared" si="7"/>
        <v>161</v>
      </c>
      <c r="C163" s="25">
        <v>46168</v>
      </c>
      <c r="D163" s="25" t="s">
        <v>342</v>
      </c>
      <c r="E163" s="25" t="s">
        <v>300</v>
      </c>
      <c r="F163" s="26"/>
      <c r="G163" s="25" t="s">
        <v>246</v>
      </c>
      <c r="H163" s="10" t="s">
        <v>247</v>
      </c>
      <c r="I163" s="8">
        <v>275</v>
      </c>
      <c r="J163" s="27">
        <v>295</v>
      </c>
      <c r="K163" s="28">
        <f>J163*I163</f>
        <v>81125</v>
      </c>
      <c r="O163" s="31"/>
      <c r="P163" s="36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spans="1:33" s="5" customFormat="1" x14ac:dyDescent="0.3">
      <c r="A164" s="29"/>
      <c r="B164" s="10">
        <f t="shared" si="7"/>
        <v>162</v>
      </c>
      <c r="C164" s="25">
        <v>46169</v>
      </c>
      <c r="D164" s="25" t="s">
        <v>241</v>
      </c>
      <c r="E164" s="25" t="s">
        <v>261</v>
      </c>
      <c r="F164" s="26" t="s">
        <v>262</v>
      </c>
      <c r="G164" s="25" t="s">
        <v>240</v>
      </c>
      <c r="H164" s="10" t="s">
        <v>244</v>
      </c>
      <c r="I164" s="8">
        <v>1600</v>
      </c>
      <c r="J164" s="27">
        <v>78</v>
      </c>
      <c r="K164" s="28">
        <f>SUM(J164*I164)</f>
        <v>124800</v>
      </c>
      <c r="O164" s="31"/>
      <c r="P164" s="36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spans="1:33" s="5" customFormat="1" x14ac:dyDescent="0.3">
      <c r="A165" s="29"/>
      <c r="B165" s="10">
        <f t="shared" si="7"/>
        <v>163</v>
      </c>
      <c r="C165" s="25">
        <v>46169</v>
      </c>
      <c r="D165" s="25" t="s">
        <v>241</v>
      </c>
      <c r="E165" s="25" t="s">
        <v>261</v>
      </c>
      <c r="F165" s="26" t="s">
        <v>263</v>
      </c>
      <c r="G165" s="25" t="s">
        <v>240</v>
      </c>
      <c r="H165" s="10" t="s">
        <v>244</v>
      </c>
      <c r="I165" s="8">
        <v>1100</v>
      </c>
      <c r="J165" s="27">
        <v>78</v>
      </c>
      <c r="K165" s="28">
        <f>SUM(J165*I165)</f>
        <v>85800</v>
      </c>
      <c r="O165" s="31"/>
      <c r="P165" s="36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spans="1:33" s="5" customFormat="1" x14ac:dyDescent="0.3">
      <c r="A166" s="29"/>
      <c r="B166" s="10">
        <f t="shared" si="7"/>
        <v>164</v>
      </c>
      <c r="C166" s="25">
        <v>46170</v>
      </c>
      <c r="D166" s="25" t="s">
        <v>163</v>
      </c>
      <c r="E166" s="25" t="s">
        <v>299</v>
      </c>
      <c r="F166" s="26"/>
      <c r="G166" s="25" t="s">
        <v>240</v>
      </c>
      <c r="H166" s="10" t="s">
        <v>244</v>
      </c>
      <c r="I166" s="8">
        <v>700</v>
      </c>
      <c r="J166" s="27">
        <v>76</v>
      </c>
      <c r="K166" s="28">
        <f>SUM(J166*I166)</f>
        <v>53200</v>
      </c>
      <c r="O166" s="31"/>
      <c r="P166" s="36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spans="1:33" s="5" customFormat="1" x14ac:dyDescent="0.3">
      <c r="A167" s="29"/>
      <c r="B167" s="10">
        <f t="shared" si="7"/>
        <v>165</v>
      </c>
      <c r="C167" s="25">
        <v>46170</v>
      </c>
      <c r="D167" s="25" t="s">
        <v>163</v>
      </c>
      <c r="E167" s="25" t="s">
        <v>301</v>
      </c>
      <c r="F167" s="26"/>
      <c r="G167" s="25" t="s">
        <v>240</v>
      </c>
      <c r="H167" s="10" t="s">
        <v>244</v>
      </c>
      <c r="I167" s="8">
        <v>700</v>
      </c>
      <c r="J167" s="27">
        <v>76</v>
      </c>
      <c r="K167" s="28">
        <f>SUM(J167*I167)</f>
        <v>53200</v>
      </c>
      <c r="O167" s="31"/>
      <c r="P167" s="36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spans="1:33" s="5" customFormat="1" x14ac:dyDescent="0.3">
      <c r="A168" s="29"/>
      <c r="B168" s="10">
        <f t="shared" si="7"/>
        <v>166</v>
      </c>
      <c r="C168" s="25">
        <v>46170</v>
      </c>
      <c r="D168" s="25" t="s">
        <v>302</v>
      </c>
      <c r="E168" s="25" t="s">
        <v>300</v>
      </c>
      <c r="F168" s="26" t="s">
        <v>330</v>
      </c>
      <c r="G168" s="25" t="s">
        <v>240</v>
      </c>
      <c r="H168" s="10" t="s">
        <v>253</v>
      </c>
      <c r="I168" s="8">
        <v>2000</v>
      </c>
      <c r="J168" s="27">
        <v>58.5</v>
      </c>
      <c r="K168" s="28">
        <f>I168*J168</f>
        <v>117000</v>
      </c>
      <c r="O168" s="31"/>
      <c r="P168" s="36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spans="1:33" s="5" customFormat="1" x14ac:dyDescent="0.3">
      <c r="A169" s="29"/>
      <c r="B169" s="10">
        <f t="shared" si="7"/>
        <v>167</v>
      </c>
      <c r="C169" s="25">
        <v>46170</v>
      </c>
      <c r="D169" s="25" t="s">
        <v>342</v>
      </c>
      <c r="E169" s="25" t="s">
        <v>345</v>
      </c>
      <c r="F169" s="26"/>
      <c r="G169" s="25" t="s">
        <v>246</v>
      </c>
      <c r="H169" s="10" t="s">
        <v>247</v>
      </c>
      <c r="I169" s="8">
        <v>275</v>
      </c>
      <c r="J169" s="27">
        <v>295</v>
      </c>
      <c r="K169" s="28">
        <f>J169*I169</f>
        <v>81125</v>
      </c>
      <c r="O169" s="31"/>
      <c r="P169" s="36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spans="1:33" s="5" customFormat="1" x14ac:dyDescent="0.3">
      <c r="A170" s="29"/>
      <c r="B170" s="10">
        <f t="shared" si="7"/>
        <v>168</v>
      </c>
      <c r="C170" s="25">
        <v>46172</v>
      </c>
      <c r="D170" s="25" t="s">
        <v>241</v>
      </c>
      <c r="E170" s="25" t="s">
        <v>257</v>
      </c>
      <c r="F170" s="26" t="s">
        <v>260</v>
      </c>
      <c r="G170" s="25" t="s">
        <v>240</v>
      </c>
      <c r="H170" s="10" t="s">
        <v>253</v>
      </c>
      <c r="I170" s="8">
        <v>1450</v>
      </c>
      <c r="J170" s="27">
        <v>58.5</v>
      </c>
      <c r="K170" s="28">
        <f>SUM(J170*I170)</f>
        <v>84825</v>
      </c>
      <c r="O170" s="31"/>
      <c r="P170" s="36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spans="1:33" s="5" customFormat="1" x14ac:dyDescent="0.3">
      <c r="A171" s="29"/>
      <c r="B171" s="10">
        <f t="shared" si="7"/>
        <v>169</v>
      </c>
      <c r="C171" s="25">
        <v>46172</v>
      </c>
      <c r="D171" s="25" t="s">
        <v>302</v>
      </c>
      <c r="E171" s="25" t="s">
        <v>322</v>
      </c>
      <c r="F171" s="26" t="s">
        <v>331</v>
      </c>
      <c r="G171" s="25" t="s">
        <v>240</v>
      </c>
      <c r="H171" s="10" t="s">
        <v>244</v>
      </c>
      <c r="I171" s="8">
        <v>1000</v>
      </c>
      <c r="J171" s="27">
        <v>78</v>
      </c>
      <c r="K171" s="28">
        <f>I171*J171</f>
        <v>78000</v>
      </c>
      <c r="O171" s="31"/>
      <c r="P171" s="36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spans="1:33" s="5" customFormat="1" x14ac:dyDescent="0.3">
      <c r="A172" s="29"/>
      <c r="B172" s="10">
        <f t="shared" si="7"/>
        <v>170</v>
      </c>
      <c r="C172" s="25">
        <v>46172</v>
      </c>
      <c r="D172" s="25" t="s">
        <v>302</v>
      </c>
      <c r="E172" s="25" t="s">
        <v>322</v>
      </c>
      <c r="F172" s="26" t="s">
        <v>332</v>
      </c>
      <c r="G172" s="25" t="s">
        <v>240</v>
      </c>
      <c r="H172" s="10" t="s">
        <v>244</v>
      </c>
      <c r="I172" s="8">
        <v>500</v>
      </c>
      <c r="J172" s="27">
        <v>78</v>
      </c>
      <c r="K172" s="28">
        <f>I172*J172</f>
        <v>39000</v>
      </c>
      <c r="O172" s="31"/>
      <c r="P172" s="36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spans="1:33" s="5" customFormat="1" x14ac:dyDescent="0.3">
      <c r="A173" s="29"/>
      <c r="B173" s="10">
        <f t="shared" si="7"/>
        <v>171</v>
      </c>
      <c r="C173" s="25">
        <v>46172</v>
      </c>
      <c r="D173" s="25" t="s">
        <v>302</v>
      </c>
      <c r="E173" s="25" t="s">
        <v>322</v>
      </c>
      <c r="F173" s="26" t="s">
        <v>332</v>
      </c>
      <c r="G173" s="25" t="s">
        <v>240</v>
      </c>
      <c r="H173" s="10" t="s">
        <v>253</v>
      </c>
      <c r="I173" s="8">
        <v>750</v>
      </c>
      <c r="J173" s="27">
        <v>58.5</v>
      </c>
      <c r="K173" s="28">
        <f>I173*J173</f>
        <v>43875</v>
      </c>
      <c r="O173" s="31"/>
      <c r="P173" s="36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spans="1:33" s="5" customFormat="1" x14ac:dyDescent="0.3">
      <c r="A174" s="29"/>
      <c r="B174" s="10">
        <f t="shared" si="7"/>
        <v>172</v>
      </c>
      <c r="C174" s="25">
        <v>46172</v>
      </c>
      <c r="D174" s="25" t="s">
        <v>302</v>
      </c>
      <c r="E174" s="25" t="s">
        <v>250</v>
      </c>
      <c r="F174" s="26" t="s">
        <v>333</v>
      </c>
      <c r="G174" s="25" t="s">
        <v>240</v>
      </c>
      <c r="H174" s="10" t="s">
        <v>253</v>
      </c>
      <c r="I174" s="8">
        <v>1000</v>
      </c>
      <c r="J174" s="27">
        <v>58.5</v>
      </c>
      <c r="K174" s="28">
        <f>I174*J174</f>
        <v>58500</v>
      </c>
      <c r="O174" s="31"/>
      <c r="P174" s="36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spans="1:33" s="5" customFormat="1" x14ac:dyDescent="0.3">
      <c r="A175" s="29"/>
      <c r="B175" s="10">
        <f t="shared" si="7"/>
        <v>173</v>
      </c>
      <c r="C175" s="25">
        <v>46172</v>
      </c>
      <c r="D175" s="25" t="s">
        <v>302</v>
      </c>
      <c r="E175" s="25" t="s">
        <v>250</v>
      </c>
      <c r="F175" s="26" t="s">
        <v>333</v>
      </c>
      <c r="G175" s="25" t="s">
        <v>240</v>
      </c>
      <c r="H175" s="10" t="s">
        <v>244</v>
      </c>
      <c r="I175" s="8">
        <v>600</v>
      </c>
      <c r="J175" s="27">
        <v>78</v>
      </c>
      <c r="K175" s="28">
        <f>I175*J175</f>
        <v>46800</v>
      </c>
      <c r="O175" s="31"/>
      <c r="P175" s="36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spans="1:33" s="5" customFormat="1" x14ac:dyDescent="0.3">
      <c r="A176" s="29"/>
      <c r="B176" s="10">
        <f t="shared" si="7"/>
        <v>174</v>
      </c>
      <c r="C176" s="25">
        <v>46173</v>
      </c>
      <c r="D176" s="25" t="s">
        <v>163</v>
      </c>
      <c r="E176" s="25" t="s">
        <v>250</v>
      </c>
      <c r="F176" s="26"/>
      <c r="G176" s="25" t="s">
        <v>240</v>
      </c>
      <c r="H176" s="10" t="s">
        <v>253</v>
      </c>
      <c r="I176" s="8">
        <v>1000</v>
      </c>
      <c r="J176" s="27">
        <v>58</v>
      </c>
      <c r="K176" s="28">
        <f>SUM(J176*I176)</f>
        <v>58000</v>
      </c>
      <c r="O176" s="31"/>
      <c r="P176" s="36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spans="1:33" s="5" customFormat="1" x14ac:dyDescent="0.3">
      <c r="A177" s="29"/>
      <c r="B177" s="10">
        <f t="shared" si="7"/>
        <v>175</v>
      </c>
      <c r="C177" s="25">
        <v>46173</v>
      </c>
      <c r="D177" s="25" t="s">
        <v>302</v>
      </c>
      <c r="E177" s="25" t="s">
        <v>250</v>
      </c>
      <c r="F177" s="26" t="s">
        <v>334</v>
      </c>
      <c r="G177" s="25" t="s">
        <v>240</v>
      </c>
      <c r="H177" s="10" t="s">
        <v>244</v>
      </c>
      <c r="I177" s="8">
        <v>1400</v>
      </c>
      <c r="J177" s="27">
        <v>78</v>
      </c>
      <c r="K177" s="28">
        <f>I177*J177</f>
        <v>109200</v>
      </c>
      <c r="O177" s="31"/>
      <c r="P177" s="36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spans="1:33" s="5" customFormat="1" x14ac:dyDescent="0.3">
      <c r="A178" s="29"/>
      <c r="B178" s="10">
        <f t="shared" si="7"/>
        <v>176</v>
      </c>
      <c r="C178" s="25">
        <v>46174</v>
      </c>
      <c r="D178" s="25" t="s">
        <v>163</v>
      </c>
      <c r="E178" s="25" t="s">
        <v>270</v>
      </c>
      <c r="F178" s="26"/>
      <c r="G178" s="25" t="s">
        <v>240</v>
      </c>
      <c r="H178" s="10" t="s">
        <v>253</v>
      </c>
      <c r="I178" s="8">
        <v>1000</v>
      </c>
      <c r="J178" s="27">
        <v>58</v>
      </c>
      <c r="K178" s="28">
        <f>SUM(J178*I178)</f>
        <v>58000</v>
      </c>
      <c r="O178" s="31"/>
      <c r="P178" s="36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spans="1:33" s="5" customFormat="1" x14ac:dyDescent="0.3">
      <c r="A179" s="29"/>
      <c r="B179" s="10">
        <f t="shared" si="7"/>
        <v>177</v>
      </c>
      <c r="C179" s="25">
        <v>46174</v>
      </c>
      <c r="D179" s="25" t="s">
        <v>163</v>
      </c>
      <c r="E179" s="25" t="s">
        <v>300</v>
      </c>
      <c r="F179" s="26"/>
      <c r="G179" s="25" t="s">
        <v>240</v>
      </c>
      <c r="H179" s="10" t="s">
        <v>244</v>
      </c>
      <c r="I179" s="8">
        <v>700</v>
      </c>
      <c r="J179" s="27">
        <v>78</v>
      </c>
      <c r="K179" s="28">
        <f>SUM(J179*I179)</f>
        <v>54600</v>
      </c>
      <c r="O179" s="31"/>
      <c r="P179" s="36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spans="1:33" s="5" customFormat="1" x14ac:dyDescent="0.3">
      <c r="A180" s="29"/>
      <c r="B180" s="10">
        <f t="shared" si="7"/>
        <v>178</v>
      </c>
      <c r="C180" s="25">
        <v>46174</v>
      </c>
      <c r="D180" s="25" t="s">
        <v>302</v>
      </c>
      <c r="E180" s="25" t="s">
        <v>316</v>
      </c>
      <c r="F180" s="26" t="s">
        <v>335</v>
      </c>
      <c r="G180" s="25" t="s">
        <v>240</v>
      </c>
      <c r="H180" s="10" t="s">
        <v>244</v>
      </c>
      <c r="I180" s="8">
        <v>1400</v>
      </c>
      <c r="J180" s="27">
        <v>80</v>
      </c>
      <c r="K180" s="28">
        <f t="shared" ref="K180:K185" si="8">I180*J180</f>
        <v>112000</v>
      </c>
      <c r="O180" s="31"/>
      <c r="P180" s="36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spans="1:33" s="5" customFormat="1" x14ac:dyDescent="0.3">
      <c r="A181" s="29"/>
      <c r="B181" s="10">
        <f t="shared" si="7"/>
        <v>179</v>
      </c>
      <c r="C181" s="25">
        <v>46174</v>
      </c>
      <c r="D181" s="25" t="s">
        <v>302</v>
      </c>
      <c r="E181" s="25" t="s">
        <v>316</v>
      </c>
      <c r="F181" s="26" t="s">
        <v>336</v>
      </c>
      <c r="G181" s="25" t="s">
        <v>240</v>
      </c>
      <c r="H181" s="10" t="s">
        <v>244</v>
      </c>
      <c r="I181" s="8">
        <v>600</v>
      </c>
      <c r="J181" s="27">
        <v>80</v>
      </c>
      <c r="K181" s="28">
        <f t="shared" si="8"/>
        <v>48000</v>
      </c>
      <c r="O181" s="31"/>
      <c r="P181" s="36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spans="1:33" s="5" customFormat="1" x14ac:dyDescent="0.3">
      <c r="A182" s="29"/>
      <c r="B182" s="10">
        <f t="shared" si="7"/>
        <v>180</v>
      </c>
      <c r="C182" s="25">
        <v>46174</v>
      </c>
      <c r="D182" s="25" t="s">
        <v>302</v>
      </c>
      <c r="E182" s="25" t="s">
        <v>316</v>
      </c>
      <c r="F182" s="26" t="s">
        <v>336</v>
      </c>
      <c r="G182" s="25" t="s">
        <v>240</v>
      </c>
      <c r="H182" s="10" t="s">
        <v>253</v>
      </c>
      <c r="I182" s="8">
        <v>1000</v>
      </c>
      <c r="J182" s="27">
        <v>60</v>
      </c>
      <c r="K182" s="28">
        <f t="shared" si="8"/>
        <v>60000</v>
      </c>
      <c r="O182" s="31"/>
      <c r="P182" s="36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spans="1:33" s="5" customFormat="1" x14ac:dyDescent="0.3">
      <c r="A183" s="29"/>
      <c r="B183" s="10">
        <f t="shared" si="7"/>
        <v>181</v>
      </c>
      <c r="C183" s="25">
        <v>46174</v>
      </c>
      <c r="D183" s="25" t="s">
        <v>302</v>
      </c>
      <c r="E183" s="25" t="s">
        <v>337</v>
      </c>
      <c r="F183" s="26" t="s">
        <v>338</v>
      </c>
      <c r="G183" s="25" t="s">
        <v>240</v>
      </c>
      <c r="H183" s="10" t="s">
        <v>244</v>
      </c>
      <c r="I183" s="8">
        <v>1400</v>
      </c>
      <c r="J183" s="27">
        <v>78</v>
      </c>
      <c r="K183" s="28">
        <f t="shared" si="8"/>
        <v>109200</v>
      </c>
      <c r="O183" s="31"/>
      <c r="P183" s="36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spans="1:33" s="5" customFormat="1" x14ac:dyDescent="0.3">
      <c r="A184" s="29"/>
      <c r="B184" s="10">
        <f t="shared" si="7"/>
        <v>182</v>
      </c>
      <c r="C184" s="25">
        <v>46174</v>
      </c>
      <c r="D184" s="25" t="s">
        <v>302</v>
      </c>
      <c r="E184" s="25" t="s">
        <v>337</v>
      </c>
      <c r="F184" s="26" t="s">
        <v>339</v>
      </c>
      <c r="G184" s="25" t="s">
        <v>240</v>
      </c>
      <c r="H184" s="10" t="s">
        <v>244</v>
      </c>
      <c r="I184" s="8">
        <v>600</v>
      </c>
      <c r="J184" s="27">
        <v>78</v>
      </c>
      <c r="K184" s="28">
        <f t="shared" si="8"/>
        <v>46800</v>
      </c>
      <c r="O184" s="31"/>
      <c r="P184" s="36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spans="1:33" s="5" customFormat="1" x14ac:dyDescent="0.3">
      <c r="A185" s="29"/>
      <c r="B185" s="10">
        <f t="shared" si="7"/>
        <v>183</v>
      </c>
      <c r="C185" s="25">
        <v>46174</v>
      </c>
      <c r="D185" s="25" t="s">
        <v>302</v>
      </c>
      <c r="E185" s="25" t="s">
        <v>337</v>
      </c>
      <c r="F185" s="26" t="s">
        <v>339</v>
      </c>
      <c r="G185" s="25" t="s">
        <v>240</v>
      </c>
      <c r="H185" s="10" t="s">
        <v>253</v>
      </c>
      <c r="I185" s="8">
        <v>1000</v>
      </c>
      <c r="J185" s="27">
        <v>58.5</v>
      </c>
      <c r="K185" s="28">
        <f t="shared" si="8"/>
        <v>58500</v>
      </c>
      <c r="O185" s="31"/>
      <c r="P185" s="36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spans="1:33" s="5" customFormat="1" x14ac:dyDescent="0.3">
      <c r="A186" s="29"/>
      <c r="B186" s="10">
        <f t="shared" si="7"/>
        <v>184</v>
      </c>
      <c r="C186" s="25">
        <v>46174</v>
      </c>
      <c r="D186" s="25" t="s">
        <v>2383</v>
      </c>
      <c r="E186" s="25" t="s">
        <v>300</v>
      </c>
      <c r="F186" s="26">
        <v>403</v>
      </c>
      <c r="G186" s="25" t="s">
        <v>240</v>
      </c>
      <c r="H186" s="10" t="s">
        <v>244</v>
      </c>
      <c r="I186" s="8">
        <v>1800</v>
      </c>
      <c r="J186" s="27">
        <v>76</v>
      </c>
      <c r="K186" s="28">
        <f>J186*I186</f>
        <v>136800</v>
      </c>
      <c r="O186" s="31"/>
      <c r="P186" s="36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spans="1:33" s="5" customFormat="1" x14ac:dyDescent="0.3">
      <c r="A187" s="29"/>
      <c r="B187" s="10">
        <f t="shared" si="7"/>
        <v>185</v>
      </c>
      <c r="C187" s="25">
        <v>46174</v>
      </c>
      <c r="D187" s="25" t="s">
        <v>2383</v>
      </c>
      <c r="E187" s="25" t="s">
        <v>2584</v>
      </c>
      <c r="F187" s="26">
        <v>409</v>
      </c>
      <c r="G187" s="25" t="s">
        <v>240</v>
      </c>
      <c r="H187" s="10" t="s">
        <v>244</v>
      </c>
      <c r="I187" s="8">
        <v>1800</v>
      </c>
      <c r="J187" s="27">
        <v>76</v>
      </c>
      <c r="K187" s="28">
        <f>J187*I187</f>
        <v>136800</v>
      </c>
      <c r="O187" s="31"/>
      <c r="P187" s="36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spans="1:33" s="5" customFormat="1" x14ac:dyDescent="0.3">
      <c r="A188" s="29"/>
      <c r="B188" s="10">
        <f t="shared" si="7"/>
        <v>186</v>
      </c>
      <c r="C188" s="25">
        <v>46175</v>
      </c>
      <c r="D188" s="25" t="s">
        <v>241</v>
      </c>
      <c r="E188" s="25" t="s">
        <v>257</v>
      </c>
      <c r="F188" s="26" t="s">
        <v>258</v>
      </c>
      <c r="G188" s="25" t="s">
        <v>240</v>
      </c>
      <c r="H188" s="10" t="s">
        <v>244</v>
      </c>
      <c r="I188" s="8">
        <v>1100</v>
      </c>
      <c r="J188" s="27">
        <v>78</v>
      </c>
      <c r="K188" s="28">
        <f>SUM(J188*I188)</f>
        <v>85800</v>
      </c>
      <c r="O188" s="31"/>
      <c r="P188" s="36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spans="1:33" s="5" customFormat="1" x14ac:dyDescent="0.3">
      <c r="A189" s="29"/>
      <c r="B189" s="10">
        <f t="shared" si="7"/>
        <v>187</v>
      </c>
      <c r="C189" s="25">
        <v>46175</v>
      </c>
      <c r="D189" s="25" t="s">
        <v>241</v>
      </c>
      <c r="E189" s="25" t="s">
        <v>257</v>
      </c>
      <c r="F189" s="26" t="s">
        <v>259</v>
      </c>
      <c r="G189" s="25" t="s">
        <v>240</v>
      </c>
      <c r="H189" s="10" t="s">
        <v>244</v>
      </c>
      <c r="I189" s="8">
        <v>1100</v>
      </c>
      <c r="J189" s="27">
        <v>78</v>
      </c>
      <c r="K189" s="28">
        <f>SUM(J189*I189)</f>
        <v>85800</v>
      </c>
      <c r="O189" s="31"/>
      <c r="P189" s="36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spans="1:33" s="5" customFormat="1" x14ac:dyDescent="0.3">
      <c r="A190" s="29"/>
      <c r="B190" s="10">
        <f t="shared" si="7"/>
        <v>188</v>
      </c>
      <c r="C190" s="25">
        <v>46175</v>
      </c>
      <c r="D190" s="25" t="s">
        <v>163</v>
      </c>
      <c r="E190" s="25" t="s">
        <v>270</v>
      </c>
      <c r="F190" s="26"/>
      <c r="G190" s="25" t="s">
        <v>240</v>
      </c>
      <c r="H190" s="10" t="s">
        <v>244</v>
      </c>
      <c r="I190" s="8">
        <v>700</v>
      </c>
      <c r="J190" s="27">
        <v>76</v>
      </c>
      <c r="K190" s="28">
        <f>SUM(J190*I190)</f>
        <v>53200</v>
      </c>
      <c r="O190" s="31"/>
      <c r="P190" s="36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spans="1:33" s="5" customFormat="1" x14ac:dyDescent="0.3">
      <c r="A191" s="29"/>
      <c r="B191" s="10">
        <f t="shared" si="7"/>
        <v>189</v>
      </c>
      <c r="C191" s="25">
        <v>46175</v>
      </c>
      <c r="D191" s="25" t="s">
        <v>163</v>
      </c>
      <c r="E191" s="25" t="s">
        <v>270</v>
      </c>
      <c r="F191" s="26"/>
      <c r="G191" s="25" t="s">
        <v>240</v>
      </c>
      <c r="H191" s="10" t="s">
        <v>244</v>
      </c>
      <c r="I191" s="8">
        <v>700</v>
      </c>
      <c r="J191" s="27">
        <v>76</v>
      </c>
      <c r="K191" s="28">
        <f>SUM(J191*I191)</f>
        <v>53200</v>
      </c>
      <c r="O191" s="31"/>
      <c r="P191" s="36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spans="1:33" s="5" customFormat="1" x14ac:dyDescent="0.3">
      <c r="A192" s="29"/>
      <c r="B192" s="10">
        <f t="shared" si="7"/>
        <v>190</v>
      </c>
      <c r="C192" s="25">
        <v>46175</v>
      </c>
      <c r="D192" s="25" t="s">
        <v>342</v>
      </c>
      <c r="E192" s="25" t="s">
        <v>546</v>
      </c>
      <c r="F192" s="26" t="s">
        <v>2343</v>
      </c>
      <c r="G192" s="25" t="s">
        <v>347</v>
      </c>
      <c r="H192" s="10" t="s">
        <v>348</v>
      </c>
      <c r="I192" s="8">
        <v>13130</v>
      </c>
      <c r="J192" s="27">
        <f>K192/I192</f>
        <v>62.215613099771517</v>
      </c>
      <c r="K192" s="28">
        <v>816891</v>
      </c>
      <c r="O192" s="31"/>
      <c r="P192" s="36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spans="1:33" s="5" customFormat="1" x14ac:dyDescent="0.3">
      <c r="A193" s="29"/>
      <c r="B193" s="10">
        <f t="shared" si="7"/>
        <v>191</v>
      </c>
      <c r="C193" s="25">
        <v>46175</v>
      </c>
      <c r="D193" s="25" t="s">
        <v>2383</v>
      </c>
      <c r="E193" s="25" t="s">
        <v>2584</v>
      </c>
      <c r="F193" s="26">
        <v>413</v>
      </c>
      <c r="G193" s="25" t="s">
        <v>240</v>
      </c>
      <c r="H193" s="10" t="s">
        <v>244</v>
      </c>
      <c r="I193" s="8">
        <v>1800</v>
      </c>
      <c r="J193" s="27">
        <v>76</v>
      </c>
      <c r="K193" s="28">
        <f>J193*I193</f>
        <v>136800</v>
      </c>
      <c r="O193" s="31"/>
      <c r="P193" s="36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spans="1:33" s="5" customFormat="1" x14ac:dyDescent="0.3">
      <c r="A194" s="29"/>
      <c r="B194" s="10">
        <f t="shared" si="7"/>
        <v>192</v>
      </c>
      <c r="C194" s="25">
        <v>46175</v>
      </c>
      <c r="D194" s="25" t="s">
        <v>2383</v>
      </c>
      <c r="E194" s="25" t="s">
        <v>498</v>
      </c>
      <c r="F194" s="26">
        <v>455</v>
      </c>
      <c r="G194" s="25" t="s">
        <v>240</v>
      </c>
      <c r="H194" s="10" t="s">
        <v>244</v>
      </c>
      <c r="I194" s="8">
        <v>1800</v>
      </c>
      <c r="J194" s="27">
        <v>76</v>
      </c>
      <c r="K194" s="28">
        <f>J194*I194</f>
        <v>136800</v>
      </c>
      <c r="O194" s="31"/>
      <c r="P194" s="36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spans="1:33" s="5" customFormat="1" x14ac:dyDescent="0.3">
      <c r="A195" s="29"/>
      <c r="B195" s="10">
        <f t="shared" si="7"/>
        <v>193</v>
      </c>
      <c r="C195" s="25">
        <v>46176</v>
      </c>
      <c r="D195" s="25" t="s">
        <v>241</v>
      </c>
      <c r="E195" s="25" t="s">
        <v>254</v>
      </c>
      <c r="F195" s="26" t="s">
        <v>255</v>
      </c>
      <c r="G195" s="25" t="s">
        <v>240</v>
      </c>
      <c r="H195" s="10" t="s">
        <v>244</v>
      </c>
      <c r="I195" s="8">
        <v>1100</v>
      </c>
      <c r="J195" s="27">
        <v>78</v>
      </c>
      <c r="K195" s="28">
        <f>SUM(J195*I195)</f>
        <v>85800</v>
      </c>
      <c r="O195" s="31"/>
      <c r="P195" s="36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spans="1:33" s="5" customFormat="1" x14ac:dyDescent="0.3">
      <c r="A196" s="29"/>
      <c r="B196" s="10">
        <f t="shared" si="7"/>
        <v>194</v>
      </c>
      <c r="C196" s="25">
        <v>46176</v>
      </c>
      <c r="D196" s="25" t="s">
        <v>241</v>
      </c>
      <c r="E196" s="25" t="s">
        <v>254</v>
      </c>
      <c r="F196" s="26" t="s">
        <v>256</v>
      </c>
      <c r="G196" s="25" t="s">
        <v>240</v>
      </c>
      <c r="H196" s="10" t="s">
        <v>253</v>
      </c>
      <c r="I196" s="8">
        <v>600</v>
      </c>
      <c r="J196" s="27">
        <v>58.5</v>
      </c>
      <c r="K196" s="28">
        <f>SUM(J196*I196)</f>
        <v>35100</v>
      </c>
      <c r="O196" s="31"/>
      <c r="P196" s="36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spans="1:33" s="5" customFormat="1" x14ac:dyDescent="0.3">
      <c r="A197" s="29"/>
      <c r="B197" s="10">
        <f t="shared" ref="B197:B260" si="9">+B196+1</f>
        <v>195</v>
      </c>
      <c r="C197" s="25">
        <v>46176</v>
      </c>
      <c r="D197" s="25" t="s">
        <v>241</v>
      </c>
      <c r="E197" s="25" t="s">
        <v>254</v>
      </c>
      <c r="F197" s="26" t="s">
        <v>256</v>
      </c>
      <c r="G197" s="25" t="s">
        <v>240</v>
      </c>
      <c r="H197" s="10" t="s">
        <v>244</v>
      </c>
      <c r="I197" s="8">
        <v>1000</v>
      </c>
      <c r="J197" s="27">
        <v>78</v>
      </c>
      <c r="K197" s="28">
        <f>SUM(J197*I197)</f>
        <v>78000</v>
      </c>
      <c r="O197" s="31"/>
      <c r="P197" s="36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spans="1:33" s="5" customFormat="1" x14ac:dyDescent="0.3">
      <c r="A198" s="29"/>
      <c r="B198" s="10">
        <f t="shared" si="9"/>
        <v>196</v>
      </c>
      <c r="C198" s="25">
        <v>46177</v>
      </c>
      <c r="D198" s="25" t="s">
        <v>302</v>
      </c>
      <c r="E198" s="25" t="s">
        <v>498</v>
      </c>
      <c r="F198" s="26"/>
      <c r="G198" s="25" t="s">
        <v>240</v>
      </c>
      <c r="H198" s="10" t="s">
        <v>244</v>
      </c>
      <c r="I198" s="8">
        <v>1400</v>
      </c>
      <c r="J198" s="27">
        <v>80</v>
      </c>
      <c r="K198" s="28">
        <f>J198*I198</f>
        <v>112000</v>
      </c>
      <c r="O198" s="31"/>
      <c r="P198" s="36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spans="1:33" s="5" customFormat="1" x14ac:dyDescent="0.3">
      <c r="A199" s="29"/>
      <c r="B199" s="10">
        <f t="shared" si="9"/>
        <v>197</v>
      </c>
      <c r="C199" s="25">
        <v>46177</v>
      </c>
      <c r="D199" s="25" t="s">
        <v>302</v>
      </c>
      <c r="E199" s="25" t="s">
        <v>498</v>
      </c>
      <c r="F199" s="26"/>
      <c r="G199" s="25" t="s">
        <v>240</v>
      </c>
      <c r="H199" s="10" t="s">
        <v>244</v>
      </c>
      <c r="I199" s="8">
        <v>600</v>
      </c>
      <c r="J199" s="27">
        <v>80</v>
      </c>
      <c r="K199" s="28">
        <f>J199*I199</f>
        <v>48000</v>
      </c>
      <c r="O199" s="31"/>
      <c r="P199" s="36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spans="1:33" s="5" customFormat="1" x14ac:dyDescent="0.3">
      <c r="A200" s="29"/>
      <c r="B200" s="10">
        <f t="shared" si="9"/>
        <v>198</v>
      </c>
      <c r="C200" s="25">
        <v>46177</v>
      </c>
      <c r="D200" s="25" t="s">
        <v>302</v>
      </c>
      <c r="E200" s="25" t="s">
        <v>498</v>
      </c>
      <c r="F200" s="26"/>
      <c r="G200" s="25" t="s">
        <v>240</v>
      </c>
      <c r="H200" s="10" t="s">
        <v>253</v>
      </c>
      <c r="I200" s="8">
        <v>1000</v>
      </c>
      <c r="J200" s="27">
        <v>60</v>
      </c>
      <c r="K200" s="28">
        <f>J200*I200</f>
        <v>60000</v>
      </c>
      <c r="O200" s="31"/>
      <c r="P200" s="36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spans="1:33" s="5" customFormat="1" x14ac:dyDescent="0.3">
      <c r="A201" s="29"/>
      <c r="B201" s="10">
        <f t="shared" si="9"/>
        <v>199</v>
      </c>
      <c r="C201" s="25">
        <v>46178</v>
      </c>
      <c r="D201" s="25" t="s">
        <v>342</v>
      </c>
      <c r="E201" s="25" t="s">
        <v>322</v>
      </c>
      <c r="F201" s="26" t="s">
        <v>364</v>
      </c>
      <c r="G201" s="25" t="s">
        <v>246</v>
      </c>
      <c r="H201" s="10" t="s">
        <v>247</v>
      </c>
      <c r="I201" s="8">
        <v>450</v>
      </c>
      <c r="J201" s="27">
        <v>310</v>
      </c>
      <c r="K201" s="28">
        <f>J201*I201</f>
        <v>139500</v>
      </c>
      <c r="O201" s="31"/>
      <c r="P201" s="36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spans="1:33" s="5" customFormat="1" x14ac:dyDescent="0.3">
      <c r="A202" s="29"/>
      <c r="B202" s="10">
        <f t="shared" si="9"/>
        <v>200</v>
      </c>
      <c r="C202" s="25">
        <v>46178</v>
      </c>
      <c r="D202" s="25" t="s">
        <v>342</v>
      </c>
      <c r="E202" s="25" t="s">
        <v>2344</v>
      </c>
      <c r="F202" s="26" t="s">
        <v>365</v>
      </c>
      <c r="G202" s="25" t="s">
        <v>246</v>
      </c>
      <c r="H202" s="10" t="s">
        <v>247</v>
      </c>
      <c r="I202" s="8">
        <v>240</v>
      </c>
      <c r="J202" s="27">
        <v>310</v>
      </c>
      <c r="K202" s="28">
        <f>J202*I202</f>
        <v>74400</v>
      </c>
      <c r="O202" s="31"/>
      <c r="P202" s="36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spans="1:33" s="5" customFormat="1" x14ac:dyDescent="0.3">
      <c r="A203" s="29"/>
      <c r="B203" s="10">
        <f t="shared" si="9"/>
        <v>201</v>
      </c>
      <c r="C203" s="25">
        <v>46179</v>
      </c>
      <c r="D203" s="25" t="s">
        <v>241</v>
      </c>
      <c r="E203" s="25" t="s">
        <v>250</v>
      </c>
      <c r="F203" s="26" t="s">
        <v>251</v>
      </c>
      <c r="G203" s="25" t="s">
        <v>240</v>
      </c>
      <c r="H203" s="10" t="s">
        <v>244</v>
      </c>
      <c r="I203" s="8">
        <v>1600</v>
      </c>
      <c r="J203" s="27">
        <v>78</v>
      </c>
      <c r="K203" s="28">
        <f>SUM(J203*I203)</f>
        <v>124800</v>
      </c>
      <c r="O203" s="31"/>
      <c r="P203" s="36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spans="1:33" s="5" customFormat="1" x14ac:dyDescent="0.3">
      <c r="A204" s="29"/>
      <c r="B204" s="10">
        <f t="shared" si="9"/>
        <v>202</v>
      </c>
      <c r="C204" s="25">
        <v>46179</v>
      </c>
      <c r="D204" s="25" t="s">
        <v>241</v>
      </c>
      <c r="E204" s="25" t="s">
        <v>250</v>
      </c>
      <c r="F204" s="26" t="s">
        <v>252</v>
      </c>
      <c r="G204" s="25" t="s">
        <v>240</v>
      </c>
      <c r="H204" s="10" t="s">
        <v>253</v>
      </c>
      <c r="I204" s="8">
        <v>1000</v>
      </c>
      <c r="J204" s="27">
        <v>58.5</v>
      </c>
      <c r="K204" s="28">
        <f>SUM(J204*I204)</f>
        <v>58500</v>
      </c>
      <c r="O204" s="31"/>
      <c r="P204" s="36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spans="1:33" s="5" customFormat="1" x14ac:dyDescent="0.3">
      <c r="A205" s="29"/>
      <c r="B205" s="10">
        <f t="shared" si="9"/>
        <v>203</v>
      </c>
      <c r="C205" s="25">
        <v>46179</v>
      </c>
      <c r="D205" s="25" t="s">
        <v>241</v>
      </c>
      <c r="E205" s="25" t="s">
        <v>250</v>
      </c>
      <c r="F205" s="26" t="s">
        <v>252</v>
      </c>
      <c r="G205" s="25" t="s">
        <v>240</v>
      </c>
      <c r="H205" s="10" t="s">
        <v>244</v>
      </c>
      <c r="I205" s="8">
        <v>400</v>
      </c>
      <c r="J205" s="27">
        <v>78</v>
      </c>
      <c r="K205" s="28">
        <f>SUM(J205*I205)</f>
        <v>31200</v>
      </c>
      <c r="O205" s="31"/>
      <c r="P205" s="36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spans="1:33" s="5" customFormat="1" x14ac:dyDescent="0.3">
      <c r="A206" s="29"/>
      <c r="B206" s="10">
        <f t="shared" si="9"/>
        <v>204</v>
      </c>
      <c r="C206" s="25">
        <v>46179</v>
      </c>
      <c r="D206" s="25" t="s">
        <v>342</v>
      </c>
      <c r="E206" s="25" t="s">
        <v>300</v>
      </c>
      <c r="F206" s="26"/>
      <c r="G206" s="25" t="s">
        <v>246</v>
      </c>
      <c r="H206" s="10" t="s">
        <v>247</v>
      </c>
      <c r="I206" s="8">
        <v>275</v>
      </c>
      <c r="J206" s="27">
        <v>310</v>
      </c>
      <c r="K206" s="28">
        <f t="shared" ref="K206:K251" si="10">J206*I206</f>
        <v>85250</v>
      </c>
      <c r="O206" s="31"/>
      <c r="P206" s="36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spans="1:33" s="5" customFormat="1" x14ac:dyDescent="0.3">
      <c r="A207" s="29"/>
      <c r="B207" s="10">
        <f t="shared" si="9"/>
        <v>205</v>
      </c>
      <c r="C207" s="25">
        <v>46180</v>
      </c>
      <c r="D207" s="25" t="s">
        <v>163</v>
      </c>
      <c r="E207" s="25" t="s">
        <v>299</v>
      </c>
      <c r="F207" s="26"/>
      <c r="G207" s="25" t="s">
        <v>240</v>
      </c>
      <c r="H207" s="10" t="s">
        <v>244</v>
      </c>
      <c r="I207" s="8">
        <v>700</v>
      </c>
      <c r="J207" s="27">
        <v>76</v>
      </c>
      <c r="K207" s="28">
        <f t="shared" si="10"/>
        <v>53200</v>
      </c>
      <c r="O207" s="31"/>
      <c r="P207" s="36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spans="1:33" s="5" customFormat="1" x14ac:dyDescent="0.3">
      <c r="A208" s="29"/>
      <c r="B208" s="10">
        <f t="shared" si="9"/>
        <v>206</v>
      </c>
      <c r="C208" s="25">
        <v>46180</v>
      </c>
      <c r="D208" s="25" t="s">
        <v>163</v>
      </c>
      <c r="E208" s="25" t="s">
        <v>299</v>
      </c>
      <c r="F208" s="26"/>
      <c r="G208" s="25" t="s">
        <v>240</v>
      </c>
      <c r="H208" s="10" t="s">
        <v>244</v>
      </c>
      <c r="I208" s="8">
        <v>700</v>
      </c>
      <c r="J208" s="27">
        <v>76</v>
      </c>
      <c r="K208" s="28">
        <f t="shared" si="10"/>
        <v>53200</v>
      </c>
      <c r="O208" s="31"/>
      <c r="P208" s="36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spans="1:33" s="5" customFormat="1" x14ac:dyDescent="0.3">
      <c r="A209" s="29"/>
      <c r="B209" s="10">
        <f t="shared" si="9"/>
        <v>207</v>
      </c>
      <c r="C209" s="25">
        <v>46180</v>
      </c>
      <c r="D209" s="25" t="s">
        <v>302</v>
      </c>
      <c r="E209" s="25" t="s">
        <v>322</v>
      </c>
      <c r="F209" s="26"/>
      <c r="G209" s="25" t="s">
        <v>240</v>
      </c>
      <c r="H209" s="10" t="s">
        <v>244</v>
      </c>
      <c r="I209" s="8">
        <v>1200</v>
      </c>
      <c r="J209" s="27">
        <v>78</v>
      </c>
      <c r="K209" s="28">
        <f t="shared" si="10"/>
        <v>93600</v>
      </c>
      <c r="O209" s="31"/>
      <c r="P209" s="36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spans="1:33" s="5" customFormat="1" x14ac:dyDescent="0.3">
      <c r="A210" s="29"/>
      <c r="B210" s="10">
        <f t="shared" si="9"/>
        <v>208</v>
      </c>
      <c r="C210" s="25">
        <v>46180</v>
      </c>
      <c r="D210" s="25" t="s">
        <v>302</v>
      </c>
      <c r="E210" s="25" t="s">
        <v>322</v>
      </c>
      <c r="F210" s="26"/>
      <c r="G210" s="25" t="s">
        <v>240</v>
      </c>
      <c r="H210" s="10" t="s">
        <v>253</v>
      </c>
      <c r="I210" s="8">
        <v>250</v>
      </c>
      <c r="J210" s="27">
        <v>58.5</v>
      </c>
      <c r="K210" s="28">
        <f t="shared" si="10"/>
        <v>14625</v>
      </c>
      <c r="O210" s="31"/>
      <c r="P210" s="36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spans="1:33" s="5" customFormat="1" x14ac:dyDescent="0.3">
      <c r="A211" s="29"/>
      <c r="B211" s="10">
        <f t="shared" si="9"/>
        <v>209</v>
      </c>
      <c r="C211" s="25">
        <v>46180</v>
      </c>
      <c r="D211" s="25" t="s">
        <v>302</v>
      </c>
      <c r="E211" s="25" t="s">
        <v>337</v>
      </c>
      <c r="F211" s="26"/>
      <c r="G211" s="25" t="s">
        <v>240</v>
      </c>
      <c r="H211" s="10" t="s">
        <v>244</v>
      </c>
      <c r="I211" s="8">
        <v>1000</v>
      </c>
      <c r="J211" s="27">
        <v>78</v>
      </c>
      <c r="K211" s="28">
        <f t="shared" si="10"/>
        <v>78000</v>
      </c>
      <c r="O211" s="31"/>
      <c r="P211" s="36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spans="1:33" s="5" customFormat="1" x14ac:dyDescent="0.3">
      <c r="A212" s="29"/>
      <c r="B212" s="10">
        <f t="shared" si="9"/>
        <v>210</v>
      </c>
      <c r="C212" s="25">
        <v>46180</v>
      </c>
      <c r="D212" s="25" t="s">
        <v>302</v>
      </c>
      <c r="E212" s="25" t="s">
        <v>337</v>
      </c>
      <c r="F212" s="26"/>
      <c r="G212" s="25" t="s">
        <v>240</v>
      </c>
      <c r="H212" s="10" t="s">
        <v>253</v>
      </c>
      <c r="I212" s="8">
        <v>500</v>
      </c>
      <c r="J212" s="27">
        <v>58.5</v>
      </c>
      <c r="K212" s="28">
        <f t="shared" si="10"/>
        <v>29250</v>
      </c>
      <c r="O212" s="31"/>
      <c r="P212" s="36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spans="1:33" s="5" customFormat="1" x14ac:dyDescent="0.3">
      <c r="A213" s="29"/>
      <c r="B213" s="10">
        <f t="shared" si="9"/>
        <v>211</v>
      </c>
      <c r="C213" s="25">
        <v>46180</v>
      </c>
      <c r="D213" s="25" t="s">
        <v>302</v>
      </c>
      <c r="E213" s="25" t="s">
        <v>675</v>
      </c>
      <c r="F213" s="26"/>
      <c r="G213" s="25" t="s">
        <v>240</v>
      </c>
      <c r="H213" s="10" t="s">
        <v>244</v>
      </c>
      <c r="I213" s="8">
        <v>1200</v>
      </c>
      <c r="J213" s="27">
        <v>78</v>
      </c>
      <c r="K213" s="28">
        <f t="shared" si="10"/>
        <v>93600</v>
      </c>
      <c r="O213" s="31"/>
      <c r="P213" s="36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spans="1:33" s="5" customFormat="1" x14ac:dyDescent="0.3">
      <c r="A214" s="29"/>
      <c r="B214" s="10">
        <f t="shared" si="9"/>
        <v>212</v>
      </c>
      <c r="C214" s="25">
        <v>46180</v>
      </c>
      <c r="D214" s="25" t="s">
        <v>302</v>
      </c>
      <c r="E214" s="25" t="s">
        <v>675</v>
      </c>
      <c r="F214" s="26"/>
      <c r="G214" s="25" t="s">
        <v>240</v>
      </c>
      <c r="H214" s="10" t="s">
        <v>253</v>
      </c>
      <c r="I214" s="8">
        <v>250</v>
      </c>
      <c r="J214" s="27">
        <v>58.5</v>
      </c>
      <c r="K214" s="28">
        <f t="shared" si="10"/>
        <v>14625</v>
      </c>
      <c r="O214" s="31"/>
      <c r="P214" s="36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spans="1:33" s="5" customFormat="1" x14ac:dyDescent="0.3">
      <c r="A215" s="29"/>
      <c r="B215" s="10">
        <f t="shared" si="9"/>
        <v>213</v>
      </c>
      <c r="C215" s="25">
        <v>46180</v>
      </c>
      <c r="D215" s="25" t="s">
        <v>302</v>
      </c>
      <c r="E215" s="25" t="s">
        <v>337</v>
      </c>
      <c r="F215" s="26"/>
      <c r="G215" s="25" t="s">
        <v>240</v>
      </c>
      <c r="H215" s="10" t="s">
        <v>244</v>
      </c>
      <c r="I215" s="8">
        <v>1200</v>
      </c>
      <c r="J215" s="27">
        <v>78</v>
      </c>
      <c r="K215" s="28">
        <f t="shared" si="10"/>
        <v>93600</v>
      </c>
      <c r="O215" s="31"/>
      <c r="P215" s="36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spans="1:33" s="5" customFormat="1" x14ac:dyDescent="0.3">
      <c r="A216" s="29"/>
      <c r="B216" s="10">
        <f t="shared" si="9"/>
        <v>214</v>
      </c>
      <c r="C216" s="25">
        <v>46180</v>
      </c>
      <c r="D216" s="25" t="s">
        <v>302</v>
      </c>
      <c r="E216" s="25" t="s">
        <v>337</v>
      </c>
      <c r="F216" s="26"/>
      <c r="G216" s="25" t="s">
        <v>240</v>
      </c>
      <c r="H216" s="10" t="s">
        <v>253</v>
      </c>
      <c r="I216" s="8">
        <v>250</v>
      </c>
      <c r="J216" s="27">
        <v>58.5</v>
      </c>
      <c r="K216" s="28">
        <f t="shared" si="10"/>
        <v>14625</v>
      </c>
      <c r="O216" s="31"/>
      <c r="P216" s="36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spans="1:33" s="5" customFormat="1" x14ac:dyDescent="0.3">
      <c r="A217" s="29"/>
      <c r="B217" s="10">
        <f t="shared" si="9"/>
        <v>215</v>
      </c>
      <c r="C217" s="25">
        <v>46181</v>
      </c>
      <c r="D217" s="25" t="s">
        <v>342</v>
      </c>
      <c r="E217" s="25" t="s">
        <v>300</v>
      </c>
      <c r="F217" s="26"/>
      <c r="G217" s="25" t="s">
        <v>246</v>
      </c>
      <c r="H217" s="10" t="s">
        <v>247</v>
      </c>
      <c r="I217" s="8">
        <v>275</v>
      </c>
      <c r="J217" s="27">
        <v>310</v>
      </c>
      <c r="K217" s="28">
        <f t="shared" si="10"/>
        <v>85250</v>
      </c>
      <c r="O217" s="31"/>
      <c r="P217" s="36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spans="1:33" s="5" customFormat="1" x14ac:dyDescent="0.3">
      <c r="A218" s="29"/>
      <c r="B218" s="10">
        <f t="shared" si="9"/>
        <v>216</v>
      </c>
      <c r="C218" s="25">
        <v>46181</v>
      </c>
      <c r="D218" s="25" t="s">
        <v>163</v>
      </c>
      <c r="E218" s="25" t="s">
        <v>299</v>
      </c>
      <c r="F218" s="26"/>
      <c r="G218" s="25" t="s">
        <v>240</v>
      </c>
      <c r="H218" s="10" t="s">
        <v>253</v>
      </c>
      <c r="I218" s="8">
        <v>750</v>
      </c>
      <c r="J218" s="27">
        <v>58</v>
      </c>
      <c r="K218" s="28">
        <f t="shared" si="10"/>
        <v>43500</v>
      </c>
      <c r="O218" s="31"/>
      <c r="P218" s="36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spans="1:33" s="5" customFormat="1" x14ac:dyDescent="0.3">
      <c r="A219" s="29"/>
      <c r="B219" s="10">
        <f t="shared" si="9"/>
        <v>217</v>
      </c>
      <c r="C219" s="25">
        <v>46181</v>
      </c>
      <c r="D219" s="25" t="s">
        <v>241</v>
      </c>
      <c r="E219" s="25" t="s">
        <v>300</v>
      </c>
      <c r="F219" s="26" t="s">
        <v>2380</v>
      </c>
      <c r="G219" s="25" t="s">
        <v>240</v>
      </c>
      <c r="H219" s="10" t="s">
        <v>244</v>
      </c>
      <c r="I219" s="8">
        <v>1100</v>
      </c>
      <c r="J219" s="27">
        <v>78</v>
      </c>
      <c r="K219" s="28">
        <f t="shared" si="10"/>
        <v>85800</v>
      </c>
      <c r="O219" s="31"/>
      <c r="P219" s="36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spans="1:33" s="5" customFormat="1" x14ac:dyDescent="0.3">
      <c r="A220" s="29"/>
      <c r="B220" s="10">
        <f t="shared" si="9"/>
        <v>218</v>
      </c>
      <c r="C220" s="25">
        <v>46181</v>
      </c>
      <c r="D220" s="25" t="s">
        <v>2383</v>
      </c>
      <c r="E220" s="25" t="s">
        <v>300</v>
      </c>
      <c r="F220" s="26">
        <v>472</v>
      </c>
      <c r="G220" s="25" t="s">
        <v>240</v>
      </c>
      <c r="H220" s="10" t="s">
        <v>244</v>
      </c>
      <c r="I220" s="8">
        <v>1800</v>
      </c>
      <c r="J220" s="27">
        <v>76</v>
      </c>
      <c r="K220" s="28">
        <f t="shared" si="10"/>
        <v>136800</v>
      </c>
      <c r="O220" s="31"/>
      <c r="P220" s="36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spans="1:33" s="5" customFormat="1" x14ac:dyDescent="0.3">
      <c r="A221" s="29"/>
      <c r="B221" s="10">
        <f t="shared" si="9"/>
        <v>219</v>
      </c>
      <c r="C221" s="25">
        <v>46181</v>
      </c>
      <c r="D221" s="25" t="s">
        <v>2383</v>
      </c>
      <c r="E221" s="25" t="s">
        <v>498</v>
      </c>
      <c r="F221" s="26" t="s">
        <v>2585</v>
      </c>
      <c r="G221" s="25" t="s">
        <v>246</v>
      </c>
      <c r="H221" s="10" t="s">
        <v>247</v>
      </c>
      <c r="I221" s="8">
        <v>30</v>
      </c>
      <c r="J221" s="27">
        <v>295</v>
      </c>
      <c r="K221" s="28">
        <f t="shared" si="10"/>
        <v>8850</v>
      </c>
      <c r="O221" s="31"/>
      <c r="P221" s="36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spans="1:33" s="5" customFormat="1" x14ac:dyDescent="0.3">
      <c r="A222" s="29"/>
      <c r="B222" s="10">
        <f t="shared" si="9"/>
        <v>220</v>
      </c>
      <c r="C222" s="25">
        <v>46182</v>
      </c>
      <c r="D222" s="25" t="s">
        <v>163</v>
      </c>
      <c r="E222" s="25" t="s">
        <v>300</v>
      </c>
      <c r="F222" s="26"/>
      <c r="G222" s="25" t="s">
        <v>240</v>
      </c>
      <c r="H222" s="10" t="s">
        <v>244</v>
      </c>
      <c r="I222" s="8">
        <v>700</v>
      </c>
      <c r="J222" s="27">
        <v>78</v>
      </c>
      <c r="K222" s="28">
        <f t="shared" si="10"/>
        <v>54600</v>
      </c>
      <c r="O222" s="31"/>
      <c r="P222" s="36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spans="1:33" s="5" customFormat="1" x14ac:dyDescent="0.3">
      <c r="A223" s="29"/>
      <c r="B223" s="10">
        <f t="shared" si="9"/>
        <v>221</v>
      </c>
      <c r="C223" s="25">
        <v>46182</v>
      </c>
      <c r="D223" s="25" t="s">
        <v>302</v>
      </c>
      <c r="E223" s="25" t="s">
        <v>337</v>
      </c>
      <c r="F223" s="26"/>
      <c r="G223" s="25" t="s">
        <v>240</v>
      </c>
      <c r="H223" s="10" t="s">
        <v>244</v>
      </c>
      <c r="I223" s="8">
        <v>1000</v>
      </c>
      <c r="J223" s="27">
        <v>78</v>
      </c>
      <c r="K223" s="28">
        <f t="shared" si="10"/>
        <v>78000</v>
      </c>
      <c r="O223" s="31"/>
      <c r="P223" s="36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spans="1:33" s="5" customFormat="1" x14ac:dyDescent="0.3">
      <c r="A224" s="29"/>
      <c r="B224" s="10">
        <f t="shared" si="9"/>
        <v>222</v>
      </c>
      <c r="C224" s="25">
        <v>46182</v>
      </c>
      <c r="D224" s="25" t="s">
        <v>302</v>
      </c>
      <c r="E224" s="25" t="s">
        <v>337</v>
      </c>
      <c r="F224" s="26"/>
      <c r="G224" s="25" t="s">
        <v>240</v>
      </c>
      <c r="H224" s="10" t="s">
        <v>253</v>
      </c>
      <c r="I224" s="8">
        <v>500</v>
      </c>
      <c r="J224" s="27">
        <v>58.5</v>
      </c>
      <c r="K224" s="28">
        <f t="shared" si="10"/>
        <v>29250</v>
      </c>
      <c r="O224" s="31"/>
      <c r="P224" s="36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spans="1:33" s="5" customFormat="1" x14ac:dyDescent="0.3">
      <c r="A225" s="29"/>
      <c r="B225" s="10">
        <f t="shared" si="9"/>
        <v>223</v>
      </c>
      <c r="C225" s="25">
        <v>46182</v>
      </c>
      <c r="D225" s="25" t="s">
        <v>302</v>
      </c>
      <c r="E225" s="25" t="s">
        <v>675</v>
      </c>
      <c r="F225" s="26"/>
      <c r="G225" s="25" t="s">
        <v>240</v>
      </c>
      <c r="H225" s="10" t="s">
        <v>244</v>
      </c>
      <c r="I225" s="8">
        <v>800</v>
      </c>
      <c r="J225" s="27">
        <v>78</v>
      </c>
      <c r="K225" s="28">
        <f t="shared" si="10"/>
        <v>62400</v>
      </c>
      <c r="O225" s="31"/>
      <c r="P225" s="36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spans="1:33" s="5" customFormat="1" x14ac:dyDescent="0.3">
      <c r="A226" s="29"/>
      <c r="B226" s="10">
        <f t="shared" si="9"/>
        <v>224</v>
      </c>
      <c r="C226" s="25">
        <v>46182</v>
      </c>
      <c r="D226" s="25" t="s">
        <v>302</v>
      </c>
      <c r="E226" s="25" t="s">
        <v>675</v>
      </c>
      <c r="F226" s="26"/>
      <c r="G226" s="25" t="s">
        <v>240</v>
      </c>
      <c r="H226" s="10" t="s">
        <v>253</v>
      </c>
      <c r="I226" s="8">
        <v>750</v>
      </c>
      <c r="J226" s="27">
        <v>58.5</v>
      </c>
      <c r="K226" s="28">
        <f t="shared" si="10"/>
        <v>43875</v>
      </c>
      <c r="O226" s="31"/>
      <c r="P226" s="36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spans="1:33" s="5" customFormat="1" x14ac:dyDescent="0.3">
      <c r="A227" s="29"/>
      <c r="B227" s="10">
        <f t="shared" si="9"/>
        <v>225</v>
      </c>
      <c r="C227" s="25">
        <v>46182</v>
      </c>
      <c r="D227" s="25" t="s">
        <v>302</v>
      </c>
      <c r="E227" s="25" t="s">
        <v>313</v>
      </c>
      <c r="F227" s="26"/>
      <c r="G227" s="25" t="s">
        <v>240</v>
      </c>
      <c r="H227" s="10" t="s">
        <v>244</v>
      </c>
      <c r="I227" s="8">
        <v>800</v>
      </c>
      <c r="J227" s="27">
        <v>78</v>
      </c>
      <c r="K227" s="28">
        <f t="shared" si="10"/>
        <v>62400</v>
      </c>
      <c r="O227" s="31"/>
      <c r="P227" s="36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spans="1:33" s="5" customFormat="1" x14ac:dyDescent="0.3">
      <c r="A228" s="29"/>
      <c r="B228" s="10">
        <f t="shared" si="9"/>
        <v>226</v>
      </c>
      <c r="C228" s="25">
        <v>46182</v>
      </c>
      <c r="D228" s="25" t="s">
        <v>302</v>
      </c>
      <c r="E228" s="25" t="s">
        <v>313</v>
      </c>
      <c r="F228" s="26"/>
      <c r="G228" s="25" t="s">
        <v>240</v>
      </c>
      <c r="H228" s="10" t="s">
        <v>253</v>
      </c>
      <c r="I228" s="8">
        <v>750</v>
      </c>
      <c r="J228" s="27">
        <v>58.5</v>
      </c>
      <c r="K228" s="28">
        <f t="shared" si="10"/>
        <v>43875</v>
      </c>
      <c r="O228" s="31"/>
      <c r="P228" s="36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spans="1:33" s="5" customFormat="1" x14ac:dyDescent="0.3">
      <c r="A229" s="29"/>
      <c r="B229" s="10">
        <f t="shared" si="9"/>
        <v>227</v>
      </c>
      <c r="C229" s="25">
        <v>46183</v>
      </c>
      <c r="D229" s="25" t="s">
        <v>342</v>
      </c>
      <c r="E229" s="25" t="s">
        <v>545</v>
      </c>
      <c r="F229" s="26" t="s">
        <v>2343</v>
      </c>
      <c r="G229" s="25" t="s">
        <v>246</v>
      </c>
      <c r="H229" s="10" t="s">
        <v>247</v>
      </c>
      <c r="I229" s="8">
        <v>690</v>
      </c>
      <c r="J229" s="27">
        <v>310</v>
      </c>
      <c r="K229" s="28">
        <f t="shared" si="10"/>
        <v>213900</v>
      </c>
      <c r="O229" s="31"/>
      <c r="P229" s="36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spans="1:33" s="5" customFormat="1" x14ac:dyDescent="0.3">
      <c r="A230" s="29"/>
      <c r="B230" s="10">
        <f t="shared" si="9"/>
        <v>228</v>
      </c>
      <c r="C230" s="25">
        <v>46183</v>
      </c>
      <c r="D230" s="25" t="s">
        <v>342</v>
      </c>
      <c r="E230" s="25" t="s">
        <v>2345</v>
      </c>
      <c r="F230" s="26" t="s">
        <v>2346</v>
      </c>
      <c r="G230" s="25" t="s">
        <v>246</v>
      </c>
      <c r="H230" s="10" t="s">
        <v>247</v>
      </c>
      <c r="I230" s="8">
        <v>690</v>
      </c>
      <c r="J230" s="27">
        <v>310</v>
      </c>
      <c r="K230" s="28">
        <f t="shared" si="10"/>
        <v>213900</v>
      </c>
      <c r="O230" s="31"/>
      <c r="P230" s="36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spans="1:33" s="5" customFormat="1" x14ac:dyDescent="0.3">
      <c r="A231" s="29"/>
      <c r="B231" s="10">
        <f t="shared" si="9"/>
        <v>229</v>
      </c>
      <c r="C231" s="25">
        <v>46183</v>
      </c>
      <c r="D231" s="25" t="s">
        <v>302</v>
      </c>
      <c r="E231" s="25" t="s">
        <v>313</v>
      </c>
      <c r="F231" s="26"/>
      <c r="G231" s="25" t="s">
        <v>240</v>
      </c>
      <c r="H231" s="10" t="s">
        <v>244</v>
      </c>
      <c r="I231" s="8">
        <v>1000</v>
      </c>
      <c r="J231" s="27">
        <v>78</v>
      </c>
      <c r="K231" s="28">
        <f t="shared" si="10"/>
        <v>78000</v>
      </c>
      <c r="O231" s="31"/>
      <c r="P231" s="36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spans="1:33" s="5" customFormat="1" x14ac:dyDescent="0.3">
      <c r="A232" s="29"/>
      <c r="B232" s="10">
        <f t="shared" si="9"/>
        <v>230</v>
      </c>
      <c r="C232" s="25">
        <v>46183</v>
      </c>
      <c r="D232" s="25" t="s">
        <v>302</v>
      </c>
      <c r="E232" s="25" t="s">
        <v>313</v>
      </c>
      <c r="F232" s="26"/>
      <c r="G232" s="25" t="s">
        <v>240</v>
      </c>
      <c r="H232" s="10" t="s">
        <v>253</v>
      </c>
      <c r="I232" s="8">
        <v>500</v>
      </c>
      <c r="J232" s="27">
        <v>58.5</v>
      </c>
      <c r="K232" s="28">
        <f t="shared" si="10"/>
        <v>29250</v>
      </c>
      <c r="O232" s="31"/>
      <c r="P232" s="36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spans="1:33" s="5" customFormat="1" x14ac:dyDescent="0.3">
      <c r="A233" s="29"/>
      <c r="B233" s="10">
        <f t="shared" si="9"/>
        <v>231</v>
      </c>
      <c r="C233" s="25">
        <v>46183</v>
      </c>
      <c r="D233" s="25" t="s">
        <v>302</v>
      </c>
      <c r="E233" s="25" t="s">
        <v>675</v>
      </c>
      <c r="F233" s="26"/>
      <c r="G233" s="25" t="s">
        <v>240</v>
      </c>
      <c r="H233" s="10" t="s">
        <v>244</v>
      </c>
      <c r="I233" s="8">
        <v>1400</v>
      </c>
      <c r="J233" s="27">
        <v>78</v>
      </c>
      <c r="K233" s="28">
        <f t="shared" si="10"/>
        <v>109200</v>
      </c>
      <c r="O233" s="31"/>
      <c r="P233" s="36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spans="1:33" s="5" customFormat="1" x14ac:dyDescent="0.3">
      <c r="A234" s="29"/>
      <c r="B234" s="10">
        <f t="shared" si="9"/>
        <v>232</v>
      </c>
      <c r="C234" s="25">
        <v>46183</v>
      </c>
      <c r="D234" s="25" t="s">
        <v>302</v>
      </c>
      <c r="E234" s="25" t="s">
        <v>337</v>
      </c>
      <c r="F234" s="26"/>
      <c r="G234" s="25" t="s">
        <v>240</v>
      </c>
      <c r="H234" s="10" t="s">
        <v>244</v>
      </c>
      <c r="I234" s="8">
        <v>1000</v>
      </c>
      <c r="J234" s="27">
        <v>78</v>
      </c>
      <c r="K234" s="28">
        <f t="shared" si="10"/>
        <v>78000</v>
      </c>
      <c r="O234" s="31"/>
      <c r="P234" s="36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spans="1:33" s="5" customFormat="1" x14ac:dyDescent="0.3">
      <c r="A235" s="29"/>
      <c r="B235" s="10">
        <f t="shared" si="9"/>
        <v>233</v>
      </c>
      <c r="C235" s="25">
        <v>46183</v>
      </c>
      <c r="D235" s="25" t="s">
        <v>302</v>
      </c>
      <c r="E235" s="25" t="s">
        <v>337</v>
      </c>
      <c r="F235" s="26"/>
      <c r="G235" s="25" t="s">
        <v>240</v>
      </c>
      <c r="H235" s="10" t="s">
        <v>253</v>
      </c>
      <c r="I235" s="8">
        <v>500</v>
      </c>
      <c r="J235" s="27">
        <v>58.5</v>
      </c>
      <c r="K235" s="28">
        <f t="shared" si="10"/>
        <v>29250</v>
      </c>
      <c r="O235" s="31"/>
      <c r="P235" s="36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spans="1:33" s="5" customFormat="1" x14ac:dyDescent="0.3">
      <c r="A236" s="29"/>
      <c r="B236" s="10">
        <f t="shared" si="9"/>
        <v>234</v>
      </c>
      <c r="C236" s="25">
        <v>46183</v>
      </c>
      <c r="D236" s="25" t="s">
        <v>241</v>
      </c>
      <c r="E236" s="25" t="s">
        <v>322</v>
      </c>
      <c r="F236" s="26" t="s">
        <v>2378</v>
      </c>
      <c r="G236" s="25" t="s">
        <v>240</v>
      </c>
      <c r="H236" s="10" t="s">
        <v>253</v>
      </c>
      <c r="I236" s="8">
        <v>700</v>
      </c>
      <c r="J236" s="27">
        <v>58.5</v>
      </c>
      <c r="K236" s="28">
        <f t="shared" si="10"/>
        <v>40950</v>
      </c>
      <c r="O236" s="31"/>
      <c r="P236" s="36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spans="1:33" s="5" customFormat="1" x14ac:dyDescent="0.3">
      <c r="A237" s="29"/>
      <c r="B237" s="10">
        <f t="shared" si="9"/>
        <v>235</v>
      </c>
      <c r="C237" s="25">
        <v>46183</v>
      </c>
      <c r="D237" s="25" t="s">
        <v>241</v>
      </c>
      <c r="E237" s="25" t="s">
        <v>322</v>
      </c>
      <c r="F237" s="26" t="s">
        <v>2378</v>
      </c>
      <c r="G237" s="25" t="s">
        <v>240</v>
      </c>
      <c r="H237" s="10" t="s">
        <v>244</v>
      </c>
      <c r="I237" s="8">
        <v>1100</v>
      </c>
      <c r="J237" s="27">
        <v>78</v>
      </c>
      <c r="K237" s="28">
        <f t="shared" si="10"/>
        <v>85800</v>
      </c>
      <c r="O237" s="31"/>
      <c r="P237" s="36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spans="1:33" s="5" customFormat="1" x14ac:dyDescent="0.3">
      <c r="A238" s="29"/>
      <c r="B238" s="10">
        <f t="shared" si="9"/>
        <v>236</v>
      </c>
      <c r="C238" s="25">
        <v>46183</v>
      </c>
      <c r="D238" s="25" t="s">
        <v>241</v>
      </c>
      <c r="E238" s="25" t="s">
        <v>498</v>
      </c>
      <c r="F238" s="26" t="s">
        <v>2379</v>
      </c>
      <c r="G238" s="25" t="s">
        <v>240</v>
      </c>
      <c r="H238" s="10" t="s">
        <v>253</v>
      </c>
      <c r="I238" s="8">
        <v>800</v>
      </c>
      <c r="J238" s="27">
        <v>58.5</v>
      </c>
      <c r="K238" s="28">
        <f t="shared" si="10"/>
        <v>46800</v>
      </c>
      <c r="O238" s="31"/>
      <c r="P238" s="36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spans="1:33" s="5" customFormat="1" x14ac:dyDescent="0.3">
      <c r="A239" s="29"/>
      <c r="B239" s="10">
        <f t="shared" si="9"/>
        <v>237</v>
      </c>
      <c r="C239" s="25">
        <v>46183</v>
      </c>
      <c r="D239" s="25" t="s">
        <v>241</v>
      </c>
      <c r="E239" s="25" t="s">
        <v>498</v>
      </c>
      <c r="F239" s="26" t="s">
        <v>2379</v>
      </c>
      <c r="G239" s="25" t="s">
        <v>240</v>
      </c>
      <c r="H239" s="10" t="s">
        <v>244</v>
      </c>
      <c r="I239" s="8">
        <v>1100</v>
      </c>
      <c r="J239" s="27">
        <v>78</v>
      </c>
      <c r="K239" s="28">
        <f t="shared" si="10"/>
        <v>85800</v>
      </c>
      <c r="O239" s="31"/>
      <c r="P239" s="36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spans="1:33" s="5" customFormat="1" x14ac:dyDescent="0.3">
      <c r="A240" s="29"/>
      <c r="B240" s="10">
        <f t="shared" si="9"/>
        <v>238</v>
      </c>
      <c r="C240" s="25">
        <v>46184</v>
      </c>
      <c r="D240" s="25" t="s">
        <v>241</v>
      </c>
      <c r="E240" s="25" t="s">
        <v>337</v>
      </c>
      <c r="F240" s="46" t="s">
        <v>2376</v>
      </c>
      <c r="G240" s="25" t="s">
        <v>240</v>
      </c>
      <c r="H240" s="10" t="s">
        <v>253</v>
      </c>
      <c r="I240" s="8">
        <v>400</v>
      </c>
      <c r="J240" s="27">
        <v>58.5</v>
      </c>
      <c r="K240" s="28">
        <f t="shared" si="10"/>
        <v>23400</v>
      </c>
      <c r="O240" s="31"/>
      <c r="P240" s="36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spans="1:33" s="5" customFormat="1" x14ac:dyDescent="0.3">
      <c r="A241" s="29"/>
      <c r="B241" s="10">
        <f t="shared" si="9"/>
        <v>239</v>
      </c>
      <c r="C241" s="25">
        <v>46184</v>
      </c>
      <c r="D241" s="25" t="s">
        <v>241</v>
      </c>
      <c r="E241" s="25" t="s">
        <v>337</v>
      </c>
      <c r="F241" s="46" t="s">
        <v>2376</v>
      </c>
      <c r="G241" s="25" t="s">
        <v>240</v>
      </c>
      <c r="H241" s="10" t="s">
        <v>244</v>
      </c>
      <c r="I241" s="8">
        <v>800</v>
      </c>
      <c r="J241" s="27">
        <v>78</v>
      </c>
      <c r="K241" s="28">
        <f t="shared" si="10"/>
        <v>62400</v>
      </c>
      <c r="O241" s="31"/>
      <c r="P241" s="36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spans="1:33" s="5" customFormat="1" x14ac:dyDescent="0.3">
      <c r="A242" s="29"/>
      <c r="B242" s="10">
        <f t="shared" si="9"/>
        <v>240</v>
      </c>
      <c r="C242" s="25">
        <v>46184</v>
      </c>
      <c r="D242" s="25" t="s">
        <v>241</v>
      </c>
      <c r="E242" s="25" t="s">
        <v>337</v>
      </c>
      <c r="F242" s="46" t="s">
        <v>2377</v>
      </c>
      <c r="G242" s="25" t="s">
        <v>240</v>
      </c>
      <c r="H242" s="10" t="s">
        <v>253</v>
      </c>
      <c r="I242" s="8">
        <v>400</v>
      </c>
      <c r="J242" s="27">
        <v>58.5</v>
      </c>
      <c r="K242" s="28">
        <f t="shared" si="10"/>
        <v>23400</v>
      </c>
      <c r="O242" s="31"/>
      <c r="P242" s="36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spans="1:33" s="5" customFormat="1" x14ac:dyDescent="0.3">
      <c r="A243" s="29"/>
      <c r="B243" s="10">
        <f t="shared" si="9"/>
        <v>241</v>
      </c>
      <c r="C243" s="25">
        <v>46184</v>
      </c>
      <c r="D243" s="25" t="s">
        <v>241</v>
      </c>
      <c r="E243" s="25" t="s">
        <v>337</v>
      </c>
      <c r="F243" s="46" t="s">
        <v>2377</v>
      </c>
      <c r="G243" s="25" t="s">
        <v>240</v>
      </c>
      <c r="H243" s="10" t="s">
        <v>244</v>
      </c>
      <c r="I243" s="8">
        <v>800</v>
      </c>
      <c r="J243" s="27">
        <v>78</v>
      </c>
      <c r="K243" s="28">
        <f t="shared" si="10"/>
        <v>62400</v>
      </c>
      <c r="O243" s="31"/>
      <c r="P243" s="36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spans="1:33" s="5" customFormat="1" x14ac:dyDescent="0.3">
      <c r="A244" s="29"/>
      <c r="B244" s="10">
        <f t="shared" si="9"/>
        <v>242</v>
      </c>
      <c r="C244" s="25">
        <v>46184</v>
      </c>
      <c r="D244" s="25" t="s">
        <v>2383</v>
      </c>
      <c r="E244" s="25" t="s">
        <v>2584</v>
      </c>
      <c r="F244" s="26">
        <v>477</v>
      </c>
      <c r="G244" s="25" t="s">
        <v>240</v>
      </c>
      <c r="H244" s="10" t="s">
        <v>244</v>
      </c>
      <c r="I244" s="8">
        <v>1050</v>
      </c>
      <c r="J244" s="27">
        <v>76</v>
      </c>
      <c r="K244" s="28">
        <f t="shared" si="10"/>
        <v>79800</v>
      </c>
      <c r="O244" s="31"/>
      <c r="P244" s="36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spans="1:33" s="5" customFormat="1" x14ac:dyDescent="0.3">
      <c r="A245" s="29"/>
      <c r="B245" s="10">
        <f t="shared" si="9"/>
        <v>243</v>
      </c>
      <c r="C245" s="25">
        <v>46184</v>
      </c>
      <c r="D245" s="25" t="s">
        <v>2383</v>
      </c>
      <c r="E245" s="25" t="s">
        <v>2584</v>
      </c>
      <c r="F245" s="26">
        <v>477</v>
      </c>
      <c r="G245" s="25" t="s">
        <v>240</v>
      </c>
      <c r="H245" s="10" t="s">
        <v>253</v>
      </c>
      <c r="I245" s="8">
        <v>1000</v>
      </c>
      <c r="J245" s="27">
        <v>57</v>
      </c>
      <c r="K245" s="28">
        <f t="shared" si="10"/>
        <v>57000</v>
      </c>
      <c r="O245" s="31"/>
      <c r="P245" s="36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spans="1:33" s="5" customFormat="1" x14ac:dyDescent="0.3">
      <c r="A246" s="29"/>
      <c r="B246" s="10">
        <f t="shared" si="9"/>
        <v>244</v>
      </c>
      <c r="C246" s="25">
        <v>46185</v>
      </c>
      <c r="D246" s="25" t="s">
        <v>302</v>
      </c>
      <c r="E246" s="25" t="s">
        <v>313</v>
      </c>
      <c r="F246" s="26"/>
      <c r="G246" s="25" t="s">
        <v>240</v>
      </c>
      <c r="H246" s="10" t="s">
        <v>244</v>
      </c>
      <c r="I246" s="8">
        <v>682</v>
      </c>
      <c r="J246" s="27">
        <v>78</v>
      </c>
      <c r="K246" s="28">
        <f t="shared" si="10"/>
        <v>53196</v>
      </c>
      <c r="O246" s="31"/>
      <c r="P246" s="36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spans="1:33" s="5" customFormat="1" x14ac:dyDescent="0.3">
      <c r="A247" s="29"/>
      <c r="B247" s="10">
        <f t="shared" si="9"/>
        <v>245</v>
      </c>
      <c r="C247" s="25">
        <v>46185</v>
      </c>
      <c r="D247" s="25" t="s">
        <v>302</v>
      </c>
      <c r="E247" s="25" t="s">
        <v>313</v>
      </c>
      <c r="F247" s="26"/>
      <c r="G247" s="25" t="s">
        <v>240</v>
      </c>
      <c r="H247" s="10" t="s">
        <v>253</v>
      </c>
      <c r="I247" s="8">
        <v>500</v>
      </c>
      <c r="J247" s="27">
        <v>58.5</v>
      </c>
      <c r="K247" s="28">
        <f t="shared" si="10"/>
        <v>29250</v>
      </c>
      <c r="O247" s="31"/>
      <c r="P247" s="36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spans="1:33" s="5" customFormat="1" x14ac:dyDescent="0.3">
      <c r="A248" s="29"/>
      <c r="B248" s="10">
        <f t="shared" si="9"/>
        <v>246</v>
      </c>
      <c r="C248" s="25">
        <v>46185</v>
      </c>
      <c r="D248" s="25" t="s">
        <v>2383</v>
      </c>
      <c r="E248" s="25" t="s">
        <v>345</v>
      </c>
      <c r="F248" s="26">
        <v>480</v>
      </c>
      <c r="G248" s="25" t="s">
        <v>240</v>
      </c>
      <c r="H248" s="10" t="s">
        <v>253</v>
      </c>
      <c r="I248" s="8">
        <v>1000</v>
      </c>
      <c r="J248" s="27">
        <v>57</v>
      </c>
      <c r="K248" s="28">
        <f t="shared" si="10"/>
        <v>57000</v>
      </c>
      <c r="O248" s="31"/>
      <c r="P248" s="36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spans="1:33" s="5" customFormat="1" x14ac:dyDescent="0.3">
      <c r="A249" s="29"/>
      <c r="B249" s="10">
        <f t="shared" si="9"/>
        <v>247</v>
      </c>
      <c r="C249" s="25">
        <v>46185</v>
      </c>
      <c r="D249" s="25" t="s">
        <v>2383</v>
      </c>
      <c r="E249" s="25" t="s">
        <v>345</v>
      </c>
      <c r="F249" s="26">
        <v>480</v>
      </c>
      <c r="G249" s="25" t="s">
        <v>240</v>
      </c>
      <c r="H249" s="10" t="s">
        <v>244</v>
      </c>
      <c r="I249" s="8">
        <v>1050</v>
      </c>
      <c r="J249" s="27">
        <v>76</v>
      </c>
      <c r="K249" s="28">
        <f t="shared" si="10"/>
        <v>79800</v>
      </c>
      <c r="O249" s="31"/>
      <c r="P249" s="36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spans="1:33" s="5" customFormat="1" x14ac:dyDescent="0.3">
      <c r="A250" s="29"/>
      <c r="B250" s="10">
        <f t="shared" si="9"/>
        <v>248</v>
      </c>
      <c r="C250" s="25">
        <v>46186</v>
      </c>
      <c r="D250" s="25" t="s">
        <v>302</v>
      </c>
      <c r="E250" s="25" t="s">
        <v>352</v>
      </c>
      <c r="F250" s="26"/>
      <c r="G250" s="25" t="s">
        <v>240</v>
      </c>
      <c r="H250" s="10" t="s">
        <v>244</v>
      </c>
      <c r="I250" s="8">
        <v>1000</v>
      </c>
      <c r="J250" s="27">
        <v>78</v>
      </c>
      <c r="K250" s="28">
        <f t="shared" si="10"/>
        <v>78000</v>
      </c>
      <c r="O250" s="31"/>
      <c r="P250" s="36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spans="1:33" s="5" customFormat="1" x14ac:dyDescent="0.3">
      <c r="A251" s="29"/>
      <c r="B251" s="10">
        <f t="shared" si="9"/>
        <v>249</v>
      </c>
      <c r="C251" s="25">
        <v>46186</v>
      </c>
      <c r="D251" s="25" t="s">
        <v>302</v>
      </c>
      <c r="E251" s="25" t="s">
        <v>352</v>
      </c>
      <c r="F251" s="26"/>
      <c r="G251" s="25" t="s">
        <v>240</v>
      </c>
      <c r="H251" s="10" t="s">
        <v>253</v>
      </c>
      <c r="I251" s="8">
        <v>500</v>
      </c>
      <c r="J251" s="27">
        <v>60</v>
      </c>
      <c r="K251" s="28">
        <f t="shared" si="10"/>
        <v>30000</v>
      </c>
      <c r="O251" s="31"/>
      <c r="P251" s="36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spans="1:33" s="5" customFormat="1" x14ac:dyDescent="0.3">
      <c r="A252" s="29"/>
      <c r="B252" s="10">
        <f t="shared" si="9"/>
        <v>250</v>
      </c>
      <c r="C252" s="25">
        <v>46187</v>
      </c>
      <c r="D252" s="25" t="s">
        <v>342</v>
      </c>
      <c r="E252" s="25" t="s">
        <v>300</v>
      </c>
      <c r="F252" s="26" t="s">
        <v>2346</v>
      </c>
      <c r="G252" s="25" t="s">
        <v>347</v>
      </c>
      <c r="H252" s="10" t="s">
        <v>348</v>
      </c>
      <c r="I252" s="8">
        <v>12000</v>
      </c>
      <c r="J252" s="27">
        <f>K252/I252</f>
        <v>60.6</v>
      </c>
      <c r="K252" s="28">
        <v>727200</v>
      </c>
      <c r="O252" s="31"/>
      <c r="P252" s="36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spans="1:33" s="5" customFormat="1" x14ac:dyDescent="0.3">
      <c r="A253" s="29"/>
      <c r="B253" s="10">
        <f t="shared" si="9"/>
        <v>251</v>
      </c>
      <c r="C253" s="25">
        <v>46188</v>
      </c>
      <c r="D253" s="25" t="s">
        <v>2383</v>
      </c>
      <c r="E253" s="25" t="s">
        <v>498</v>
      </c>
      <c r="F253" s="26">
        <v>503</v>
      </c>
      <c r="G253" s="25" t="s">
        <v>240</v>
      </c>
      <c r="H253" s="10" t="s">
        <v>244</v>
      </c>
      <c r="I253" s="8">
        <v>1800</v>
      </c>
      <c r="J253" s="27">
        <v>76</v>
      </c>
      <c r="K253" s="28">
        <f t="shared" ref="K253:K284" si="11">J253*I253</f>
        <v>136800</v>
      </c>
      <c r="O253" s="31"/>
      <c r="P253" s="36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spans="1:33" s="5" customFormat="1" x14ac:dyDescent="0.3">
      <c r="A254" s="29"/>
      <c r="B254" s="10">
        <f t="shared" si="9"/>
        <v>252</v>
      </c>
      <c r="C254" s="25">
        <v>46188</v>
      </c>
      <c r="D254" s="25" t="s">
        <v>2383</v>
      </c>
      <c r="E254" s="25" t="s">
        <v>498</v>
      </c>
      <c r="F254" s="26">
        <v>511</v>
      </c>
      <c r="G254" s="25" t="s">
        <v>240</v>
      </c>
      <c r="H254" s="10" t="s">
        <v>244</v>
      </c>
      <c r="I254" s="8">
        <v>1800</v>
      </c>
      <c r="J254" s="27">
        <v>76</v>
      </c>
      <c r="K254" s="28">
        <f t="shared" si="11"/>
        <v>136800</v>
      </c>
      <c r="O254" s="31"/>
      <c r="P254" s="36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spans="1:33" s="5" customFormat="1" x14ac:dyDescent="0.3">
      <c r="A255" s="29"/>
      <c r="B255" s="10">
        <f t="shared" si="9"/>
        <v>253</v>
      </c>
      <c r="C255" s="25">
        <v>46189</v>
      </c>
      <c r="D255" s="25" t="s">
        <v>163</v>
      </c>
      <c r="E255" s="25" t="s">
        <v>498</v>
      </c>
      <c r="F255" s="26"/>
      <c r="G255" s="25" t="s">
        <v>240</v>
      </c>
      <c r="H255" s="10" t="s">
        <v>253</v>
      </c>
      <c r="I255" s="8">
        <v>1000</v>
      </c>
      <c r="J255" s="27">
        <v>59</v>
      </c>
      <c r="K255" s="28">
        <f t="shared" si="11"/>
        <v>59000</v>
      </c>
      <c r="O255" s="31"/>
      <c r="P255" s="36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spans="1:33" s="5" customFormat="1" x14ac:dyDescent="0.3">
      <c r="A256" s="29"/>
      <c r="B256" s="10">
        <f t="shared" si="9"/>
        <v>254</v>
      </c>
      <c r="C256" s="25">
        <v>46190</v>
      </c>
      <c r="D256" s="25" t="s">
        <v>163</v>
      </c>
      <c r="E256" s="25" t="s">
        <v>313</v>
      </c>
      <c r="F256" s="26"/>
      <c r="G256" s="25" t="s">
        <v>240</v>
      </c>
      <c r="H256" s="10" t="s">
        <v>244</v>
      </c>
      <c r="I256" s="8">
        <v>700</v>
      </c>
      <c r="J256" s="27">
        <v>78</v>
      </c>
      <c r="K256" s="28">
        <f t="shared" si="11"/>
        <v>54600</v>
      </c>
      <c r="O256" s="31"/>
      <c r="P256" s="36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spans="1:33" s="5" customFormat="1" x14ac:dyDescent="0.3">
      <c r="A257" s="29"/>
      <c r="B257" s="10">
        <f t="shared" si="9"/>
        <v>255</v>
      </c>
      <c r="C257" s="25">
        <v>46190</v>
      </c>
      <c r="D257" s="25" t="s">
        <v>302</v>
      </c>
      <c r="E257" s="25" t="s">
        <v>313</v>
      </c>
      <c r="F257" s="26"/>
      <c r="G257" s="25" t="s">
        <v>240</v>
      </c>
      <c r="H257" s="10" t="s">
        <v>244</v>
      </c>
      <c r="I257" s="8">
        <v>1000</v>
      </c>
      <c r="J257" s="27">
        <v>78</v>
      </c>
      <c r="K257" s="28">
        <f t="shared" si="11"/>
        <v>78000</v>
      </c>
      <c r="O257" s="31"/>
      <c r="P257" s="36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spans="1:33" s="5" customFormat="1" x14ac:dyDescent="0.3">
      <c r="A258" s="29"/>
      <c r="B258" s="10">
        <f t="shared" si="9"/>
        <v>256</v>
      </c>
      <c r="C258" s="25">
        <v>46190</v>
      </c>
      <c r="D258" s="25" t="s">
        <v>302</v>
      </c>
      <c r="E258" s="25" t="s">
        <v>313</v>
      </c>
      <c r="F258" s="26"/>
      <c r="G258" s="25" t="s">
        <v>240</v>
      </c>
      <c r="H258" s="10" t="s">
        <v>253</v>
      </c>
      <c r="I258" s="8">
        <v>500</v>
      </c>
      <c r="J258" s="27">
        <v>58.5</v>
      </c>
      <c r="K258" s="28">
        <f t="shared" si="11"/>
        <v>29250</v>
      </c>
      <c r="O258" s="31"/>
      <c r="P258" s="36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spans="1:33" s="5" customFormat="1" x14ac:dyDescent="0.3">
      <c r="A259" s="29"/>
      <c r="B259" s="10">
        <f t="shared" si="9"/>
        <v>257</v>
      </c>
      <c r="C259" s="25">
        <v>46190</v>
      </c>
      <c r="D259" s="25" t="s">
        <v>302</v>
      </c>
      <c r="E259" s="25" t="s">
        <v>675</v>
      </c>
      <c r="F259" s="26"/>
      <c r="G259" s="25" t="s">
        <v>240</v>
      </c>
      <c r="H259" s="10" t="s">
        <v>244</v>
      </c>
      <c r="I259" s="8">
        <v>1000</v>
      </c>
      <c r="J259" s="27">
        <v>78</v>
      </c>
      <c r="K259" s="28">
        <f t="shared" si="11"/>
        <v>78000</v>
      </c>
      <c r="O259" s="31"/>
      <c r="P259" s="36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spans="1:33" s="5" customFormat="1" x14ac:dyDescent="0.3">
      <c r="A260" s="29"/>
      <c r="B260" s="10">
        <f t="shared" si="9"/>
        <v>258</v>
      </c>
      <c r="C260" s="25">
        <v>46190</v>
      </c>
      <c r="D260" s="25" t="s">
        <v>302</v>
      </c>
      <c r="E260" s="25" t="s">
        <v>675</v>
      </c>
      <c r="F260" s="26"/>
      <c r="G260" s="25" t="s">
        <v>240</v>
      </c>
      <c r="H260" s="10" t="s">
        <v>253</v>
      </c>
      <c r="I260" s="8">
        <v>500</v>
      </c>
      <c r="J260" s="27">
        <v>58.5</v>
      </c>
      <c r="K260" s="28">
        <f t="shared" si="11"/>
        <v>29250</v>
      </c>
      <c r="O260" s="31"/>
      <c r="P260" s="36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spans="1:33" s="127" customFormat="1" x14ac:dyDescent="0.3">
      <c r="A261" s="120"/>
      <c r="B261" s="10">
        <f t="shared" ref="B261:B324" si="12">+B260+1</f>
        <v>259</v>
      </c>
      <c r="C261" s="25">
        <v>46190</v>
      </c>
      <c r="D261" s="25" t="s">
        <v>2383</v>
      </c>
      <c r="E261" s="25" t="s">
        <v>300</v>
      </c>
      <c r="F261" s="26">
        <v>520</v>
      </c>
      <c r="G261" s="25" t="s">
        <v>240</v>
      </c>
      <c r="H261" s="10" t="s">
        <v>244</v>
      </c>
      <c r="I261" s="8">
        <v>1800</v>
      </c>
      <c r="J261" s="27">
        <v>76</v>
      </c>
      <c r="K261" s="28">
        <f t="shared" si="11"/>
        <v>136800</v>
      </c>
      <c r="O261" s="128"/>
      <c r="P261" s="129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</row>
    <row r="262" spans="1:33" s="5" customFormat="1" x14ac:dyDescent="0.3">
      <c r="A262" s="29"/>
      <c r="B262" s="10">
        <f t="shared" si="12"/>
        <v>260</v>
      </c>
      <c r="C262" s="25">
        <v>46191</v>
      </c>
      <c r="D262" s="25" t="s">
        <v>163</v>
      </c>
      <c r="E262" s="25" t="s">
        <v>2350</v>
      </c>
      <c r="F262" s="26"/>
      <c r="G262" s="25" t="s">
        <v>240</v>
      </c>
      <c r="H262" s="10" t="s">
        <v>244</v>
      </c>
      <c r="I262" s="8">
        <v>700</v>
      </c>
      <c r="J262" s="27">
        <v>78</v>
      </c>
      <c r="K262" s="28">
        <f t="shared" si="11"/>
        <v>54600</v>
      </c>
      <c r="O262" s="31"/>
      <c r="P262" s="36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spans="1:33" s="5" customFormat="1" x14ac:dyDescent="0.3">
      <c r="A263" s="29"/>
      <c r="B263" s="10">
        <f t="shared" si="12"/>
        <v>261</v>
      </c>
      <c r="C263" s="25">
        <v>46191</v>
      </c>
      <c r="D263" s="25" t="s">
        <v>163</v>
      </c>
      <c r="E263" s="25" t="s">
        <v>313</v>
      </c>
      <c r="F263" s="26"/>
      <c r="G263" s="25" t="s">
        <v>240</v>
      </c>
      <c r="H263" s="10" t="s">
        <v>244</v>
      </c>
      <c r="I263" s="8">
        <v>700</v>
      </c>
      <c r="J263" s="27">
        <v>78</v>
      </c>
      <c r="K263" s="28">
        <f t="shared" si="11"/>
        <v>54600</v>
      </c>
      <c r="O263" s="31"/>
      <c r="P263" s="36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spans="1:33" s="5" customFormat="1" x14ac:dyDescent="0.3">
      <c r="A264" s="29"/>
      <c r="B264" s="10">
        <f t="shared" si="12"/>
        <v>262</v>
      </c>
      <c r="C264" s="25">
        <v>46191</v>
      </c>
      <c r="D264" s="25" t="s">
        <v>302</v>
      </c>
      <c r="E264" s="25" t="s">
        <v>352</v>
      </c>
      <c r="F264" s="26"/>
      <c r="G264" s="25" t="s">
        <v>240</v>
      </c>
      <c r="H264" s="10" t="s">
        <v>244</v>
      </c>
      <c r="I264" s="8">
        <v>1000</v>
      </c>
      <c r="J264" s="27">
        <v>80</v>
      </c>
      <c r="K264" s="28">
        <f t="shared" si="11"/>
        <v>80000</v>
      </c>
      <c r="O264" s="31"/>
      <c r="P264" s="36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spans="1:33" s="5" customFormat="1" x14ac:dyDescent="0.3">
      <c r="A265" s="29"/>
      <c r="B265" s="10">
        <f t="shared" si="12"/>
        <v>263</v>
      </c>
      <c r="C265" s="25">
        <v>46191</v>
      </c>
      <c r="D265" s="25" t="s">
        <v>302</v>
      </c>
      <c r="E265" s="25" t="s">
        <v>352</v>
      </c>
      <c r="F265" s="26"/>
      <c r="G265" s="25" t="s">
        <v>240</v>
      </c>
      <c r="H265" s="10" t="s">
        <v>253</v>
      </c>
      <c r="I265" s="8">
        <v>500</v>
      </c>
      <c r="J265" s="27">
        <v>60</v>
      </c>
      <c r="K265" s="28">
        <f t="shared" si="11"/>
        <v>30000</v>
      </c>
      <c r="O265" s="31"/>
      <c r="P265" s="36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spans="1:33" s="5" customFormat="1" x14ac:dyDescent="0.3">
      <c r="A266" s="29"/>
      <c r="B266" s="10">
        <f t="shared" si="12"/>
        <v>264</v>
      </c>
      <c r="C266" s="25">
        <v>46191</v>
      </c>
      <c r="D266" s="25" t="s">
        <v>302</v>
      </c>
      <c r="E266" s="25" t="s">
        <v>352</v>
      </c>
      <c r="F266" s="26"/>
      <c r="G266" s="25" t="s">
        <v>240</v>
      </c>
      <c r="H266" s="10" t="s">
        <v>244</v>
      </c>
      <c r="I266" s="8">
        <v>1000</v>
      </c>
      <c r="J266" s="27">
        <v>80</v>
      </c>
      <c r="K266" s="28">
        <f t="shared" si="11"/>
        <v>80000</v>
      </c>
      <c r="O266" s="31"/>
      <c r="P266" s="36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spans="1:33" s="5" customFormat="1" x14ac:dyDescent="0.3">
      <c r="A267" s="29"/>
      <c r="B267" s="10">
        <f t="shared" si="12"/>
        <v>265</v>
      </c>
      <c r="C267" s="25">
        <v>46191</v>
      </c>
      <c r="D267" s="25" t="s">
        <v>302</v>
      </c>
      <c r="E267" s="25" t="s">
        <v>352</v>
      </c>
      <c r="F267" s="26"/>
      <c r="G267" s="25" t="s">
        <v>240</v>
      </c>
      <c r="H267" s="10" t="s">
        <v>253</v>
      </c>
      <c r="I267" s="8">
        <v>500</v>
      </c>
      <c r="J267" s="27">
        <v>60</v>
      </c>
      <c r="K267" s="28">
        <f t="shared" si="11"/>
        <v>30000</v>
      </c>
      <c r="O267" s="31"/>
      <c r="P267" s="36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spans="1:33" s="5" customFormat="1" x14ac:dyDescent="0.3">
      <c r="A268" s="29"/>
      <c r="B268" s="10">
        <f t="shared" si="12"/>
        <v>266</v>
      </c>
      <c r="C268" s="25">
        <v>46191</v>
      </c>
      <c r="D268" s="25" t="s">
        <v>241</v>
      </c>
      <c r="E268" s="25" t="s">
        <v>498</v>
      </c>
      <c r="F268" s="46" t="s">
        <v>2375</v>
      </c>
      <c r="G268" s="25" t="s">
        <v>240</v>
      </c>
      <c r="H268" s="10" t="s">
        <v>244</v>
      </c>
      <c r="I268" s="8">
        <v>1600</v>
      </c>
      <c r="J268" s="27">
        <v>78</v>
      </c>
      <c r="K268" s="28">
        <f t="shared" si="11"/>
        <v>124800</v>
      </c>
      <c r="O268" s="31"/>
      <c r="P268" s="36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spans="1:33" s="5" customFormat="1" x14ac:dyDescent="0.3">
      <c r="A269" s="29"/>
      <c r="B269" s="10">
        <f t="shared" si="12"/>
        <v>267</v>
      </c>
      <c r="C269" s="25">
        <v>46191</v>
      </c>
      <c r="D269" s="25" t="s">
        <v>2383</v>
      </c>
      <c r="E269" s="25" t="s">
        <v>300</v>
      </c>
      <c r="F269" s="26">
        <v>521</v>
      </c>
      <c r="G269" s="25" t="s">
        <v>240</v>
      </c>
      <c r="H269" s="10" t="s">
        <v>244</v>
      </c>
      <c r="I269" s="8">
        <v>1800</v>
      </c>
      <c r="J269" s="27">
        <v>76</v>
      </c>
      <c r="K269" s="28">
        <f t="shared" si="11"/>
        <v>136800</v>
      </c>
      <c r="O269" s="31"/>
      <c r="P269" s="36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spans="1:33" s="5" customFormat="1" x14ac:dyDescent="0.3">
      <c r="A270" s="29"/>
      <c r="B270" s="10">
        <f t="shared" si="12"/>
        <v>268</v>
      </c>
      <c r="C270" s="25">
        <v>46192</v>
      </c>
      <c r="D270" s="25" t="s">
        <v>342</v>
      </c>
      <c r="E270" s="25" t="s">
        <v>352</v>
      </c>
      <c r="F270" s="26" t="s">
        <v>2347</v>
      </c>
      <c r="G270" s="25" t="s">
        <v>246</v>
      </c>
      <c r="H270" s="10" t="s">
        <v>247</v>
      </c>
      <c r="I270" s="8">
        <v>690</v>
      </c>
      <c r="J270" s="27">
        <v>310</v>
      </c>
      <c r="K270" s="28">
        <f t="shared" si="11"/>
        <v>213900</v>
      </c>
      <c r="O270" s="31"/>
      <c r="P270" s="36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spans="1:33" s="5" customFormat="1" x14ac:dyDescent="0.3">
      <c r="A271" s="29"/>
      <c r="B271" s="10">
        <f t="shared" si="12"/>
        <v>269</v>
      </c>
      <c r="C271" s="25">
        <v>46192</v>
      </c>
      <c r="D271" s="25" t="s">
        <v>302</v>
      </c>
      <c r="E271" s="25" t="s">
        <v>352</v>
      </c>
      <c r="F271" s="26" t="s">
        <v>2353</v>
      </c>
      <c r="G271" s="25" t="s">
        <v>240</v>
      </c>
      <c r="H271" s="10" t="s">
        <v>244</v>
      </c>
      <c r="I271" s="8">
        <v>1000</v>
      </c>
      <c r="J271" s="27">
        <v>80</v>
      </c>
      <c r="K271" s="28">
        <f t="shared" si="11"/>
        <v>80000</v>
      </c>
      <c r="O271" s="31"/>
      <c r="P271" s="36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spans="1:33" s="5" customFormat="1" x14ac:dyDescent="0.3">
      <c r="A272" s="29"/>
      <c r="B272" s="10">
        <f t="shared" si="12"/>
        <v>270</v>
      </c>
      <c r="C272" s="25">
        <v>46192</v>
      </c>
      <c r="D272" s="25" t="s">
        <v>302</v>
      </c>
      <c r="E272" s="25" t="s">
        <v>352</v>
      </c>
      <c r="F272" s="26" t="s">
        <v>2353</v>
      </c>
      <c r="G272" s="25" t="s">
        <v>240</v>
      </c>
      <c r="H272" s="10" t="s">
        <v>253</v>
      </c>
      <c r="I272" s="8">
        <v>500</v>
      </c>
      <c r="J272" s="27">
        <v>60</v>
      </c>
      <c r="K272" s="28">
        <f t="shared" si="11"/>
        <v>30000</v>
      </c>
      <c r="O272" s="31"/>
      <c r="P272" s="36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spans="1:33" s="5" customFormat="1" x14ac:dyDescent="0.3">
      <c r="A273" s="29"/>
      <c r="B273" s="10">
        <f t="shared" si="12"/>
        <v>271</v>
      </c>
      <c r="C273" s="25">
        <v>46192</v>
      </c>
      <c r="D273" s="25" t="s">
        <v>302</v>
      </c>
      <c r="E273" s="25" t="s">
        <v>352</v>
      </c>
      <c r="F273" s="26" t="s">
        <v>2354</v>
      </c>
      <c r="G273" s="25" t="s">
        <v>240</v>
      </c>
      <c r="H273" s="10" t="s">
        <v>244</v>
      </c>
      <c r="I273" s="8">
        <v>1000</v>
      </c>
      <c r="J273" s="27">
        <v>80</v>
      </c>
      <c r="K273" s="28">
        <f t="shared" si="11"/>
        <v>80000</v>
      </c>
      <c r="O273" s="31"/>
      <c r="P273" s="36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spans="1:33" s="5" customFormat="1" x14ac:dyDescent="0.3">
      <c r="A274" s="29"/>
      <c r="B274" s="10">
        <f t="shared" si="12"/>
        <v>272</v>
      </c>
      <c r="C274" s="25">
        <v>46192</v>
      </c>
      <c r="D274" s="25" t="s">
        <v>302</v>
      </c>
      <c r="E274" s="25" t="s">
        <v>352</v>
      </c>
      <c r="F274" s="26" t="s">
        <v>2354</v>
      </c>
      <c r="G274" s="25" t="s">
        <v>240</v>
      </c>
      <c r="H274" s="10" t="s">
        <v>253</v>
      </c>
      <c r="I274" s="8">
        <v>500</v>
      </c>
      <c r="J274" s="27">
        <v>60</v>
      </c>
      <c r="K274" s="28">
        <f t="shared" si="11"/>
        <v>30000</v>
      </c>
      <c r="O274" s="31"/>
      <c r="P274" s="36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spans="1:33" s="5" customFormat="1" x14ac:dyDescent="0.3">
      <c r="A275" s="29"/>
      <c r="B275" s="10">
        <f t="shared" si="12"/>
        <v>273</v>
      </c>
      <c r="C275" s="25">
        <v>46193</v>
      </c>
      <c r="D275" s="25" t="s">
        <v>163</v>
      </c>
      <c r="E275" s="25" t="s">
        <v>313</v>
      </c>
      <c r="F275" s="26"/>
      <c r="G275" s="25" t="s">
        <v>240</v>
      </c>
      <c r="H275" s="10" t="s">
        <v>253</v>
      </c>
      <c r="I275" s="8">
        <v>1000</v>
      </c>
      <c r="J275" s="27">
        <v>59</v>
      </c>
      <c r="K275" s="28">
        <f t="shared" si="11"/>
        <v>59000</v>
      </c>
      <c r="O275" s="31"/>
      <c r="P275" s="36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spans="1:33" s="5" customFormat="1" x14ac:dyDescent="0.3">
      <c r="A276" s="29"/>
      <c r="B276" s="10">
        <f t="shared" si="12"/>
        <v>274</v>
      </c>
      <c r="C276" s="25">
        <v>46193</v>
      </c>
      <c r="D276" s="25" t="s">
        <v>302</v>
      </c>
      <c r="E276" s="25" t="s">
        <v>352</v>
      </c>
      <c r="F276" s="26" t="s">
        <v>2355</v>
      </c>
      <c r="G276" s="25" t="s">
        <v>240</v>
      </c>
      <c r="H276" s="10" t="s">
        <v>244</v>
      </c>
      <c r="I276" s="8">
        <v>1000</v>
      </c>
      <c r="J276" s="27">
        <v>80</v>
      </c>
      <c r="K276" s="28">
        <f t="shared" si="11"/>
        <v>80000</v>
      </c>
      <c r="O276" s="31"/>
      <c r="P276" s="36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spans="1:33" s="5" customFormat="1" x14ac:dyDescent="0.3">
      <c r="A277" s="29"/>
      <c r="B277" s="10">
        <f t="shared" si="12"/>
        <v>275</v>
      </c>
      <c r="C277" s="25">
        <v>46193</v>
      </c>
      <c r="D277" s="25" t="s">
        <v>302</v>
      </c>
      <c r="E277" s="25" t="s">
        <v>352</v>
      </c>
      <c r="F277" s="26" t="s">
        <v>2355</v>
      </c>
      <c r="G277" s="25" t="s">
        <v>240</v>
      </c>
      <c r="H277" s="10" t="s">
        <v>253</v>
      </c>
      <c r="I277" s="8">
        <v>500</v>
      </c>
      <c r="J277" s="27">
        <v>60</v>
      </c>
      <c r="K277" s="28">
        <f t="shared" si="11"/>
        <v>30000</v>
      </c>
      <c r="O277" s="31"/>
      <c r="P277" s="36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spans="1:33" s="5" customFormat="1" x14ac:dyDescent="0.3">
      <c r="A278" s="29"/>
      <c r="B278" s="10">
        <f t="shared" si="12"/>
        <v>276</v>
      </c>
      <c r="C278" s="25">
        <v>46193</v>
      </c>
      <c r="D278" s="25" t="s">
        <v>302</v>
      </c>
      <c r="E278" s="25" t="s">
        <v>352</v>
      </c>
      <c r="F278" s="26" t="s">
        <v>2356</v>
      </c>
      <c r="G278" s="25" t="s">
        <v>240</v>
      </c>
      <c r="H278" s="10" t="s">
        <v>244</v>
      </c>
      <c r="I278" s="8">
        <v>1000</v>
      </c>
      <c r="J278" s="27">
        <v>80</v>
      </c>
      <c r="K278" s="28">
        <f t="shared" si="11"/>
        <v>80000</v>
      </c>
      <c r="O278" s="31"/>
      <c r="P278" s="36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spans="1:33" s="5" customFormat="1" x14ac:dyDescent="0.3">
      <c r="A279" s="29"/>
      <c r="B279" s="10">
        <f t="shared" si="12"/>
        <v>277</v>
      </c>
      <c r="C279" s="25">
        <v>46193</v>
      </c>
      <c r="D279" s="25" t="s">
        <v>302</v>
      </c>
      <c r="E279" s="25" t="s">
        <v>352</v>
      </c>
      <c r="F279" s="26" t="s">
        <v>2356</v>
      </c>
      <c r="G279" s="25" t="s">
        <v>240</v>
      </c>
      <c r="H279" s="10" t="s">
        <v>253</v>
      </c>
      <c r="I279" s="8">
        <v>500</v>
      </c>
      <c r="J279" s="27">
        <v>60</v>
      </c>
      <c r="K279" s="28">
        <f t="shared" si="11"/>
        <v>30000</v>
      </c>
      <c r="O279" s="31"/>
      <c r="P279" s="36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spans="1:33" s="5" customFormat="1" x14ac:dyDescent="0.3">
      <c r="A280" s="29"/>
      <c r="B280" s="10">
        <f t="shared" si="12"/>
        <v>278</v>
      </c>
      <c r="C280" s="25">
        <v>46194</v>
      </c>
      <c r="D280" s="25" t="s">
        <v>342</v>
      </c>
      <c r="E280" s="25" t="s">
        <v>300</v>
      </c>
      <c r="F280" s="26" t="s">
        <v>2348</v>
      </c>
      <c r="G280" s="25" t="s">
        <v>246</v>
      </c>
      <c r="H280" s="10" t="s">
        <v>247</v>
      </c>
      <c r="I280" s="8">
        <v>275</v>
      </c>
      <c r="J280" s="27">
        <v>310</v>
      </c>
      <c r="K280" s="28">
        <f t="shared" si="11"/>
        <v>85250</v>
      </c>
      <c r="O280" s="31"/>
      <c r="P280" s="36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spans="1:33" s="5" customFormat="1" x14ac:dyDescent="0.3">
      <c r="A281" s="29"/>
      <c r="B281" s="10">
        <f t="shared" si="12"/>
        <v>279</v>
      </c>
      <c r="C281" s="25">
        <v>46194</v>
      </c>
      <c r="D281" s="25" t="s">
        <v>342</v>
      </c>
      <c r="E281" s="25" t="s">
        <v>313</v>
      </c>
      <c r="F281" s="26" t="s">
        <v>2349</v>
      </c>
      <c r="G281" s="25" t="s">
        <v>246</v>
      </c>
      <c r="H281" s="10" t="s">
        <v>247</v>
      </c>
      <c r="I281" s="8">
        <v>690</v>
      </c>
      <c r="J281" s="27">
        <v>310</v>
      </c>
      <c r="K281" s="28">
        <f t="shared" si="11"/>
        <v>213900</v>
      </c>
      <c r="O281" s="31"/>
      <c r="P281" s="36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spans="1:33" s="5" customFormat="1" x14ac:dyDescent="0.3">
      <c r="A282" s="29"/>
      <c r="B282" s="10">
        <f t="shared" si="12"/>
        <v>280</v>
      </c>
      <c r="C282" s="25">
        <v>46194</v>
      </c>
      <c r="D282" s="25" t="s">
        <v>163</v>
      </c>
      <c r="E282" s="25" t="s">
        <v>313</v>
      </c>
      <c r="F282" s="26"/>
      <c r="G282" s="25" t="s">
        <v>240</v>
      </c>
      <c r="H282" s="10" t="s">
        <v>244</v>
      </c>
      <c r="I282" s="8">
        <v>700</v>
      </c>
      <c r="J282" s="27">
        <v>78</v>
      </c>
      <c r="K282" s="28">
        <f t="shared" si="11"/>
        <v>54600</v>
      </c>
      <c r="O282" s="31"/>
      <c r="P282" s="36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spans="1:33" s="5" customFormat="1" x14ac:dyDescent="0.3">
      <c r="A283" s="29"/>
      <c r="B283" s="10">
        <f t="shared" si="12"/>
        <v>281</v>
      </c>
      <c r="C283" s="25">
        <v>46194</v>
      </c>
      <c r="D283" s="25" t="s">
        <v>163</v>
      </c>
      <c r="E283" s="25" t="s">
        <v>2351</v>
      </c>
      <c r="F283" s="26"/>
      <c r="G283" s="25" t="s">
        <v>240</v>
      </c>
      <c r="H283" s="10" t="s">
        <v>244</v>
      </c>
      <c r="I283" s="8">
        <v>700</v>
      </c>
      <c r="J283" s="27">
        <v>78</v>
      </c>
      <c r="K283" s="28">
        <f t="shared" si="11"/>
        <v>54600</v>
      </c>
      <c r="O283" s="31"/>
      <c r="P283" s="36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spans="1:33" s="5" customFormat="1" x14ac:dyDescent="0.3">
      <c r="A284" s="29"/>
      <c r="B284" s="10">
        <f t="shared" si="12"/>
        <v>282</v>
      </c>
      <c r="C284" s="25">
        <v>46194</v>
      </c>
      <c r="D284" s="25" t="s">
        <v>163</v>
      </c>
      <c r="E284" s="25" t="s">
        <v>2351</v>
      </c>
      <c r="F284" s="26"/>
      <c r="G284" s="25" t="s">
        <v>240</v>
      </c>
      <c r="H284" s="10" t="s">
        <v>244</v>
      </c>
      <c r="I284" s="8">
        <v>700</v>
      </c>
      <c r="J284" s="27">
        <v>78</v>
      </c>
      <c r="K284" s="28">
        <f t="shared" si="11"/>
        <v>54600</v>
      </c>
      <c r="O284" s="31"/>
      <c r="P284" s="36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spans="1:33" s="5" customFormat="1" x14ac:dyDescent="0.3">
      <c r="A285" s="29"/>
      <c r="B285" s="10">
        <f t="shared" si="12"/>
        <v>283</v>
      </c>
      <c r="C285" s="25">
        <v>46194</v>
      </c>
      <c r="D285" s="25" t="s">
        <v>302</v>
      </c>
      <c r="E285" s="25" t="s">
        <v>352</v>
      </c>
      <c r="F285" s="26" t="s">
        <v>2357</v>
      </c>
      <c r="G285" s="25" t="s">
        <v>240</v>
      </c>
      <c r="H285" s="10" t="s">
        <v>244</v>
      </c>
      <c r="I285" s="8">
        <v>1000</v>
      </c>
      <c r="J285" s="27">
        <v>80</v>
      </c>
      <c r="K285" s="28">
        <f t="shared" ref="K285:K316" si="13">J285*I285</f>
        <v>80000</v>
      </c>
      <c r="O285" s="31"/>
      <c r="P285" s="36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spans="1:33" s="5" customFormat="1" x14ac:dyDescent="0.3">
      <c r="A286" s="29"/>
      <c r="B286" s="10">
        <f t="shared" si="12"/>
        <v>284</v>
      </c>
      <c r="C286" s="25">
        <v>46194</v>
      </c>
      <c r="D286" s="25" t="s">
        <v>302</v>
      </c>
      <c r="E286" s="25" t="s">
        <v>352</v>
      </c>
      <c r="F286" s="26" t="s">
        <v>2357</v>
      </c>
      <c r="G286" s="25" t="s">
        <v>240</v>
      </c>
      <c r="H286" s="10" t="s">
        <v>253</v>
      </c>
      <c r="I286" s="8">
        <v>500</v>
      </c>
      <c r="J286" s="27">
        <v>60</v>
      </c>
      <c r="K286" s="28">
        <f t="shared" si="13"/>
        <v>30000</v>
      </c>
      <c r="O286" s="31"/>
      <c r="P286" s="36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spans="1:33" s="5" customFormat="1" x14ac:dyDescent="0.3">
      <c r="A287" s="29"/>
      <c r="B287" s="10">
        <f t="shared" si="12"/>
        <v>285</v>
      </c>
      <c r="C287" s="25">
        <v>46194</v>
      </c>
      <c r="D287" s="25" t="s">
        <v>302</v>
      </c>
      <c r="E287" s="25" t="s">
        <v>352</v>
      </c>
      <c r="F287" s="26" t="s">
        <v>2358</v>
      </c>
      <c r="G287" s="25" t="s">
        <v>240</v>
      </c>
      <c r="H287" s="10" t="s">
        <v>244</v>
      </c>
      <c r="I287" s="8">
        <v>1250</v>
      </c>
      <c r="J287" s="27">
        <v>80</v>
      </c>
      <c r="K287" s="28">
        <f t="shared" si="13"/>
        <v>100000</v>
      </c>
      <c r="O287" s="31"/>
      <c r="P287" s="36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spans="1:33" s="5" customFormat="1" x14ac:dyDescent="0.3">
      <c r="A288" s="29"/>
      <c r="B288" s="10">
        <f t="shared" si="12"/>
        <v>286</v>
      </c>
      <c r="C288" s="122">
        <v>46195</v>
      </c>
      <c r="D288" s="122" t="s">
        <v>342</v>
      </c>
      <c r="E288" s="122" t="s">
        <v>345</v>
      </c>
      <c r="F288" s="123" t="s">
        <v>2349</v>
      </c>
      <c r="G288" s="122" t="s">
        <v>246</v>
      </c>
      <c r="H288" s="121" t="s">
        <v>247</v>
      </c>
      <c r="I288" s="124">
        <v>690</v>
      </c>
      <c r="J288" s="125">
        <v>310</v>
      </c>
      <c r="K288" s="126">
        <f t="shared" si="13"/>
        <v>213900</v>
      </c>
      <c r="O288" s="31"/>
      <c r="P288" s="36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spans="1:33" s="5" customFormat="1" x14ac:dyDescent="0.3">
      <c r="A289" s="29"/>
      <c r="B289" s="10">
        <f t="shared" si="12"/>
        <v>287</v>
      </c>
      <c r="C289" s="25">
        <v>46195</v>
      </c>
      <c r="D289" s="25" t="s">
        <v>163</v>
      </c>
      <c r="E289" s="25" t="s">
        <v>313</v>
      </c>
      <c r="F289" s="26"/>
      <c r="G289" s="25" t="s">
        <v>240</v>
      </c>
      <c r="H289" s="10" t="s">
        <v>244</v>
      </c>
      <c r="I289" s="8">
        <v>700</v>
      </c>
      <c r="J289" s="27">
        <v>78</v>
      </c>
      <c r="K289" s="28">
        <f t="shared" si="13"/>
        <v>54600</v>
      </c>
      <c r="O289" s="31"/>
      <c r="P289" s="36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spans="1:33" s="5" customFormat="1" x14ac:dyDescent="0.3">
      <c r="A290" s="29"/>
      <c r="B290" s="10">
        <f t="shared" si="12"/>
        <v>288</v>
      </c>
      <c r="C290" s="25">
        <v>46196</v>
      </c>
      <c r="D290" s="25" t="s">
        <v>163</v>
      </c>
      <c r="E290" s="25" t="s">
        <v>2352</v>
      </c>
      <c r="F290" s="26"/>
      <c r="G290" s="25" t="s">
        <v>240</v>
      </c>
      <c r="H290" s="10" t="s">
        <v>253</v>
      </c>
      <c r="I290" s="8">
        <v>1000</v>
      </c>
      <c r="J290" s="27">
        <v>58</v>
      </c>
      <c r="K290" s="28">
        <f t="shared" si="13"/>
        <v>58000</v>
      </c>
      <c r="O290" s="31"/>
      <c r="P290" s="36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spans="1:33" s="5" customFormat="1" x14ac:dyDescent="0.3">
      <c r="A291" s="29"/>
      <c r="B291" s="10">
        <f t="shared" si="12"/>
        <v>289</v>
      </c>
      <c r="C291" s="25">
        <v>46196</v>
      </c>
      <c r="D291" s="25" t="s">
        <v>302</v>
      </c>
      <c r="E291" s="25" t="s">
        <v>352</v>
      </c>
      <c r="F291" s="26" t="s">
        <v>2367</v>
      </c>
      <c r="G291" s="25" t="s">
        <v>240</v>
      </c>
      <c r="H291" s="10" t="s">
        <v>244</v>
      </c>
      <c r="I291" s="8">
        <v>1250</v>
      </c>
      <c r="J291" s="27">
        <v>80</v>
      </c>
      <c r="K291" s="28">
        <f t="shared" si="13"/>
        <v>100000</v>
      </c>
      <c r="O291" s="31"/>
      <c r="P291" s="36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spans="1:33" s="5" customFormat="1" x14ac:dyDescent="0.3">
      <c r="A292" s="29"/>
      <c r="B292" s="10">
        <f t="shared" si="12"/>
        <v>290</v>
      </c>
      <c r="C292" s="25">
        <v>46196</v>
      </c>
      <c r="D292" s="25" t="s">
        <v>302</v>
      </c>
      <c r="E292" s="25" t="s">
        <v>352</v>
      </c>
      <c r="F292" s="26" t="s">
        <v>2368</v>
      </c>
      <c r="G292" s="25" t="s">
        <v>240</v>
      </c>
      <c r="H292" s="10" t="s">
        <v>244</v>
      </c>
      <c r="I292" s="8">
        <v>1000</v>
      </c>
      <c r="J292" s="27">
        <v>80</v>
      </c>
      <c r="K292" s="28">
        <f t="shared" si="13"/>
        <v>80000</v>
      </c>
      <c r="O292" s="31"/>
      <c r="P292" s="36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spans="1:33" s="5" customFormat="1" x14ac:dyDescent="0.3">
      <c r="A293" s="29"/>
      <c r="B293" s="10">
        <f t="shared" si="12"/>
        <v>291</v>
      </c>
      <c r="C293" s="25">
        <v>46196</v>
      </c>
      <c r="D293" s="25" t="s">
        <v>302</v>
      </c>
      <c r="E293" s="25" t="s">
        <v>352</v>
      </c>
      <c r="F293" s="26" t="s">
        <v>2368</v>
      </c>
      <c r="G293" s="25" t="s">
        <v>240</v>
      </c>
      <c r="H293" s="10" t="s">
        <v>253</v>
      </c>
      <c r="I293" s="8">
        <v>500</v>
      </c>
      <c r="J293" s="27">
        <v>60</v>
      </c>
      <c r="K293" s="28">
        <f t="shared" si="13"/>
        <v>30000</v>
      </c>
      <c r="O293" s="31"/>
      <c r="P293" s="36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spans="1:33" s="5" customFormat="1" x14ac:dyDescent="0.3">
      <c r="A294" s="29"/>
      <c r="B294" s="10">
        <f t="shared" si="12"/>
        <v>292</v>
      </c>
      <c r="C294" s="25">
        <v>46197</v>
      </c>
      <c r="D294" s="25" t="s">
        <v>163</v>
      </c>
      <c r="E294" s="25" t="s">
        <v>300</v>
      </c>
      <c r="F294" s="26"/>
      <c r="G294" s="25" t="s">
        <v>240</v>
      </c>
      <c r="H294" s="10" t="s">
        <v>253</v>
      </c>
      <c r="I294" s="8">
        <v>1000</v>
      </c>
      <c r="J294" s="27">
        <v>59</v>
      </c>
      <c r="K294" s="28">
        <f t="shared" si="13"/>
        <v>59000</v>
      </c>
      <c r="O294" s="31"/>
      <c r="P294" s="36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spans="1:33" s="5" customFormat="1" x14ac:dyDescent="0.3">
      <c r="A295" s="29"/>
      <c r="B295" s="10">
        <f t="shared" si="12"/>
        <v>293</v>
      </c>
      <c r="C295" s="25">
        <v>46197</v>
      </c>
      <c r="D295" s="25" t="s">
        <v>302</v>
      </c>
      <c r="E295" s="25" t="s">
        <v>352</v>
      </c>
      <c r="F295" s="26" t="s">
        <v>2366</v>
      </c>
      <c r="G295" s="25" t="s">
        <v>240</v>
      </c>
      <c r="H295" s="10" t="s">
        <v>253</v>
      </c>
      <c r="I295" s="8">
        <v>1250</v>
      </c>
      <c r="J295" s="27">
        <v>60</v>
      </c>
      <c r="K295" s="28">
        <f t="shared" si="13"/>
        <v>75000</v>
      </c>
      <c r="O295" s="31"/>
      <c r="P295" s="36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spans="1:33" s="5" customFormat="1" x14ac:dyDescent="0.3">
      <c r="A296" s="29"/>
      <c r="B296" s="10">
        <f t="shared" si="12"/>
        <v>294</v>
      </c>
      <c r="C296" s="25">
        <v>46197</v>
      </c>
      <c r="D296" s="25" t="s">
        <v>302</v>
      </c>
      <c r="E296" s="25" t="s">
        <v>352</v>
      </c>
      <c r="F296" s="26" t="s">
        <v>2366</v>
      </c>
      <c r="G296" s="25" t="s">
        <v>240</v>
      </c>
      <c r="H296" s="10" t="s">
        <v>244</v>
      </c>
      <c r="I296" s="8">
        <v>400</v>
      </c>
      <c r="J296" s="27">
        <v>80</v>
      </c>
      <c r="K296" s="28">
        <f t="shared" si="13"/>
        <v>32000</v>
      </c>
      <c r="O296" s="31"/>
      <c r="P296" s="36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spans="1:33" s="5" customFormat="1" x14ac:dyDescent="0.3">
      <c r="A297" s="29"/>
      <c r="B297" s="10">
        <f t="shared" si="12"/>
        <v>295</v>
      </c>
      <c r="C297" s="25">
        <v>46198</v>
      </c>
      <c r="D297" s="25" t="s">
        <v>163</v>
      </c>
      <c r="E297" s="25" t="s">
        <v>313</v>
      </c>
      <c r="F297" s="26"/>
      <c r="G297" s="25" t="s">
        <v>240</v>
      </c>
      <c r="H297" s="10" t="s">
        <v>253</v>
      </c>
      <c r="I297" s="8">
        <v>1000</v>
      </c>
      <c r="J297" s="27">
        <v>59</v>
      </c>
      <c r="K297" s="28">
        <f t="shared" si="13"/>
        <v>59000</v>
      </c>
      <c r="O297" s="31"/>
      <c r="P297" s="36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spans="1:33" s="5" customFormat="1" x14ac:dyDescent="0.3">
      <c r="A298" s="29"/>
      <c r="B298" s="10">
        <f t="shared" si="12"/>
        <v>296</v>
      </c>
      <c r="C298" s="25">
        <v>46198</v>
      </c>
      <c r="D298" s="25" t="s">
        <v>302</v>
      </c>
      <c r="E298" s="25" t="s">
        <v>572</v>
      </c>
      <c r="F298" s="26" t="s">
        <v>2363</v>
      </c>
      <c r="G298" s="25" t="s">
        <v>240</v>
      </c>
      <c r="H298" s="10" t="s">
        <v>244</v>
      </c>
      <c r="I298" s="8">
        <v>1000</v>
      </c>
      <c r="J298" s="27">
        <v>80</v>
      </c>
      <c r="K298" s="28">
        <f t="shared" si="13"/>
        <v>80000</v>
      </c>
      <c r="O298" s="31"/>
      <c r="P298" s="36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spans="1:33" s="5" customFormat="1" x14ac:dyDescent="0.3">
      <c r="A299" s="29"/>
      <c r="B299" s="10">
        <f t="shared" si="12"/>
        <v>297</v>
      </c>
      <c r="C299" s="25">
        <v>46198</v>
      </c>
      <c r="D299" s="25" t="s">
        <v>302</v>
      </c>
      <c r="E299" s="25" t="s">
        <v>572</v>
      </c>
      <c r="F299" s="26" t="s">
        <v>2363</v>
      </c>
      <c r="G299" s="25" t="s">
        <v>240</v>
      </c>
      <c r="H299" s="10" t="s">
        <v>253</v>
      </c>
      <c r="I299" s="8">
        <v>500</v>
      </c>
      <c r="J299" s="27">
        <v>60</v>
      </c>
      <c r="K299" s="28">
        <f t="shared" si="13"/>
        <v>30000</v>
      </c>
      <c r="O299" s="31"/>
      <c r="P299" s="36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spans="1:33" s="5" customFormat="1" x14ac:dyDescent="0.3">
      <c r="A300" s="29"/>
      <c r="B300" s="10">
        <f t="shared" si="12"/>
        <v>298</v>
      </c>
      <c r="C300" s="25">
        <v>46198</v>
      </c>
      <c r="D300" s="25" t="s">
        <v>302</v>
      </c>
      <c r="E300" s="25" t="s">
        <v>337</v>
      </c>
      <c r="F300" s="26" t="s">
        <v>2364</v>
      </c>
      <c r="G300" s="25" t="s">
        <v>240</v>
      </c>
      <c r="H300" s="10" t="s">
        <v>244</v>
      </c>
      <c r="I300" s="8">
        <v>1000</v>
      </c>
      <c r="J300" s="27">
        <v>78</v>
      </c>
      <c r="K300" s="28">
        <f t="shared" si="13"/>
        <v>78000</v>
      </c>
      <c r="O300" s="31"/>
      <c r="P300" s="36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spans="1:33" s="5" customFormat="1" x14ac:dyDescent="0.3">
      <c r="A301" s="29"/>
      <c r="B301" s="10">
        <f t="shared" si="12"/>
        <v>299</v>
      </c>
      <c r="C301" s="25">
        <v>46198</v>
      </c>
      <c r="D301" s="25" t="s">
        <v>302</v>
      </c>
      <c r="E301" s="25" t="s">
        <v>337</v>
      </c>
      <c r="F301" s="26" t="s">
        <v>2364</v>
      </c>
      <c r="G301" s="25" t="s">
        <v>240</v>
      </c>
      <c r="H301" s="10" t="s">
        <v>253</v>
      </c>
      <c r="I301" s="8">
        <v>500</v>
      </c>
      <c r="J301" s="27">
        <v>58.5</v>
      </c>
      <c r="K301" s="28">
        <f t="shared" si="13"/>
        <v>29250</v>
      </c>
      <c r="O301" s="31"/>
      <c r="P301" s="36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spans="1:33" s="5" customFormat="1" x14ac:dyDescent="0.3">
      <c r="A302" s="29"/>
      <c r="B302" s="10">
        <f t="shared" si="12"/>
        <v>300</v>
      </c>
      <c r="C302" s="25">
        <v>46198</v>
      </c>
      <c r="D302" s="25" t="s">
        <v>302</v>
      </c>
      <c r="E302" s="25" t="s">
        <v>313</v>
      </c>
      <c r="F302" s="26" t="s">
        <v>2365</v>
      </c>
      <c r="G302" s="25" t="s">
        <v>240</v>
      </c>
      <c r="H302" s="10" t="s">
        <v>244</v>
      </c>
      <c r="I302" s="8">
        <v>1000</v>
      </c>
      <c r="J302" s="27">
        <v>78</v>
      </c>
      <c r="K302" s="28">
        <f t="shared" si="13"/>
        <v>78000</v>
      </c>
      <c r="O302" s="31"/>
      <c r="P302" s="36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spans="1:33" s="5" customFormat="1" x14ac:dyDescent="0.3">
      <c r="A303" s="29"/>
      <c r="B303" s="10">
        <f t="shared" si="12"/>
        <v>301</v>
      </c>
      <c r="C303" s="25">
        <v>46198</v>
      </c>
      <c r="D303" s="25" t="s">
        <v>302</v>
      </c>
      <c r="E303" s="25" t="s">
        <v>313</v>
      </c>
      <c r="F303" s="26" t="s">
        <v>2365</v>
      </c>
      <c r="G303" s="25" t="s">
        <v>240</v>
      </c>
      <c r="H303" s="10" t="s">
        <v>253</v>
      </c>
      <c r="I303" s="8">
        <v>500</v>
      </c>
      <c r="J303" s="27">
        <v>58.5</v>
      </c>
      <c r="K303" s="28">
        <f t="shared" si="13"/>
        <v>29250</v>
      </c>
      <c r="O303" s="31"/>
      <c r="P303" s="36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spans="1:33" s="5" customFormat="1" x14ac:dyDescent="0.3">
      <c r="A304" s="29"/>
      <c r="B304" s="10">
        <f t="shared" si="12"/>
        <v>302</v>
      </c>
      <c r="C304" s="25">
        <v>46198</v>
      </c>
      <c r="D304" s="25" t="s">
        <v>241</v>
      </c>
      <c r="E304" s="25" t="s">
        <v>498</v>
      </c>
      <c r="F304" s="46" t="s">
        <v>2373</v>
      </c>
      <c r="G304" s="25" t="s">
        <v>240</v>
      </c>
      <c r="H304" s="10" t="s">
        <v>244</v>
      </c>
      <c r="I304" s="8">
        <v>1600</v>
      </c>
      <c r="J304" s="27">
        <v>78</v>
      </c>
      <c r="K304" s="28">
        <f t="shared" si="13"/>
        <v>124800</v>
      </c>
      <c r="O304" s="31"/>
      <c r="P304" s="36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spans="1:33" s="5" customFormat="1" x14ac:dyDescent="0.3">
      <c r="A305" s="29"/>
      <c r="B305" s="10">
        <f t="shared" si="12"/>
        <v>303</v>
      </c>
      <c r="C305" s="25">
        <v>46198</v>
      </c>
      <c r="D305" s="25" t="s">
        <v>241</v>
      </c>
      <c r="E305" s="25" t="s">
        <v>300</v>
      </c>
      <c r="F305" s="46" t="s">
        <v>2374</v>
      </c>
      <c r="G305" s="25" t="s">
        <v>240</v>
      </c>
      <c r="H305" s="10" t="s">
        <v>253</v>
      </c>
      <c r="I305" s="8">
        <v>1500</v>
      </c>
      <c r="J305" s="27">
        <v>58.5</v>
      </c>
      <c r="K305" s="28">
        <f t="shared" si="13"/>
        <v>87750</v>
      </c>
      <c r="O305" s="31"/>
      <c r="P305" s="36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spans="1:33" s="5" customFormat="1" x14ac:dyDescent="0.3">
      <c r="A306" s="29"/>
      <c r="B306" s="10">
        <f t="shared" si="12"/>
        <v>304</v>
      </c>
      <c r="C306" s="25">
        <v>46199</v>
      </c>
      <c r="D306" s="25" t="s">
        <v>163</v>
      </c>
      <c r="E306" s="25" t="s">
        <v>270</v>
      </c>
      <c r="F306" s="26"/>
      <c r="G306" s="25" t="s">
        <v>240</v>
      </c>
      <c r="H306" s="10" t="s">
        <v>244</v>
      </c>
      <c r="I306" s="8">
        <v>700</v>
      </c>
      <c r="J306" s="27">
        <v>76</v>
      </c>
      <c r="K306" s="28">
        <f t="shared" si="13"/>
        <v>53200</v>
      </c>
      <c r="O306" s="31"/>
      <c r="P306" s="36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spans="1:33" s="5" customFormat="1" x14ac:dyDescent="0.3">
      <c r="A307" s="29"/>
      <c r="B307" s="10">
        <f t="shared" si="12"/>
        <v>305</v>
      </c>
      <c r="C307" s="25">
        <v>46199</v>
      </c>
      <c r="D307" s="25" t="s">
        <v>302</v>
      </c>
      <c r="E307" s="25" t="s">
        <v>359</v>
      </c>
      <c r="F307" s="26" t="s">
        <v>2361</v>
      </c>
      <c r="G307" s="25" t="s">
        <v>240</v>
      </c>
      <c r="H307" s="10" t="s">
        <v>244</v>
      </c>
      <c r="I307" s="8">
        <v>1000</v>
      </c>
      <c r="J307" s="27">
        <v>80</v>
      </c>
      <c r="K307" s="28">
        <f t="shared" si="13"/>
        <v>80000</v>
      </c>
      <c r="O307" s="31"/>
      <c r="P307" s="36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spans="1:33" s="5" customFormat="1" x14ac:dyDescent="0.3">
      <c r="A308" s="29"/>
      <c r="B308" s="10">
        <f t="shared" si="12"/>
        <v>306</v>
      </c>
      <c r="C308" s="25">
        <v>46199</v>
      </c>
      <c r="D308" s="25" t="s">
        <v>302</v>
      </c>
      <c r="E308" s="25" t="s">
        <v>359</v>
      </c>
      <c r="F308" s="26" t="s">
        <v>2361</v>
      </c>
      <c r="G308" s="25" t="s">
        <v>240</v>
      </c>
      <c r="H308" s="10" t="s">
        <v>253</v>
      </c>
      <c r="I308" s="8">
        <v>500</v>
      </c>
      <c r="J308" s="27">
        <v>60</v>
      </c>
      <c r="K308" s="28">
        <f t="shared" si="13"/>
        <v>30000</v>
      </c>
      <c r="L308" s="50">
        <v>28800</v>
      </c>
      <c r="M308" s="23" t="s">
        <v>2384</v>
      </c>
      <c r="O308" s="31"/>
      <c r="P308" s="36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spans="1:33" s="5" customFormat="1" x14ac:dyDescent="0.3">
      <c r="A309" s="29"/>
      <c r="B309" s="10">
        <f t="shared" si="12"/>
        <v>307</v>
      </c>
      <c r="C309" s="25">
        <v>46199</v>
      </c>
      <c r="D309" s="25" t="s">
        <v>302</v>
      </c>
      <c r="E309" s="25" t="s">
        <v>352</v>
      </c>
      <c r="F309" s="26" t="s">
        <v>2362</v>
      </c>
      <c r="G309" s="25" t="s">
        <v>240</v>
      </c>
      <c r="H309" s="10" t="s">
        <v>244</v>
      </c>
      <c r="I309" s="8">
        <v>1000</v>
      </c>
      <c r="J309" s="27">
        <v>80</v>
      </c>
      <c r="K309" s="28">
        <f t="shared" si="13"/>
        <v>80000</v>
      </c>
      <c r="L309" s="50">
        <v>28800</v>
      </c>
      <c r="M309" s="23" t="s">
        <v>2384</v>
      </c>
      <c r="O309" s="31"/>
      <c r="P309" s="36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spans="1:33" s="5" customFormat="1" x14ac:dyDescent="0.3">
      <c r="A310" s="29"/>
      <c r="B310" s="10">
        <f t="shared" si="12"/>
        <v>308</v>
      </c>
      <c r="C310" s="25">
        <v>46199</v>
      </c>
      <c r="D310" s="25" t="s">
        <v>302</v>
      </c>
      <c r="E310" s="25" t="s">
        <v>352</v>
      </c>
      <c r="F310" s="26" t="s">
        <v>2362</v>
      </c>
      <c r="G310" s="25" t="s">
        <v>240</v>
      </c>
      <c r="H310" s="10" t="s">
        <v>253</v>
      </c>
      <c r="I310" s="8">
        <v>500</v>
      </c>
      <c r="J310" s="27">
        <v>60</v>
      </c>
      <c r="K310" s="28">
        <f t="shared" si="13"/>
        <v>30000</v>
      </c>
      <c r="O310" s="31"/>
      <c r="P310" s="36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spans="1:33" s="5" customFormat="1" x14ac:dyDescent="0.3">
      <c r="A311" s="29"/>
      <c r="B311" s="10">
        <f t="shared" si="12"/>
        <v>309</v>
      </c>
      <c r="C311" s="25">
        <v>46200</v>
      </c>
      <c r="D311" s="25" t="s">
        <v>302</v>
      </c>
      <c r="E311" s="25" t="s">
        <v>313</v>
      </c>
      <c r="F311" s="26" t="s">
        <v>2359</v>
      </c>
      <c r="G311" s="25" t="s">
        <v>240</v>
      </c>
      <c r="H311" s="10" t="s">
        <v>244</v>
      </c>
      <c r="I311" s="8">
        <v>1350</v>
      </c>
      <c r="J311" s="27">
        <v>78.5</v>
      </c>
      <c r="K311" s="28">
        <f t="shared" si="13"/>
        <v>105975</v>
      </c>
      <c r="O311" s="31"/>
      <c r="P311" s="36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spans="1:33" s="5" customFormat="1" x14ac:dyDescent="0.3">
      <c r="A312" s="29"/>
      <c r="B312" s="10">
        <f t="shared" si="12"/>
        <v>310</v>
      </c>
      <c r="C312" s="25">
        <v>46200</v>
      </c>
      <c r="D312" s="25" t="s">
        <v>302</v>
      </c>
      <c r="E312" s="25" t="s">
        <v>675</v>
      </c>
      <c r="F312" s="26" t="s">
        <v>2360</v>
      </c>
      <c r="G312" s="25" t="s">
        <v>240</v>
      </c>
      <c r="H312" s="10" t="s">
        <v>244</v>
      </c>
      <c r="I312" s="8">
        <v>1000</v>
      </c>
      <c r="J312" s="27">
        <v>78</v>
      </c>
      <c r="K312" s="28">
        <f t="shared" si="13"/>
        <v>78000</v>
      </c>
      <c r="O312" s="31"/>
      <c r="P312" s="36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spans="1:33" s="5" customFormat="1" x14ac:dyDescent="0.3">
      <c r="A313" s="29"/>
      <c r="B313" s="10">
        <f t="shared" si="12"/>
        <v>311</v>
      </c>
      <c r="C313" s="25">
        <v>46200</v>
      </c>
      <c r="D313" s="25" t="s">
        <v>302</v>
      </c>
      <c r="E313" s="25" t="s">
        <v>675</v>
      </c>
      <c r="F313" s="26" t="s">
        <v>2360</v>
      </c>
      <c r="G313" s="25" t="s">
        <v>240</v>
      </c>
      <c r="H313" s="10" t="s">
        <v>253</v>
      </c>
      <c r="I313" s="8">
        <v>500</v>
      </c>
      <c r="J313" s="27">
        <v>58.5</v>
      </c>
      <c r="K313" s="28">
        <f t="shared" si="13"/>
        <v>29250</v>
      </c>
      <c r="O313" s="31"/>
      <c r="P313" s="36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spans="1:33" s="5" customFormat="1" x14ac:dyDescent="0.3">
      <c r="A314" s="29"/>
      <c r="B314" s="10">
        <f t="shared" si="12"/>
        <v>312</v>
      </c>
      <c r="C314" s="25">
        <v>46200</v>
      </c>
      <c r="D314" s="25" t="s">
        <v>241</v>
      </c>
      <c r="E314" s="25" t="s">
        <v>300</v>
      </c>
      <c r="F314" s="46" t="s">
        <v>2371</v>
      </c>
      <c r="G314" s="25" t="s">
        <v>240</v>
      </c>
      <c r="H314" s="10" t="s">
        <v>244</v>
      </c>
      <c r="I314" s="8">
        <v>1100</v>
      </c>
      <c r="J314" s="27">
        <v>78</v>
      </c>
      <c r="K314" s="28">
        <f t="shared" si="13"/>
        <v>85800</v>
      </c>
      <c r="O314" s="31"/>
      <c r="P314" s="36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spans="1:33" s="5" customFormat="1" x14ac:dyDescent="0.3">
      <c r="A315" s="29"/>
      <c r="B315" s="10">
        <f t="shared" si="12"/>
        <v>313</v>
      </c>
      <c r="C315" s="25">
        <v>46200</v>
      </c>
      <c r="D315" s="25" t="s">
        <v>241</v>
      </c>
      <c r="E315" s="25" t="s">
        <v>498</v>
      </c>
      <c r="F315" s="46" t="s">
        <v>2372</v>
      </c>
      <c r="G315" s="25" t="s">
        <v>240</v>
      </c>
      <c r="H315" s="10" t="s">
        <v>244</v>
      </c>
      <c r="I315" s="8">
        <v>1100</v>
      </c>
      <c r="J315" s="27">
        <v>78</v>
      </c>
      <c r="K315" s="28">
        <f t="shared" si="13"/>
        <v>85800</v>
      </c>
      <c r="O315" s="31"/>
      <c r="P315" s="36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spans="1:33" s="5" customFormat="1" x14ac:dyDescent="0.3">
      <c r="A316" s="29"/>
      <c r="B316" s="10">
        <f t="shared" si="12"/>
        <v>314</v>
      </c>
      <c r="C316" s="25">
        <v>46201</v>
      </c>
      <c r="D316" s="25" t="s">
        <v>163</v>
      </c>
      <c r="E316" s="25" t="s">
        <v>270</v>
      </c>
      <c r="F316" s="26"/>
      <c r="G316" s="25" t="s">
        <v>240</v>
      </c>
      <c r="H316" s="10" t="s">
        <v>244</v>
      </c>
      <c r="I316" s="8">
        <v>700</v>
      </c>
      <c r="J316" s="27">
        <v>76</v>
      </c>
      <c r="K316" s="28">
        <f t="shared" si="13"/>
        <v>53200</v>
      </c>
      <c r="O316" s="31"/>
      <c r="P316" s="36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spans="1:33" s="5" customFormat="1" x14ac:dyDescent="0.3">
      <c r="A317" s="29"/>
      <c r="B317" s="10">
        <f t="shared" si="12"/>
        <v>315</v>
      </c>
      <c r="C317" s="25">
        <v>46201</v>
      </c>
      <c r="D317" s="25" t="s">
        <v>163</v>
      </c>
      <c r="E317" s="25" t="s">
        <v>313</v>
      </c>
      <c r="F317" s="26"/>
      <c r="G317" s="25" t="s">
        <v>240</v>
      </c>
      <c r="H317" s="10" t="s">
        <v>244</v>
      </c>
      <c r="I317" s="8">
        <v>700</v>
      </c>
      <c r="J317" s="27">
        <v>78</v>
      </c>
      <c r="K317" s="28">
        <f t="shared" ref="K317:K348" si="14">J317*I317</f>
        <v>54600</v>
      </c>
      <c r="O317" s="31"/>
      <c r="P317" s="36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spans="1:33" s="5" customFormat="1" x14ac:dyDescent="0.3">
      <c r="A318" s="29"/>
      <c r="B318" s="10">
        <f t="shared" si="12"/>
        <v>316</v>
      </c>
      <c r="C318" s="25">
        <v>46202</v>
      </c>
      <c r="D318" s="25" t="s">
        <v>163</v>
      </c>
      <c r="E318" s="25" t="s">
        <v>2350</v>
      </c>
      <c r="F318" s="26"/>
      <c r="G318" s="25" t="s">
        <v>240</v>
      </c>
      <c r="H318" s="10" t="s">
        <v>244</v>
      </c>
      <c r="I318" s="8">
        <v>700</v>
      </c>
      <c r="J318" s="27">
        <v>78</v>
      </c>
      <c r="K318" s="28">
        <f t="shared" si="14"/>
        <v>54600</v>
      </c>
      <c r="O318" s="31"/>
      <c r="P318" s="36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spans="1:33" s="5" customFormat="1" x14ac:dyDescent="0.3">
      <c r="A319" s="29"/>
      <c r="B319" s="10">
        <f t="shared" si="12"/>
        <v>317</v>
      </c>
      <c r="C319" s="25">
        <v>46202</v>
      </c>
      <c r="D319" s="25" t="s">
        <v>163</v>
      </c>
      <c r="E319" s="25" t="s">
        <v>2350</v>
      </c>
      <c r="F319" s="26"/>
      <c r="G319" s="25" t="s">
        <v>240</v>
      </c>
      <c r="H319" s="10" t="s">
        <v>244</v>
      </c>
      <c r="I319" s="8">
        <v>225</v>
      </c>
      <c r="J319" s="27">
        <v>78</v>
      </c>
      <c r="K319" s="28">
        <f t="shared" si="14"/>
        <v>17550</v>
      </c>
      <c r="O319" s="31"/>
      <c r="P319" s="36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spans="1:33" s="5" customFormat="1" x14ac:dyDescent="0.3">
      <c r="A320" s="29"/>
      <c r="B320" s="10">
        <f t="shared" si="12"/>
        <v>318</v>
      </c>
      <c r="C320" s="25">
        <v>46202</v>
      </c>
      <c r="D320" s="25" t="s">
        <v>163</v>
      </c>
      <c r="E320" s="25" t="s">
        <v>2350</v>
      </c>
      <c r="F320" s="26"/>
      <c r="G320" s="25" t="s">
        <v>240</v>
      </c>
      <c r="H320" s="10" t="s">
        <v>244</v>
      </c>
      <c r="I320" s="8">
        <v>225</v>
      </c>
      <c r="J320" s="27">
        <v>78</v>
      </c>
      <c r="K320" s="28">
        <f t="shared" si="14"/>
        <v>17550</v>
      </c>
      <c r="O320" s="31"/>
      <c r="P320" s="36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spans="1:33" s="5" customFormat="1" x14ac:dyDescent="0.3">
      <c r="A321" s="29"/>
      <c r="B321" s="10">
        <f t="shared" si="12"/>
        <v>319</v>
      </c>
      <c r="C321" s="25">
        <v>46202</v>
      </c>
      <c r="D321" s="25" t="s">
        <v>302</v>
      </c>
      <c r="E321" s="25" t="s">
        <v>545</v>
      </c>
      <c r="F321" s="26" t="s">
        <v>2369</v>
      </c>
      <c r="G321" s="25" t="s">
        <v>240</v>
      </c>
      <c r="H321" s="10" t="s">
        <v>244</v>
      </c>
      <c r="I321" s="8">
        <v>1000</v>
      </c>
      <c r="J321" s="27">
        <v>80</v>
      </c>
      <c r="K321" s="28">
        <f t="shared" si="14"/>
        <v>80000</v>
      </c>
      <c r="O321" s="31"/>
      <c r="P321" s="36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spans="1:33" s="5" customFormat="1" x14ac:dyDescent="0.3">
      <c r="A322" s="29"/>
      <c r="B322" s="10">
        <f t="shared" si="12"/>
        <v>320</v>
      </c>
      <c r="C322" s="25">
        <v>46202</v>
      </c>
      <c r="D322" s="25" t="s">
        <v>302</v>
      </c>
      <c r="E322" s="25" t="s">
        <v>545</v>
      </c>
      <c r="F322" s="26" t="s">
        <v>2369</v>
      </c>
      <c r="G322" s="25" t="s">
        <v>240</v>
      </c>
      <c r="H322" s="10" t="s">
        <v>253</v>
      </c>
      <c r="I322" s="8">
        <v>500</v>
      </c>
      <c r="J322" s="27">
        <v>60</v>
      </c>
      <c r="K322" s="28">
        <f t="shared" si="14"/>
        <v>30000</v>
      </c>
      <c r="O322" s="31"/>
      <c r="P322" s="36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spans="1:33" s="5" customFormat="1" x14ac:dyDescent="0.3">
      <c r="A323" s="29"/>
      <c r="B323" s="10">
        <f t="shared" si="12"/>
        <v>321</v>
      </c>
      <c r="C323" s="25">
        <v>46202</v>
      </c>
      <c r="D323" s="25" t="s">
        <v>302</v>
      </c>
      <c r="E323" s="25" t="s">
        <v>545</v>
      </c>
      <c r="F323" s="26" t="s">
        <v>2370</v>
      </c>
      <c r="G323" s="25" t="s">
        <v>240</v>
      </c>
      <c r="H323" s="10" t="s">
        <v>244</v>
      </c>
      <c r="I323" s="8">
        <v>1000</v>
      </c>
      <c r="J323" s="27">
        <v>80</v>
      </c>
      <c r="K323" s="28">
        <f t="shared" si="14"/>
        <v>80000</v>
      </c>
      <c r="O323" s="31"/>
      <c r="P323" s="36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spans="1:33" s="5" customFormat="1" x14ac:dyDescent="0.3">
      <c r="A324" s="29"/>
      <c r="B324" s="10">
        <f t="shared" si="12"/>
        <v>322</v>
      </c>
      <c r="C324" s="25">
        <v>46202</v>
      </c>
      <c r="D324" s="25" t="s">
        <v>302</v>
      </c>
      <c r="E324" s="25" t="s">
        <v>545</v>
      </c>
      <c r="F324" s="26" t="s">
        <v>2370</v>
      </c>
      <c r="G324" s="25" t="s">
        <v>240</v>
      </c>
      <c r="H324" s="10" t="s">
        <v>253</v>
      </c>
      <c r="I324" s="8">
        <v>500</v>
      </c>
      <c r="J324" s="27">
        <v>60</v>
      </c>
      <c r="K324" s="28">
        <f t="shared" si="14"/>
        <v>30000</v>
      </c>
      <c r="O324" s="31"/>
      <c r="P324" s="36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spans="1:33" s="5" customFormat="1" x14ac:dyDescent="0.3">
      <c r="A325" s="29"/>
      <c r="B325" s="10">
        <f t="shared" ref="B325:B389" si="15">+B324+1</f>
        <v>323</v>
      </c>
      <c r="C325" s="25">
        <v>46202</v>
      </c>
      <c r="D325" s="25" t="s">
        <v>2383</v>
      </c>
      <c r="E325" s="25" t="s">
        <v>300</v>
      </c>
      <c r="F325" s="26">
        <v>595</v>
      </c>
      <c r="G325" s="25" t="s">
        <v>240</v>
      </c>
      <c r="H325" s="10" t="s">
        <v>244</v>
      </c>
      <c r="I325" s="8">
        <v>1900</v>
      </c>
      <c r="J325" s="27">
        <v>76</v>
      </c>
      <c r="K325" s="28">
        <f t="shared" si="14"/>
        <v>144400</v>
      </c>
      <c r="O325" s="31"/>
      <c r="P325" s="36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spans="1:33" s="5" customFormat="1" x14ac:dyDescent="0.3">
      <c r="A326" s="29"/>
      <c r="B326" s="10">
        <f t="shared" si="15"/>
        <v>324</v>
      </c>
      <c r="C326" s="25">
        <v>46204</v>
      </c>
      <c r="D326" s="25" t="s">
        <v>163</v>
      </c>
      <c r="E326" s="25" t="s">
        <v>313</v>
      </c>
      <c r="F326" s="26"/>
      <c r="G326" s="25" t="s">
        <v>240</v>
      </c>
      <c r="H326" s="10" t="s">
        <v>244</v>
      </c>
      <c r="I326" s="8">
        <v>700</v>
      </c>
      <c r="J326" s="27">
        <v>78</v>
      </c>
      <c r="K326" s="28">
        <f t="shared" si="14"/>
        <v>54600</v>
      </c>
      <c r="O326" s="31"/>
      <c r="P326" s="36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spans="1:33" s="5" customFormat="1" x14ac:dyDescent="0.3">
      <c r="A327" s="29"/>
      <c r="B327" s="10">
        <f t="shared" si="15"/>
        <v>325</v>
      </c>
      <c r="C327" s="25">
        <v>46204</v>
      </c>
      <c r="D327" s="25" t="s">
        <v>163</v>
      </c>
      <c r="E327" s="25" t="s">
        <v>313</v>
      </c>
      <c r="F327" s="26"/>
      <c r="G327" s="25" t="s">
        <v>240</v>
      </c>
      <c r="H327" s="10" t="s">
        <v>253</v>
      </c>
      <c r="I327" s="8">
        <v>1000</v>
      </c>
      <c r="J327" s="27">
        <v>58</v>
      </c>
      <c r="K327" s="28">
        <f t="shared" si="14"/>
        <v>58000</v>
      </c>
      <c r="O327" s="31"/>
      <c r="P327" s="36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spans="1:33" s="5" customFormat="1" x14ac:dyDescent="0.3">
      <c r="A328" s="29"/>
      <c r="B328" s="10">
        <f t="shared" si="15"/>
        <v>326</v>
      </c>
      <c r="C328" s="25">
        <v>46205</v>
      </c>
      <c r="D328" s="25" t="s">
        <v>163</v>
      </c>
      <c r="E328" s="25" t="s">
        <v>313</v>
      </c>
      <c r="F328" s="26"/>
      <c r="G328" s="25" t="s">
        <v>240</v>
      </c>
      <c r="H328" s="10" t="s">
        <v>244</v>
      </c>
      <c r="I328" s="8">
        <v>700</v>
      </c>
      <c r="J328" s="27">
        <v>78</v>
      </c>
      <c r="K328" s="28">
        <f t="shared" si="14"/>
        <v>54600</v>
      </c>
      <c r="O328" s="31"/>
      <c r="P328" s="36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spans="1:33" s="5" customFormat="1" x14ac:dyDescent="0.3">
      <c r="A329" s="29"/>
      <c r="B329" s="10">
        <f t="shared" si="15"/>
        <v>327</v>
      </c>
      <c r="C329" s="25">
        <v>46206</v>
      </c>
      <c r="D329" s="25" t="s">
        <v>163</v>
      </c>
      <c r="E329" s="25" t="s">
        <v>337</v>
      </c>
      <c r="F329" s="26" t="s">
        <v>2422</v>
      </c>
      <c r="G329" s="25" t="s">
        <v>240</v>
      </c>
      <c r="H329" s="10" t="s">
        <v>253</v>
      </c>
      <c r="I329" s="8">
        <v>1000</v>
      </c>
      <c r="J329" s="27">
        <v>59</v>
      </c>
      <c r="K329" s="28">
        <f t="shared" si="14"/>
        <v>59000</v>
      </c>
      <c r="O329" s="31"/>
      <c r="P329" s="36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spans="1:33" s="5" customFormat="1" x14ac:dyDescent="0.3">
      <c r="A330" s="29"/>
      <c r="B330" s="10">
        <f t="shared" si="15"/>
        <v>328</v>
      </c>
      <c r="C330" s="25">
        <v>46206</v>
      </c>
      <c r="D330" s="25" t="s">
        <v>241</v>
      </c>
      <c r="E330" s="25" t="s">
        <v>300</v>
      </c>
      <c r="F330" s="46" t="s">
        <v>2606</v>
      </c>
      <c r="G330" s="25" t="s">
        <v>240</v>
      </c>
      <c r="H330" s="10" t="s">
        <v>253</v>
      </c>
      <c r="I330" s="8">
        <v>1500</v>
      </c>
      <c r="J330" s="27">
        <v>58.5</v>
      </c>
      <c r="K330" s="28">
        <f t="shared" si="14"/>
        <v>87750</v>
      </c>
      <c r="O330" s="31"/>
      <c r="P330" s="36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spans="1:33" s="5" customFormat="1" x14ac:dyDescent="0.3">
      <c r="A331" s="29"/>
      <c r="B331" s="10">
        <f t="shared" si="15"/>
        <v>329</v>
      </c>
      <c r="C331" s="25">
        <v>46206</v>
      </c>
      <c r="D331" s="25" t="s">
        <v>241</v>
      </c>
      <c r="E331" s="25" t="s">
        <v>300</v>
      </c>
      <c r="F331" s="46" t="s">
        <v>2607</v>
      </c>
      <c r="G331" s="25" t="s">
        <v>240</v>
      </c>
      <c r="H331" s="10" t="s">
        <v>244</v>
      </c>
      <c r="I331" s="8">
        <v>1100</v>
      </c>
      <c r="J331" s="27">
        <v>78</v>
      </c>
      <c r="K331" s="28">
        <f t="shared" si="14"/>
        <v>85800</v>
      </c>
      <c r="O331" s="31"/>
      <c r="P331" s="36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spans="1:33" s="5" customFormat="1" x14ac:dyDescent="0.3">
      <c r="A332" s="29"/>
      <c r="B332" s="10">
        <f t="shared" si="15"/>
        <v>330</v>
      </c>
      <c r="C332" s="25">
        <v>46207</v>
      </c>
      <c r="D332" s="25" t="s">
        <v>342</v>
      </c>
      <c r="E332" s="25" t="s">
        <v>300</v>
      </c>
      <c r="F332" s="26" t="s">
        <v>2588</v>
      </c>
      <c r="G332" s="25" t="s">
        <v>246</v>
      </c>
      <c r="H332" s="10" t="s">
        <v>247</v>
      </c>
      <c r="I332" s="8">
        <v>275</v>
      </c>
      <c r="J332" s="27">
        <v>295</v>
      </c>
      <c r="K332" s="28">
        <f t="shared" si="14"/>
        <v>81125</v>
      </c>
      <c r="O332" s="31"/>
      <c r="P332" s="36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spans="1:33" s="5" customFormat="1" x14ac:dyDescent="0.3">
      <c r="A333" s="29"/>
      <c r="B333" s="10">
        <f t="shared" si="15"/>
        <v>331</v>
      </c>
      <c r="C333" s="25">
        <v>46207</v>
      </c>
      <c r="D333" s="25" t="s">
        <v>241</v>
      </c>
      <c r="E333" s="25" t="s">
        <v>270</v>
      </c>
      <c r="F333" s="46" t="s">
        <v>2604</v>
      </c>
      <c r="G333" s="25" t="s">
        <v>240</v>
      </c>
      <c r="H333" s="10" t="s">
        <v>244</v>
      </c>
      <c r="I333" s="8">
        <v>1100</v>
      </c>
      <c r="J333" s="27">
        <v>78</v>
      </c>
      <c r="K333" s="28">
        <f t="shared" si="14"/>
        <v>85800</v>
      </c>
      <c r="O333" s="31"/>
      <c r="P333" s="36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spans="1:33" s="5" customFormat="1" x14ac:dyDescent="0.3">
      <c r="A334" s="29"/>
      <c r="B334" s="10">
        <f t="shared" si="15"/>
        <v>332</v>
      </c>
      <c r="C334" s="25">
        <v>46207</v>
      </c>
      <c r="D334" s="25" t="s">
        <v>241</v>
      </c>
      <c r="E334" s="25" t="s">
        <v>270</v>
      </c>
      <c r="F334" s="46" t="s">
        <v>2605</v>
      </c>
      <c r="G334" s="25" t="s">
        <v>240</v>
      </c>
      <c r="H334" s="10" t="s">
        <v>244</v>
      </c>
      <c r="I334" s="8">
        <v>1100</v>
      </c>
      <c r="J334" s="27">
        <v>78</v>
      </c>
      <c r="K334" s="28">
        <f t="shared" si="14"/>
        <v>85800</v>
      </c>
      <c r="O334" s="31"/>
      <c r="P334" s="36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spans="1:33" s="5" customFormat="1" x14ac:dyDescent="0.3">
      <c r="A335" s="29"/>
      <c r="B335" s="10">
        <f t="shared" si="15"/>
        <v>333</v>
      </c>
      <c r="C335" s="25">
        <v>46208</v>
      </c>
      <c r="D335" s="25" t="s">
        <v>163</v>
      </c>
      <c r="E335" s="25" t="s">
        <v>313</v>
      </c>
      <c r="F335" s="26" t="s">
        <v>2592</v>
      </c>
      <c r="G335" s="25" t="s">
        <v>240</v>
      </c>
      <c r="H335" s="10" t="s">
        <v>244</v>
      </c>
      <c r="I335" s="8">
        <v>677</v>
      </c>
      <c r="J335" s="27">
        <v>78</v>
      </c>
      <c r="K335" s="28">
        <f t="shared" si="14"/>
        <v>52806</v>
      </c>
      <c r="O335" s="31"/>
      <c r="P335" s="36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spans="1:33" s="5" customFormat="1" x14ac:dyDescent="0.3">
      <c r="A336" s="29"/>
      <c r="B336" s="10">
        <f t="shared" si="15"/>
        <v>334</v>
      </c>
      <c r="C336" s="25">
        <v>46208</v>
      </c>
      <c r="D336" s="25" t="s">
        <v>163</v>
      </c>
      <c r="E336" s="25" t="s">
        <v>313</v>
      </c>
      <c r="F336" s="26" t="s">
        <v>2593</v>
      </c>
      <c r="G336" s="25" t="s">
        <v>240</v>
      </c>
      <c r="H336" s="10" t="s">
        <v>244</v>
      </c>
      <c r="I336" s="8">
        <v>225</v>
      </c>
      <c r="J336" s="27">
        <v>78</v>
      </c>
      <c r="K336" s="28">
        <f t="shared" si="14"/>
        <v>17550</v>
      </c>
      <c r="O336" s="31"/>
      <c r="P336" s="36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spans="1:33" s="5" customFormat="1" x14ac:dyDescent="0.3">
      <c r="A337" s="29"/>
      <c r="B337" s="10">
        <f t="shared" si="15"/>
        <v>335</v>
      </c>
      <c r="C337" s="25">
        <v>46208</v>
      </c>
      <c r="D337" s="25" t="s">
        <v>163</v>
      </c>
      <c r="E337" s="25" t="s">
        <v>313</v>
      </c>
      <c r="F337" s="26" t="s">
        <v>2594</v>
      </c>
      <c r="G337" s="25" t="s">
        <v>240</v>
      </c>
      <c r="H337" s="10" t="s">
        <v>244</v>
      </c>
      <c r="I337" s="8">
        <v>225</v>
      </c>
      <c r="J337" s="27">
        <v>78</v>
      </c>
      <c r="K337" s="28">
        <f t="shared" si="14"/>
        <v>17550</v>
      </c>
      <c r="O337" s="31"/>
      <c r="P337" s="36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spans="1:33" s="5" customFormat="1" x14ac:dyDescent="0.3">
      <c r="A338" s="29"/>
      <c r="B338" s="10">
        <f t="shared" si="15"/>
        <v>336</v>
      </c>
      <c r="C338" s="25">
        <v>46209</v>
      </c>
      <c r="D338" s="25" t="s">
        <v>163</v>
      </c>
      <c r="E338" s="25" t="s">
        <v>300</v>
      </c>
      <c r="F338" s="26" t="s">
        <v>2593</v>
      </c>
      <c r="G338" s="25" t="s">
        <v>240</v>
      </c>
      <c r="H338" s="10" t="s">
        <v>244</v>
      </c>
      <c r="I338" s="8">
        <v>225</v>
      </c>
      <c r="J338" s="27">
        <v>78</v>
      </c>
      <c r="K338" s="28">
        <f t="shared" si="14"/>
        <v>17550</v>
      </c>
      <c r="O338" s="31"/>
      <c r="P338" s="36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spans="1:33" s="5" customFormat="1" x14ac:dyDescent="0.3">
      <c r="A339" s="29"/>
      <c r="B339" s="10">
        <f t="shared" si="15"/>
        <v>337</v>
      </c>
      <c r="C339" s="25">
        <v>46209</v>
      </c>
      <c r="D339" s="25" t="s">
        <v>163</v>
      </c>
      <c r="E339" s="25" t="s">
        <v>300</v>
      </c>
      <c r="F339" s="26" t="s">
        <v>2595</v>
      </c>
      <c r="G339" s="25" t="s">
        <v>240</v>
      </c>
      <c r="H339" s="10" t="s">
        <v>244</v>
      </c>
      <c r="I339" s="8">
        <v>666</v>
      </c>
      <c r="J339" s="27">
        <v>78</v>
      </c>
      <c r="K339" s="28">
        <f t="shared" si="14"/>
        <v>51948</v>
      </c>
      <c r="O339" s="31"/>
      <c r="P339" s="36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spans="1:33" s="5" customFormat="1" x14ac:dyDescent="0.3">
      <c r="A340" s="29"/>
      <c r="B340" s="10">
        <f t="shared" si="15"/>
        <v>338</v>
      </c>
      <c r="C340" s="25">
        <v>46209</v>
      </c>
      <c r="D340" s="25" t="s">
        <v>241</v>
      </c>
      <c r="E340" s="25" t="s">
        <v>300</v>
      </c>
      <c r="F340" s="26" t="s">
        <v>2603</v>
      </c>
      <c r="G340" s="25" t="s">
        <v>240</v>
      </c>
      <c r="H340" s="10" t="s">
        <v>244</v>
      </c>
      <c r="I340" s="8">
        <v>1000</v>
      </c>
      <c r="J340" s="27">
        <v>78</v>
      </c>
      <c r="K340" s="28">
        <f t="shared" si="14"/>
        <v>78000</v>
      </c>
      <c r="O340" s="31"/>
      <c r="P340" s="36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spans="1:33" s="5" customFormat="1" x14ac:dyDescent="0.3">
      <c r="A341" s="29"/>
      <c r="B341" s="10">
        <f t="shared" si="15"/>
        <v>339</v>
      </c>
      <c r="C341" s="25">
        <v>46209</v>
      </c>
      <c r="D341" s="25" t="s">
        <v>241</v>
      </c>
      <c r="E341" s="25" t="s">
        <v>300</v>
      </c>
      <c r="F341" s="26" t="s">
        <v>2603</v>
      </c>
      <c r="G341" s="25" t="s">
        <v>240</v>
      </c>
      <c r="H341" s="10" t="s">
        <v>253</v>
      </c>
      <c r="I341" s="8">
        <v>600</v>
      </c>
      <c r="J341" s="27">
        <v>58.5</v>
      </c>
      <c r="K341" s="28">
        <f t="shared" si="14"/>
        <v>35100</v>
      </c>
      <c r="O341" s="31"/>
      <c r="P341" s="36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spans="1:33" s="5" customFormat="1" x14ac:dyDescent="0.3">
      <c r="A342" s="29"/>
      <c r="B342" s="10">
        <f t="shared" si="15"/>
        <v>340</v>
      </c>
      <c r="C342" s="25">
        <v>46210</v>
      </c>
      <c r="D342" s="25" t="s">
        <v>163</v>
      </c>
      <c r="E342" s="25" t="s">
        <v>337</v>
      </c>
      <c r="F342" s="26" t="s">
        <v>2595</v>
      </c>
      <c r="G342" s="25" t="s">
        <v>240</v>
      </c>
      <c r="H342" s="10" t="s">
        <v>244</v>
      </c>
      <c r="I342" s="8">
        <v>700</v>
      </c>
      <c r="J342" s="27">
        <v>78</v>
      </c>
      <c r="K342" s="28">
        <f t="shared" si="14"/>
        <v>54600</v>
      </c>
      <c r="O342" s="31"/>
      <c r="P342" s="36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spans="1:33" s="5" customFormat="1" x14ac:dyDescent="0.3">
      <c r="A343" s="29"/>
      <c r="B343" s="10">
        <f t="shared" si="15"/>
        <v>341</v>
      </c>
      <c r="C343" s="25">
        <v>46211</v>
      </c>
      <c r="D343" s="25" t="s">
        <v>241</v>
      </c>
      <c r="E343" s="25" t="s">
        <v>300</v>
      </c>
      <c r="F343" s="26" t="s">
        <v>2602</v>
      </c>
      <c r="G343" s="25" t="s">
        <v>240</v>
      </c>
      <c r="H343" s="10" t="s">
        <v>244</v>
      </c>
      <c r="I343" s="8">
        <v>1000</v>
      </c>
      <c r="J343" s="27">
        <v>78</v>
      </c>
      <c r="K343" s="28">
        <f t="shared" si="14"/>
        <v>78000</v>
      </c>
      <c r="O343" s="31"/>
      <c r="P343" s="36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spans="1:33" s="5" customFormat="1" x14ac:dyDescent="0.3">
      <c r="A344" s="29"/>
      <c r="B344" s="10">
        <f t="shared" si="15"/>
        <v>342</v>
      </c>
      <c r="C344" s="25">
        <v>46211</v>
      </c>
      <c r="D344" s="25" t="s">
        <v>241</v>
      </c>
      <c r="E344" s="25" t="s">
        <v>300</v>
      </c>
      <c r="F344" s="26" t="s">
        <v>2602</v>
      </c>
      <c r="G344" s="25" t="s">
        <v>240</v>
      </c>
      <c r="H344" s="10" t="s">
        <v>253</v>
      </c>
      <c r="I344" s="8">
        <v>700</v>
      </c>
      <c r="J344" s="27">
        <v>58.5</v>
      </c>
      <c r="K344" s="28">
        <f t="shared" si="14"/>
        <v>40950</v>
      </c>
      <c r="O344" s="31"/>
      <c r="P344" s="36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spans="1:33" s="5" customFormat="1" x14ac:dyDescent="0.3">
      <c r="A345" s="29"/>
      <c r="B345" s="10">
        <f t="shared" si="15"/>
        <v>343</v>
      </c>
      <c r="C345" s="25">
        <v>46213</v>
      </c>
      <c r="D345" s="25" t="s">
        <v>163</v>
      </c>
      <c r="E345" s="25" t="s">
        <v>2352</v>
      </c>
      <c r="F345" s="26" t="s">
        <v>2596</v>
      </c>
      <c r="G345" s="25" t="s">
        <v>240</v>
      </c>
      <c r="H345" s="10" t="s">
        <v>244</v>
      </c>
      <c r="I345" s="8">
        <v>700</v>
      </c>
      <c r="J345" s="27">
        <v>76</v>
      </c>
      <c r="K345" s="28">
        <f t="shared" si="14"/>
        <v>53200</v>
      </c>
      <c r="O345" s="31"/>
      <c r="P345" s="36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spans="1:33" s="5" customFormat="1" x14ac:dyDescent="0.3">
      <c r="A346" s="29"/>
      <c r="B346" s="10">
        <f t="shared" si="15"/>
        <v>344</v>
      </c>
      <c r="C346" s="25">
        <v>46213</v>
      </c>
      <c r="D346" s="25" t="s">
        <v>163</v>
      </c>
      <c r="E346" s="25" t="s">
        <v>2352</v>
      </c>
      <c r="F346" s="26" t="s">
        <v>2595</v>
      </c>
      <c r="G346" s="25" t="s">
        <v>240</v>
      </c>
      <c r="H346" s="10" t="s">
        <v>253</v>
      </c>
      <c r="I346" s="8">
        <v>1000</v>
      </c>
      <c r="J346" s="27">
        <v>58</v>
      </c>
      <c r="K346" s="28">
        <f t="shared" si="14"/>
        <v>58000</v>
      </c>
      <c r="O346" s="31"/>
      <c r="P346" s="36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spans="1:33" s="5" customFormat="1" x14ac:dyDescent="0.3">
      <c r="A347" s="29"/>
      <c r="B347" s="10">
        <f t="shared" si="15"/>
        <v>345</v>
      </c>
      <c r="C347" s="25">
        <v>46213</v>
      </c>
      <c r="D347" s="25" t="s">
        <v>241</v>
      </c>
      <c r="E347" s="25" t="s">
        <v>303</v>
      </c>
      <c r="F347" s="26" t="s">
        <v>2599</v>
      </c>
      <c r="G347" s="25" t="s">
        <v>240</v>
      </c>
      <c r="H347" s="10" t="s">
        <v>253</v>
      </c>
      <c r="I347" s="8">
        <v>620</v>
      </c>
      <c r="J347" s="27">
        <v>58.5</v>
      </c>
      <c r="K347" s="28">
        <f t="shared" si="14"/>
        <v>36270</v>
      </c>
      <c r="O347" s="31"/>
      <c r="P347" s="36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spans="1:33" s="5" customFormat="1" x14ac:dyDescent="0.3">
      <c r="A348" s="29"/>
      <c r="B348" s="10">
        <f t="shared" si="15"/>
        <v>346</v>
      </c>
      <c r="C348" s="25">
        <v>46213</v>
      </c>
      <c r="D348" s="25" t="s">
        <v>241</v>
      </c>
      <c r="E348" s="25" t="s">
        <v>303</v>
      </c>
      <c r="F348" s="26" t="s">
        <v>2599</v>
      </c>
      <c r="G348" s="25" t="s">
        <v>240</v>
      </c>
      <c r="H348" s="10" t="s">
        <v>244</v>
      </c>
      <c r="I348" s="8">
        <v>1000</v>
      </c>
      <c r="J348" s="27">
        <v>78</v>
      </c>
      <c r="K348" s="28">
        <f t="shared" si="14"/>
        <v>78000</v>
      </c>
      <c r="O348" s="31"/>
      <c r="P348" s="36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spans="1:33" s="5" customFormat="1" x14ac:dyDescent="0.3">
      <c r="A349" s="29"/>
      <c r="B349" s="10">
        <f t="shared" si="15"/>
        <v>347</v>
      </c>
      <c r="C349" s="25">
        <v>46213</v>
      </c>
      <c r="D349" s="25" t="s">
        <v>241</v>
      </c>
      <c r="E349" s="25" t="s">
        <v>345</v>
      </c>
      <c r="F349" s="26" t="s">
        <v>2600</v>
      </c>
      <c r="G349" s="25" t="s">
        <v>240</v>
      </c>
      <c r="H349" s="10" t="s">
        <v>244</v>
      </c>
      <c r="I349" s="8">
        <v>1250</v>
      </c>
      <c r="J349" s="27">
        <v>78</v>
      </c>
      <c r="K349" s="28">
        <f t="shared" ref="K349:K415" si="16">J349*I349</f>
        <v>97500</v>
      </c>
      <c r="O349" s="31"/>
      <c r="P349" s="36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spans="1:33" s="5" customFormat="1" x14ac:dyDescent="0.3">
      <c r="A350" s="29"/>
      <c r="B350" s="10">
        <f t="shared" si="15"/>
        <v>348</v>
      </c>
      <c r="C350" s="25">
        <v>46213</v>
      </c>
      <c r="D350" s="25" t="s">
        <v>241</v>
      </c>
      <c r="E350" s="25" t="s">
        <v>345</v>
      </c>
      <c r="F350" s="26" t="s">
        <v>2600</v>
      </c>
      <c r="G350" s="25" t="s">
        <v>240</v>
      </c>
      <c r="H350" s="10" t="s">
        <v>253</v>
      </c>
      <c r="I350" s="8">
        <v>700</v>
      </c>
      <c r="J350" s="27">
        <v>58.5</v>
      </c>
      <c r="K350" s="28">
        <f t="shared" si="16"/>
        <v>40950</v>
      </c>
      <c r="O350" s="31"/>
      <c r="P350" s="36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spans="1:33" s="5" customFormat="1" x14ac:dyDescent="0.3">
      <c r="A351" s="29"/>
      <c r="B351" s="10">
        <f t="shared" si="15"/>
        <v>349</v>
      </c>
      <c r="C351" s="25">
        <v>46213</v>
      </c>
      <c r="D351" s="25" t="s">
        <v>241</v>
      </c>
      <c r="E351" s="25" t="s">
        <v>300</v>
      </c>
      <c r="F351" s="26" t="s">
        <v>2601</v>
      </c>
      <c r="G351" s="25" t="s">
        <v>240</v>
      </c>
      <c r="H351" s="10" t="s">
        <v>253</v>
      </c>
      <c r="I351" s="8">
        <v>650</v>
      </c>
      <c r="J351" s="27">
        <v>58.5</v>
      </c>
      <c r="K351" s="28">
        <f t="shared" si="16"/>
        <v>38025</v>
      </c>
      <c r="O351" s="31"/>
      <c r="P351" s="36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spans="1:33" s="5" customFormat="1" x14ac:dyDescent="0.3">
      <c r="A352" s="29"/>
      <c r="B352" s="10">
        <f t="shared" si="15"/>
        <v>350</v>
      </c>
      <c r="C352" s="25">
        <v>46213</v>
      </c>
      <c r="D352" s="25" t="s">
        <v>241</v>
      </c>
      <c r="E352" s="25" t="s">
        <v>300</v>
      </c>
      <c r="F352" s="26" t="s">
        <v>2601</v>
      </c>
      <c r="G352" s="25" t="s">
        <v>240</v>
      </c>
      <c r="H352" s="10" t="s">
        <v>244</v>
      </c>
      <c r="I352" s="8">
        <v>1000</v>
      </c>
      <c r="J352" s="27">
        <v>78</v>
      </c>
      <c r="K352" s="28">
        <f>J352*I352</f>
        <v>78000</v>
      </c>
      <c r="O352" s="31"/>
      <c r="P352" s="36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spans="1:33" s="5" customFormat="1" x14ac:dyDescent="0.3">
      <c r="A353" s="29"/>
      <c r="B353" s="10">
        <f t="shared" si="15"/>
        <v>351</v>
      </c>
      <c r="C353" s="25"/>
      <c r="D353" s="25"/>
      <c r="E353" s="25"/>
      <c r="F353" s="26"/>
      <c r="G353" s="25"/>
      <c r="H353" s="10"/>
      <c r="I353" s="8"/>
      <c r="J353" s="27"/>
      <c r="K353" s="28">
        <f t="shared" si="16"/>
        <v>0</v>
      </c>
      <c r="O353" s="31"/>
      <c r="P353" s="36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spans="1:33" s="5" customFormat="1" x14ac:dyDescent="0.3">
      <c r="A354" s="29"/>
      <c r="B354" s="10">
        <f t="shared" si="15"/>
        <v>352</v>
      </c>
      <c r="C354" s="25"/>
      <c r="D354" s="25"/>
      <c r="E354" s="25"/>
      <c r="F354" s="26"/>
      <c r="G354" s="25"/>
      <c r="H354" s="10"/>
      <c r="I354" s="8"/>
      <c r="J354" s="27"/>
      <c r="K354" s="28">
        <f t="shared" si="16"/>
        <v>0</v>
      </c>
      <c r="O354" s="31"/>
      <c r="P354" s="36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spans="1:33" s="5" customFormat="1" x14ac:dyDescent="0.3">
      <c r="A355" s="29"/>
      <c r="B355" s="10">
        <f t="shared" si="15"/>
        <v>353</v>
      </c>
      <c r="C355" s="25"/>
      <c r="D355" s="25"/>
      <c r="E355" s="25"/>
      <c r="F355" s="26"/>
      <c r="G355" s="25"/>
      <c r="H355" s="10"/>
      <c r="I355" s="8"/>
      <c r="J355" s="27"/>
      <c r="K355" s="28">
        <f t="shared" si="16"/>
        <v>0</v>
      </c>
      <c r="O355" s="31"/>
      <c r="P355" s="36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spans="1:33" s="5" customFormat="1" x14ac:dyDescent="0.3">
      <c r="A356" s="29"/>
      <c r="B356" s="10">
        <f t="shared" si="15"/>
        <v>354</v>
      </c>
      <c r="C356" s="25"/>
      <c r="D356" s="25"/>
      <c r="E356" s="25"/>
      <c r="F356" s="26"/>
      <c r="G356" s="25"/>
      <c r="H356" s="10"/>
      <c r="I356" s="8"/>
      <c r="J356" s="27"/>
      <c r="K356" s="28">
        <f t="shared" si="16"/>
        <v>0</v>
      </c>
      <c r="O356" s="31"/>
      <c r="P356" s="36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spans="1:33" s="5" customFormat="1" x14ac:dyDescent="0.3">
      <c r="A357" s="29"/>
      <c r="B357" s="10">
        <f t="shared" si="15"/>
        <v>355</v>
      </c>
      <c r="C357" s="25"/>
      <c r="D357" s="25"/>
      <c r="E357" s="25"/>
      <c r="F357" s="26"/>
      <c r="G357" s="25"/>
      <c r="H357" s="10"/>
      <c r="I357" s="8"/>
      <c r="J357" s="27"/>
      <c r="K357" s="28">
        <f t="shared" si="16"/>
        <v>0</v>
      </c>
      <c r="O357" s="31"/>
      <c r="P357" s="36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spans="1:33" s="5" customFormat="1" x14ac:dyDescent="0.3">
      <c r="A358" s="29"/>
      <c r="B358" s="10">
        <f t="shared" si="15"/>
        <v>356</v>
      </c>
      <c r="C358" s="25"/>
      <c r="D358" s="25"/>
      <c r="E358" s="25"/>
      <c r="F358" s="26"/>
      <c r="G358" s="25"/>
      <c r="H358" s="10"/>
      <c r="I358" s="8"/>
      <c r="J358" s="27"/>
      <c r="K358" s="28">
        <f t="shared" si="16"/>
        <v>0</v>
      </c>
      <c r="O358" s="31"/>
      <c r="P358" s="36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spans="1:33" s="5" customFormat="1" x14ac:dyDescent="0.3">
      <c r="A359" s="29"/>
      <c r="B359" s="10">
        <f t="shared" si="15"/>
        <v>357</v>
      </c>
      <c r="C359" s="25">
        <v>46216</v>
      </c>
      <c r="D359" s="25" t="s">
        <v>163</v>
      </c>
      <c r="E359" s="25" t="s">
        <v>2642</v>
      </c>
      <c r="F359" s="26"/>
      <c r="G359" s="25" t="s">
        <v>240</v>
      </c>
      <c r="H359" s="10" t="s">
        <v>244</v>
      </c>
      <c r="I359" s="8">
        <v>225</v>
      </c>
      <c r="J359" s="27"/>
      <c r="K359" s="28">
        <f t="shared" si="16"/>
        <v>0</v>
      </c>
      <c r="O359" s="31"/>
      <c r="P359" s="36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spans="1:33" s="5" customFormat="1" x14ac:dyDescent="0.3">
      <c r="A360" s="29"/>
      <c r="B360" s="10">
        <f t="shared" si="15"/>
        <v>358</v>
      </c>
      <c r="C360" s="25">
        <v>46216</v>
      </c>
      <c r="D360" s="25" t="s">
        <v>163</v>
      </c>
      <c r="E360" s="25" t="s">
        <v>2642</v>
      </c>
      <c r="F360" s="26"/>
      <c r="G360" s="25" t="s">
        <v>240</v>
      </c>
      <c r="H360" s="10" t="s">
        <v>244</v>
      </c>
      <c r="I360" s="8">
        <v>225</v>
      </c>
      <c r="J360" s="27"/>
      <c r="K360" s="28">
        <f t="shared" si="16"/>
        <v>0</v>
      </c>
      <c r="O360" s="31"/>
      <c r="P360" s="36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spans="1:33" s="5" customFormat="1" x14ac:dyDescent="0.3">
      <c r="A361" s="29"/>
      <c r="B361" s="10">
        <f t="shared" si="15"/>
        <v>359</v>
      </c>
      <c r="C361" s="25">
        <v>46216</v>
      </c>
      <c r="D361" s="25" t="s">
        <v>163</v>
      </c>
      <c r="E361" s="25" t="s">
        <v>990</v>
      </c>
      <c r="F361" s="26"/>
      <c r="G361" s="25" t="s">
        <v>240</v>
      </c>
      <c r="H361" s="10" t="s">
        <v>244</v>
      </c>
      <c r="I361" s="8">
        <v>100</v>
      </c>
      <c r="J361" s="27"/>
      <c r="K361" s="28">
        <f t="shared" si="16"/>
        <v>0</v>
      </c>
      <c r="O361" s="31"/>
      <c r="P361" s="36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spans="1:33" s="5" customFormat="1" x14ac:dyDescent="0.3">
      <c r="A362" s="29"/>
      <c r="B362" s="10">
        <f t="shared" si="15"/>
        <v>360</v>
      </c>
      <c r="C362" s="25">
        <v>46216</v>
      </c>
      <c r="D362" s="25" t="s">
        <v>163</v>
      </c>
      <c r="E362" s="25" t="s">
        <v>990</v>
      </c>
      <c r="F362" s="26"/>
      <c r="G362" s="25" t="s">
        <v>240</v>
      </c>
      <c r="H362" s="10" t="s">
        <v>253</v>
      </c>
      <c r="I362" s="8">
        <v>872</v>
      </c>
      <c r="J362" s="27"/>
      <c r="K362" s="28">
        <f t="shared" si="16"/>
        <v>0</v>
      </c>
      <c r="O362" s="31"/>
      <c r="P362" s="36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spans="1:33" s="5" customFormat="1" x14ac:dyDescent="0.3">
      <c r="A363" s="29"/>
      <c r="B363" s="10">
        <f t="shared" si="15"/>
        <v>361</v>
      </c>
      <c r="C363" s="25">
        <v>46216</v>
      </c>
      <c r="D363" s="25" t="s">
        <v>163</v>
      </c>
      <c r="E363" s="25" t="s">
        <v>990</v>
      </c>
      <c r="F363" s="26"/>
      <c r="G363" s="25" t="s">
        <v>240</v>
      </c>
      <c r="H363" s="10" t="s">
        <v>244</v>
      </c>
      <c r="I363" s="8">
        <v>700</v>
      </c>
      <c r="J363" s="27"/>
      <c r="K363" s="28">
        <f t="shared" si="16"/>
        <v>0</v>
      </c>
      <c r="O363" s="31"/>
      <c r="P363" s="36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spans="1:33" s="5" customFormat="1" x14ac:dyDescent="0.3">
      <c r="A364" s="29"/>
      <c r="B364" s="10">
        <f t="shared" si="15"/>
        <v>362</v>
      </c>
      <c r="C364" s="25">
        <v>46217</v>
      </c>
      <c r="D364" s="25" t="s">
        <v>163</v>
      </c>
      <c r="E364" s="25" t="s">
        <v>300</v>
      </c>
      <c r="F364" s="26"/>
      <c r="G364" s="25" t="s">
        <v>240</v>
      </c>
      <c r="H364" s="10" t="s">
        <v>244</v>
      </c>
      <c r="I364" s="8">
        <v>225</v>
      </c>
      <c r="J364" s="27"/>
      <c r="K364" s="28">
        <f t="shared" si="16"/>
        <v>0</v>
      </c>
      <c r="O364" s="31"/>
      <c r="P364" s="36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spans="1:33" s="5" customFormat="1" x14ac:dyDescent="0.3">
      <c r="A365" s="29"/>
      <c r="B365" s="10">
        <f t="shared" si="15"/>
        <v>363</v>
      </c>
      <c r="C365" s="25">
        <v>46217</v>
      </c>
      <c r="D365" s="25" t="s">
        <v>163</v>
      </c>
      <c r="E365" s="25" t="s">
        <v>300</v>
      </c>
      <c r="F365" s="26"/>
      <c r="G365" s="25" t="s">
        <v>240</v>
      </c>
      <c r="H365" s="10" t="s">
        <v>244</v>
      </c>
      <c r="I365" s="8">
        <v>700</v>
      </c>
      <c r="J365" s="27"/>
      <c r="K365" s="28">
        <f t="shared" si="16"/>
        <v>0</v>
      </c>
      <c r="O365" s="31"/>
      <c r="P365" s="36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spans="1:33" s="5" customFormat="1" x14ac:dyDescent="0.3">
      <c r="A366" s="29"/>
      <c r="B366" s="10">
        <f t="shared" si="15"/>
        <v>364</v>
      </c>
      <c r="C366" s="25">
        <v>46217</v>
      </c>
      <c r="D366" s="25" t="s">
        <v>163</v>
      </c>
      <c r="E366" s="25" t="s">
        <v>300</v>
      </c>
      <c r="F366" s="26"/>
      <c r="G366" s="25" t="s">
        <v>240</v>
      </c>
      <c r="H366" s="10" t="s">
        <v>244</v>
      </c>
      <c r="I366" s="8">
        <v>225</v>
      </c>
      <c r="J366" s="27"/>
      <c r="K366" s="28">
        <f t="shared" si="16"/>
        <v>0</v>
      </c>
      <c r="O366" s="31"/>
      <c r="P366" s="36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spans="1:33" s="5" customFormat="1" x14ac:dyDescent="0.3">
      <c r="A367" s="29"/>
      <c r="B367" s="10">
        <f t="shared" si="15"/>
        <v>365</v>
      </c>
      <c r="C367" s="25">
        <v>46217</v>
      </c>
      <c r="D367" s="25" t="s">
        <v>241</v>
      </c>
      <c r="E367" s="25" t="s">
        <v>300</v>
      </c>
      <c r="F367" s="26"/>
      <c r="G367" s="25" t="s">
        <v>240</v>
      </c>
      <c r="H367" s="10" t="s">
        <v>253</v>
      </c>
      <c r="I367" s="8">
        <v>1500</v>
      </c>
      <c r="J367" s="27"/>
      <c r="K367" s="28">
        <f t="shared" si="16"/>
        <v>0</v>
      </c>
      <c r="O367" s="31"/>
      <c r="P367" s="36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spans="1:33" s="5" customFormat="1" x14ac:dyDescent="0.3">
      <c r="A368" s="29"/>
      <c r="B368" s="10">
        <f t="shared" si="15"/>
        <v>366</v>
      </c>
      <c r="C368" s="25">
        <v>46218</v>
      </c>
      <c r="D368" s="25" t="s">
        <v>302</v>
      </c>
      <c r="E368" s="25" t="s">
        <v>546</v>
      </c>
      <c r="F368" s="26"/>
      <c r="G368" s="25" t="s">
        <v>240</v>
      </c>
      <c r="H368" s="10" t="s">
        <v>244</v>
      </c>
      <c r="I368" s="8">
        <v>1000</v>
      </c>
      <c r="J368" s="27"/>
      <c r="K368" s="28">
        <f t="shared" si="16"/>
        <v>0</v>
      </c>
      <c r="O368" s="31"/>
      <c r="P368" s="36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spans="1:33" s="5" customFormat="1" x14ac:dyDescent="0.3">
      <c r="A369" s="29"/>
      <c r="B369" s="10">
        <f t="shared" si="15"/>
        <v>367</v>
      </c>
      <c r="C369" s="25">
        <v>46218</v>
      </c>
      <c r="D369" s="25" t="s">
        <v>302</v>
      </c>
      <c r="E369" s="25" t="s">
        <v>546</v>
      </c>
      <c r="F369" s="26"/>
      <c r="G369" s="25" t="s">
        <v>240</v>
      </c>
      <c r="H369" s="10" t="s">
        <v>253</v>
      </c>
      <c r="I369" s="8">
        <v>500</v>
      </c>
      <c r="J369" s="27"/>
      <c r="K369" s="28">
        <f t="shared" si="16"/>
        <v>0</v>
      </c>
      <c r="O369" s="31"/>
      <c r="P369" s="36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spans="1:33" s="5" customFormat="1" x14ac:dyDescent="0.3">
      <c r="A370" s="29"/>
      <c r="B370" s="10">
        <f t="shared" si="15"/>
        <v>368</v>
      </c>
      <c r="C370" s="25">
        <v>46218</v>
      </c>
      <c r="D370" s="25" t="s">
        <v>163</v>
      </c>
      <c r="E370" s="25" t="s">
        <v>300</v>
      </c>
      <c r="F370" s="26"/>
      <c r="G370" s="25" t="s">
        <v>240</v>
      </c>
      <c r="H370" s="10" t="s">
        <v>244</v>
      </c>
      <c r="I370" s="8">
        <v>700</v>
      </c>
      <c r="J370" s="27"/>
      <c r="K370" s="28">
        <f t="shared" si="16"/>
        <v>0</v>
      </c>
      <c r="O370" s="31"/>
      <c r="P370" s="36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spans="1:33" s="5" customFormat="1" x14ac:dyDescent="0.3">
      <c r="A371" s="29"/>
      <c r="B371" s="10">
        <f t="shared" si="15"/>
        <v>369</v>
      </c>
      <c r="C371" s="25">
        <v>46218</v>
      </c>
      <c r="D371" s="25" t="s">
        <v>163</v>
      </c>
      <c r="E371" s="25" t="s">
        <v>350</v>
      </c>
      <c r="F371" s="26"/>
      <c r="G371" s="25" t="s">
        <v>240</v>
      </c>
      <c r="H371" s="10" t="s">
        <v>244</v>
      </c>
      <c r="I371" s="8">
        <v>700</v>
      </c>
      <c r="J371" s="27"/>
      <c r="K371" s="28">
        <f t="shared" si="16"/>
        <v>0</v>
      </c>
      <c r="O371" s="31"/>
      <c r="P371" s="36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spans="1:33" s="5" customFormat="1" x14ac:dyDescent="0.3">
      <c r="A372" s="29"/>
      <c r="B372" s="10">
        <f t="shared" si="15"/>
        <v>370</v>
      </c>
      <c r="C372" s="25">
        <v>46218</v>
      </c>
      <c r="D372" s="25" t="s">
        <v>163</v>
      </c>
      <c r="E372" s="25" t="s">
        <v>300</v>
      </c>
      <c r="F372" s="26"/>
      <c r="G372" s="25" t="s">
        <v>240</v>
      </c>
      <c r="H372" s="10" t="s">
        <v>244</v>
      </c>
      <c r="I372" s="8">
        <v>660</v>
      </c>
      <c r="J372" s="27"/>
      <c r="K372" s="28">
        <f t="shared" si="16"/>
        <v>0</v>
      </c>
      <c r="O372" s="31"/>
      <c r="P372" s="36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spans="1:33" s="5" customFormat="1" x14ac:dyDescent="0.3">
      <c r="A373" s="29"/>
      <c r="B373" s="10">
        <f t="shared" si="15"/>
        <v>371</v>
      </c>
      <c r="C373" s="25">
        <v>46219</v>
      </c>
      <c r="D373" s="25" t="s">
        <v>163</v>
      </c>
      <c r="E373" s="25" t="s">
        <v>350</v>
      </c>
      <c r="F373" s="26"/>
      <c r="G373" s="25" t="s">
        <v>240</v>
      </c>
      <c r="H373" s="10" t="s">
        <v>253</v>
      </c>
      <c r="I373" s="8">
        <v>1000</v>
      </c>
      <c r="J373" s="27"/>
      <c r="K373" s="28">
        <f t="shared" si="16"/>
        <v>0</v>
      </c>
      <c r="O373" s="31"/>
      <c r="P373" s="36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spans="1:33" s="5" customFormat="1" x14ac:dyDescent="0.3">
      <c r="A374" s="29"/>
      <c r="B374" s="10">
        <f t="shared" si="15"/>
        <v>372</v>
      </c>
      <c r="C374" s="25">
        <v>46219</v>
      </c>
      <c r="D374" s="25" t="s">
        <v>241</v>
      </c>
      <c r="E374" s="25" t="s">
        <v>300</v>
      </c>
      <c r="F374" s="26"/>
      <c r="G374" s="25" t="s">
        <v>240</v>
      </c>
      <c r="H374" s="10" t="s">
        <v>244</v>
      </c>
      <c r="I374" s="8">
        <v>1100</v>
      </c>
      <c r="J374" s="27">
        <v>78</v>
      </c>
      <c r="K374" s="28">
        <f t="shared" si="16"/>
        <v>85800</v>
      </c>
      <c r="O374" s="31"/>
      <c r="P374" s="36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spans="1:33" s="5" customFormat="1" x14ac:dyDescent="0.3">
      <c r="A375" s="29"/>
      <c r="B375" s="10">
        <f t="shared" si="15"/>
        <v>373</v>
      </c>
      <c r="C375" s="25">
        <v>46219</v>
      </c>
      <c r="D375" s="25" t="s">
        <v>241</v>
      </c>
      <c r="E375" s="25" t="s">
        <v>303</v>
      </c>
      <c r="F375" s="26"/>
      <c r="G375" s="25" t="s">
        <v>240</v>
      </c>
      <c r="H375" s="10" t="s">
        <v>244</v>
      </c>
      <c r="I375" s="8">
        <v>800</v>
      </c>
      <c r="J375" s="27"/>
      <c r="K375" s="28">
        <f t="shared" si="16"/>
        <v>0</v>
      </c>
      <c r="O375" s="31"/>
      <c r="P375" s="36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spans="1:33" s="5" customFormat="1" ht="16.2" customHeight="1" x14ac:dyDescent="0.3">
      <c r="A376" s="29"/>
      <c r="B376" s="10">
        <f t="shared" si="15"/>
        <v>374</v>
      </c>
      <c r="C376" s="25">
        <v>46219</v>
      </c>
      <c r="D376" s="25" t="s">
        <v>241</v>
      </c>
      <c r="E376" s="25" t="s">
        <v>303</v>
      </c>
      <c r="F376" s="26"/>
      <c r="G376" s="25" t="s">
        <v>240</v>
      </c>
      <c r="H376" s="10" t="s">
        <v>253</v>
      </c>
      <c r="I376" s="8">
        <v>400</v>
      </c>
      <c r="J376" s="27"/>
      <c r="K376" s="28">
        <f t="shared" si="16"/>
        <v>0</v>
      </c>
      <c r="O376" s="31"/>
      <c r="P376" s="36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spans="1:33" x14ac:dyDescent="0.3">
      <c r="B377" s="10">
        <f t="shared" si="15"/>
        <v>375</v>
      </c>
      <c r="C377" s="25">
        <v>46220</v>
      </c>
      <c r="D377" s="25" t="s">
        <v>163</v>
      </c>
      <c r="E377" s="25" t="s">
        <v>572</v>
      </c>
      <c r="F377" s="134"/>
      <c r="G377" s="25" t="s">
        <v>240</v>
      </c>
      <c r="H377" s="10" t="s">
        <v>244</v>
      </c>
      <c r="I377" s="8">
        <v>700</v>
      </c>
      <c r="J377" s="135"/>
      <c r="K377" s="28">
        <f t="shared" si="16"/>
        <v>0</v>
      </c>
    </row>
    <row r="378" spans="1:33" x14ac:dyDescent="0.3">
      <c r="B378" s="10">
        <f t="shared" si="15"/>
        <v>376</v>
      </c>
      <c r="C378" s="25">
        <v>46220</v>
      </c>
      <c r="D378" s="25" t="s">
        <v>241</v>
      </c>
      <c r="E378" s="25" t="s">
        <v>300</v>
      </c>
      <c r="F378" s="134"/>
      <c r="G378" s="25" t="s">
        <v>240</v>
      </c>
      <c r="H378" s="10" t="s">
        <v>244</v>
      </c>
      <c r="I378" s="8">
        <v>1100</v>
      </c>
      <c r="J378" s="27">
        <v>78</v>
      </c>
      <c r="K378" s="28">
        <f t="shared" si="16"/>
        <v>85800</v>
      </c>
    </row>
    <row r="379" spans="1:33" x14ac:dyDescent="0.3">
      <c r="B379" s="10">
        <f t="shared" si="15"/>
        <v>377</v>
      </c>
      <c r="C379" s="25">
        <v>46220</v>
      </c>
      <c r="D379" s="25"/>
      <c r="E379" s="25" t="s">
        <v>300</v>
      </c>
      <c r="F379" s="134"/>
      <c r="G379" s="25" t="s">
        <v>240</v>
      </c>
      <c r="H379" s="10" t="s">
        <v>2846</v>
      </c>
      <c r="I379" s="8">
        <v>275</v>
      </c>
      <c r="J379" s="27"/>
      <c r="K379" s="28">
        <f t="shared" si="16"/>
        <v>0</v>
      </c>
    </row>
    <row r="380" spans="1:33" x14ac:dyDescent="0.3">
      <c r="B380" s="10">
        <f t="shared" si="15"/>
        <v>378</v>
      </c>
      <c r="C380" s="25">
        <v>46221</v>
      </c>
      <c r="D380" s="25" t="s">
        <v>302</v>
      </c>
      <c r="E380" s="25" t="s">
        <v>546</v>
      </c>
      <c r="F380" s="26"/>
      <c r="G380" s="25" t="s">
        <v>240</v>
      </c>
      <c r="H380" s="10" t="s">
        <v>244</v>
      </c>
      <c r="I380" s="8">
        <v>1000</v>
      </c>
      <c r="J380" s="135"/>
      <c r="K380" s="28">
        <f t="shared" si="16"/>
        <v>0</v>
      </c>
    </row>
    <row r="381" spans="1:33" x14ac:dyDescent="0.3">
      <c r="B381" s="10">
        <f t="shared" si="15"/>
        <v>379</v>
      </c>
      <c r="C381" s="25">
        <v>46221</v>
      </c>
      <c r="D381" s="25" t="s">
        <v>302</v>
      </c>
      <c r="E381" s="25" t="s">
        <v>546</v>
      </c>
      <c r="F381" s="26"/>
      <c r="G381" s="25" t="s">
        <v>240</v>
      </c>
      <c r="H381" s="10" t="s">
        <v>253</v>
      </c>
      <c r="I381" s="8">
        <v>500</v>
      </c>
      <c r="J381" s="135"/>
      <c r="K381" s="28">
        <f t="shared" si="16"/>
        <v>0</v>
      </c>
    </row>
    <row r="382" spans="1:33" x14ac:dyDescent="0.3">
      <c r="B382" s="10">
        <f t="shared" si="15"/>
        <v>380</v>
      </c>
      <c r="C382" s="25">
        <v>46221</v>
      </c>
      <c r="D382" s="25" t="s">
        <v>302</v>
      </c>
      <c r="E382" s="25" t="s">
        <v>572</v>
      </c>
      <c r="F382" s="26"/>
      <c r="G382" s="25" t="s">
        <v>240</v>
      </c>
      <c r="H382" s="10" t="s">
        <v>244</v>
      </c>
      <c r="I382" s="8">
        <v>1000</v>
      </c>
      <c r="J382" s="135"/>
      <c r="K382" s="28">
        <f t="shared" si="16"/>
        <v>0</v>
      </c>
    </row>
    <row r="383" spans="1:33" x14ac:dyDescent="0.3">
      <c r="B383" s="10">
        <f t="shared" si="15"/>
        <v>381</v>
      </c>
      <c r="C383" s="25">
        <v>46221</v>
      </c>
      <c r="D383" s="25" t="s">
        <v>302</v>
      </c>
      <c r="E383" s="25" t="s">
        <v>572</v>
      </c>
      <c r="F383" s="26"/>
      <c r="G383" s="25" t="s">
        <v>240</v>
      </c>
      <c r="H383" s="10" t="s">
        <v>253</v>
      </c>
      <c r="I383" s="8">
        <v>500</v>
      </c>
      <c r="J383" s="135"/>
      <c r="K383" s="28">
        <f t="shared" si="16"/>
        <v>0</v>
      </c>
    </row>
    <row r="384" spans="1:33" x14ac:dyDescent="0.3">
      <c r="B384" s="10">
        <f t="shared" si="15"/>
        <v>382</v>
      </c>
      <c r="C384" s="25">
        <v>46221</v>
      </c>
      <c r="D384" s="25" t="s">
        <v>163</v>
      </c>
      <c r="E384" s="25" t="s">
        <v>2642</v>
      </c>
      <c r="F384" s="26"/>
      <c r="G384" s="25" t="s">
        <v>240</v>
      </c>
      <c r="H384" s="10" t="s">
        <v>244</v>
      </c>
      <c r="I384" s="8">
        <v>700</v>
      </c>
      <c r="J384" s="135"/>
      <c r="K384" s="28">
        <f t="shared" si="16"/>
        <v>0</v>
      </c>
    </row>
    <row r="385" spans="2:12" x14ac:dyDescent="0.3">
      <c r="B385" s="10">
        <f t="shared" si="15"/>
        <v>383</v>
      </c>
      <c r="C385" s="25">
        <v>46221</v>
      </c>
      <c r="D385" s="25" t="s">
        <v>163</v>
      </c>
      <c r="E385" s="25" t="s">
        <v>2642</v>
      </c>
      <c r="F385" s="26"/>
      <c r="G385" s="25" t="s">
        <v>240</v>
      </c>
      <c r="H385" s="10" t="s">
        <v>244</v>
      </c>
      <c r="I385" s="8">
        <v>700</v>
      </c>
      <c r="J385" s="135"/>
      <c r="K385" s="28">
        <f t="shared" si="16"/>
        <v>0</v>
      </c>
    </row>
    <row r="386" spans="2:12" x14ac:dyDescent="0.3">
      <c r="B386" s="10">
        <f t="shared" si="15"/>
        <v>384</v>
      </c>
      <c r="C386" s="25">
        <v>46222</v>
      </c>
      <c r="D386" s="25" t="s">
        <v>163</v>
      </c>
      <c r="E386" s="25" t="s">
        <v>350</v>
      </c>
      <c r="F386" s="134"/>
      <c r="G386" s="25" t="s">
        <v>240</v>
      </c>
      <c r="H386" s="10" t="s">
        <v>244</v>
      </c>
      <c r="I386" s="8">
        <v>700</v>
      </c>
      <c r="J386" s="135"/>
      <c r="K386" s="28">
        <f t="shared" si="16"/>
        <v>0</v>
      </c>
    </row>
    <row r="387" spans="2:12" x14ac:dyDescent="0.3">
      <c r="B387" s="10">
        <f t="shared" si="15"/>
        <v>385</v>
      </c>
      <c r="C387" s="25">
        <v>46223</v>
      </c>
      <c r="D387" s="25" t="s">
        <v>163</v>
      </c>
      <c r="E387" s="25" t="s">
        <v>300</v>
      </c>
      <c r="F387" s="134"/>
      <c r="G387" s="25" t="s">
        <v>240</v>
      </c>
      <c r="H387" s="10" t="s">
        <v>244</v>
      </c>
      <c r="I387" s="8">
        <v>700</v>
      </c>
      <c r="J387" s="135"/>
      <c r="K387" s="28">
        <f t="shared" si="16"/>
        <v>0</v>
      </c>
      <c r="L387" s="23"/>
    </row>
    <row r="388" spans="2:12" x14ac:dyDescent="0.3">
      <c r="B388" s="10">
        <f t="shared" si="15"/>
        <v>386</v>
      </c>
      <c r="C388" s="25">
        <v>46223</v>
      </c>
      <c r="D388" s="25" t="s">
        <v>163</v>
      </c>
      <c r="E388" s="25"/>
      <c r="F388" s="134"/>
      <c r="G388" s="25" t="s">
        <v>240</v>
      </c>
      <c r="H388" s="10" t="s">
        <v>244</v>
      </c>
      <c r="I388" s="8">
        <v>220</v>
      </c>
      <c r="J388" s="135"/>
      <c r="K388" s="28">
        <f t="shared" si="16"/>
        <v>0</v>
      </c>
    </row>
    <row r="389" spans="2:12" x14ac:dyDescent="0.3">
      <c r="B389" s="10">
        <f t="shared" si="15"/>
        <v>387</v>
      </c>
      <c r="C389" s="25">
        <v>46223</v>
      </c>
      <c r="D389" s="25" t="s">
        <v>163</v>
      </c>
      <c r="E389" s="25" t="s">
        <v>300</v>
      </c>
      <c r="F389" s="134"/>
      <c r="G389" s="25" t="s">
        <v>240</v>
      </c>
      <c r="H389" s="10" t="s">
        <v>244</v>
      </c>
      <c r="I389" s="8">
        <v>700</v>
      </c>
      <c r="J389" s="135"/>
      <c r="K389" s="28">
        <f t="shared" si="16"/>
        <v>0</v>
      </c>
    </row>
    <row r="390" spans="2:12" x14ac:dyDescent="0.3">
      <c r="B390" s="10">
        <f t="shared" ref="B390:B453" si="17">+B389+1</f>
        <v>388</v>
      </c>
      <c r="C390" s="25">
        <v>46224</v>
      </c>
      <c r="D390" s="25" t="s">
        <v>163</v>
      </c>
      <c r="E390" s="25" t="s">
        <v>300</v>
      </c>
      <c r="F390" s="134"/>
      <c r="G390" s="25" t="s">
        <v>240</v>
      </c>
      <c r="H390" s="10" t="s">
        <v>253</v>
      </c>
      <c r="I390" s="8">
        <v>1000</v>
      </c>
      <c r="J390" s="135"/>
      <c r="K390" s="28">
        <f t="shared" si="16"/>
        <v>0</v>
      </c>
    </row>
    <row r="391" spans="2:12" x14ac:dyDescent="0.3">
      <c r="B391" s="10">
        <f t="shared" si="17"/>
        <v>389</v>
      </c>
      <c r="C391" s="25">
        <v>46225</v>
      </c>
      <c r="D391" s="25" t="s">
        <v>163</v>
      </c>
      <c r="E391" s="25" t="s">
        <v>270</v>
      </c>
      <c r="F391" s="134"/>
      <c r="G391" s="25" t="s">
        <v>240</v>
      </c>
      <c r="H391" s="10" t="s">
        <v>244</v>
      </c>
      <c r="I391" s="8">
        <v>700</v>
      </c>
      <c r="J391" s="135"/>
      <c r="K391" s="28">
        <f t="shared" si="16"/>
        <v>0</v>
      </c>
    </row>
    <row r="392" spans="2:12" x14ac:dyDescent="0.3">
      <c r="B392" s="10">
        <f t="shared" si="17"/>
        <v>390</v>
      </c>
      <c r="C392" s="25">
        <v>46225</v>
      </c>
      <c r="D392" s="25" t="s">
        <v>163</v>
      </c>
      <c r="E392" s="25" t="s">
        <v>446</v>
      </c>
      <c r="F392" s="134"/>
      <c r="G392" s="25" t="s">
        <v>240</v>
      </c>
      <c r="H392" s="10" t="s">
        <v>244</v>
      </c>
      <c r="I392" s="8">
        <v>700</v>
      </c>
      <c r="J392" s="135"/>
      <c r="K392" s="28">
        <f t="shared" si="16"/>
        <v>0</v>
      </c>
    </row>
    <row r="393" spans="2:12" x14ac:dyDescent="0.3">
      <c r="B393" s="10">
        <f t="shared" si="17"/>
        <v>391</v>
      </c>
      <c r="C393" s="25">
        <v>46226</v>
      </c>
      <c r="D393" s="25" t="s">
        <v>241</v>
      </c>
      <c r="E393" s="25" t="s">
        <v>300</v>
      </c>
      <c r="F393" s="134"/>
      <c r="G393" s="25" t="s">
        <v>240</v>
      </c>
      <c r="H393" s="10" t="s">
        <v>244</v>
      </c>
      <c r="I393" s="8">
        <v>1000</v>
      </c>
      <c r="J393" s="135"/>
      <c r="K393" s="28">
        <f t="shared" si="16"/>
        <v>0</v>
      </c>
    </row>
    <row r="394" spans="2:12" x14ac:dyDescent="0.3">
      <c r="B394" s="10">
        <f t="shared" si="17"/>
        <v>392</v>
      </c>
      <c r="C394" s="25">
        <v>46226</v>
      </c>
      <c r="D394" s="25" t="s">
        <v>241</v>
      </c>
      <c r="E394" s="25" t="s">
        <v>300</v>
      </c>
      <c r="F394" s="134"/>
      <c r="G394" s="25" t="s">
        <v>240</v>
      </c>
      <c r="H394" s="10" t="s">
        <v>253</v>
      </c>
      <c r="I394" s="8">
        <v>620</v>
      </c>
      <c r="J394" s="135"/>
      <c r="K394" s="28">
        <f t="shared" si="16"/>
        <v>0</v>
      </c>
    </row>
    <row r="395" spans="2:12" x14ac:dyDescent="0.3">
      <c r="B395" s="10">
        <f t="shared" si="17"/>
        <v>393</v>
      </c>
      <c r="C395" s="25">
        <v>46226</v>
      </c>
      <c r="D395" s="25" t="s">
        <v>163</v>
      </c>
      <c r="E395" s="25" t="s">
        <v>359</v>
      </c>
      <c r="F395" s="134"/>
      <c r="G395" s="25" t="s">
        <v>240</v>
      </c>
      <c r="H395" s="10" t="s">
        <v>244</v>
      </c>
      <c r="I395" s="8">
        <v>225</v>
      </c>
      <c r="J395" s="135"/>
      <c r="K395" s="28">
        <f t="shared" si="16"/>
        <v>0</v>
      </c>
    </row>
    <row r="396" spans="2:12" x14ac:dyDescent="0.3">
      <c r="B396" s="10">
        <f t="shared" si="17"/>
        <v>394</v>
      </c>
      <c r="C396" s="25">
        <v>46226</v>
      </c>
      <c r="D396" s="25" t="s">
        <v>302</v>
      </c>
      <c r="E396" s="25" t="s">
        <v>546</v>
      </c>
      <c r="F396" s="134"/>
      <c r="G396" s="25" t="s">
        <v>240</v>
      </c>
      <c r="H396" s="10" t="s">
        <v>244</v>
      </c>
      <c r="I396" s="8">
        <v>1000</v>
      </c>
      <c r="J396" s="135"/>
      <c r="K396" s="28">
        <f t="shared" si="16"/>
        <v>0</v>
      </c>
    </row>
    <row r="397" spans="2:12" x14ac:dyDescent="0.3">
      <c r="B397" s="10">
        <f t="shared" si="17"/>
        <v>395</v>
      </c>
      <c r="C397" s="25">
        <v>46226</v>
      </c>
      <c r="D397" s="25" t="s">
        <v>302</v>
      </c>
      <c r="E397" s="25" t="s">
        <v>546</v>
      </c>
      <c r="F397" s="134"/>
      <c r="G397" s="25" t="s">
        <v>240</v>
      </c>
      <c r="H397" s="10" t="s">
        <v>253</v>
      </c>
      <c r="I397" s="8">
        <v>500</v>
      </c>
      <c r="J397" s="135"/>
      <c r="K397" s="28">
        <f t="shared" si="16"/>
        <v>0</v>
      </c>
    </row>
    <row r="398" spans="2:12" x14ac:dyDescent="0.3">
      <c r="B398" s="10">
        <f t="shared" si="17"/>
        <v>396</v>
      </c>
      <c r="C398" s="25">
        <v>46226</v>
      </c>
      <c r="D398" s="25" t="s">
        <v>302</v>
      </c>
      <c r="E398" s="25" t="s">
        <v>446</v>
      </c>
      <c r="F398" s="134"/>
      <c r="G398" s="25" t="s">
        <v>240</v>
      </c>
      <c r="H398" s="10" t="s">
        <v>244</v>
      </c>
      <c r="I398" s="8">
        <v>1000</v>
      </c>
      <c r="J398" s="135"/>
      <c r="K398" s="28">
        <f t="shared" si="16"/>
        <v>0</v>
      </c>
    </row>
    <row r="399" spans="2:12" x14ac:dyDescent="0.3">
      <c r="B399" s="10">
        <f t="shared" si="17"/>
        <v>397</v>
      </c>
      <c r="C399" s="25">
        <v>46226</v>
      </c>
      <c r="D399" s="25" t="s">
        <v>302</v>
      </c>
      <c r="E399" s="25" t="s">
        <v>446</v>
      </c>
      <c r="F399" s="134"/>
      <c r="G399" s="25" t="s">
        <v>240</v>
      </c>
      <c r="H399" s="10" t="s">
        <v>253</v>
      </c>
      <c r="I399" s="8">
        <v>500</v>
      </c>
      <c r="J399" s="135"/>
      <c r="K399" s="28">
        <f t="shared" si="16"/>
        <v>0</v>
      </c>
    </row>
    <row r="400" spans="2:12" x14ac:dyDescent="0.3">
      <c r="B400" s="10">
        <f t="shared" si="17"/>
        <v>398</v>
      </c>
      <c r="C400" s="25">
        <v>46226</v>
      </c>
      <c r="D400" s="25" t="s">
        <v>302</v>
      </c>
      <c r="E400" s="25" t="s">
        <v>446</v>
      </c>
      <c r="F400" s="134"/>
      <c r="G400" s="25" t="s">
        <v>240</v>
      </c>
      <c r="H400" s="10" t="s">
        <v>244</v>
      </c>
      <c r="I400" s="8">
        <v>1000</v>
      </c>
      <c r="J400" s="135"/>
      <c r="K400" s="28">
        <f t="shared" si="16"/>
        <v>0</v>
      </c>
    </row>
    <row r="401" spans="2:11" x14ac:dyDescent="0.3">
      <c r="B401" s="10">
        <f t="shared" si="17"/>
        <v>399</v>
      </c>
      <c r="C401" s="25">
        <v>46226</v>
      </c>
      <c r="D401" s="25" t="s">
        <v>302</v>
      </c>
      <c r="E401" s="25" t="s">
        <v>446</v>
      </c>
      <c r="F401" s="134"/>
      <c r="G401" s="25" t="s">
        <v>240</v>
      </c>
      <c r="H401" s="10" t="s">
        <v>253</v>
      </c>
      <c r="I401" s="8">
        <v>500</v>
      </c>
      <c r="J401" s="135"/>
      <c r="K401" s="28">
        <f t="shared" si="16"/>
        <v>0</v>
      </c>
    </row>
    <row r="402" spans="2:11" x14ac:dyDescent="0.3">
      <c r="B402" s="10">
        <f t="shared" si="17"/>
        <v>400</v>
      </c>
      <c r="C402" s="25">
        <v>46227</v>
      </c>
      <c r="D402" s="25" t="s">
        <v>241</v>
      </c>
      <c r="E402" s="25" t="s">
        <v>446</v>
      </c>
      <c r="F402" s="134"/>
      <c r="G402" s="25" t="s">
        <v>240</v>
      </c>
      <c r="H402" s="10" t="s">
        <v>244</v>
      </c>
      <c r="I402" s="8">
        <v>750</v>
      </c>
      <c r="J402" s="135"/>
      <c r="K402" s="28">
        <f t="shared" si="16"/>
        <v>0</v>
      </c>
    </row>
    <row r="403" spans="2:11" x14ac:dyDescent="0.3">
      <c r="B403" s="10">
        <f t="shared" si="17"/>
        <v>401</v>
      </c>
      <c r="C403" s="25">
        <v>46227</v>
      </c>
      <c r="D403" s="25" t="s">
        <v>241</v>
      </c>
      <c r="E403" s="25" t="s">
        <v>446</v>
      </c>
      <c r="F403" s="134"/>
      <c r="G403" s="25" t="s">
        <v>240</v>
      </c>
      <c r="H403" s="10" t="s">
        <v>253</v>
      </c>
      <c r="I403" s="8">
        <v>400</v>
      </c>
      <c r="J403" s="135"/>
      <c r="K403" s="28">
        <f t="shared" si="16"/>
        <v>0</v>
      </c>
    </row>
    <row r="404" spans="2:11" x14ac:dyDescent="0.3">
      <c r="B404" s="10">
        <f t="shared" si="17"/>
        <v>402</v>
      </c>
      <c r="C404" s="25">
        <v>46227</v>
      </c>
      <c r="D404" s="25" t="s">
        <v>241</v>
      </c>
      <c r="E404" s="25" t="s">
        <v>300</v>
      </c>
      <c r="F404" s="134"/>
      <c r="G404" s="25" t="s">
        <v>240</v>
      </c>
      <c r="H404" s="10" t="s">
        <v>253</v>
      </c>
      <c r="I404" s="8">
        <v>620</v>
      </c>
      <c r="J404" s="27">
        <v>58.5</v>
      </c>
      <c r="K404" s="28">
        <f t="shared" si="16"/>
        <v>36270</v>
      </c>
    </row>
    <row r="405" spans="2:11" x14ac:dyDescent="0.3">
      <c r="B405" s="10">
        <f t="shared" si="17"/>
        <v>403</v>
      </c>
      <c r="C405" s="25">
        <v>46227</v>
      </c>
      <c r="D405" s="25" t="s">
        <v>241</v>
      </c>
      <c r="E405" s="25" t="s">
        <v>300</v>
      </c>
      <c r="F405" s="134"/>
      <c r="G405" s="25" t="s">
        <v>240</v>
      </c>
      <c r="H405" s="10" t="s">
        <v>244</v>
      </c>
      <c r="I405" s="8">
        <v>1000</v>
      </c>
      <c r="J405" s="27">
        <v>78</v>
      </c>
      <c r="K405" s="28">
        <f t="shared" si="16"/>
        <v>78000</v>
      </c>
    </row>
    <row r="406" spans="2:11" x14ac:dyDescent="0.3">
      <c r="B406" s="10">
        <f t="shared" si="17"/>
        <v>404</v>
      </c>
      <c r="C406" s="25">
        <v>46227</v>
      </c>
      <c r="D406" s="25" t="s">
        <v>302</v>
      </c>
      <c r="E406" s="25" t="s">
        <v>546</v>
      </c>
      <c r="F406" s="134"/>
      <c r="G406" s="25" t="s">
        <v>240</v>
      </c>
      <c r="H406" s="10" t="s">
        <v>244</v>
      </c>
      <c r="I406" s="8">
        <v>1000</v>
      </c>
      <c r="J406" s="135"/>
      <c r="K406" s="28">
        <f t="shared" si="16"/>
        <v>0</v>
      </c>
    </row>
    <row r="407" spans="2:11" x14ac:dyDescent="0.3">
      <c r="B407" s="10">
        <f t="shared" si="17"/>
        <v>405</v>
      </c>
      <c r="C407" s="25">
        <v>46227</v>
      </c>
      <c r="D407" s="25" t="s">
        <v>302</v>
      </c>
      <c r="E407" s="25" t="s">
        <v>546</v>
      </c>
      <c r="F407" s="134"/>
      <c r="G407" s="25" t="s">
        <v>240</v>
      </c>
      <c r="H407" s="10" t="s">
        <v>253</v>
      </c>
      <c r="I407" s="8">
        <v>500</v>
      </c>
      <c r="J407" s="135"/>
      <c r="K407" s="28">
        <f t="shared" si="16"/>
        <v>0</v>
      </c>
    </row>
    <row r="408" spans="2:11" x14ac:dyDescent="0.3">
      <c r="B408" s="10">
        <f>+B407+1</f>
        <v>406</v>
      </c>
      <c r="C408" s="25">
        <v>46227</v>
      </c>
      <c r="D408" s="25" t="s">
        <v>163</v>
      </c>
      <c r="E408" s="25" t="s">
        <v>350</v>
      </c>
      <c r="F408" s="134"/>
      <c r="G408" s="25" t="s">
        <v>240</v>
      </c>
      <c r="H408" s="10" t="s">
        <v>244</v>
      </c>
      <c r="I408" s="8">
        <v>250</v>
      </c>
      <c r="J408" s="135"/>
      <c r="K408" s="28">
        <f t="shared" si="16"/>
        <v>0</v>
      </c>
    </row>
    <row r="409" spans="2:11" x14ac:dyDescent="0.3">
      <c r="B409" s="10">
        <f t="shared" si="17"/>
        <v>407</v>
      </c>
      <c r="C409" s="25">
        <v>46228</v>
      </c>
      <c r="D409" s="25" t="s">
        <v>302</v>
      </c>
      <c r="E409" s="25" t="s">
        <v>3103</v>
      </c>
      <c r="F409" s="134"/>
      <c r="G409" s="25" t="s">
        <v>240</v>
      </c>
      <c r="H409" s="10" t="s">
        <v>253</v>
      </c>
      <c r="I409" s="8">
        <v>500</v>
      </c>
      <c r="J409" s="135"/>
      <c r="K409" s="28">
        <f t="shared" si="16"/>
        <v>0</v>
      </c>
    </row>
    <row r="410" spans="2:11" x14ac:dyDescent="0.3">
      <c r="B410" s="10">
        <f t="shared" si="17"/>
        <v>408</v>
      </c>
      <c r="C410" s="25">
        <v>46228</v>
      </c>
      <c r="D410" s="25" t="s">
        <v>302</v>
      </c>
      <c r="E410" s="25" t="s">
        <v>3103</v>
      </c>
      <c r="F410" s="134"/>
      <c r="G410" s="25" t="s">
        <v>240</v>
      </c>
      <c r="H410" s="10" t="s">
        <v>244</v>
      </c>
      <c r="I410" s="8">
        <v>1000</v>
      </c>
      <c r="J410" s="135"/>
      <c r="K410" s="28">
        <f t="shared" si="16"/>
        <v>0</v>
      </c>
    </row>
    <row r="411" spans="2:11" x14ac:dyDescent="0.3">
      <c r="B411" s="10">
        <f t="shared" si="17"/>
        <v>409</v>
      </c>
      <c r="C411" s="25">
        <v>46228</v>
      </c>
      <c r="D411" s="25" t="s">
        <v>163</v>
      </c>
      <c r="E411" s="25" t="s">
        <v>446</v>
      </c>
      <c r="F411" s="134"/>
      <c r="G411" s="25" t="s">
        <v>240</v>
      </c>
      <c r="H411" s="10" t="s">
        <v>253</v>
      </c>
      <c r="I411" s="8">
        <v>1000</v>
      </c>
      <c r="J411" s="135"/>
      <c r="K411" s="28">
        <f t="shared" si="16"/>
        <v>0</v>
      </c>
    </row>
    <row r="412" spans="2:11" x14ac:dyDescent="0.3">
      <c r="B412" s="10">
        <f t="shared" si="17"/>
        <v>410</v>
      </c>
      <c r="C412" s="25">
        <v>46228</v>
      </c>
      <c r="D412" s="25" t="s">
        <v>163</v>
      </c>
      <c r="E412" s="25" t="s">
        <v>446</v>
      </c>
      <c r="F412" s="134"/>
      <c r="G412" s="25" t="s">
        <v>240</v>
      </c>
      <c r="H412" s="10" t="s">
        <v>244</v>
      </c>
      <c r="I412" s="8">
        <v>700</v>
      </c>
      <c r="J412" s="135"/>
      <c r="K412" s="28">
        <f t="shared" si="16"/>
        <v>0</v>
      </c>
    </row>
    <row r="413" spans="2:11" x14ac:dyDescent="0.3">
      <c r="B413" s="10">
        <f t="shared" si="17"/>
        <v>411</v>
      </c>
      <c r="C413" s="25">
        <v>46228</v>
      </c>
      <c r="D413" s="25" t="s">
        <v>163</v>
      </c>
      <c r="E413" s="25" t="s">
        <v>300</v>
      </c>
      <c r="F413" s="134"/>
      <c r="G413" s="25" t="s">
        <v>240</v>
      </c>
      <c r="H413" s="10" t="s">
        <v>253</v>
      </c>
      <c r="I413" s="8">
        <v>525</v>
      </c>
      <c r="J413" s="135"/>
      <c r="K413" s="28">
        <f t="shared" si="16"/>
        <v>0</v>
      </c>
    </row>
    <row r="414" spans="2:11" x14ac:dyDescent="0.3">
      <c r="B414" s="10">
        <f t="shared" si="17"/>
        <v>412</v>
      </c>
      <c r="C414" s="25">
        <v>46228</v>
      </c>
      <c r="D414" s="25" t="s">
        <v>163</v>
      </c>
      <c r="E414" s="25" t="s">
        <v>300</v>
      </c>
      <c r="F414" s="134"/>
      <c r="G414" s="25" t="s">
        <v>240</v>
      </c>
      <c r="H414" s="10" t="s">
        <v>244</v>
      </c>
      <c r="I414" s="8">
        <v>1050</v>
      </c>
      <c r="J414" s="135"/>
      <c r="K414" s="28">
        <f t="shared" si="16"/>
        <v>0</v>
      </c>
    </row>
    <row r="415" spans="2:11" x14ac:dyDescent="0.3">
      <c r="B415" s="10">
        <f t="shared" si="17"/>
        <v>413</v>
      </c>
      <c r="C415" s="25">
        <v>46229</v>
      </c>
      <c r="D415" s="25" t="s">
        <v>163</v>
      </c>
      <c r="E415" s="25" t="s">
        <v>300</v>
      </c>
      <c r="F415" s="134"/>
      <c r="G415" s="25" t="s">
        <v>240</v>
      </c>
      <c r="H415" s="10" t="s">
        <v>253</v>
      </c>
      <c r="I415" s="8">
        <v>500</v>
      </c>
      <c r="J415" s="135"/>
      <c r="K415" s="28">
        <f t="shared" si="16"/>
        <v>0</v>
      </c>
    </row>
    <row r="416" spans="2:11" x14ac:dyDescent="0.3">
      <c r="B416" s="10">
        <f t="shared" si="17"/>
        <v>414</v>
      </c>
      <c r="C416" s="25">
        <v>46229</v>
      </c>
      <c r="D416" s="25" t="s">
        <v>163</v>
      </c>
      <c r="E416" s="25" t="s">
        <v>300</v>
      </c>
      <c r="F416" s="134"/>
      <c r="G416" s="25" t="s">
        <v>240</v>
      </c>
      <c r="H416" s="10" t="s">
        <v>244</v>
      </c>
      <c r="I416" s="8">
        <v>1000</v>
      </c>
      <c r="J416" s="135"/>
      <c r="K416" s="28">
        <f t="shared" ref="K416:K479" si="18">J416*I416</f>
        <v>0</v>
      </c>
    </row>
    <row r="417" spans="2:11" x14ac:dyDescent="0.3">
      <c r="B417" s="10">
        <f t="shared" si="17"/>
        <v>415</v>
      </c>
      <c r="C417" s="25">
        <v>46229</v>
      </c>
      <c r="D417" s="25" t="s">
        <v>302</v>
      </c>
      <c r="E417" s="25" t="s">
        <v>546</v>
      </c>
      <c r="F417" s="134"/>
      <c r="G417" s="25" t="s">
        <v>240</v>
      </c>
      <c r="H417" s="10" t="s">
        <v>244</v>
      </c>
      <c r="I417" s="8">
        <v>750</v>
      </c>
      <c r="J417" s="135"/>
      <c r="K417" s="28">
        <f t="shared" si="18"/>
        <v>0</v>
      </c>
    </row>
    <row r="418" spans="2:11" x14ac:dyDescent="0.3">
      <c r="B418" s="10">
        <f t="shared" si="17"/>
        <v>416</v>
      </c>
      <c r="C418" s="25">
        <v>46229</v>
      </c>
      <c r="D418" s="25" t="s">
        <v>302</v>
      </c>
      <c r="E418" s="25" t="s">
        <v>546</v>
      </c>
      <c r="F418" s="134"/>
      <c r="G418" s="25" t="s">
        <v>240</v>
      </c>
      <c r="H418" s="10" t="s">
        <v>253</v>
      </c>
      <c r="I418" s="8">
        <v>500</v>
      </c>
      <c r="J418" s="135"/>
      <c r="K418" s="28">
        <f t="shared" si="18"/>
        <v>0</v>
      </c>
    </row>
    <row r="419" spans="2:11" x14ac:dyDescent="0.3">
      <c r="B419" s="10">
        <f t="shared" si="17"/>
        <v>417</v>
      </c>
      <c r="C419" s="25">
        <v>46229</v>
      </c>
      <c r="D419" s="25" t="s">
        <v>302</v>
      </c>
      <c r="E419" s="25" t="s">
        <v>546</v>
      </c>
      <c r="F419" s="134"/>
      <c r="G419" s="25" t="s">
        <v>240</v>
      </c>
      <c r="H419" s="10" t="s">
        <v>244</v>
      </c>
      <c r="I419" s="8">
        <v>250</v>
      </c>
      <c r="J419" s="135"/>
      <c r="K419" s="28">
        <f t="shared" si="18"/>
        <v>0</v>
      </c>
    </row>
    <row r="420" spans="2:11" x14ac:dyDescent="0.3">
      <c r="B420" s="10">
        <f t="shared" si="17"/>
        <v>418</v>
      </c>
      <c r="C420" s="25">
        <v>46230</v>
      </c>
      <c r="D420" s="25" t="s">
        <v>163</v>
      </c>
      <c r="E420" s="25" t="s">
        <v>350</v>
      </c>
      <c r="F420" s="134"/>
      <c r="G420" s="25" t="s">
        <v>240</v>
      </c>
      <c r="H420" s="10" t="s">
        <v>253</v>
      </c>
      <c r="I420" s="8">
        <v>300</v>
      </c>
      <c r="J420" s="135"/>
      <c r="K420" s="28">
        <f t="shared" si="18"/>
        <v>0</v>
      </c>
    </row>
    <row r="421" spans="2:11" x14ac:dyDescent="0.3">
      <c r="B421" s="10">
        <f t="shared" si="17"/>
        <v>419</v>
      </c>
      <c r="C421" s="25">
        <v>46230</v>
      </c>
      <c r="D421" s="25" t="s">
        <v>302</v>
      </c>
      <c r="E421" s="25" t="s">
        <v>2642</v>
      </c>
      <c r="F421" s="134"/>
      <c r="G421" s="25" t="s">
        <v>240</v>
      </c>
      <c r="H421" s="10" t="s">
        <v>244</v>
      </c>
      <c r="I421" s="8">
        <v>350</v>
      </c>
      <c r="J421" s="135"/>
      <c r="K421" s="28">
        <f t="shared" si="18"/>
        <v>0</v>
      </c>
    </row>
    <row r="422" spans="2:11" x14ac:dyDescent="0.3">
      <c r="B422" s="10">
        <f t="shared" si="17"/>
        <v>420</v>
      </c>
      <c r="C422" s="25">
        <v>46230</v>
      </c>
      <c r="D422" s="25" t="s">
        <v>302</v>
      </c>
      <c r="E422" s="25" t="s">
        <v>2642</v>
      </c>
      <c r="F422" s="134"/>
      <c r="G422" s="25" t="s">
        <v>240</v>
      </c>
      <c r="H422" s="10" t="s">
        <v>253</v>
      </c>
      <c r="I422" s="8">
        <v>500</v>
      </c>
      <c r="J422" s="135"/>
      <c r="K422" s="28">
        <f t="shared" si="18"/>
        <v>0</v>
      </c>
    </row>
    <row r="423" spans="2:11" x14ac:dyDescent="0.3">
      <c r="B423" s="10">
        <f t="shared" si="17"/>
        <v>421</v>
      </c>
      <c r="C423" s="25">
        <v>46231</v>
      </c>
      <c r="D423" s="25" t="s">
        <v>163</v>
      </c>
      <c r="E423" s="25" t="s">
        <v>2642</v>
      </c>
      <c r="F423" s="134"/>
      <c r="G423" s="25" t="s">
        <v>240</v>
      </c>
      <c r="H423" s="10" t="s">
        <v>253</v>
      </c>
      <c r="I423" s="8">
        <v>500</v>
      </c>
      <c r="J423" s="135"/>
      <c r="K423" s="28">
        <f t="shared" si="18"/>
        <v>0</v>
      </c>
    </row>
    <row r="424" spans="2:11" x14ac:dyDescent="0.3">
      <c r="B424" s="10">
        <f t="shared" si="17"/>
        <v>422</v>
      </c>
      <c r="C424" s="25">
        <v>46231</v>
      </c>
      <c r="D424" s="25" t="s">
        <v>163</v>
      </c>
      <c r="E424" s="25" t="s">
        <v>2642</v>
      </c>
      <c r="F424" s="134"/>
      <c r="G424" s="25" t="s">
        <v>240</v>
      </c>
      <c r="H424" s="10" t="s">
        <v>244</v>
      </c>
      <c r="I424" s="8">
        <v>350</v>
      </c>
      <c r="J424" s="135"/>
      <c r="K424" s="28">
        <f t="shared" si="18"/>
        <v>0</v>
      </c>
    </row>
    <row r="425" spans="2:11" x14ac:dyDescent="0.3">
      <c r="B425" s="10">
        <f t="shared" si="17"/>
        <v>423</v>
      </c>
      <c r="C425" s="25">
        <v>46231</v>
      </c>
      <c r="D425" s="25" t="s">
        <v>163</v>
      </c>
      <c r="E425" s="25" t="s">
        <v>359</v>
      </c>
      <c r="F425" s="134"/>
      <c r="G425" s="25" t="s">
        <v>240</v>
      </c>
      <c r="H425" s="10" t="s">
        <v>244</v>
      </c>
      <c r="I425" s="8">
        <v>675</v>
      </c>
      <c r="J425" s="135"/>
      <c r="K425" s="28">
        <f t="shared" si="18"/>
        <v>0</v>
      </c>
    </row>
    <row r="426" spans="2:11" x14ac:dyDescent="0.3">
      <c r="B426" s="10">
        <f t="shared" si="17"/>
        <v>424</v>
      </c>
      <c r="C426" s="25">
        <v>46231</v>
      </c>
      <c r="D426" s="25" t="s">
        <v>241</v>
      </c>
      <c r="E426" s="25" t="s">
        <v>300</v>
      </c>
      <c r="F426" s="134"/>
      <c r="G426" s="25" t="s">
        <v>240</v>
      </c>
      <c r="H426" s="10" t="s">
        <v>244</v>
      </c>
      <c r="I426" s="8">
        <v>1050</v>
      </c>
      <c r="J426" s="27">
        <v>78</v>
      </c>
      <c r="K426" s="28">
        <f t="shared" si="18"/>
        <v>81900</v>
      </c>
    </row>
    <row r="427" spans="2:11" x14ac:dyDescent="0.3">
      <c r="B427" s="10">
        <f t="shared" si="17"/>
        <v>425</v>
      </c>
      <c r="C427" s="25">
        <v>46231</v>
      </c>
      <c r="D427" s="25" t="s">
        <v>241</v>
      </c>
      <c r="E427" s="25" t="s">
        <v>300</v>
      </c>
      <c r="F427" s="134"/>
      <c r="G427" s="25" t="s">
        <v>240</v>
      </c>
      <c r="H427" s="10" t="s">
        <v>253</v>
      </c>
      <c r="I427" s="8">
        <v>525</v>
      </c>
      <c r="J427" s="27">
        <v>58</v>
      </c>
      <c r="K427" s="28">
        <f t="shared" si="18"/>
        <v>30450</v>
      </c>
    </row>
    <row r="428" spans="2:11" x14ac:dyDescent="0.3">
      <c r="B428" s="10">
        <f t="shared" si="17"/>
        <v>426</v>
      </c>
      <c r="C428" s="25">
        <v>46232</v>
      </c>
      <c r="D428" s="25" t="s">
        <v>163</v>
      </c>
      <c r="E428" s="25" t="s">
        <v>300</v>
      </c>
      <c r="F428" s="134"/>
      <c r="G428" s="25" t="s">
        <v>240</v>
      </c>
      <c r="H428" s="10" t="s">
        <v>244</v>
      </c>
      <c r="I428" s="8">
        <v>1350</v>
      </c>
      <c r="J428" s="135"/>
      <c r="K428" s="28">
        <f t="shared" si="18"/>
        <v>0</v>
      </c>
    </row>
    <row r="429" spans="2:11" x14ac:dyDescent="0.3">
      <c r="B429" s="10">
        <f t="shared" si="17"/>
        <v>427</v>
      </c>
      <c r="C429" s="25">
        <v>46232</v>
      </c>
      <c r="D429" s="25" t="s">
        <v>163</v>
      </c>
      <c r="E429" s="25" t="s">
        <v>300</v>
      </c>
      <c r="F429" s="134"/>
      <c r="G429" s="25" t="s">
        <v>240</v>
      </c>
      <c r="H429" s="10" t="s">
        <v>253</v>
      </c>
      <c r="I429" s="8">
        <v>700</v>
      </c>
      <c r="J429" s="135"/>
      <c r="K429" s="28">
        <f t="shared" si="18"/>
        <v>0</v>
      </c>
    </row>
    <row r="430" spans="2:11" x14ac:dyDescent="0.3">
      <c r="B430" s="10">
        <f t="shared" si="17"/>
        <v>428</v>
      </c>
      <c r="C430" s="25">
        <v>46233</v>
      </c>
      <c r="D430" s="25" t="s">
        <v>302</v>
      </c>
      <c r="E430" s="25" t="s">
        <v>546</v>
      </c>
      <c r="F430" s="134"/>
      <c r="G430" s="25" t="s">
        <v>240</v>
      </c>
      <c r="H430" s="10" t="s">
        <v>244</v>
      </c>
      <c r="I430" s="8">
        <v>800</v>
      </c>
      <c r="J430" s="135"/>
      <c r="K430" s="28">
        <f t="shared" si="18"/>
        <v>0</v>
      </c>
    </row>
    <row r="431" spans="2:11" x14ac:dyDescent="0.3">
      <c r="B431" s="10">
        <f t="shared" si="17"/>
        <v>429</v>
      </c>
      <c r="C431" s="25">
        <v>46233</v>
      </c>
      <c r="D431" s="25" t="s">
        <v>302</v>
      </c>
      <c r="E431" s="25" t="s">
        <v>546</v>
      </c>
      <c r="F431" s="134"/>
      <c r="G431" s="25" t="s">
        <v>240</v>
      </c>
      <c r="H431" s="10" t="s">
        <v>253</v>
      </c>
      <c r="I431" s="8">
        <v>1000</v>
      </c>
      <c r="J431" s="135"/>
      <c r="K431" s="28">
        <f t="shared" si="18"/>
        <v>0</v>
      </c>
    </row>
    <row r="432" spans="2:11" x14ac:dyDescent="0.3">
      <c r="B432" s="10">
        <f t="shared" si="17"/>
        <v>430</v>
      </c>
      <c r="C432" s="25">
        <v>46233</v>
      </c>
      <c r="D432" s="25" t="s">
        <v>241</v>
      </c>
      <c r="E432" s="25" t="s">
        <v>446</v>
      </c>
      <c r="F432" s="134"/>
      <c r="G432" s="25" t="s">
        <v>240</v>
      </c>
      <c r="H432" s="10" t="s">
        <v>244</v>
      </c>
      <c r="I432" s="8">
        <v>250</v>
      </c>
      <c r="J432" s="27">
        <v>80</v>
      </c>
      <c r="K432" s="28">
        <f t="shared" si="18"/>
        <v>20000</v>
      </c>
    </row>
    <row r="433" spans="2:11" x14ac:dyDescent="0.3">
      <c r="B433" s="10">
        <f t="shared" si="17"/>
        <v>431</v>
      </c>
      <c r="C433" s="25">
        <v>46233</v>
      </c>
      <c r="D433" s="25" t="s">
        <v>241</v>
      </c>
      <c r="E433" s="25" t="s">
        <v>446</v>
      </c>
      <c r="F433" s="134"/>
      <c r="G433" s="25" t="s">
        <v>240</v>
      </c>
      <c r="H433" s="10" t="s">
        <v>253</v>
      </c>
      <c r="I433" s="8">
        <v>125</v>
      </c>
      <c r="J433" s="27">
        <v>60</v>
      </c>
      <c r="K433" s="28">
        <f t="shared" si="18"/>
        <v>7500</v>
      </c>
    </row>
    <row r="434" spans="2:11" x14ac:dyDescent="0.3">
      <c r="B434" s="10">
        <f t="shared" si="17"/>
        <v>432</v>
      </c>
      <c r="C434" s="25">
        <v>46233</v>
      </c>
      <c r="D434" s="25" t="s">
        <v>302</v>
      </c>
      <c r="E434" s="25" t="s">
        <v>546</v>
      </c>
      <c r="F434" s="134"/>
      <c r="G434" s="25" t="s">
        <v>240</v>
      </c>
      <c r="H434" s="10" t="s">
        <v>244</v>
      </c>
      <c r="I434" s="8">
        <v>800</v>
      </c>
      <c r="J434" s="27">
        <v>78</v>
      </c>
      <c r="K434" s="28">
        <f t="shared" si="18"/>
        <v>62400</v>
      </c>
    </row>
    <row r="435" spans="2:11" x14ac:dyDescent="0.3">
      <c r="B435" s="10">
        <f t="shared" si="17"/>
        <v>433</v>
      </c>
      <c r="C435" s="25">
        <v>46233</v>
      </c>
      <c r="D435" s="25" t="s">
        <v>302</v>
      </c>
      <c r="E435" s="25" t="s">
        <v>300</v>
      </c>
      <c r="F435" s="134"/>
      <c r="G435" s="25" t="s">
        <v>240</v>
      </c>
      <c r="H435" s="10" t="s">
        <v>253</v>
      </c>
      <c r="I435" s="8">
        <v>500</v>
      </c>
      <c r="J435" s="135"/>
      <c r="K435" s="28">
        <f t="shared" si="18"/>
        <v>0</v>
      </c>
    </row>
    <row r="436" spans="2:11" x14ac:dyDescent="0.3">
      <c r="B436" s="10">
        <f t="shared" si="17"/>
        <v>434</v>
      </c>
      <c r="C436" s="25">
        <v>46233</v>
      </c>
      <c r="D436" s="25" t="s">
        <v>302</v>
      </c>
      <c r="E436" s="25" t="s">
        <v>300</v>
      </c>
      <c r="F436" s="134"/>
      <c r="G436" s="25" t="s">
        <v>240</v>
      </c>
      <c r="H436" s="10" t="s">
        <v>244</v>
      </c>
      <c r="I436" s="8">
        <v>1000</v>
      </c>
      <c r="J436" s="135"/>
      <c r="K436" s="28">
        <f t="shared" si="18"/>
        <v>0</v>
      </c>
    </row>
    <row r="437" spans="2:11" x14ac:dyDescent="0.3">
      <c r="B437" s="10">
        <f t="shared" si="17"/>
        <v>435</v>
      </c>
      <c r="C437" s="25">
        <v>46234</v>
      </c>
      <c r="D437" s="25" t="s">
        <v>302</v>
      </c>
      <c r="E437" s="25" t="s">
        <v>446</v>
      </c>
      <c r="F437" s="134"/>
      <c r="G437" s="25" t="s">
        <v>240</v>
      </c>
      <c r="H437" s="10" t="s">
        <v>253</v>
      </c>
      <c r="I437" s="8">
        <v>500</v>
      </c>
      <c r="J437" s="135"/>
      <c r="K437" s="28">
        <f t="shared" si="18"/>
        <v>0</v>
      </c>
    </row>
    <row r="438" spans="2:11" x14ac:dyDescent="0.3">
      <c r="B438" s="10">
        <f t="shared" si="17"/>
        <v>436</v>
      </c>
      <c r="C438" s="25">
        <v>46234</v>
      </c>
      <c r="D438" s="25" t="s">
        <v>302</v>
      </c>
      <c r="E438" s="25" t="s">
        <v>446</v>
      </c>
      <c r="F438" s="134"/>
      <c r="G438" s="25" t="s">
        <v>240</v>
      </c>
      <c r="H438" s="10" t="s">
        <v>244</v>
      </c>
      <c r="I438" s="8">
        <v>1000</v>
      </c>
      <c r="J438" s="135"/>
      <c r="K438" s="28">
        <f t="shared" si="18"/>
        <v>0</v>
      </c>
    </row>
    <row r="439" spans="2:11" x14ac:dyDescent="0.3">
      <c r="B439" s="10">
        <f t="shared" si="17"/>
        <v>437</v>
      </c>
      <c r="C439" s="25">
        <v>46234</v>
      </c>
      <c r="D439" s="25" t="s">
        <v>163</v>
      </c>
      <c r="E439" s="25" t="s">
        <v>350</v>
      </c>
      <c r="F439" s="134"/>
      <c r="G439" s="25" t="s">
        <v>240</v>
      </c>
      <c r="H439" s="10" t="s">
        <v>244</v>
      </c>
      <c r="I439" s="8">
        <v>550</v>
      </c>
      <c r="J439" s="135"/>
      <c r="K439" s="28">
        <f t="shared" si="18"/>
        <v>0</v>
      </c>
    </row>
    <row r="440" spans="2:11" x14ac:dyDescent="0.3">
      <c r="B440" s="10">
        <f t="shared" si="17"/>
        <v>438</v>
      </c>
      <c r="C440" s="25">
        <v>46234</v>
      </c>
      <c r="D440" s="25" t="s">
        <v>163</v>
      </c>
      <c r="E440" s="25" t="s">
        <v>350</v>
      </c>
      <c r="F440" s="134"/>
      <c r="G440" s="25" t="s">
        <v>240</v>
      </c>
      <c r="H440" s="10" t="s">
        <v>253</v>
      </c>
      <c r="I440" s="8">
        <v>200</v>
      </c>
      <c r="J440" s="135"/>
      <c r="K440" s="28">
        <f t="shared" si="18"/>
        <v>0</v>
      </c>
    </row>
    <row r="441" spans="2:11" x14ac:dyDescent="0.3">
      <c r="B441" s="10">
        <f t="shared" si="17"/>
        <v>439</v>
      </c>
      <c r="C441" s="25">
        <v>46234</v>
      </c>
      <c r="D441" s="25" t="s">
        <v>163</v>
      </c>
      <c r="E441" s="25" t="s">
        <v>359</v>
      </c>
      <c r="F441" s="134"/>
      <c r="G441" s="25" t="s">
        <v>240</v>
      </c>
      <c r="H441" s="10" t="s">
        <v>253</v>
      </c>
      <c r="I441" s="8">
        <v>1000</v>
      </c>
      <c r="J441" s="135"/>
      <c r="K441" s="28">
        <f t="shared" si="18"/>
        <v>0</v>
      </c>
    </row>
    <row r="442" spans="2:11" x14ac:dyDescent="0.3">
      <c r="B442" s="10">
        <f t="shared" si="17"/>
        <v>440</v>
      </c>
      <c r="C442" s="25">
        <v>46235</v>
      </c>
      <c r="D442" s="25" t="s">
        <v>241</v>
      </c>
      <c r="E442" s="25" t="s">
        <v>990</v>
      </c>
      <c r="F442" s="134"/>
      <c r="G442" s="25" t="s">
        <v>240</v>
      </c>
      <c r="H442" s="10" t="s">
        <v>244</v>
      </c>
      <c r="I442" s="8">
        <v>1450</v>
      </c>
      <c r="J442" s="27">
        <v>80</v>
      </c>
      <c r="K442" s="28">
        <f t="shared" si="18"/>
        <v>116000</v>
      </c>
    </row>
    <row r="443" spans="2:11" x14ac:dyDescent="0.3">
      <c r="B443" s="10">
        <f t="shared" si="17"/>
        <v>441</v>
      </c>
      <c r="C443" s="25">
        <v>46235</v>
      </c>
      <c r="D443" s="25" t="s">
        <v>241</v>
      </c>
      <c r="E443" s="25" t="s">
        <v>990</v>
      </c>
      <c r="F443" s="134"/>
      <c r="G443" s="25" t="s">
        <v>240</v>
      </c>
      <c r="H443" s="10" t="s">
        <v>253</v>
      </c>
      <c r="I443" s="8">
        <v>725</v>
      </c>
      <c r="J443" s="27">
        <v>60</v>
      </c>
      <c r="K443" s="28">
        <f t="shared" si="18"/>
        <v>43500</v>
      </c>
    </row>
    <row r="444" spans="2:11" x14ac:dyDescent="0.3">
      <c r="B444" s="10">
        <f t="shared" si="17"/>
        <v>442</v>
      </c>
      <c r="C444" s="25">
        <v>46235</v>
      </c>
      <c r="D444" s="25" t="s">
        <v>241</v>
      </c>
      <c r="E444" s="25" t="s">
        <v>300</v>
      </c>
      <c r="F444" s="134"/>
      <c r="G444" s="25" t="s">
        <v>240</v>
      </c>
      <c r="H444" s="10" t="s">
        <v>244</v>
      </c>
      <c r="I444" s="8">
        <v>1050</v>
      </c>
      <c r="J444" s="27">
        <v>78</v>
      </c>
      <c r="K444" s="28">
        <f t="shared" si="18"/>
        <v>81900</v>
      </c>
    </row>
    <row r="445" spans="2:11" x14ac:dyDescent="0.3">
      <c r="B445" s="10">
        <f t="shared" si="17"/>
        <v>443</v>
      </c>
      <c r="C445" s="25">
        <v>46235</v>
      </c>
      <c r="D445" s="25" t="s">
        <v>241</v>
      </c>
      <c r="E445" s="25" t="s">
        <v>300</v>
      </c>
      <c r="F445" s="134"/>
      <c r="G445" s="25" t="s">
        <v>240</v>
      </c>
      <c r="H445" s="10" t="s">
        <v>253</v>
      </c>
      <c r="I445" s="8">
        <v>525</v>
      </c>
      <c r="J445" s="27">
        <v>58.5</v>
      </c>
      <c r="K445" s="28">
        <f t="shared" si="18"/>
        <v>30712.5</v>
      </c>
    </row>
    <row r="446" spans="2:11" x14ac:dyDescent="0.3">
      <c r="B446" s="10">
        <f t="shared" si="17"/>
        <v>444</v>
      </c>
      <c r="C446" s="25">
        <v>46238</v>
      </c>
      <c r="D446" s="25" t="s">
        <v>241</v>
      </c>
      <c r="E446" s="25" t="s">
        <v>300</v>
      </c>
      <c r="F446" s="134"/>
      <c r="G446" s="25" t="s">
        <v>240</v>
      </c>
      <c r="H446" s="10" t="s">
        <v>244</v>
      </c>
      <c r="I446" s="8">
        <v>1500</v>
      </c>
      <c r="J446" s="27">
        <v>78</v>
      </c>
      <c r="K446" s="28">
        <f t="shared" si="18"/>
        <v>117000</v>
      </c>
    </row>
    <row r="447" spans="2:11" x14ac:dyDescent="0.3">
      <c r="B447" s="10">
        <f t="shared" si="17"/>
        <v>445</v>
      </c>
      <c r="C447" s="25">
        <v>46238</v>
      </c>
      <c r="D447" s="25" t="s">
        <v>241</v>
      </c>
      <c r="E447" s="25" t="s">
        <v>300</v>
      </c>
      <c r="F447" s="134"/>
      <c r="G447" s="25" t="s">
        <v>240</v>
      </c>
      <c r="H447" s="10" t="s">
        <v>253</v>
      </c>
      <c r="I447" s="8">
        <v>750</v>
      </c>
      <c r="J447" s="27">
        <v>58.5</v>
      </c>
      <c r="K447" s="28">
        <f t="shared" si="18"/>
        <v>43875</v>
      </c>
    </row>
    <row r="448" spans="2:11" x14ac:dyDescent="0.3">
      <c r="B448" s="10">
        <f t="shared" si="17"/>
        <v>446</v>
      </c>
      <c r="C448" s="25">
        <v>46241</v>
      </c>
      <c r="D448" s="25" t="s">
        <v>302</v>
      </c>
      <c r="E448" s="25" t="s">
        <v>359</v>
      </c>
      <c r="F448" s="134"/>
      <c r="G448" s="25" t="s">
        <v>240</v>
      </c>
      <c r="H448" s="10" t="s">
        <v>244</v>
      </c>
      <c r="I448" s="8">
        <v>1000</v>
      </c>
      <c r="J448" s="135"/>
      <c r="K448" s="28">
        <f t="shared" si="18"/>
        <v>0</v>
      </c>
    </row>
    <row r="449" spans="2:11" x14ac:dyDescent="0.3">
      <c r="B449" s="10">
        <f t="shared" si="17"/>
        <v>447</v>
      </c>
      <c r="C449" s="25">
        <v>46241</v>
      </c>
      <c r="D449" s="25" t="s">
        <v>302</v>
      </c>
      <c r="E449" s="25" t="s">
        <v>359</v>
      </c>
      <c r="F449" s="134"/>
      <c r="G449" s="25" t="s">
        <v>240</v>
      </c>
      <c r="H449" s="10" t="s">
        <v>253</v>
      </c>
      <c r="I449" s="8">
        <v>500</v>
      </c>
      <c r="J449" s="135"/>
      <c r="K449" s="28">
        <f t="shared" si="18"/>
        <v>0</v>
      </c>
    </row>
    <row r="450" spans="2:11" x14ac:dyDescent="0.3">
      <c r="B450" s="10">
        <f t="shared" si="17"/>
        <v>448</v>
      </c>
      <c r="C450" s="25">
        <v>46241</v>
      </c>
      <c r="D450" s="25" t="s">
        <v>241</v>
      </c>
      <c r="E450" s="25" t="s">
        <v>300</v>
      </c>
      <c r="F450" s="134"/>
      <c r="G450" s="25" t="s">
        <v>240</v>
      </c>
      <c r="H450" s="10" t="s">
        <v>244</v>
      </c>
      <c r="I450" s="8">
        <v>1050</v>
      </c>
      <c r="J450" s="27">
        <v>78</v>
      </c>
      <c r="K450" s="28">
        <f t="shared" si="18"/>
        <v>81900</v>
      </c>
    </row>
    <row r="451" spans="2:11" x14ac:dyDescent="0.3">
      <c r="B451" s="10">
        <f t="shared" si="17"/>
        <v>449</v>
      </c>
      <c r="C451" s="25">
        <v>46241</v>
      </c>
      <c r="D451" s="25" t="s">
        <v>241</v>
      </c>
      <c r="E451" s="25" t="s">
        <v>300</v>
      </c>
      <c r="F451" s="134"/>
      <c r="G451" s="25" t="s">
        <v>240</v>
      </c>
      <c r="H451" s="10" t="s">
        <v>253</v>
      </c>
      <c r="I451" s="8">
        <v>525</v>
      </c>
      <c r="J451" s="27">
        <v>58.5</v>
      </c>
      <c r="K451" s="28">
        <f t="shared" si="18"/>
        <v>30712.5</v>
      </c>
    </row>
    <row r="452" spans="2:11" x14ac:dyDescent="0.3">
      <c r="B452" s="10">
        <f t="shared" si="17"/>
        <v>450</v>
      </c>
      <c r="C452" s="25">
        <v>46241</v>
      </c>
      <c r="D452" s="25" t="s">
        <v>302</v>
      </c>
      <c r="E452" s="25" t="s">
        <v>3629</v>
      </c>
      <c r="F452" s="134"/>
      <c r="G452" s="25" t="s">
        <v>240</v>
      </c>
      <c r="H452" s="10" t="s">
        <v>253</v>
      </c>
      <c r="I452" s="8">
        <v>1000</v>
      </c>
      <c r="J452" s="27">
        <v>58.5</v>
      </c>
      <c r="K452" s="28">
        <f t="shared" si="18"/>
        <v>58500</v>
      </c>
    </row>
    <row r="453" spans="2:11" x14ac:dyDescent="0.3">
      <c r="B453" s="10">
        <f t="shared" si="17"/>
        <v>451</v>
      </c>
      <c r="C453" s="25">
        <v>46242</v>
      </c>
      <c r="D453" s="25" t="s">
        <v>163</v>
      </c>
      <c r="E453" s="25" t="s">
        <v>300</v>
      </c>
      <c r="F453" s="134"/>
      <c r="G453" s="25" t="s">
        <v>240</v>
      </c>
      <c r="H453" s="10" t="s">
        <v>253</v>
      </c>
      <c r="I453" s="8">
        <v>850</v>
      </c>
      <c r="J453" s="135"/>
      <c r="K453" s="28">
        <f t="shared" si="18"/>
        <v>0</v>
      </c>
    </row>
    <row r="454" spans="2:11" x14ac:dyDescent="0.3">
      <c r="B454" s="10">
        <f t="shared" ref="B454:B497" si="19">+B453+1</f>
        <v>452</v>
      </c>
      <c r="C454" s="25">
        <v>46242</v>
      </c>
      <c r="D454" s="25" t="s">
        <v>163</v>
      </c>
      <c r="E454" s="25" t="s">
        <v>300</v>
      </c>
      <c r="F454" s="134"/>
      <c r="G454" s="25" t="s">
        <v>240</v>
      </c>
      <c r="H454" s="10" t="s">
        <v>244</v>
      </c>
      <c r="I454" s="8">
        <v>1350</v>
      </c>
      <c r="J454" s="27">
        <v>78</v>
      </c>
      <c r="K454" s="28">
        <f t="shared" si="18"/>
        <v>105300</v>
      </c>
    </row>
    <row r="455" spans="2:11" x14ac:dyDescent="0.3">
      <c r="B455" s="10">
        <f t="shared" si="19"/>
        <v>453</v>
      </c>
      <c r="C455" s="25">
        <v>46242</v>
      </c>
      <c r="D455" s="25" t="s">
        <v>163</v>
      </c>
      <c r="E455" s="25" t="s">
        <v>300</v>
      </c>
      <c r="F455" s="134"/>
      <c r="G455" s="25" t="s">
        <v>240</v>
      </c>
      <c r="H455" s="10" t="s">
        <v>253</v>
      </c>
      <c r="I455" s="8">
        <v>650</v>
      </c>
      <c r="J455" s="27">
        <v>58</v>
      </c>
      <c r="K455" s="28">
        <f t="shared" si="18"/>
        <v>37700</v>
      </c>
    </row>
    <row r="456" spans="2:11" x14ac:dyDescent="0.3">
      <c r="B456" s="10">
        <f t="shared" si="19"/>
        <v>454</v>
      </c>
      <c r="C456" s="25">
        <v>46242</v>
      </c>
      <c r="D456" s="25" t="s">
        <v>241</v>
      </c>
      <c r="E456" s="25" t="s">
        <v>300</v>
      </c>
      <c r="F456" s="134"/>
      <c r="G456" s="25" t="s">
        <v>240</v>
      </c>
      <c r="H456" s="10" t="s">
        <v>244</v>
      </c>
      <c r="I456" s="8">
        <v>1050</v>
      </c>
      <c r="J456" s="27">
        <v>78</v>
      </c>
      <c r="K456" s="28">
        <f t="shared" si="18"/>
        <v>81900</v>
      </c>
    </row>
    <row r="457" spans="2:11" x14ac:dyDescent="0.3">
      <c r="B457" s="10">
        <f t="shared" si="19"/>
        <v>455</v>
      </c>
      <c r="C457" s="25">
        <v>46242</v>
      </c>
      <c r="D457" s="25" t="s">
        <v>241</v>
      </c>
      <c r="E457" s="25" t="s">
        <v>300</v>
      </c>
      <c r="F457" s="134"/>
      <c r="G457" s="25" t="s">
        <v>240</v>
      </c>
      <c r="H457" s="10" t="s">
        <v>253</v>
      </c>
      <c r="I457" s="8">
        <v>525</v>
      </c>
      <c r="J457" s="27">
        <v>58.5</v>
      </c>
      <c r="K457" s="28">
        <f t="shared" si="18"/>
        <v>30712.5</v>
      </c>
    </row>
    <row r="458" spans="2:11" x14ac:dyDescent="0.3">
      <c r="B458" s="10">
        <f t="shared" si="19"/>
        <v>456</v>
      </c>
      <c r="C458" s="25">
        <v>46242</v>
      </c>
      <c r="D458" s="25" t="s">
        <v>302</v>
      </c>
      <c r="E458" s="25" t="s">
        <v>546</v>
      </c>
      <c r="F458" s="134"/>
      <c r="G458" s="25" t="s">
        <v>240</v>
      </c>
      <c r="H458" s="10" t="s">
        <v>244</v>
      </c>
      <c r="I458" s="8">
        <v>800</v>
      </c>
      <c r="J458" s="27">
        <v>78</v>
      </c>
      <c r="K458" s="28">
        <f t="shared" si="18"/>
        <v>62400</v>
      </c>
    </row>
    <row r="459" spans="2:11" x14ac:dyDescent="0.3">
      <c r="B459" s="10">
        <f t="shared" si="19"/>
        <v>457</v>
      </c>
      <c r="C459" s="25">
        <v>46242</v>
      </c>
      <c r="D459" s="25" t="s">
        <v>302</v>
      </c>
      <c r="E459" s="25" t="s">
        <v>446</v>
      </c>
      <c r="F459" s="134"/>
      <c r="G459" s="25" t="s">
        <v>240</v>
      </c>
      <c r="H459" s="10" t="s">
        <v>244</v>
      </c>
      <c r="I459" s="8">
        <v>1000</v>
      </c>
      <c r="J459" s="135"/>
      <c r="K459" s="28">
        <f t="shared" si="18"/>
        <v>0</v>
      </c>
    </row>
    <row r="460" spans="2:11" x14ac:dyDescent="0.3">
      <c r="B460" s="10">
        <f t="shared" si="19"/>
        <v>458</v>
      </c>
      <c r="C460" s="25">
        <v>46242</v>
      </c>
      <c r="D460" s="25" t="s">
        <v>302</v>
      </c>
      <c r="E460" s="25" t="s">
        <v>446</v>
      </c>
      <c r="F460" s="134"/>
      <c r="G460" s="25" t="s">
        <v>240</v>
      </c>
      <c r="H460" s="10" t="s">
        <v>253</v>
      </c>
      <c r="I460" s="8">
        <v>500</v>
      </c>
      <c r="J460" s="135"/>
      <c r="K460" s="28">
        <f t="shared" si="18"/>
        <v>0</v>
      </c>
    </row>
    <row r="461" spans="2:11" x14ac:dyDescent="0.3">
      <c r="B461" s="10">
        <f t="shared" si="19"/>
        <v>459</v>
      </c>
      <c r="C461" s="25">
        <v>46243</v>
      </c>
      <c r="D461" s="25" t="s">
        <v>302</v>
      </c>
      <c r="E461" s="25" t="s">
        <v>3629</v>
      </c>
      <c r="F461" s="134"/>
      <c r="G461" s="25" t="s">
        <v>240</v>
      </c>
      <c r="H461" s="10" t="s">
        <v>244</v>
      </c>
      <c r="I461" s="8">
        <v>800</v>
      </c>
      <c r="J461" s="135"/>
      <c r="K461" s="28">
        <f t="shared" si="18"/>
        <v>0</v>
      </c>
    </row>
    <row r="462" spans="2:11" x14ac:dyDescent="0.3">
      <c r="B462" s="10">
        <f t="shared" si="19"/>
        <v>460</v>
      </c>
      <c r="C462" s="25">
        <v>46244</v>
      </c>
      <c r="D462" s="25" t="s">
        <v>302</v>
      </c>
      <c r="E462" s="25" t="s">
        <v>545</v>
      </c>
      <c r="F462" s="134"/>
      <c r="G462" s="25" t="s">
        <v>240</v>
      </c>
      <c r="H462" s="10" t="s">
        <v>244</v>
      </c>
      <c r="I462" s="8">
        <v>1000</v>
      </c>
      <c r="J462" s="135"/>
      <c r="K462" s="28">
        <f t="shared" si="18"/>
        <v>0</v>
      </c>
    </row>
    <row r="463" spans="2:11" x14ac:dyDescent="0.3">
      <c r="B463" s="10">
        <f t="shared" si="19"/>
        <v>461</v>
      </c>
      <c r="C463" s="25">
        <v>46244</v>
      </c>
      <c r="D463" s="25" t="s">
        <v>302</v>
      </c>
      <c r="E463" s="25" t="s">
        <v>545</v>
      </c>
      <c r="F463" s="134"/>
      <c r="G463" s="25" t="s">
        <v>240</v>
      </c>
      <c r="H463" s="10" t="s">
        <v>253</v>
      </c>
      <c r="I463" s="8">
        <v>500</v>
      </c>
      <c r="J463" s="135"/>
      <c r="K463" s="28">
        <f t="shared" si="18"/>
        <v>0</v>
      </c>
    </row>
    <row r="464" spans="2:11" x14ac:dyDescent="0.3">
      <c r="B464" s="10">
        <f t="shared" si="19"/>
        <v>462</v>
      </c>
      <c r="C464" s="25">
        <v>46245</v>
      </c>
      <c r="D464" s="25" t="s">
        <v>163</v>
      </c>
      <c r="E464" s="25" t="s">
        <v>990</v>
      </c>
      <c r="F464" s="134"/>
      <c r="G464" s="25" t="s">
        <v>240</v>
      </c>
      <c r="H464" s="10" t="s">
        <v>244</v>
      </c>
      <c r="I464" s="8">
        <v>700</v>
      </c>
      <c r="J464" s="135"/>
      <c r="K464" s="28">
        <f t="shared" si="18"/>
        <v>0</v>
      </c>
    </row>
    <row r="465" spans="2:11" x14ac:dyDescent="0.3">
      <c r="B465" s="10">
        <f t="shared" si="19"/>
        <v>463</v>
      </c>
      <c r="C465" s="25">
        <v>46246</v>
      </c>
      <c r="D465" s="25" t="s">
        <v>163</v>
      </c>
      <c r="E465" s="25" t="s">
        <v>3103</v>
      </c>
      <c r="F465" s="134"/>
      <c r="G465" s="25" t="s">
        <v>240</v>
      </c>
      <c r="H465" s="10" t="s">
        <v>244</v>
      </c>
      <c r="I465" s="8">
        <v>700</v>
      </c>
      <c r="J465" s="135"/>
      <c r="K465" s="28">
        <f t="shared" si="18"/>
        <v>0</v>
      </c>
    </row>
    <row r="466" spans="2:11" x14ac:dyDescent="0.3">
      <c r="B466" s="10">
        <f t="shared" si="19"/>
        <v>464</v>
      </c>
      <c r="C466" s="25">
        <v>46247</v>
      </c>
      <c r="D466" s="25" t="s">
        <v>163</v>
      </c>
      <c r="E466" s="25" t="s">
        <v>300</v>
      </c>
      <c r="F466" s="134"/>
      <c r="G466" s="25" t="s">
        <v>240</v>
      </c>
      <c r="H466" s="10" t="s">
        <v>244</v>
      </c>
      <c r="I466" s="8">
        <v>700</v>
      </c>
      <c r="J466" s="135"/>
      <c r="K466" s="28">
        <f t="shared" si="18"/>
        <v>0</v>
      </c>
    </row>
    <row r="467" spans="2:11" x14ac:dyDescent="0.3">
      <c r="B467" s="10">
        <f t="shared" si="19"/>
        <v>465</v>
      </c>
      <c r="C467" s="25">
        <v>46247</v>
      </c>
      <c r="D467" s="25" t="s">
        <v>302</v>
      </c>
      <c r="E467" s="25" t="s">
        <v>649</v>
      </c>
      <c r="F467" s="134"/>
      <c r="G467" s="25" t="s">
        <v>240</v>
      </c>
      <c r="H467" s="10" t="s">
        <v>244</v>
      </c>
      <c r="I467" s="8">
        <v>1000</v>
      </c>
      <c r="J467" s="135"/>
      <c r="K467" s="28">
        <f t="shared" si="18"/>
        <v>0</v>
      </c>
    </row>
    <row r="468" spans="2:11" x14ac:dyDescent="0.3">
      <c r="B468" s="10">
        <f t="shared" si="19"/>
        <v>466</v>
      </c>
      <c r="C468" s="25">
        <v>46247</v>
      </c>
      <c r="D468" s="25" t="s">
        <v>302</v>
      </c>
      <c r="E468" s="25" t="s">
        <v>649</v>
      </c>
      <c r="F468" s="134"/>
      <c r="G468" s="25" t="s">
        <v>240</v>
      </c>
      <c r="H468" s="10" t="s">
        <v>253</v>
      </c>
      <c r="I468" s="8">
        <v>500</v>
      </c>
      <c r="J468" s="135"/>
      <c r="K468" s="28">
        <f t="shared" si="18"/>
        <v>0</v>
      </c>
    </row>
    <row r="469" spans="2:11" x14ac:dyDescent="0.3">
      <c r="B469" s="10">
        <f t="shared" si="19"/>
        <v>467</v>
      </c>
      <c r="C469" s="25">
        <v>46248</v>
      </c>
      <c r="D469" s="25" t="s">
        <v>241</v>
      </c>
      <c r="E469" s="25" t="s">
        <v>3756</v>
      </c>
      <c r="F469" s="134"/>
      <c r="G469" s="25" t="s">
        <v>240</v>
      </c>
      <c r="H469" s="10" t="s">
        <v>244</v>
      </c>
      <c r="I469" s="8">
        <v>1300</v>
      </c>
      <c r="J469" s="27">
        <v>78</v>
      </c>
      <c r="K469" s="28">
        <f t="shared" si="18"/>
        <v>101400</v>
      </c>
    </row>
    <row r="470" spans="2:11" x14ac:dyDescent="0.3">
      <c r="B470" s="10">
        <f t="shared" si="19"/>
        <v>468</v>
      </c>
      <c r="C470" s="25">
        <v>46248</v>
      </c>
      <c r="D470" s="25" t="s">
        <v>241</v>
      </c>
      <c r="E470" s="25" t="s">
        <v>3756</v>
      </c>
      <c r="F470" s="134"/>
      <c r="G470" s="25" t="s">
        <v>240</v>
      </c>
      <c r="H470" s="10" t="s">
        <v>253</v>
      </c>
      <c r="I470" s="8">
        <v>650</v>
      </c>
      <c r="J470" s="27">
        <v>58.5</v>
      </c>
      <c r="K470" s="28">
        <f t="shared" si="18"/>
        <v>38025</v>
      </c>
    </row>
    <row r="471" spans="2:11" x14ac:dyDescent="0.3">
      <c r="B471" s="10">
        <f t="shared" si="19"/>
        <v>469</v>
      </c>
      <c r="C471" s="25">
        <v>46248</v>
      </c>
      <c r="D471" s="25" t="s">
        <v>241</v>
      </c>
      <c r="E471" s="25" t="s">
        <v>616</v>
      </c>
      <c r="F471" s="134"/>
      <c r="G471" s="25" t="s">
        <v>240</v>
      </c>
      <c r="H471" s="10" t="s">
        <v>244</v>
      </c>
      <c r="I471" s="8">
        <v>1100</v>
      </c>
      <c r="J471" s="27">
        <v>78</v>
      </c>
      <c r="K471" s="28">
        <f t="shared" si="18"/>
        <v>85800</v>
      </c>
    </row>
    <row r="472" spans="2:11" x14ac:dyDescent="0.3">
      <c r="B472" s="10">
        <f t="shared" si="19"/>
        <v>470</v>
      </c>
      <c r="C472" s="25">
        <v>46248</v>
      </c>
      <c r="D472" s="25" t="s">
        <v>241</v>
      </c>
      <c r="E472" s="25" t="s">
        <v>616</v>
      </c>
      <c r="F472" s="134"/>
      <c r="G472" s="25" t="s">
        <v>240</v>
      </c>
      <c r="H472" s="10" t="s">
        <v>253</v>
      </c>
      <c r="I472" s="8">
        <v>550</v>
      </c>
      <c r="J472" s="27">
        <v>58.5</v>
      </c>
      <c r="K472" s="28">
        <f t="shared" si="18"/>
        <v>32175</v>
      </c>
    </row>
    <row r="473" spans="2:11" x14ac:dyDescent="0.3">
      <c r="B473" s="10">
        <f t="shared" si="19"/>
        <v>471</v>
      </c>
      <c r="C473" s="25">
        <v>46248</v>
      </c>
      <c r="D473" s="25" t="s">
        <v>163</v>
      </c>
      <c r="E473" s="25" t="s">
        <v>3103</v>
      </c>
      <c r="F473" s="134"/>
      <c r="G473" s="25" t="s">
        <v>240</v>
      </c>
      <c r="H473" s="10" t="s">
        <v>253</v>
      </c>
      <c r="I473" s="8">
        <v>1000</v>
      </c>
      <c r="J473" s="135"/>
      <c r="K473" s="28">
        <f t="shared" si="18"/>
        <v>0</v>
      </c>
    </row>
    <row r="474" spans="2:11" x14ac:dyDescent="0.3">
      <c r="B474" s="10">
        <f t="shared" si="19"/>
        <v>472</v>
      </c>
      <c r="C474" s="25">
        <v>46249</v>
      </c>
      <c r="D474" s="25" t="s">
        <v>302</v>
      </c>
      <c r="E474" s="25" t="s">
        <v>990</v>
      </c>
      <c r="F474" s="134"/>
      <c r="G474" s="25" t="s">
        <v>240</v>
      </c>
      <c r="H474" s="10" t="s">
        <v>244</v>
      </c>
      <c r="I474" s="8">
        <v>1000</v>
      </c>
      <c r="J474" s="135"/>
      <c r="K474" s="28">
        <f t="shared" si="18"/>
        <v>0</v>
      </c>
    </row>
    <row r="475" spans="2:11" x14ac:dyDescent="0.3">
      <c r="B475" s="10">
        <f t="shared" si="19"/>
        <v>473</v>
      </c>
      <c r="C475" s="25">
        <v>46249</v>
      </c>
      <c r="D475" s="25" t="s">
        <v>302</v>
      </c>
      <c r="E475" s="25" t="s">
        <v>990</v>
      </c>
      <c r="F475" s="134"/>
      <c r="G475" s="25" t="s">
        <v>240</v>
      </c>
      <c r="H475" s="10" t="s">
        <v>253</v>
      </c>
      <c r="I475" s="8">
        <v>500</v>
      </c>
      <c r="J475" s="135"/>
      <c r="K475" s="28">
        <f t="shared" si="18"/>
        <v>0</v>
      </c>
    </row>
    <row r="476" spans="2:11" x14ac:dyDescent="0.3">
      <c r="B476" s="10">
        <f t="shared" si="19"/>
        <v>474</v>
      </c>
      <c r="C476" s="25">
        <v>46249</v>
      </c>
      <c r="D476" s="25" t="s">
        <v>302</v>
      </c>
      <c r="E476" s="25" t="s">
        <v>3103</v>
      </c>
      <c r="F476" s="134"/>
      <c r="G476" s="25" t="s">
        <v>240</v>
      </c>
      <c r="H476" s="10" t="s">
        <v>244</v>
      </c>
      <c r="I476" s="8">
        <v>1000</v>
      </c>
      <c r="J476" s="135"/>
      <c r="K476" s="28">
        <f t="shared" si="18"/>
        <v>0</v>
      </c>
    </row>
    <row r="477" spans="2:11" x14ac:dyDescent="0.3">
      <c r="B477" s="10">
        <f t="shared" si="19"/>
        <v>475</v>
      </c>
      <c r="C477" s="25">
        <v>46249</v>
      </c>
      <c r="D477" s="25" t="s">
        <v>302</v>
      </c>
      <c r="E477" s="25" t="s">
        <v>3103</v>
      </c>
      <c r="F477" s="134"/>
      <c r="G477" s="25" t="s">
        <v>240</v>
      </c>
      <c r="H477" s="10" t="s">
        <v>253</v>
      </c>
      <c r="I477" s="8">
        <v>500</v>
      </c>
      <c r="J477" s="135"/>
      <c r="K477" s="28">
        <f t="shared" si="18"/>
        <v>0</v>
      </c>
    </row>
    <row r="478" spans="2:11" x14ac:dyDescent="0.3">
      <c r="B478" s="10">
        <f t="shared" si="19"/>
        <v>476</v>
      </c>
      <c r="C478" s="25">
        <v>46249</v>
      </c>
      <c r="D478" s="25" t="s">
        <v>241</v>
      </c>
      <c r="E478" s="25" t="s">
        <v>3756</v>
      </c>
      <c r="F478" s="134"/>
      <c r="G478" s="25" t="s">
        <v>240</v>
      </c>
      <c r="H478" s="10" t="s">
        <v>244</v>
      </c>
      <c r="I478" s="8">
        <v>1350</v>
      </c>
      <c r="J478" s="27">
        <v>78</v>
      </c>
      <c r="K478" s="28">
        <f t="shared" si="18"/>
        <v>105300</v>
      </c>
    </row>
    <row r="479" spans="2:11" x14ac:dyDescent="0.3">
      <c r="B479" s="10">
        <f t="shared" si="19"/>
        <v>477</v>
      </c>
      <c r="C479" s="25">
        <v>46249</v>
      </c>
      <c r="D479" s="25" t="s">
        <v>241</v>
      </c>
      <c r="E479" s="25" t="s">
        <v>3756</v>
      </c>
      <c r="F479" s="134"/>
      <c r="G479" s="25" t="s">
        <v>240</v>
      </c>
      <c r="H479" s="10" t="s">
        <v>253</v>
      </c>
      <c r="I479" s="8">
        <v>675</v>
      </c>
      <c r="J479" s="27">
        <v>58.5</v>
      </c>
      <c r="K479" s="28">
        <f t="shared" si="18"/>
        <v>39487.5</v>
      </c>
    </row>
    <row r="480" spans="2:11" x14ac:dyDescent="0.3">
      <c r="B480" s="10">
        <f t="shared" si="19"/>
        <v>478</v>
      </c>
      <c r="C480" s="25">
        <v>46254</v>
      </c>
      <c r="D480" s="25" t="s">
        <v>302</v>
      </c>
      <c r="E480" s="25" t="s">
        <v>992</v>
      </c>
      <c r="F480" s="134"/>
      <c r="G480" s="25" t="s">
        <v>240</v>
      </c>
      <c r="H480" s="10" t="s">
        <v>244</v>
      </c>
      <c r="I480" s="8">
        <v>1500</v>
      </c>
      <c r="J480" s="135"/>
      <c r="K480" s="28">
        <f t="shared" ref="K480:K501" si="20">J480*I480</f>
        <v>0</v>
      </c>
    </row>
    <row r="481" spans="2:11" x14ac:dyDescent="0.3">
      <c r="B481" s="10">
        <f t="shared" si="19"/>
        <v>479</v>
      </c>
      <c r="C481" s="25">
        <v>46254</v>
      </c>
      <c r="D481" s="25" t="s">
        <v>302</v>
      </c>
      <c r="E481" s="25" t="s">
        <v>992</v>
      </c>
      <c r="F481" s="134"/>
      <c r="G481" s="25" t="s">
        <v>240</v>
      </c>
      <c r="H481" s="10" t="s">
        <v>253</v>
      </c>
      <c r="I481" s="8">
        <v>500</v>
      </c>
      <c r="J481" s="135"/>
      <c r="K481" s="28">
        <f t="shared" si="20"/>
        <v>0</v>
      </c>
    </row>
    <row r="482" spans="2:11" x14ac:dyDescent="0.3">
      <c r="B482" s="10">
        <f t="shared" si="19"/>
        <v>480</v>
      </c>
      <c r="C482" s="25">
        <v>46255</v>
      </c>
      <c r="D482" s="25" t="s">
        <v>302</v>
      </c>
      <c r="E482" s="25" t="s">
        <v>990</v>
      </c>
      <c r="F482" s="134"/>
      <c r="G482" s="25" t="s">
        <v>240</v>
      </c>
      <c r="H482" s="10" t="s">
        <v>244</v>
      </c>
      <c r="I482" s="8">
        <v>1000</v>
      </c>
      <c r="J482" s="135"/>
      <c r="K482" s="28">
        <f t="shared" si="20"/>
        <v>0</v>
      </c>
    </row>
    <row r="483" spans="2:11" x14ac:dyDescent="0.3">
      <c r="B483" s="10">
        <f t="shared" si="19"/>
        <v>481</v>
      </c>
      <c r="C483" s="25">
        <v>46255</v>
      </c>
      <c r="D483" s="25" t="s">
        <v>302</v>
      </c>
      <c r="E483" s="25" t="s">
        <v>990</v>
      </c>
      <c r="F483" s="134"/>
      <c r="G483" s="25" t="s">
        <v>240</v>
      </c>
      <c r="H483" s="10" t="s">
        <v>253</v>
      </c>
      <c r="I483" s="8">
        <v>500</v>
      </c>
      <c r="J483" s="135"/>
      <c r="K483" s="28">
        <f t="shared" si="20"/>
        <v>0</v>
      </c>
    </row>
    <row r="484" spans="2:11" x14ac:dyDescent="0.3">
      <c r="B484" s="10">
        <f t="shared" si="19"/>
        <v>482</v>
      </c>
      <c r="C484" s="25">
        <v>46255</v>
      </c>
      <c r="D484" s="25" t="s">
        <v>302</v>
      </c>
      <c r="E484" s="25" t="s">
        <v>992</v>
      </c>
      <c r="F484" s="134"/>
      <c r="G484" s="25" t="s">
        <v>240</v>
      </c>
      <c r="H484" s="10" t="s">
        <v>244</v>
      </c>
      <c r="I484" s="8">
        <v>1000</v>
      </c>
      <c r="J484" s="135"/>
      <c r="K484" s="28">
        <f t="shared" si="20"/>
        <v>0</v>
      </c>
    </row>
    <row r="485" spans="2:11" x14ac:dyDescent="0.3">
      <c r="B485" s="10">
        <f t="shared" si="19"/>
        <v>483</v>
      </c>
      <c r="C485" s="25">
        <v>46255</v>
      </c>
      <c r="D485" s="25" t="s">
        <v>302</v>
      </c>
      <c r="E485" s="25" t="s">
        <v>992</v>
      </c>
      <c r="F485" s="134"/>
      <c r="G485" s="25" t="s">
        <v>240</v>
      </c>
      <c r="H485" s="10" t="s">
        <v>253</v>
      </c>
      <c r="I485" s="8">
        <v>500</v>
      </c>
      <c r="J485" s="135"/>
      <c r="K485" s="28">
        <f t="shared" si="20"/>
        <v>0</v>
      </c>
    </row>
    <row r="486" spans="2:11" x14ac:dyDescent="0.3">
      <c r="B486" s="10">
        <f t="shared" si="19"/>
        <v>484</v>
      </c>
      <c r="C486" s="25">
        <v>46257</v>
      </c>
      <c r="D486" s="25" t="s">
        <v>302</v>
      </c>
      <c r="E486" s="25" t="s">
        <v>3103</v>
      </c>
      <c r="F486" s="134"/>
      <c r="G486" s="25" t="s">
        <v>240</v>
      </c>
      <c r="H486" s="10" t="s">
        <v>244</v>
      </c>
      <c r="I486" s="8">
        <v>550</v>
      </c>
      <c r="J486" s="135"/>
      <c r="K486" s="28">
        <f t="shared" si="20"/>
        <v>0</v>
      </c>
    </row>
    <row r="487" spans="2:11" x14ac:dyDescent="0.3">
      <c r="B487" s="10">
        <f t="shared" si="19"/>
        <v>485</v>
      </c>
      <c r="C487" s="25">
        <v>46257</v>
      </c>
      <c r="D487" s="25" t="s">
        <v>302</v>
      </c>
      <c r="E487" s="25" t="s">
        <v>3103</v>
      </c>
      <c r="F487" s="134"/>
      <c r="G487" s="25" t="s">
        <v>240</v>
      </c>
      <c r="H487" s="10" t="s">
        <v>253</v>
      </c>
      <c r="I487" s="8">
        <v>248</v>
      </c>
      <c r="J487" s="135"/>
      <c r="K487" s="28">
        <f t="shared" si="20"/>
        <v>0</v>
      </c>
    </row>
    <row r="488" spans="2:11" x14ac:dyDescent="0.3">
      <c r="B488" s="10">
        <f t="shared" si="19"/>
        <v>486</v>
      </c>
      <c r="C488" s="25">
        <v>46257</v>
      </c>
      <c r="D488" s="25" t="s">
        <v>302</v>
      </c>
      <c r="E488" s="25" t="s">
        <v>3103</v>
      </c>
      <c r="F488" s="134"/>
      <c r="G488" s="25" t="s">
        <v>240</v>
      </c>
      <c r="H488" s="10" t="s">
        <v>244</v>
      </c>
      <c r="I488" s="8">
        <v>550</v>
      </c>
      <c r="J488" s="135"/>
      <c r="K488" s="28">
        <f t="shared" si="20"/>
        <v>0</v>
      </c>
    </row>
    <row r="489" spans="2:11" x14ac:dyDescent="0.3">
      <c r="B489" s="10">
        <f t="shared" si="19"/>
        <v>487</v>
      </c>
      <c r="C489" s="25">
        <v>46257</v>
      </c>
      <c r="D489" s="25" t="s">
        <v>302</v>
      </c>
      <c r="E489" s="25" t="s">
        <v>3103</v>
      </c>
      <c r="F489" s="134"/>
      <c r="G489" s="25" t="s">
        <v>240</v>
      </c>
      <c r="H489" s="10" t="s">
        <v>253</v>
      </c>
      <c r="I489" s="8">
        <v>250</v>
      </c>
      <c r="J489" s="135"/>
      <c r="K489" s="28">
        <f t="shared" si="20"/>
        <v>0</v>
      </c>
    </row>
    <row r="490" spans="2:11" x14ac:dyDescent="0.3">
      <c r="B490" s="10">
        <f t="shared" si="19"/>
        <v>488</v>
      </c>
      <c r="C490" s="25">
        <v>46258</v>
      </c>
      <c r="D490" s="25" t="s">
        <v>302</v>
      </c>
      <c r="E490" s="25" t="s">
        <v>992</v>
      </c>
      <c r="F490" s="134"/>
      <c r="G490" s="25" t="s">
        <v>240</v>
      </c>
      <c r="H490" s="10" t="s">
        <v>244</v>
      </c>
      <c r="I490" s="8">
        <v>1500</v>
      </c>
      <c r="J490" s="135"/>
      <c r="K490" s="28">
        <f t="shared" si="20"/>
        <v>0</v>
      </c>
    </row>
    <row r="491" spans="2:11" x14ac:dyDescent="0.3">
      <c r="B491" s="10">
        <f t="shared" si="19"/>
        <v>489</v>
      </c>
      <c r="C491" s="25">
        <v>46258</v>
      </c>
      <c r="D491" s="25" t="s">
        <v>302</v>
      </c>
      <c r="E491" s="25" t="s">
        <v>992</v>
      </c>
      <c r="F491" s="134"/>
      <c r="G491" s="25" t="s">
        <v>240</v>
      </c>
      <c r="H491" s="10" t="s">
        <v>253</v>
      </c>
      <c r="I491" s="8">
        <v>1000</v>
      </c>
      <c r="J491" s="135"/>
      <c r="K491" s="28">
        <f t="shared" si="20"/>
        <v>0</v>
      </c>
    </row>
    <row r="492" spans="2:11" x14ac:dyDescent="0.3">
      <c r="B492" s="10">
        <f t="shared" si="19"/>
        <v>490</v>
      </c>
      <c r="C492" s="13"/>
      <c r="D492" s="13"/>
      <c r="E492" s="13"/>
      <c r="F492" s="134"/>
      <c r="G492" s="13"/>
      <c r="H492" s="13"/>
      <c r="I492" s="134"/>
      <c r="J492" s="135"/>
      <c r="K492" s="28">
        <f t="shared" si="20"/>
        <v>0</v>
      </c>
    </row>
    <row r="493" spans="2:11" x14ac:dyDescent="0.3">
      <c r="B493" s="10">
        <f t="shared" si="19"/>
        <v>491</v>
      </c>
      <c r="C493" s="13"/>
      <c r="D493" s="13"/>
      <c r="E493" s="13"/>
      <c r="F493" s="134"/>
      <c r="G493" s="13"/>
      <c r="H493" s="13"/>
      <c r="I493" s="134"/>
      <c r="J493" s="135"/>
      <c r="K493" s="28">
        <f t="shared" si="20"/>
        <v>0</v>
      </c>
    </row>
    <row r="494" spans="2:11" x14ac:dyDescent="0.3">
      <c r="B494" s="10">
        <f t="shared" si="19"/>
        <v>492</v>
      </c>
      <c r="C494" s="13"/>
      <c r="D494" s="13"/>
      <c r="E494" s="13"/>
      <c r="F494" s="134"/>
      <c r="G494" s="13"/>
      <c r="H494" s="13"/>
      <c r="I494" s="134"/>
      <c r="J494" s="135"/>
      <c r="K494" s="28">
        <f t="shared" si="20"/>
        <v>0</v>
      </c>
    </row>
    <row r="495" spans="2:11" x14ac:dyDescent="0.3">
      <c r="B495" s="10">
        <f t="shared" si="19"/>
        <v>493</v>
      </c>
      <c r="C495" s="13"/>
      <c r="D495" s="13"/>
      <c r="E495" s="13"/>
      <c r="F495" s="134"/>
      <c r="G495" s="13"/>
      <c r="H495" s="13"/>
      <c r="I495" s="134"/>
      <c r="J495" s="135"/>
      <c r="K495" s="28">
        <f t="shared" si="20"/>
        <v>0</v>
      </c>
    </row>
    <row r="496" spans="2:11" x14ac:dyDescent="0.3">
      <c r="B496" s="10">
        <f t="shared" si="19"/>
        <v>494</v>
      </c>
      <c r="C496" s="13"/>
      <c r="D496" s="13"/>
      <c r="E496" s="13"/>
      <c r="F496" s="134"/>
      <c r="G496" s="13"/>
      <c r="H496" s="13"/>
      <c r="I496" s="134"/>
      <c r="J496" s="135"/>
      <c r="K496" s="28">
        <f t="shared" si="20"/>
        <v>0</v>
      </c>
    </row>
    <row r="497" spans="2:11" x14ac:dyDescent="0.3">
      <c r="B497" s="10">
        <f t="shared" si="19"/>
        <v>495</v>
      </c>
      <c r="C497" s="13"/>
      <c r="D497" s="13"/>
      <c r="E497" s="13"/>
      <c r="F497" s="134"/>
      <c r="G497" s="13"/>
      <c r="H497" s="13"/>
      <c r="I497" s="134"/>
      <c r="J497" s="135"/>
      <c r="K497" s="28">
        <f t="shared" si="20"/>
        <v>0</v>
      </c>
    </row>
    <row r="498" spans="2:11" x14ac:dyDescent="0.3">
      <c r="B498" s="13"/>
      <c r="C498" s="13"/>
      <c r="D498" s="13"/>
      <c r="E498" s="13"/>
      <c r="F498" s="134"/>
      <c r="G498" s="13"/>
      <c r="H498" s="13"/>
      <c r="I498" s="134"/>
      <c r="J498" s="135"/>
      <c r="K498" s="28">
        <f t="shared" si="20"/>
        <v>0</v>
      </c>
    </row>
    <row r="499" spans="2:11" x14ac:dyDescent="0.3">
      <c r="B499" s="13"/>
      <c r="C499" s="13"/>
      <c r="D499" s="13"/>
      <c r="E499" s="13"/>
      <c r="F499" s="134"/>
      <c r="G499" s="13"/>
      <c r="H499" s="13"/>
      <c r="I499" s="134"/>
      <c r="J499" s="135"/>
      <c r="K499" s="28">
        <f t="shared" si="20"/>
        <v>0</v>
      </c>
    </row>
    <row r="500" spans="2:11" x14ac:dyDescent="0.3">
      <c r="B500" s="13"/>
      <c r="C500" s="13"/>
      <c r="D500" s="13"/>
      <c r="E500" s="13"/>
      <c r="F500" s="134"/>
      <c r="G500" s="13"/>
      <c r="H500" s="13"/>
      <c r="I500" s="134"/>
      <c r="J500" s="135"/>
      <c r="K500" s="28">
        <f t="shared" si="20"/>
        <v>0</v>
      </c>
    </row>
    <row r="501" spans="2:11" x14ac:dyDescent="0.3">
      <c r="B501" s="13"/>
      <c r="C501" s="13"/>
      <c r="D501" s="13"/>
      <c r="E501" s="13"/>
      <c r="F501" s="134"/>
      <c r="G501" s="13"/>
      <c r="H501" s="13"/>
      <c r="I501" s="134"/>
      <c r="J501" s="135"/>
      <c r="K501" s="28">
        <f t="shared" si="20"/>
        <v>0</v>
      </c>
    </row>
    <row r="502" spans="2:11" x14ac:dyDescent="0.3">
      <c r="B502" s="13"/>
      <c r="C502" s="13"/>
      <c r="D502" s="13"/>
      <c r="E502" s="13"/>
      <c r="F502" s="134"/>
      <c r="G502" s="13"/>
      <c r="H502" s="13"/>
      <c r="I502" s="134"/>
      <c r="J502" s="135"/>
      <c r="K502" s="13"/>
    </row>
    <row r="503" spans="2:11" x14ac:dyDescent="0.3">
      <c r="B503" s="13"/>
      <c r="C503" s="13"/>
      <c r="D503" s="13"/>
      <c r="E503" s="13"/>
      <c r="F503" s="134"/>
      <c r="G503" s="13"/>
      <c r="H503" s="13"/>
      <c r="I503" s="134"/>
      <c r="J503" s="135"/>
      <c r="K503" s="13"/>
    </row>
    <row r="504" spans="2:11" x14ac:dyDescent="0.3">
      <c r="B504" s="13"/>
      <c r="C504" s="13"/>
      <c r="D504" s="13"/>
      <c r="E504" s="13"/>
      <c r="F504" s="134"/>
      <c r="G504" s="13"/>
      <c r="H504" s="13"/>
      <c r="I504" s="134"/>
      <c r="J504" s="135"/>
      <c r="K504" s="13"/>
    </row>
    <row r="505" spans="2:11" x14ac:dyDescent="0.3">
      <c r="B505" s="13"/>
      <c r="C505" s="13"/>
      <c r="D505" s="13"/>
      <c r="E505" s="13"/>
      <c r="F505" s="134"/>
      <c r="G505" s="13"/>
      <c r="H505" s="13"/>
      <c r="I505" s="134"/>
      <c r="J505" s="135"/>
      <c r="K505" s="13"/>
    </row>
    <row r="506" spans="2:11" x14ac:dyDescent="0.3">
      <c r="B506" s="13"/>
      <c r="C506" s="13"/>
      <c r="D506" s="13"/>
      <c r="E506" s="13"/>
      <c r="F506" s="134"/>
      <c r="G506" s="13"/>
      <c r="H506" s="13"/>
      <c r="I506" s="134"/>
      <c r="J506" s="135"/>
      <c r="K506" s="13"/>
    </row>
    <row r="507" spans="2:11" x14ac:dyDescent="0.3">
      <c r="B507" s="13"/>
      <c r="C507" s="13"/>
      <c r="D507" s="13"/>
      <c r="E507" s="13"/>
      <c r="F507" s="134"/>
      <c r="G507" s="13"/>
      <c r="H507" s="13"/>
      <c r="I507" s="134"/>
      <c r="J507" s="135"/>
      <c r="K507" s="13"/>
    </row>
    <row r="508" spans="2:11" x14ac:dyDescent="0.3">
      <c r="B508" s="13"/>
      <c r="C508" s="13"/>
      <c r="D508" s="13"/>
      <c r="E508" s="13"/>
      <c r="F508" s="134"/>
      <c r="G508" s="13"/>
      <c r="H508" s="13"/>
      <c r="I508" s="134"/>
      <c r="J508" s="135"/>
      <c r="K508" s="13"/>
    </row>
    <row r="509" spans="2:11" x14ac:dyDescent="0.3">
      <c r="B509" s="13"/>
      <c r="C509" s="13"/>
      <c r="D509" s="13"/>
      <c r="E509" s="13"/>
      <c r="F509" s="134"/>
      <c r="G509" s="13"/>
      <c r="H509" s="13"/>
      <c r="I509" s="134"/>
      <c r="J509" s="135"/>
      <c r="K509" s="13"/>
    </row>
    <row r="510" spans="2:11" x14ac:dyDescent="0.3">
      <c r="B510" s="13"/>
      <c r="C510" s="13"/>
      <c r="D510" s="13"/>
      <c r="E510" s="13"/>
      <c r="F510" s="134"/>
      <c r="G510" s="13"/>
      <c r="H510" s="13"/>
      <c r="I510" s="134"/>
      <c r="J510" s="135"/>
      <c r="K510" s="13"/>
    </row>
    <row r="511" spans="2:11" x14ac:dyDescent="0.3">
      <c r="B511" s="13"/>
      <c r="C511" s="13"/>
      <c r="D511" s="13"/>
      <c r="E511" s="13"/>
      <c r="F511" s="134"/>
      <c r="G511" s="13"/>
      <c r="H511" s="13"/>
      <c r="I511" s="134"/>
      <c r="J511" s="135"/>
      <c r="K511" s="13"/>
    </row>
    <row r="512" spans="2:11" x14ac:dyDescent="0.3">
      <c r="B512" s="13"/>
      <c r="C512" s="13"/>
      <c r="D512" s="13"/>
      <c r="E512" s="13"/>
      <c r="F512" s="134"/>
      <c r="G512" s="13"/>
      <c r="H512" s="13"/>
      <c r="I512" s="134"/>
      <c r="J512" s="135"/>
      <c r="K512" s="13"/>
    </row>
    <row r="513" spans="2:11" x14ac:dyDescent="0.3">
      <c r="B513" s="13"/>
      <c r="C513" s="13"/>
      <c r="D513" s="13"/>
      <c r="E513" s="13"/>
      <c r="F513" s="134"/>
      <c r="G513" s="13"/>
      <c r="H513" s="13"/>
      <c r="I513" s="134"/>
      <c r="J513" s="135"/>
      <c r="K513" s="13"/>
    </row>
    <row r="514" spans="2:11" x14ac:dyDescent="0.3">
      <c r="B514" s="13"/>
      <c r="C514" s="13"/>
      <c r="D514" s="13"/>
      <c r="E514" s="13"/>
      <c r="F514" s="134"/>
      <c r="G514" s="13"/>
      <c r="H514" s="13"/>
      <c r="I514" s="134"/>
      <c r="J514" s="135"/>
      <c r="K514" s="13"/>
    </row>
    <row r="515" spans="2:11" x14ac:dyDescent="0.3">
      <c r="B515" s="13"/>
      <c r="C515" s="13"/>
      <c r="D515" s="13"/>
      <c r="E515" s="13"/>
      <c r="F515" s="134"/>
      <c r="G515" s="13"/>
      <c r="H515" s="13"/>
      <c r="I515" s="134"/>
      <c r="J515" s="135"/>
      <c r="K515" s="13"/>
    </row>
    <row r="516" spans="2:11" x14ac:dyDescent="0.3">
      <c r="B516" s="13"/>
      <c r="C516" s="13"/>
      <c r="D516" s="13"/>
      <c r="E516" s="13"/>
      <c r="F516" s="134"/>
      <c r="G516" s="13"/>
      <c r="H516" s="13"/>
      <c r="I516" s="134"/>
      <c r="J516" s="135"/>
      <c r="K516" s="13"/>
    </row>
    <row r="517" spans="2:11" x14ac:dyDescent="0.3">
      <c r="B517" s="13"/>
      <c r="C517" s="13"/>
      <c r="D517" s="13"/>
      <c r="E517" s="13"/>
      <c r="F517" s="134"/>
      <c r="G517" s="13"/>
      <c r="H517" s="13"/>
      <c r="I517" s="134"/>
      <c r="J517" s="135"/>
      <c r="K517" s="13"/>
    </row>
    <row r="518" spans="2:11" x14ac:dyDescent="0.3">
      <c r="B518" s="13"/>
      <c r="C518" s="13"/>
      <c r="D518" s="13"/>
      <c r="E518" s="13"/>
      <c r="F518" s="134"/>
      <c r="G518" s="13"/>
      <c r="H518" s="13"/>
      <c r="I518" s="134"/>
      <c r="J518" s="135"/>
      <c r="K518" s="13"/>
    </row>
    <row r="519" spans="2:11" x14ac:dyDescent="0.3">
      <c r="B519" s="13"/>
      <c r="C519" s="13"/>
      <c r="D519" s="13"/>
      <c r="E519" s="13"/>
      <c r="F519" s="134"/>
      <c r="G519" s="13"/>
      <c r="H519" s="13"/>
      <c r="I519" s="134"/>
      <c r="J519" s="135"/>
      <c r="K519" s="13"/>
    </row>
    <row r="520" spans="2:11" x14ac:dyDescent="0.3">
      <c r="B520" s="13"/>
      <c r="C520" s="13"/>
      <c r="D520" s="13"/>
      <c r="E520" s="13"/>
      <c r="F520" s="134"/>
      <c r="G520" s="13"/>
      <c r="H520" s="13"/>
      <c r="I520" s="134"/>
      <c r="J520" s="135"/>
      <c r="K520" s="13"/>
    </row>
    <row r="521" spans="2:11" x14ac:dyDescent="0.3">
      <c r="B521" s="13"/>
      <c r="C521" s="13"/>
      <c r="D521" s="13"/>
      <c r="E521" s="13"/>
      <c r="F521" s="134"/>
      <c r="G521" s="13"/>
      <c r="H521" s="13"/>
      <c r="I521" s="134"/>
      <c r="J521" s="135"/>
      <c r="K521" s="13"/>
    </row>
    <row r="522" spans="2:11" x14ac:dyDescent="0.3">
      <c r="B522" s="13"/>
      <c r="C522" s="13"/>
      <c r="D522" s="13"/>
      <c r="E522" s="13"/>
      <c r="F522" s="134"/>
      <c r="G522" s="13"/>
      <c r="H522" s="13"/>
      <c r="I522" s="134"/>
      <c r="J522" s="135"/>
      <c r="K522" s="13"/>
    </row>
    <row r="523" spans="2:11" x14ac:dyDescent="0.3">
      <c r="B523" s="13"/>
      <c r="C523" s="13"/>
      <c r="D523" s="13"/>
      <c r="E523" s="13"/>
      <c r="F523" s="134"/>
      <c r="G523" s="13"/>
      <c r="H523" s="13"/>
      <c r="I523" s="134"/>
      <c r="J523" s="135"/>
      <c r="K523" s="13"/>
    </row>
    <row r="524" spans="2:11" x14ac:dyDescent="0.3">
      <c r="B524" s="13"/>
      <c r="C524" s="13"/>
      <c r="D524" s="13"/>
      <c r="E524" s="13"/>
      <c r="F524" s="134"/>
      <c r="G524" s="13"/>
      <c r="H524" s="13"/>
      <c r="I524" s="134"/>
      <c r="J524" s="135"/>
      <c r="K524" s="13"/>
    </row>
    <row r="525" spans="2:11" x14ac:dyDescent="0.3">
      <c r="B525" s="13"/>
      <c r="C525" s="13"/>
      <c r="D525" s="13"/>
      <c r="E525" s="13"/>
      <c r="F525" s="134"/>
      <c r="G525" s="13"/>
      <c r="H525" s="13"/>
      <c r="I525" s="134"/>
      <c r="J525" s="135"/>
      <c r="K525" s="13"/>
    </row>
    <row r="526" spans="2:11" x14ac:dyDescent="0.3">
      <c r="B526" s="13"/>
      <c r="C526" s="13"/>
      <c r="D526" s="13"/>
      <c r="E526" s="13"/>
      <c r="F526" s="134"/>
      <c r="G526" s="13"/>
      <c r="H526" s="13"/>
      <c r="I526" s="134"/>
      <c r="J526" s="135"/>
      <c r="K526" s="13"/>
    </row>
    <row r="527" spans="2:11" x14ac:dyDescent="0.3">
      <c r="B527" s="13"/>
      <c r="C527" s="13"/>
      <c r="D527" s="13"/>
      <c r="E527" s="13"/>
      <c r="F527" s="134"/>
      <c r="G527" s="13"/>
      <c r="H527" s="13"/>
      <c r="I527" s="134"/>
      <c r="J527" s="135"/>
      <c r="K527" s="13"/>
    </row>
    <row r="528" spans="2:11" x14ac:dyDescent="0.3">
      <c r="B528" s="13"/>
      <c r="C528" s="13"/>
      <c r="D528" s="13"/>
      <c r="E528" s="13"/>
      <c r="F528" s="134"/>
      <c r="G528" s="13"/>
      <c r="H528" s="13"/>
      <c r="I528" s="134"/>
      <c r="J528" s="135"/>
      <c r="K528" s="13"/>
    </row>
    <row r="529" spans="2:11" x14ac:dyDescent="0.3">
      <c r="B529" s="13"/>
      <c r="C529" s="13"/>
      <c r="D529" s="13"/>
      <c r="E529" s="13"/>
      <c r="F529" s="134"/>
      <c r="G529" s="13"/>
      <c r="H529" s="13"/>
      <c r="I529" s="134"/>
      <c r="J529" s="135"/>
      <c r="K529" s="13"/>
    </row>
    <row r="530" spans="2:11" x14ac:dyDescent="0.3">
      <c r="B530" s="13"/>
      <c r="C530" s="13"/>
      <c r="D530" s="13"/>
      <c r="E530" s="13"/>
      <c r="F530" s="134"/>
      <c r="G530" s="13"/>
      <c r="H530" s="13"/>
      <c r="I530" s="134"/>
      <c r="J530" s="135"/>
      <c r="K530" s="13"/>
    </row>
    <row r="531" spans="2:11" x14ac:dyDescent="0.3">
      <c r="B531" s="13"/>
      <c r="C531" s="13"/>
      <c r="D531" s="13"/>
      <c r="E531" s="13"/>
      <c r="F531" s="134"/>
      <c r="G531" s="13"/>
      <c r="H531" s="13"/>
      <c r="I531" s="134"/>
      <c r="J531" s="135"/>
      <c r="K531" s="13"/>
    </row>
    <row r="532" spans="2:11" x14ac:dyDescent="0.3">
      <c r="B532" s="13"/>
      <c r="C532" s="13"/>
      <c r="D532" s="13"/>
      <c r="E532" s="13"/>
      <c r="F532" s="134"/>
      <c r="G532" s="13"/>
      <c r="H532" s="13"/>
      <c r="I532" s="134"/>
      <c r="J532" s="135"/>
      <c r="K532" s="13"/>
    </row>
    <row r="533" spans="2:11" x14ac:dyDescent="0.3">
      <c r="B533" s="13"/>
      <c r="C533" s="13"/>
      <c r="D533" s="13"/>
      <c r="E533" s="13"/>
      <c r="F533" s="134"/>
      <c r="G533" s="13"/>
      <c r="H533" s="13"/>
      <c r="I533" s="134"/>
      <c r="J533" s="135"/>
      <c r="K533" s="13"/>
    </row>
    <row r="534" spans="2:11" x14ac:dyDescent="0.3">
      <c r="B534" s="13"/>
      <c r="C534" s="13"/>
      <c r="D534" s="13"/>
      <c r="E534" s="13"/>
      <c r="F534" s="134"/>
      <c r="G534" s="13"/>
      <c r="H534" s="13"/>
      <c r="I534" s="134"/>
      <c r="J534" s="135"/>
      <c r="K534" s="13"/>
    </row>
    <row r="535" spans="2:11" x14ac:dyDescent="0.3">
      <c r="B535" s="13"/>
      <c r="C535" s="13"/>
      <c r="D535" s="13"/>
      <c r="E535" s="13"/>
      <c r="F535" s="134"/>
      <c r="G535" s="13"/>
      <c r="H535" s="13"/>
      <c r="I535" s="134"/>
      <c r="J535" s="135"/>
      <c r="K535" s="13"/>
    </row>
    <row r="536" spans="2:11" x14ac:dyDescent="0.3">
      <c r="B536" s="13"/>
      <c r="C536" s="13"/>
      <c r="D536" s="13"/>
      <c r="E536" s="13"/>
      <c r="F536" s="134"/>
      <c r="G536" s="13"/>
      <c r="H536" s="13"/>
      <c r="I536" s="134"/>
      <c r="J536" s="135"/>
      <c r="K536" s="13"/>
    </row>
    <row r="537" spans="2:11" x14ac:dyDescent="0.3">
      <c r="B537" s="13"/>
      <c r="C537" s="13"/>
      <c r="D537" s="13"/>
      <c r="E537" s="13"/>
      <c r="F537" s="134"/>
      <c r="G537" s="13"/>
      <c r="H537" s="13"/>
      <c r="I537" s="134"/>
      <c r="J537" s="135"/>
      <c r="K537" s="13"/>
    </row>
    <row r="538" spans="2:11" x14ac:dyDescent="0.3">
      <c r="B538" s="13"/>
      <c r="C538" s="13"/>
      <c r="D538" s="13"/>
      <c r="E538" s="13"/>
      <c r="F538" s="134"/>
      <c r="G538" s="13"/>
      <c r="H538" s="13"/>
      <c r="I538" s="134"/>
      <c r="J538" s="135"/>
      <c r="K538" s="13"/>
    </row>
    <row r="539" spans="2:11" x14ac:dyDescent="0.3">
      <c r="B539" s="13"/>
      <c r="C539" s="13"/>
      <c r="D539" s="13"/>
      <c r="E539" s="13"/>
      <c r="F539" s="134"/>
      <c r="G539" s="13"/>
      <c r="H539" s="13"/>
      <c r="I539" s="134"/>
      <c r="J539" s="135"/>
      <c r="K539" s="13"/>
    </row>
    <row r="540" spans="2:11" x14ac:dyDescent="0.3">
      <c r="B540" s="13"/>
      <c r="C540" s="13"/>
      <c r="D540" s="13"/>
      <c r="E540" s="13"/>
      <c r="F540" s="134"/>
      <c r="G540" s="13"/>
      <c r="H540" s="13"/>
      <c r="I540" s="134"/>
      <c r="J540" s="135"/>
      <c r="K540" s="13"/>
    </row>
    <row r="541" spans="2:11" x14ac:dyDescent="0.3">
      <c r="B541" s="13"/>
      <c r="C541" s="13"/>
      <c r="D541" s="13"/>
      <c r="E541" s="13"/>
      <c r="F541" s="134"/>
      <c r="G541" s="13"/>
      <c r="H541" s="13"/>
      <c r="I541" s="134"/>
      <c r="J541" s="135"/>
      <c r="K541" s="13"/>
    </row>
    <row r="542" spans="2:11" x14ac:dyDescent="0.3">
      <c r="B542" s="13"/>
      <c r="C542" s="13"/>
      <c r="D542" s="13"/>
      <c r="E542" s="13"/>
      <c r="F542" s="134"/>
      <c r="G542" s="13"/>
      <c r="H542" s="13"/>
      <c r="I542" s="134"/>
      <c r="J542" s="135"/>
      <c r="K542" s="13"/>
    </row>
    <row r="543" spans="2:11" x14ac:dyDescent="0.3">
      <c r="B543" s="13"/>
      <c r="C543" s="13"/>
      <c r="D543" s="13"/>
      <c r="E543" s="13"/>
      <c r="F543" s="134"/>
      <c r="G543" s="13"/>
      <c r="H543" s="13"/>
      <c r="I543" s="134"/>
      <c r="J543" s="135"/>
      <c r="K543" s="13"/>
    </row>
    <row r="544" spans="2:11" x14ac:dyDescent="0.3">
      <c r="B544" s="13"/>
      <c r="C544" s="13"/>
      <c r="D544" s="13"/>
      <c r="E544" s="13"/>
      <c r="F544" s="134"/>
      <c r="G544" s="13"/>
      <c r="H544" s="13"/>
      <c r="I544" s="134"/>
      <c r="J544" s="135"/>
      <c r="K544" s="13"/>
    </row>
    <row r="545" spans="2:11" x14ac:dyDescent="0.3">
      <c r="B545" s="13"/>
      <c r="C545" s="13"/>
      <c r="D545" s="13"/>
      <c r="E545" s="13"/>
      <c r="F545" s="134"/>
      <c r="G545" s="13"/>
      <c r="H545" s="13"/>
      <c r="I545" s="134"/>
      <c r="J545" s="135"/>
      <c r="K545" s="13"/>
    </row>
    <row r="546" spans="2:11" x14ac:dyDescent="0.3">
      <c r="B546" s="13"/>
      <c r="C546" s="13"/>
      <c r="D546" s="13"/>
      <c r="E546" s="13"/>
      <c r="F546" s="134"/>
      <c r="G546" s="13"/>
      <c r="H546" s="13"/>
      <c r="I546" s="134"/>
      <c r="J546" s="135"/>
      <c r="K546" s="13"/>
    </row>
    <row r="547" spans="2:11" x14ac:dyDescent="0.3">
      <c r="B547" s="13"/>
      <c r="C547" s="13"/>
      <c r="D547" s="13"/>
      <c r="E547" s="13"/>
      <c r="F547" s="134"/>
      <c r="G547" s="13"/>
      <c r="H547" s="13"/>
      <c r="I547" s="134"/>
      <c r="J547" s="135"/>
      <c r="K547" s="13"/>
    </row>
    <row r="548" spans="2:11" x14ac:dyDescent="0.3">
      <c r="B548" s="13"/>
      <c r="C548" s="13"/>
      <c r="D548" s="13"/>
      <c r="E548" s="13"/>
      <c r="F548" s="134"/>
      <c r="G548" s="13"/>
      <c r="H548" s="13"/>
      <c r="I548" s="134"/>
      <c r="J548" s="135"/>
      <c r="K548" s="13"/>
    </row>
    <row r="549" spans="2:11" x14ac:dyDescent="0.3">
      <c r="B549" s="13"/>
      <c r="C549" s="13"/>
      <c r="D549" s="13"/>
      <c r="E549" s="13"/>
      <c r="F549" s="134"/>
      <c r="G549" s="13"/>
      <c r="H549" s="13"/>
      <c r="I549" s="134"/>
      <c r="J549" s="135"/>
      <c r="K549" s="13"/>
    </row>
    <row r="550" spans="2:11" x14ac:dyDescent="0.3">
      <c r="B550" s="13"/>
      <c r="C550" s="13"/>
      <c r="D550" s="13"/>
      <c r="E550" s="13"/>
      <c r="F550" s="134"/>
      <c r="G550" s="13"/>
      <c r="H550" s="13"/>
      <c r="I550" s="134"/>
      <c r="J550" s="135"/>
      <c r="K550" s="13"/>
    </row>
    <row r="551" spans="2:11" x14ac:dyDescent="0.3">
      <c r="B551" s="13"/>
      <c r="C551" s="13"/>
      <c r="D551" s="13"/>
      <c r="E551" s="13"/>
      <c r="F551" s="134"/>
      <c r="G551" s="13"/>
      <c r="H551" s="13"/>
      <c r="I551" s="134"/>
      <c r="J551" s="135"/>
      <c r="K551" s="13"/>
    </row>
    <row r="552" spans="2:11" x14ac:dyDescent="0.3">
      <c r="B552" s="13"/>
      <c r="C552" s="13"/>
      <c r="D552" s="13"/>
      <c r="E552" s="13"/>
      <c r="F552" s="134"/>
      <c r="G552" s="13"/>
      <c r="H552" s="13"/>
      <c r="I552" s="134"/>
      <c r="J552" s="135"/>
      <c r="K552" s="13"/>
    </row>
    <row r="553" spans="2:11" x14ac:dyDescent="0.3">
      <c r="B553" s="13"/>
      <c r="C553" s="13"/>
      <c r="D553" s="13"/>
      <c r="E553" s="13"/>
      <c r="F553" s="134"/>
      <c r="G553" s="13"/>
      <c r="H553" s="13"/>
      <c r="I553" s="134"/>
      <c r="J553" s="135"/>
      <c r="K553" s="13"/>
    </row>
    <row r="554" spans="2:11" x14ac:dyDescent="0.3">
      <c r="B554" s="13"/>
      <c r="C554" s="13"/>
      <c r="D554" s="13"/>
      <c r="E554" s="13"/>
      <c r="F554" s="134"/>
      <c r="G554" s="13"/>
      <c r="H554" s="13"/>
      <c r="I554" s="134"/>
      <c r="J554" s="135"/>
      <c r="K554" s="13"/>
    </row>
    <row r="555" spans="2:11" x14ac:dyDescent="0.3">
      <c r="B555" s="13"/>
      <c r="C555" s="13"/>
      <c r="D555" s="13"/>
      <c r="E555" s="13"/>
      <c r="F555" s="134"/>
      <c r="G555" s="13"/>
      <c r="H555" s="13"/>
      <c r="I555" s="134"/>
      <c r="J555" s="135"/>
      <c r="K555" s="13"/>
    </row>
    <row r="556" spans="2:11" x14ac:dyDescent="0.3">
      <c r="B556" s="13"/>
      <c r="C556" s="13"/>
      <c r="D556" s="13"/>
      <c r="E556" s="13"/>
      <c r="F556" s="134"/>
      <c r="G556" s="13"/>
      <c r="H556" s="13"/>
      <c r="I556" s="134"/>
      <c r="J556" s="135"/>
      <c r="K556" s="13"/>
    </row>
    <row r="557" spans="2:11" x14ac:dyDescent="0.3">
      <c r="B557" s="13"/>
      <c r="C557" s="13"/>
      <c r="D557" s="13"/>
      <c r="E557" s="13"/>
      <c r="F557" s="134"/>
      <c r="G557" s="13"/>
      <c r="H557" s="13"/>
      <c r="I557" s="134"/>
      <c r="J557" s="135"/>
      <c r="K557" s="13"/>
    </row>
    <row r="558" spans="2:11" x14ac:dyDescent="0.3">
      <c r="B558" s="13"/>
      <c r="C558" s="13"/>
      <c r="D558" s="13"/>
      <c r="E558" s="13"/>
      <c r="F558" s="134"/>
      <c r="G558" s="13"/>
      <c r="H558" s="13"/>
      <c r="I558" s="134"/>
      <c r="J558" s="135"/>
      <c r="K558" s="13"/>
    </row>
    <row r="559" spans="2:11" x14ac:dyDescent="0.3">
      <c r="B559" s="13"/>
      <c r="C559" s="13"/>
      <c r="D559" s="13"/>
      <c r="E559" s="13"/>
      <c r="F559" s="134"/>
      <c r="G559" s="13"/>
      <c r="H559" s="13"/>
      <c r="I559" s="134"/>
      <c r="J559" s="135"/>
      <c r="K559" s="13"/>
    </row>
    <row r="560" spans="2:11" x14ac:dyDescent="0.3">
      <c r="B560" s="13"/>
      <c r="C560" s="13"/>
      <c r="D560" s="13"/>
      <c r="E560" s="13"/>
      <c r="F560" s="134"/>
      <c r="G560" s="13"/>
      <c r="H560" s="13"/>
      <c r="I560" s="134"/>
      <c r="J560" s="135"/>
      <c r="K560" s="13"/>
    </row>
    <row r="561" spans="2:11" x14ac:dyDescent="0.3">
      <c r="B561" s="13"/>
      <c r="C561" s="13"/>
      <c r="D561" s="13"/>
      <c r="E561" s="13"/>
      <c r="F561" s="134"/>
      <c r="G561" s="13"/>
      <c r="H561" s="13"/>
      <c r="I561" s="134"/>
      <c r="J561" s="135"/>
      <c r="K561" s="13"/>
    </row>
    <row r="562" spans="2:11" x14ac:dyDescent="0.3">
      <c r="B562" s="13"/>
      <c r="C562" s="13"/>
      <c r="D562" s="13"/>
      <c r="E562" s="13"/>
      <c r="F562" s="134"/>
      <c r="G562" s="13"/>
      <c r="H562" s="13"/>
      <c r="I562" s="134"/>
      <c r="J562" s="135"/>
      <c r="K562" s="13"/>
    </row>
    <row r="563" spans="2:11" x14ac:dyDescent="0.3">
      <c r="B563" s="13"/>
      <c r="C563" s="13"/>
      <c r="D563" s="13"/>
      <c r="E563" s="13"/>
      <c r="F563" s="134"/>
      <c r="G563" s="13"/>
      <c r="H563" s="13"/>
      <c r="I563" s="134"/>
      <c r="J563" s="135"/>
      <c r="K563" s="13"/>
    </row>
    <row r="564" spans="2:11" x14ac:dyDescent="0.3">
      <c r="B564" s="13"/>
      <c r="C564" s="13"/>
      <c r="D564" s="13"/>
      <c r="E564" s="13"/>
      <c r="F564" s="134"/>
      <c r="G564" s="13"/>
      <c r="H564" s="13"/>
      <c r="I564" s="134"/>
      <c r="J564" s="135"/>
      <c r="K564" s="13"/>
    </row>
    <row r="565" spans="2:11" x14ac:dyDescent="0.3">
      <c r="B565" s="13"/>
      <c r="C565" s="13"/>
      <c r="D565" s="13"/>
      <c r="E565" s="13"/>
      <c r="F565" s="134"/>
      <c r="G565" s="13"/>
      <c r="H565" s="13"/>
      <c r="I565" s="134"/>
      <c r="J565" s="135"/>
      <c r="K565" s="13"/>
    </row>
    <row r="566" spans="2:11" x14ac:dyDescent="0.3">
      <c r="B566" s="13"/>
      <c r="C566" s="13"/>
      <c r="D566" s="13"/>
      <c r="E566" s="13"/>
      <c r="F566" s="134"/>
      <c r="G566" s="13"/>
      <c r="H566" s="13"/>
      <c r="I566" s="134"/>
      <c r="J566" s="135"/>
      <c r="K566" s="13"/>
    </row>
    <row r="567" spans="2:11" x14ac:dyDescent="0.3">
      <c r="B567" s="13"/>
      <c r="C567" s="13"/>
      <c r="D567" s="13"/>
      <c r="E567" s="13"/>
      <c r="F567" s="134"/>
      <c r="G567" s="13"/>
      <c r="H567" s="13"/>
      <c r="I567" s="134"/>
      <c r="J567" s="135"/>
      <c r="K567" s="13"/>
    </row>
    <row r="568" spans="2:11" x14ac:dyDescent="0.3">
      <c r="B568" s="13"/>
      <c r="C568" s="13"/>
      <c r="D568" s="13"/>
      <c r="E568" s="13"/>
      <c r="F568" s="134"/>
      <c r="G568" s="13"/>
      <c r="H568" s="13"/>
      <c r="I568" s="134"/>
      <c r="J568" s="135"/>
      <c r="K568" s="13"/>
    </row>
    <row r="569" spans="2:11" x14ac:dyDescent="0.3">
      <c r="B569" s="13"/>
      <c r="C569" s="13"/>
      <c r="D569" s="13"/>
      <c r="E569" s="13"/>
      <c r="F569" s="134"/>
      <c r="G569" s="13"/>
      <c r="H569" s="13"/>
      <c r="I569" s="134"/>
      <c r="J569" s="135"/>
      <c r="K569" s="13"/>
    </row>
    <row r="570" spans="2:11" x14ac:dyDescent="0.3">
      <c r="B570" s="13"/>
      <c r="C570" s="13"/>
      <c r="D570" s="13"/>
      <c r="E570" s="13"/>
      <c r="F570" s="134"/>
      <c r="G570" s="13"/>
      <c r="H570" s="13"/>
      <c r="I570" s="134"/>
      <c r="J570" s="135"/>
      <c r="K570" s="13"/>
    </row>
    <row r="571" spans="2:11" x14ac:dyDescent="0.3">
      <c r="B571" s="13"/>
      <c r="C571" s="13"/>
      <c r="D571" s="13"/>
      <c r="E571" s="13"/>
      <c r="F571" s="134"/>
      <c r="G571" s="13"/>
      <c r="H571" s="13"/>
      <c r="I571" s="134"/>
      <c r="J571" s="135"/>
      <c r="K571" s="13"/>
    </row>
    <row r="572" spans="2:11" x14ac:dyDescent="0.3">
      <c r="B572" s="13"/>
      <c r="C572" s="13"/>
      <c r="D572" s="13"/>
      <c r="E572" s="13"/>
      <c r="F572" s="134"/>
      <c r="G572" s="13"/>
      <c r="H572" s="13"/>
      <c r="I572" s="134"/>
      <c r="J572" s="135"/>
      <c r="K572" s="13"/>
    </row>
    <row r="573" spans="2:11" x14ac:dyDescent="0.3">
      <c r="B573" s="13"/>
      <c r="C573" s="13"/>
      <c r="D573" s="13"/>
      <c r="E573" s="13"/>
      <c r="F573" s="134"/>
      <c r="G573" s="13"/>
      <c r="H573" s="13"/>
      <c r="I573" s="134"/>
      <c r="J573" s="135"/>
      <c r="K573" s="13"/>
    </row>
    <row r="574" spans="2:11" x14ac:dyDescent="0.3">
      <c r="B574" s="13"/>
      <c r="C574" s="13"/>
      <c r="D574" s="13"/>
      <c r="E574" s="13"/>
      <c r="F574" s="134"/>
      <c r="G574" s="13"/>
      <c r="H574" s="13"/>
      <c r="I574" s="134"/>
      <c r="J574" s="135"/>
      <c r="K574" s="13"/>
    </row>
    <row r="575" spans="2:11" x14ac:dyDescent="0.3">
      <c r="B575" s="13"/>
      <c r="C575" s="13"/>
      <c r="D575" s="13"/>
      <c r="E575" s="13"/>
      <c r="F575" s="134"/>
      <c r="G575" s="13"/>
      <c r="H575" s="13"/>
      <c r="I575" s="134"/>
      <c r="J575" s="135"/>
      <c r="K575" s="13"/>
    </row>
    <row r="576" spans="2:11" x14ac:dyDescent="0.3">
      <c r="B576" s="13"/>
      <c r="C576" s="13"/>
      <c r="D576" s="13"/>
      <c r="E576" s="13"/>
      <c r="F576" s="134"/>
      <c r="G576" s="13"/>
      <c r="H576" s="13"/>
      <c r="I576" s="134"/>
      <c r="J576" s="135"/>
      <c r="K576" s="13"/>
    </row>
    <row r="577" spans="2:11" x14ac:dyDescent="0.3">
      <c r="B577" s="13"/>
      <c r="C577" s="13"/>
      <c r="D577" s="13"/>
      <c r="E577" s="13"/>
      <c r="F577" s="134"/>
      <c r="G577" s="13"/>
      <c r="H577" s="13"/>
      <c r="I577" s="134"/>
      <c r="J577" s="135"/>
      <c r="K577" s="13"/>
    </row>
    <row r="578" spans="2:11" x14ac:dyDescent="0.3">
      <c r="B578" s="13"/>
      <c r="C578" s="13"/>
      <c r="D578" s="13"/>
      <c r="E578" s="13"/>
      <c r="F578" s="134"/>
      <c r="G578" s="13"/>
      <c r="H578" s="13"/>
      <c r="I578" s="134"/>
      <c r="J578" s="135"/>
      <c r="K578" s="13"/>
    </row>
    <row r="579" spans="2:11" x14ac:dyDescent="0.3">
      <c r="B579" s="13"/>
      <c r="C579" s="13"/>
      <c r="D579" s="13"/>
      <c r="E579" s="13"/>
      <c r="F579" s="134"/>
      <c r="G579" s="13"/>
      <c r="H579" s="13"/>
      <c r="I579" s="134"/>
      <c r="J579" s="135"/>
      <c r="K579" s="13"/>
    </row>
    <row r="580" spans="2:11" x14ac:dyDescent="0.3">
      <c r="B580" s="13"/>
      <c r="C580" s="13"/>
      <c r="D580" s="13"/>
      <c r="E580" s="13"/>
      <c r="F580" s="134"/>
      <c r="G580" s="13"/>
      <c r="H580" s="13"/>
      <c r="I580" s="134"/>
      <c r="J580" s="135"/>
      <c r="K580" s="13"/>
    </row>
    <row r="581" spans="2:11" x14ac:dyDescent="0.3">
      <c r="B581" s="13"/>
      <c r="C581" s="13"/>
      <c r="D581" s="13"/>
      <c r="E581" s="13"/>
      <c r="F581" s="134"/>
      <c r="G581" s="13"/>
      <c r="H581" s="13"/>
      <c r="I581" s="134"/>
      <c r="J581" s="135"/>
      <c r="K581" s="13"/>
    </row>
    <row r="582" spans="2:11" x14ac:dyDescent="0.3">
      <c r="B582" s="13"/>
      <c r="C582" s="13"/>
      <c r="D582" s="13"/>
      <c r="E582" s="13"/>
      <c r="F582" s="134"/>
      <c r="G582" s="13"/>
      <c r="H582" s="13"/>
      <c r="I582" s="134"/>
      <c r="J582" s="135"/>
      <c r="K582" s="13"/>
    </row>
    <row r="583" spans="2:11" x14ac:dyDescent="0.3">
      <c r="B583" s="13"/>
      <c r="C583" s="13"/>
      <c r="D583" s="13"/>
      <c r="E583" s="13"/>
      <c r="F583" s="134"/>
      <c r="G583" s="13"/>
      <c r="H583" s="13"/>
      <c r="I583" s="134"/>
      <c r="J583" s="135"/>
      <c r="K583" s="13"/>
    </row>
    <row r="584" spans="2:11" x14ac:dyDescent="0.3">
      <c r="B584" s="13"/>
      <c r="C584" s="13"/>
      <c r="D584" s="13"/>
      <c r="E584" s="13"/>
      <c r="F584" s="134"/>
      <c r="G584" s="13"/>
      <c r="H584" s="13"/>
      <c r="I584" s="134"/>
      <c r="J584" s="135"/>
      <c r="K584" s="13"/>
    </row>
  </sheetData>
  <sortState xmlns:xlrd2="http://schemas.microsoft.com/office/spreadsheetml/2017/richdata2" ref="B3:K376">
    <sortCondition ref="C3:C376"/>
  </sortState>
  <phoneticPr fontId="10" type="noConversion"/>
  <pageMargins left="0" right="0" top="0" bottom="0" header="0" footer="0"/>
  <pageSetup scale="9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AF09-F024-4F81-B5EA-E68E6ACBF215}">
  <dimension ref="H10:M50"/>
  <sheetViews>
    <sheetView topLeftCell="B31" zoomScale="114" zoomScaleNormal="99" workbookViewId="0">
      <selection activeCell="O38" sqref="O38"/>
    </sheetView>
  </sheetViews>
  <sheetFormatPr defaultRowHeight="14.4" x14ac:dyDescent="0.3"/>
  <cols>
    <col min="8" max="8" width="14.5546875" bestFit="1" customWidth="1"/>
    <col min="9" max="9" width="9.5546875" bestFit="1" customWidth="1"/>
    <col min="10" max="10" width="13.44140625" bestFit="1" customWidth="1"/>
    <col min="11" max="11" width="13.44140625" style="54" bestFit="1" customWidth="1"/>
  </cols>
  <sheetData>
    <row r="10" spans="8:12" ht="15" thickBot="1" x14ac:dyDescent="0.35"/>
    <row r="11" spans="8:12" x14ac:dyDescent="0.3">
      <c r="H11" s="188" t="s">
        <v>391</v>
      </c>
      <c r="I11" s="189"/>
      <c r="J11" s="189"/>
      <c r="K11" s="189"/>
      <c r="L11" s="190"/>
    </row>
    <row r="12" spans="8:12" ht="15" thickBot="1" x14ac:dyDescent="0.35">
      <c r="H12" s="191"/>
      <c r="I12" s="192"/>
      <c r="J12" s="192"/>
      <c r="K12" s="192"/>
      <c r="L12" s="193"/>
    </row>
    <row r="13" spans="8:12" x14ac:dyDescent="0.3">
      <c r="H13" s="63" t="s">
        <v>372</v>
      </c>
      <c r="I13" s="59" t="s">
        <v>373</v>
      </c>
      <c r="J13" s="59" t="s">
        <v>374</v>
      </c>
      <c r="K13" s="60" t="s">
        <v>375</v>
      </c>
      <c r="L13" s="64"/>
    </row>
    <row r="14" spans="8:12" x14ac:dyDescent="0.3">
      <c r="H14" s="65" t="s">
        <v>376</v>
      </c>
      <c r="I14" s="51">
        <v>50</v>
      </c>
      <c r="J14" s="52">
        <v>90000</v>
      </c>
      <c r="K14" s="53">
        <f>I14*J14</f>
        <v>4500000</v>
      </c>
      <c r="L14" s="66"/>
    </row>
    <row r="15" spans="8:12" x14ac:dyDescent="0.3">
      <c r="H15" s="65" t="s">
        <v>377</v>
      </c>
      <c r="I15" s="51">
        <v>50</v>
      </c>
      <c r="J15" s="52">
        <v>90000</v>
      </c>
      <c r="K15" s="53">
        <f>I15*J15</f>
        <v>4500000</v>
      </c>
      <c r="L15" s="66"/>
    </row>
    <row r="16" spans="8:12" x14ac:dyDescent="0.3">
      <c r="H16" s="65" t="s">
        <v>378</v>
      </c>
      <c r="I16" s="51">
        <v>50</v>
      </c>
      <c r="J16" s="52">
        <v>120000</v>
      </c>
      <c r="K16" s="53">
        <f>I16*J16</f>
        <v>6000000</v>
      </c>
      <c r="L16" s="66"/>
    </row>
    <row r="17" spans="8:13" ht="15" thickBot="1" x14ac:dyDescent="0.35">
      <c r="H17" s="67" t="s">
        <v>379</v>
      </c>
      <c r="I17" s="68">
        <v>50</v>
      </c>
      <c r="J17" s="69">
        <v>125000</v>
      </c>
      <c r="K17" s="70">
        <f>I17*J17</f>
        <v>6250000</v>
      </c>
      <c r="L17" s="71"/>
    </row>
    <row r="18" spans="8:13" ht="15" thickBot="1" x14ac:dyDescent="0.35">
      <c r="H18" s="72" t="s">
        <v>380</v>
      </c>
      <c r="I18" s="73">
        <v>50</v>
      </c>
      <c r="J18" s="74">
        <f>SUM(J14:J17)</f>
        <v>425000</v>
      </c>
      <c r="K18" s="75">
        <f>SUM(K14:K17)</f>
        <v>21250000</v>
      </c>
      <c r="L18" s="76"/>
    </row>
    <row r="19" spans="8:13" ht="15" thickBot="1" x14ac:dyDescent="0.35"/>
    <row r="20" spans="8:13" ht="15" thickBot="1" x14ac:dyDescent="0.35">
      <c r="H20" s="185" t="s">
        <v>381</v>
      </c>
      <c r="I20" s="186"/>
      <c r="J20" s="186"/>
      <c r="K20" s="186"/>
      <c r="L20" s="187"/>
    </row>
    <row r="21" spans="8:13" ht="15.6" x14ac:dyDescent="0.3">
      <c r="H21" s="61"/>
      <c r="I21" s="61" t="s">
        <v>376</v>
      </c>
      <c r="J21" s="61" t="s">
        <v>377</v>
      </c>
      <c r="K21" s="62" t="s">
        <v>378</v>
      </c>
      <c r="L21" s="61" t="s">
        <v>379</v>
      </c>
    </row>
    <row r="22" spans="8:13" x14ac:dyDescent="0.3">
      <c r="H22" s="56" t="s">
        <v>382</v>
      </c>
      <c r="I22" s="57">
        <v>14</v>
      </c>
      <c r="J22" s="57" t="s">
        <v>384</v>
      </c>
      <c r="K22" s="58" t="s">
        <v>384</v>
      </c>
      <c r="L22" s="57" t="s">
        <v>384</v>
      </c>
    </row>
    <row r="23" spans="8:13" x14ac:dyDescent="0.3">
      <c r="H23" s="56" t="s">
        <v>383</v>
      </c>
      <c r="I23" s="57">
        <v>14</v>
      </c>
      <c r="J23" s="57">
        <v>10</v>
      </c>
      <c r="K23" s="58" t="s">
        <v>384</v>
      </c>
      <c r="L23" s="57" t="s">
        <v>384</v>
      </c>
    </row>
    <row r="24" spans="8:13" x14ac:dyDescent="0.3">
      <c r="H24" s="56" t="s">
        <v>385</v>
      </c>
      <c r="I24" s="57">
        <v>14</v>
      </c>
      <c r="J24" s="57">
        <v>10</v>
      </c>
      <c r="K24" s="58">
        <v>6</v>
      </c>
      <c r="L24" s="57" t="s">
        <v>384</v>
      </c>
    </row>
    <row r="25" spans="8:13" x14ac:dyDescent="0.3">
      <c r="H25" s="56" t="s">
        <v>386</v>
      </c>
      <c r="I25" s="57">
        <v>8</v>
      </c>
      <c r="J25" s="57">
        <v>12</v>
      </c>
      <c r="K25" s="58">
        <v>14</v>
      </c>
      <c r="L25" s="57">
        <v>10</v>
      </c>
    </row>
    <row r="26" spans="8:13" x14ac:dyDescent="0.3">
      <c r="H26" s="56" t="s">
        <v>387</v>
      </c>
      <c r="I26" s="57" t="s">
        <v>384</v>
      </c>
      <c r="J26" s="57">
        <v>12</v>
      </c>
      <c r="K26" s="58">
        <v>14</v>
      </c>
      <c r="L26" s="57">
        <v>15</v>
      </c>
    </row>
    <row r="27" spans="8:13" x14ac:dyDescent="0.3">
      <c r="H27" s="56" t="s">
        <v>388</v>
      </c>
      <c r="I27" s="57"/>
      <c r="J27" s="57">
        <v>6</v>
      </c>
      <c r="K27" s="58">
        <v>16</v>
      </c>
      <c r="L27" s="57">
        <v>15</v>
      </c>
    </row>
    <row r="28" spans="8:13" ht="15" thickBot="1" x14ac:dyDescent="0.35">
      <c r="H28" s="77" t="s">
        <v>389</v>
      </c>
      <c r="I28" s="78"/>
      <c r="J28" s="78"/>
      <c r="K28" s="79"/>
      <c r="L28" s="78">
        <v>10</v>
      </c>
    </row>
    <row r="29" spans="8:13" ht="18.600000000000001" thickBot="1" x14ac:dyDescent="0.4">
      <c r="H29" s="80" t="s">
        <v>390</v>
      </c>
      <c r="I29" s="81">
        <f>SUM(I22:I28)</f>
        <v>50</v>
      </c>
      <c r="J29" s="81">
        <f>SUM(J22:J28)</f>
        <v>50</v>
      </c>
      <c r="K29" s="81">
        <f>SUM(K22:K28)</f>
        <v>50</v>
      </c>
      <c r="L29" s="82">
        <f>SUM(L22:L28)</f>
        <v>50</v>
      </c>
      <c r="M29" s="55"/>
    </row>
    <row r="31" spans="8:13" ht="15" thickBot="1" x14ac:dyDescent="0.35"/>
    <row r="32" spans="8:13" x14ac:dyDescent="0.3">
      <c r="H32" s="188" t="s">
        <v>2583</v>
      </c>
      <c r="I32" s="189"/>
      <c r="J32" s="189"/>
      <c r="K32" s="189"/>
      <c r="L32" s="190"/>
    </row>
    <row r="33" spans="8:12" ht="15" thickBot="1" x14ac:dyDescent="0.35">
      <c r="H33" s="191"/>
      <c r="I33" s="192"/>
      <c r="J33" s="192"/>
      <c r="K33" s="192"/>
      <c r="L33" s="193"/>
    </row>
    <row r="34" spans="8:12" x14ac:dyDescent="0.3">
      <c r="H34" s="63" t="s">
        <v>372</v>
      </c>
      <c r="I34" s="59" t="s">
        <v>373</v>
      </c>
      <c r="J34" s="59" t="s">
        <v>374</v>
      </c>
      <c r="K34" s="60" t="s">
        <v>375</v>
      </c>
      <c r="L34" s="64"/>
    </row>
    <row r="35" spans="8:12" x14ac:dyDescent="0.3">
      <c r="H35" s="65" t="s">
        <v>376</v>
      </c>
      <c r="I35" s="51">
        <v>100</v>
      </c>
      <c r="J35" s="52">
        <v>100000</v>
      </c>
      <c r="K35" s="53">
        <f>I35*J35</f>
        <v>10000000</v>
      </c>
      <c r="L35" s="66"/>
    </row>
    <row r="36" spans="8:12" x14ac:dyDescent="0.3">
      <c r="H36" s="65" t="s">
        <v>377</v>
      </c>
      <c r="I36" s="51">
        <v>100</v>
      </c>
      <c r="J36" s="52">
        <v>100000</v>
      </c>
      <c r="K36" s="53">
        <f>I36*J36</f>
        <v>10000000</v>
      </c>
      <c r="L36" s="66"/>
    </row>
    <row r="37" spans="8:12" x14ac:dyDescent="0.3">
      <c r="H37" s="65" t="s">
        <v>378</v>
      </c>
      <c r="I37" s="51">
        <v>100</v>
      </c>
      <c r="J37" s="52">
        <v>120000</v>
      </c>
      <c r="K37" s="53">
        <f>I37*J37</f>
        <v>12000000</v>
      </c>
      <c r="L37" s="66"/>
    </row>
    <row r="38" spans="8:12" ht="15" thickBot="1" x14ac:dyDescent="0.35">
      <c r="H38" s="67" t="s">
        <v>379</v>
      </c>
      <c r="I38" s="51">
        <v>100</v>
      </c>
      <c r="J38" s="69">
        <v>105000</v>
      </c>
      <c r="K38" s="70">
        <f>I38*J38</f>
        <v>10500000</v>
      </c>
      <c r="L38" s="71"/>
    </row>
    <row r="39" spans="8:12" ht="15" thickBot="1" x14ac:dyDescent="0.35">
      <c r="H39" s="72" t="s">
        <v>380</v>
      </c>
      <c r="I39" s="73">
        <v>100</v>
      </c>
      <c r="J39" s="74">
        <f>SUM(J35:J38)</f>
        <v>425000</v>
      </c>
      <c r="K39" s="75">
        <f>SUM(K35:K38)</f>
        <v>42500000</v>
      </c>
      <c r="L39" s="76"/>
    </row>
    <row r="40" spans="8:12" ht="15" thickBot="1" x14ac:dyDescent="0.35"/>
    <row r="41" spans="8:12" ht="15" thickBot="1" x14ac:dyDescent="0.35">
      <c r="H41" s="185" t="s">
        <v>381</v>
      </c>
      <c r="I41" s="186"/>
      <c r="J41" s="186"/>
      <c r="K41" s="186"/>
      <c r="L41" s="187"/>
    </row>
    <row r="42" spans="8:12" ht="15.6" x14ac:dyDescent="0.3">
      <c r="H42" s="61"/>
      <c r="I42" s="61" t="s">
        <v>376</v>
      </c>
      <c r="J42" s="61" t="s">
        <v>377</v>
      </c>
      <c r="K42" s="62" t="s">
        <v>378</v>
      </c>
      <c r="L42" s="61" t="s">
        <v>379</v>
      </c>
    </row>
    <row r="43" spans="8:12" x14ac:dyDescent="0.3">
      <c r="H43" s="56" t="s">
        <v>387</v>
      </c>
      <c r="I43" s="57">
        <v>28</v>
      </c>
      <c r="J43" s="57" t="s">
        <v>384</v>
      </c>
      <c r="K43" s="58" t="s">
        <v>384</v>
      </c>
      <c r="L43" s="57" t="s">
        <v>384</v>
      </c>
    </row>
    <row r="44" spans="8:12" x14ac:dyDescent="0.3">
      <c r="H44" s="56" t="s">
        <v>388</v>
      </c>
      <c r="I44" s="57">
        <v>28</v>
      </c>
      <c r="J44" s="57">
        <v>25</v>
      </c>
      <c r="K44" s="58" t="s">
        <v>384</v>
      </c>
      <c r="L44" s="57" t="s">
        <v>384</v>
      </c>
    </row>
    <row r="45" spans="8:12" x14ac:dyDescent="0.3">
      <c r="H45" s="77" t="s">
        <v>389</v>
      </c>
      <c r="I45" s="57">
        <v>28</v>
      </c>
      <c r="J45" s="57">
        <v>25</v>
      </c>
      <c r="K45" s="58">
        <v>25</v>
      </c>
      <c r="L45" s="57" t="s">
        <v>384</v>
      </c>
    </row>
    <row r="46" spans="8:12" x14ac:dyDescent="0.3">
      <c r="H46" s="77" t="s">
        <v>2579</v>
      </c>
      <c r="I46" s="57">
        <v>16</v>
      </c>
      <c r="J46" s="57">
        <v>25</v>
      </c>
      <c r="K46" s="58">
        <v>25</v>
      </c>
      <c r="L46" s="57">
        <v>25</v>
      </c>
    </row>
    <row r="47" spans="8:12" x14ac:dyDescent="0.3">
      <c r="H47" s="56" t="s">
        <v>2580</v>
      </c>
      <c r="I47" s="57" t="s">
        <v>384</v>
      </c>
      <c r="J47" s="57">
        <v>25</v>
      </c>
      <c r="K47" s="58">
        <v>25</v>
      </c>
      <c r="L47" s="57">
        <v>25</v>
      </c>
    </row>
    <row r="48" spans="8:12" x14ac:dyDescent="0.3">
      <c r="H48" s="56" t="s">
        <v>2581</v>
      </c>
      <c r="I48" s="57" t="s">
        <v>384</v>
      </c>
      <c r="J48" s="57" t="s">
        <v>384</v>
      </c>
      <c r="K48" s="58">
        <v>25</v>
      </c>
      <c r="L48" s="57">
        <v>25</v>
      </c>
    </row>
    <row r="49" spans="8:12" ht="15" thickBot="1" x14ac:dyDescent="0.35">
      <c r="H49" s="56" t="s">
        <v>2582</v>
      </c>
      <c r="I49" s="78" t="s">
        <v>384</v>
      </c>
      <c r="J49" s="78" t="s">
        <v>384</v>
      </c>
      <c r="K49" s="130" t="s">
        <v>384</v>
      </c>
      <c r="L49" s="78">
        <v>25</v>
      </c>
    </row>
    <row r="50" spans="8:12" ht="18.600000000000001" thickBot="1" x14ac:dyDescent="0.4">
      <c r="H50" s="80" t="s">
        <v>390</v>
      </c>
      <c r="I50" s="81">
        <f>SUM(I43:I49)</f>
        <v>100</v>
      </c>
      <c r="J50" s="81">
        <f>SUM(J43:J49)</f>
        <v>100</v>
      </c>
      <c r="K50" s="81">
        <f>SUM(K43:K49)</f>
        <v>100</v>
      </c>
      <c r="L50" s="82">
        <f>SUM(L43:L49)</f>
        <v>100</v>
      </c>
    </row>
  </sheetData>
  <mergeCells count="4">
    <mergeCell ref="H20:L20"/>
    <mergeCell ref="H11:L12"/>
    <mergeCell ref="H32:L33"/>
    <mergeCell ref="H41:L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B6D7-29DC-45BA-8BA9-0E3463B7A7F4}">
  <dimension ref="A3:F93"/>
  <sheetViews>
    <sheetView workbookViewId="0">
      <selection activeCell="A5" sqref="A5:F6"/>
      <pivotSelection pane="bottomRight" showHeader="1" extendable="1" axis="axisRow" max="89" activeRow="4" previousRow="5" click="1" r:id="rId1">
        <pivotArea dataOnly="0" axis="axisRow" fieldPosition="0">
          <references count="1">
            <reference field="3" count="2">
              <x v="2"/>
              <x v="4"/>
            </reference>
          </references>
        </pivotArea>
      </pivotSelection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3" width="11" bestFit="1" customWidth="1"/>
    <col min="4" max="4" width="16.88671875" bestFit="1" customWidth="1"/>
    <col min="5" max="5" width="10.44140625" bestFit="1" customWidth="1"/>
    <col min="6" max="7" width="12" bestFit="1" customWidth="1"/>
    <col min="8" max="8" width="4.77734375" bestFit="1" customWidth="1"/>
    <col min="9" max="9" width="13.21875" bestFit="1" customWidth="1"/>
    <col min="10" max="10" width="8.44140625" bestFit="1" customWidth="1"/>
    <col min="11" max="11" width="6.21875" bestFit="1" customWidth="1"/>
    <col min="12" max="12" width="9.33203125" bestFit="1" customWidth="1"/>
    <col min="13" max="13" width="7.5546875" bestFit="1" customWidth="1"/>
    <col min="14" max="14" width="10.6640625" bestFit="1" customWidth="1"/>
    <col min="15" max="15" width="6.21875" bestFit="1" customWidth="1"/>
    <col min="16" max="16" width="13.88671875" bestFit="1" customWidth="1"/>
    <col min="17" max="17" width="11.44140625" bestFit="1" customWidth="1"/>
    <col min="18" max="18" width="11.88671875" bestFit="1" customWidth="1"/>
    <col min="19" max="19" width="9.88671875" bestFit="1" customWidth="1"/>
    <col min="20" max="20" width="11.33203125" bestFit="1" customWidth="1"/>
    <col min="21" max="21" width="7.88671875" bestFit="1" customWidth="1"/>
    <col min="22" max="22" width="5.109375" bestFit="1" customWidth="1"/>
    <col min="23" max="23" width="13.44140625" bestFit="1" customWidth="1"/>
    <col min="24" max="24" width="9.109375" bestFit="1" customWidth="1"/>
    <col min="25" max="25" width="12.5546875" bestFit="1" customWidth="1"/>
    <col min="26" max="26" width="4.21875" bestFit="1" customWidth="1"/>
    <col min="27" max="27" width="12.21875" bestFit="1" customWidth="1"/>
    <col min="28" max="28" width="13.44140625" bestFit="1" customWidth="1"/>
    <col min="29" max="29" width="4" bestFit="1" customWidth="1"/>
    <col min="30" max="30" width="6.6640625" bestFit="1" customWidth="1"/>
    <col min="31" max="31" width="7" bestFit="1" customWidth="1"/>
    <col min="32" max="32" width="18.44140625" bestFit="1" customWidth="1"/>
    <col min="33" max="33" width="7.44140625" bestFit="1" customWidth="1"/>
    <col min="34" max="34" width="9.5546875" bestFit="1" customWidth="1"/>
    <col min="35" max="35" width="8" bestFit="1" customWidth="1"/>
    <col min="36" max="36" width="9.5546875" bestFit="1" customWidth="1"/>
    <col min="37" max="37" width="12.21875" bestFit="1" customWidth="1"/>
    <col min="38" max="38" width="7.88671875" bestFit="1" customWidth="1"/>
    <col min="39" max="39" width="8.21875" bestFit="1" customWidth="1"/>
    <col min="40" max="40" width="13.33203125" bestFit="1" customWidth="1"/>
    <col min="41" max="41" width="20" bestFit="1" customWidth="1"/>
    <col min="42" max="42" width="9.33203125" bestFit="1" customWidth="1"/>
    <col min="43" max="43" width="6" bestFit="1" customWidth="1"/>
    <col min="44" max="44" width="14.77734375" bestFit="1" customWidth="1"/>
    <col min="45" max="45" width="14.21875" bestFit="1" customWidth="1"/>
    <col min="46" max="46" width="11.88671875" bestFit="1" customWidth="1"/>
    <col min="47" max="47" width="8" bestFit="1" customWidth="1"/>
    <col min="48" max="48" width="9.21875" bestFit="1" customWidth="1"/>
    <col min="49" max="49" width="8" bestFit="1" customWidth="1"/>
    <col min="50" max="50" width="6.33203125" bestFit="1" customWidth="1"/>
    <col min="51" max="51" width="5.109375" bestFit="1" customWidth="1"/>
    <col min="52" max="52" width="9.21875" bestFit="1" customWidth="1"/>
    <col min="53" max="53" width="9.88671875" bestFit="1" customWidth="1"/>
    <col min="54" max="54" width="10.44140625" bestFit="1" customWidth="1"/>
    <col min="55" max="55" width="7.6640625" bestFit="1" customWidth="1"/>
    <col min="56" max="56" width="18.21875" bestFit="1" customWidth="1"/>
    <col min="57" max="57" width="5.21875" bestFit="1" customWidth="1"/>
    <col min="58" max="58" width="5.5546875" bestFit="1" customWidth="1"/>
    <col min="59" max="59" width="7.33203125" bestFit="1" customWidth="1"/>
    <col min="60" max="60" width="4.6640625" bestFit="1" customWidth="1"/>
    <col min="61" max="61" width="13.77734375" bestFit="1" customWidth="1"/>
    <col min="62" max="62" width="13.5546875" bestFit="1" customWidth="1"/>
    <col min="63" max="63" width="17.33203125" bestFit="1" customWidth="1"/>
    <col min="64" max="64" width="12.44140625" bestFit="1" customWidth="1"/>
    <col min="65" max="65" width="13.109375" bestFit="1" customWidth="1"/>
    <col min="66" max="66" width="11.21875" bestFit="1" customWidth="1"/>
    <col min="67" max="67" width="12.77734375" bestFit="1" customWidth="1"/>
    <col min="68" max="68" width="6.88671875" bestFit="1" customWidth="1"/>
    <col min="69" max="69" width="8" bestFit="1" customWidth="1"/>
    <col min="70" max="70" width="12" bestFit="1" customWidth="1"/>
    <col min="71" max="71" width="9.5546875" bestFit="1" customWidth="1"/>
    <col min="72" max="72" width="14.5546875" bestFit="1" customWidth="1"/>
    <col min="74" max="74" width="21.109375" bestFit="1" customWidth="1"/>
    <col min="75" max="75" width="5.6640625" bestFit="1" customWidth="1"/>
    <col min="76" max="76" width="4.5546875" bestFit="1" customWidth="1"/>
    <col min="77" max="77" width="4.88671875" bestFit="1" customWidth="1"/>
    <col min="78" max="78" width="5.21875" bestFit="1" customWidth="1"/>
    <col min="79" max="79" width="11.5546875" bestFit="1" customWidth="1"/>
    <col min="80" max="80" width="5.33203125" bestFit="1" customWidth="1"/>
    <col min="81" max="81" width="11" bestFit="1" customWidth="1"/>
    <col min="82" max="82" width="9.21875" bestFit="1" customWidth="1"/>
    <col min="83" max="83" width="6" bestFit="1" customWidth="1"/>
    <col min="84" max="84" width="11.33203125" bestFit="1" customWidth="1"/>
    <col min="85" max="85" width="19" bestFit="1" customWidth="1"/>
    <col min="86" max="86" width="11.33203125" bestFit="1" customWidth="1"/>
    <col min="87" max="87" width="16.6640625" bestFit="1" customWidth="1"/>
    <col min="88" max="88" width="8.109375" bestFit="1" customWidth="1"/>
    <col min="89" max="89" width="4.33203125" bestFit="1" customWidth="1"/>
    <col min="90" max="90" width="16.77734375" bestFit="1" customWidth="1"/>
    <col min="91" max="91" width="6.5546875" bestFit="1" customWidth="1"/>
    <col min="92" max="92" width="7" bestFit="1" customWidth="1"/>
    <col min="93" max="93" width="10.5546875" bestFit="1" customWidth="1"/>
  </cols>
  <sheetData>
    <row r="3" spans="1:6" x14ac:dyDescent="0.3">
      <c r="A3" s="132" t="s">
        <v>2641</v>
      </c>
      <c r="B3" s="132" t="s">
        <v>2640</v>
      </c>
    </row>
    <row r="4" spans="1:6" x14ac:dyDescent="0.3">
      <c r="A4" s="132" t="s">
        <v>2637</v>
      </c>
      <c r="B4" t="s">
        <v>2021</v>
      </c>
      <c r="C4" t="s">
        <v>968</v>
      </c>
      <c r="D4" t="s">
        <v>435</v>
      </c>
      <c r="E4" t="s">
        <v>30</v>
      </c>
      <c r="F4" t="s">
        <v>2639</v>
      </c>
    </row>
    <row r="5" spans="1:6" x14ac:dyDescent="0.3">
      <c r="A5" s="133" t="s">
        <v>574</v>
      </c>
      <c r="B5">
        <v>5000</v>
      </c>
      <c r="C5">
        <v>684945</v>
      </c>
      <c r="D5">
        <v>180023.25</v>
      </c>
      <c r="F5">
        <v>869968.25</v>
      </c>
    </row>
    <row r="6" spans="1:6" x14ac:dyDescent="0.3">
      <c r="A6" s="133" t="s">
        <v>2037</v>
      </c>
      <c r="B6">
        <v>11414</v>
      </c>
      <c r="D6">
        <v>16100</v>
      </c>
      <c r="E6">
        <v>78000</v>
      </c>
      <c r="F6">
        <v>105514</v>
      </c>
    </row>
    <row r="7" spans="1:6" x14ac:dyDescent="0.3">
      <c r="A7" s="133" t="s">
        <v>410</v>
      </c>
      <c r="D7">
        <v>7000</v>
      </c>
      <c r="F7">
        <v>7000</v>
      </c>
    </row>
    <row r="8" spans="1:6" x14ac:dyDescent="0.3">
      <c r="A8" s="133" t="s">
        <v>767</v>
      </c>
      <c r="B8">
        <v>200</v>
      </c>
      <c r="C8">
        <v>84856</v>
      </c>
      <c r="D8">
        <v>44930</v>
      </c>
      <c r="F8">
        <v>129986</v>
      </c>
    </row>
    <row r="9" spans="1:6" x14ac:dyDescent="0.3">
      <c r="A9" s="133" t="s">
        <v>986</v>
      </c>
      <c r="C9">
        <v>95090</v>
      </c>
      <c r="D9">
        <v>79545</v>
      </c>
      <c r="E9">
        <v>4500</v>
      </c>
      <c r="F9">
        <v>179135</v>
      </c>
    </row>
    <row r="10" spans="1:6" x14ac:dyDescent="0.3">
      <c r="A10" s="133" t="s">
        <v>481</v>
      </c>
      <c r="B10">
        <v>1850</v>
      </c>
      <c r="C10">
        <v>16315</v>
      </c>
      <c r="D10">
        <v>7180</v>
      </c>
      <c r="E10">
        <v>5900</v>
      </c>
      <c r="F10">
        <v>31245</v>
      </c>
    </row>
    <row r="11" spans="1:6" x14ac:dyDescent="0.3">
      <c r="A11" s="133" t="s">
        <v>963</v>
      </c>
      <c r="C11">
        <v>2450</v>
      </c>
      <c r="F11">
        <v>2450</v>
      </c>
    </row>
    <row r="12" spans="1:6" x14ac:dyDescent="0.3">
      <c r="A12" s="133" t="s">
        <v>477</v>
      </c>
      <c r="C12">
        <v>2400</v>
      </c>
      <c r="D12">
        <v>330750</v>
      </c>
      <c r="F12">
        <v>333150</v>
      </c>
    </row>
    <row r="13" spans="1:6" x14ac:dyDescent="0.3">
      <c r="A13" s="133" t="s">
        <v>532</v>
      </c>
      <c r="B13">
        <v>65340</v>
      </c>
      <c r="C13">
        <v>710412</v>
      </c>
      <c r="D13">
        <v>162850</v>
      </c>
      <c r="E13">
        <v>900</v>
      </c>
      <c r="F13">
        <v>939502</v>
      </c>
    </row>
    <row r="14" spans="1:6" x14ac:dyDescent="0.3">
      <c r="A14" s="133" t="s">
        <v>2333</v>
      </c>
      <c r="C14">
        <v>525</v>
      </c>
      <c r="F14">
        <v>525</v>
      </c>
    </row>
    <row r="15" spans="1:6" x14ac:dyDescent="0.3">
      <c r="A15" s="133" t="s">
        <v>146</v>
      </c>
      <c r="B15">
        <v>89220</v>
      </c>
      <c r="C15">
        <v>1694270.82</v>
      </c>
      <c r="D15">
        <v>624632.03000000014</v>
      </c>
      <c r="E15">
        <v>12000</v>
      </c>
      <c r="F15">
        <v>2420122.85</v>
      </c>
    </row>
    <row r="16" spans="1:6" x14ac:dyDescent="0.3">
      <c r="A16" s="133" t="s">
        <v>2029</v>
      </c>
      <c r="B16">
        <v>10571</v>
      </c>
      <c r="C16">
        <v>5800</v>
      </c>
      <c r="D16">
        <v>145790.33000000002</v>
      </c>
      <c r="E16">
        <v>4500</v>
      </c>
      <c r="F16">
        <v>166661.33000000002</v>
      </c>
    </row>
    <row r="17" spans="1:6" x14ac:dyDescent="0.3">
      <c r="A17" s="133" t="s">
        <v>892</v>
      </c>
      <c r="D17">
        <v>46080</v>
      </c>
      <c r="F17">
        <v>46080</v>
      </c>
    </row>
    <row r="18" spans="1:6" x14ac:dyDescent="0.3">
      <c r="A18" s="133" t="s">
        <v>959</v>
      </c>
      <c r="C18">
        <v>11500</v>
      </c>
      <c r="F18">
        <v>11500</v>
      </c>
    </row>
    <row r="19" spans="1:6" x14ac:dyDescent="0.3">
      <c r="A19" s="133" t="s">
        <v>2027</v>
      </c>
      <c r="B19">
        <v>61240</v>
      </c>
      <c r="C19">
        <v>1740</v>
      </c>
      <c r="E19">
        <v>14000</v>
      </c>
      <c r="F19">
        <v>76980</v>
      </c>
    </row>
    <row r="20" spans="1:6" x14ac:dyDescent="0.3">
      <c r="A20" s="133" t="s">
        <v>473</v>
      </c>
      <c r="C20">
        <v>1972</v>
      </c>
      <c r="D20">
        <v>42183</v>
      </c>
      <c r="F20">
        <v>44155</v>
      </c>
    </row>
    <row r="21" spans="1:6" x14ac:dyDescent="0.3">
      <c r="A21" s="133" t="s">
        <v>2031</v>
      </c>
      <c r="E21">
        <v>22600</v>
      </c>
      <c r="F21">
        <v>22600</v>
      </c>
    </row>
    <row r="22" spans="1:6" x14ac:dyDescent="0.3">
      <c r="A22" s="133" t="s">
        <v>560</v>
      </c>
      <c r="C22">
        <v>23055</v>
      </c>
      <c r="D22">
        <v>40805</v>
      </c>
      <c r="E22">
        <v>10890</v>
      </c>
      <c r="F22">
        <v>74750</v>
      </c>
    </row>
    <row r="23" spans="1:6" x14ac:dyDescent="0.3">
      <c r="A23" s="133" t="s">
        <v>798</v>
      </c>
      <c r="D23">
        <v>1500</v>
      </c>
      <c r="F23">
        <v>1500</v>
      </c>
    </row>
    <row r="24" spans="1:6" x14ac:dyDescent="0.3">
      <c r="A24" s="133" t="s">
        <v>2034</v>
      </c>
      <c r="B24">
        <v>90173</v>
      </c>
      <c r="F24">
        <v>90173</v>
      </c>
    </row>
    <row r="25" spans="1:6" x14ac:dyDescent="0.3">
      <c r="A25" s="133" t="s">
        <v>966</v>
      </c>
      <c r="C25">
        <v>9650</v>
      </c>
      <c r="F25">
        <v>9650</v>
      </c>
    </row>
    <row r="26" spans="1:6" x14ac:dyDescent="0.3">
      <c r="A26" s="133" t="s">
        <v>2390</v>
      </c>
      <c r="D26">
        <v>108396.1</v>
      </c>
      <c r="F26">
        <v>108396.1</v>
      </c>
    </row>
    <row r="27" spans="1:6" x14ac:dyDescent="0.3">
      <c r="A27" s="133" t="s">
        <v>961</v>
      </c>
      <c r="C27">
        <v>138486</v>
      </c>
      <c r="F27">
        <v>138486</v>
      </c>
    </row>
    <row r="28" spans="1:6" x14ac:dyDescent="0.3">
      <c r="A28" s="133" t="s">
        <v>471</v>
      </c>
      <c r="D28">
        <v>2365619</v>
      </c>
      <c r="F28">
        <v>2365619</v>
      </c>
    </row>
    <row r="29" spans="1:6" x14ac:dyDescent="0.3">
      <c r="A29" s="133" t="s">
        <v>2036</v>
      </c>
      <c r="B29">
        <v>6000</v>
      </c>
      <c r="F29">
        <v>6000</v>
      </c>
    </row>
    <row r="30" spans="1:6" x14ac:dyDescent="0.3">
      <c r="A30" s="133" t="s">
        <v>660</v>
      </c>
      <c r="D30">
        <v>50000</v>
      </c>
      <c r="F30">
        <v>50000</v>
      </c>
    </row>
    <row r="31" spans="1:6" x14ac:dyDescent="0.3">
      <c r="A31" s="133" t="s">
        <v>2035</v>
      </c>
      <c r="B31">
        <v>30160</v>
      </c>
      <c r="F31">
        <v>30160</v>
      </c>
    </row>
    <row r="32" spans="1:6" x14ac:dyDescent="0.3">
      <c r="A32" s="133" t="s">
        <v>2024</v>
      </c>
      <c r="C32">
        <v>200</v>
      </c>
      <c r="E32">
        <v>2700</v>
      </c>
      <c r="F32">
        <v>2900</v>
      </c>
    </row>
    <row r="33" spans="1:6" x14ac:dyDescent="0.3">
      <c r="A33" s="133" t="s">
        <v>965</v>
      </c>
      <c r="C33">
        <v>300</v>
      </c>
      <c r="F33">
        <v>300</v>
      </c>
    </row>
    <row r="34" spans="1:6" x14ac:dyDescent="0.3">
      <c r="A34" s="133" t="s">
        <v>237</v>
      </c>
      <c r="C34">
        <v>358451</v>
      </c>
      <c r="F34">
        <v>358451</v>
      </c>
    </row>
    <row r="35" spans="1:6" x14ac:dyDescent="0.3">
      <c r="A35" s="133" t="s">
        <v>2032</v>
      </c>
      <c r="B35">
        <v>335967</v>
      </c>
      <c r="E35">
        <v>197996</v>
      </c>
      <c r="F35">
        <v>533963</v>
      </c>
    </row>
    <row r="36" spans="1:6" x14ac:dyDescent="0.3">
      <c r="A36" s="133" t="s">
        <v>2033</v>
      </c>
      <c r="B36">
        <v>10940</v>
      </c>
      <c r="F36">
        <v>10940</v>
      </c>
    </row>
    <row r="37" spans="1:6" x14ac:dyDescent="0.3">
      <c r="A37" s="133" t="s">
        <v>595</v>
      </c>
      <c r="B37">
        <v>680</v>
      </c>
      <c r="C37">
        <v>129777</v>
      </c>
      <c r="D37">
        <v>52590</v>
      </c>
      <c r="F37">
        <v>183047</v>
      </c>
    </row>
    <row r="38" spans="1:6" x14ac:dyDescent="0.3">
      <c r="A38" s="133" t="s">
        <v>839</v>
      </c>
      <c r="D38">
        <v>70000</v>
      </c>
      <c r="F38">
        <v>70000</v>
      </c>
    </row>
    <row r="39" spans="1:6" x14ac:dyDescent="0.3">
      <c r="A39" s="133" t="s">
        <v>459</v>
      </c>
      <c r="C39">
        <v>74145</v>
      </c>
      <c r="D39">
        <v>39090</v>
      </c>
      <c r="F39">
        <v>113235</v>
      </c>
    </row>
    <row r="40" spans="1:6" x14ac:dyDescent="0.3">
      <c r="A40" s="133" t="s">
        <v>960</v>
      </c>
      <c r="C40">
        <v>500</v>
      </c>
      <c r="F40">
        <v>500</v>
      </c>
    </row>
    <row r="41" spans="1:6" x14ac:dyDescent="0.3">
      <c r="A41" s="133" t="s">
        <v>975</v>
      </c>
      <c r="D41">
        <v>13000</v>
      </c>
      <c r="F41">
        <v>13000</v>
      </c>
    </row>
    <row r="42" spans="1:6" x14ac:dyDescent="0.3">
      <c r="A42" s="133" t="s">
        <v>612</v>
      </c>
      <c r="D42">
        <v>3000</v>
      </c>
      <c r="F42">
        <v>3000</v>
      </c>
    </row>
    <row r="43" spans="1:6" x14ac:dyDescent="0.3">
      <c r="A43" s="133" t="s">
        <v>969</v>
      </c>
      <c r="D43">
        <v>1650000</v>
      </c>
      <c r="F43">
        <v>1650000</v>
      </c>
    </row>
    <row r="44" spans="1:6" x14ac:dyDescent="0.3">
      <c r="A44" s="133" t="s">
        <v>843</v>
      </c>
      <c r="D44">
        <v>17072</v>
      </c>
      <c r="F44">
        <v>17072</v>
      </c>
    </row>
    <row r="45" spans="1:6" x14ac:dyDescent="0.3">
      <c r="A45" s="133" t="s">
        <v>962</v>
      </c>
      <c r="C45">
        <v>12015</v>
      </c>
      <c r="F45">
        <v>12015</v>
      </c>
    </row>
    <row r="46" spans="1:6" x14ac:dyDescent="0.3">
      <c r="A46" s="133" t="s">
        <v>686</v>
      </c>
      <c r="C46">
        <v>39979</v>
      </c>
      <c r="D46">
        <v>58870</v>
      </c>
      <c r="F46">
        <v>98849</v>
      </c>
    </row>
    <row r="47" spans="1:6" x14ac:dyDescent="0.3">
      <c r="A47" s="133" t="s">
        <v>958</v>
      </c>
      <c r="C47">
        <v>181463</v>
      </c>
      <c r="D47">
        <v>420734</v>
      </c>
      <c r="E47">
        <v>66700</v>
      </c>
      <c r="F47">
        <v>668897</v>
      </c>
    </row>
    <row r="48" spans="1:6" x14ac:dyDescent="0.3">
      <c r="A48" s="133" t="s">
        <v>896</v>
      </c>
      <c r="D48">
        <v>13690</v>
      </c>
      <c r="F48">
        <v>13690</v>
      </c>
    </row>
    <row r="49" spans="1:6" x14ac:dyDescent="0.3">
      <c r="A49" s="133" t="s">
        <v>474</v>
      </c>
      <c r="C49">
        <v>55800</v>
      </c>
      <c r="D49">
        <v>240675</v>
      </c>
      <c r="E49">
        <v>82000</v>
      </c>
      <c r="F49">
        <v>378475</v>
      </c>
    </row>
    <row r="50" spans="1:6" x14ac:dyDescent="0.3">
      <c r="A50" s="133" t="s">
        <v>600</v>
      </c>
      <c r="D50">
        <v>42000</v>
      </c>
      <c r="F50">
        <v>42000</v>
      </c>
    </row>
    <row r="51" spans="1:6" x14ac:dyDescent="0.3">
      <c r="A51" s="133" t="s">
        <v>908</v>
      </c>
      <c r="C51">
        <v>67250</v>
      </c>
      <c r="D51">
        <v>266345</v>
      </c>
      <c r="F51">
        <v>333595</v>
      </c>
    </row>
    <row r="52" spans="1:6" x14ac:dyDescent="0.3">
      <c r="A52" s="133" t="s">
        <v>551</v>
      </c>
      <c r="D52">
        <v>147643.5</v>
      </c>
      <c r="F52">
        <v>147643.5</v>
      </c>
    </row>
    <row r="53" spans="1:6" x14ac:dyDescent="0.3">
      <c r="A53" s="133" t="s">
        <v>2028</v>
      </c>
      <c r="E53">
        <v>5000</v>
      </c>
      <c r="F53">
        <v>5000</v>
      </c>
    </row>
    <row r="54" spans="1:6" x14ac:dyDescent="0.3">
      <c r="A54" s="133" t="s">
        <v>826</v>
      </c>
      <c r="D54">
        <v>47500</v>
      </c>
      <c r="F54">
        <v>47500</v>
      </c>
    </row>
    <row r="55" spans="1:6" x14ac:dyDescent="0.3">
      <c r="A55" s="133" t="s">
        <v>590</v>
      </c>
      <c r="C55">
        <v>65375</v>
      </c>
      <c r="D55">
        <v>23520</v>
      </c>
      <c r="F55">
        <v>88895</v>
      </c>
    </row>
    <row r="56" spans="1:6" x14ac:dyDescent="0.3">
      <c r="A56" s="133" t="s">
        <v>815</v>
      </c>
      <c r="D56">
        <v>34050</v>
      </c>
      <c r="F56">
        <v>34050</v>
      </c>
    </row>
    <row r="57" spans="1:6" x14ac:dyDescent="0.3">
      <c r="A57" s="133" t="s">
        <v>2026</v>
      </c>
      <c r="E57">
        <v>3290</v>
      </c>
      <c r="F57">
        <v>3290</v>
      </c>
    </row>
    <row r="58" spans="1:6" x14ac:dyDescent="0.3">
      <c r="A58" s="133" t="s">
        <v>2022</v>
      </c>
      <c r="B58">
        <v>363906</v>
      </c>
      <c r="C58">
        <v>115274</v>
      </c>
      <c r="D58">
        <v>20468</v>
      </c>
      <c r="E58">
        <v>99550</v>
      </c>
      <c r="F58">
        <v>599198</v>
      </c>
    </row>
    <row r="59" spans="1:6" x14ac:dyDescent="0.3">
      <c r="A59" s="133" t="s">
        <v>418</v>
      </c>
      <c r="D59">
        <v>96600</v>
      </c>
      <c r="F59">
        <v>96600</v>
      </c>
    </row>
    <row r="60" spans="1:6" x14ac:dyDescent="0.3">
      <c r="A60" s="133" t="s">
        <v>672</v>
      </c>
      <c r="D60">
        <v>200000</v>
      </c>
      <c r="F60">
        <v>200000</v>
      </c>
    </row>
    <row r="61" spans="1:6" x14ac:dyDescent="0.3">
      <c r="A61" s="133" t="s">
        <v>782</v>
      </c>
      <c r="C61">
        <v>1000</v>
      </c>
      <c r="D61">
        <v>6324782</v>
      </c>
      <c r="F61">
        <v>6325782</v>
      </c>
    </row>
    <row r="62" spans="1:6" x14ac:dyDescent="0.3">
      <c r="A62" s="133" t="s">
        <v>727</v>
      </c>
      <c r="C62">
        <v>12663</v>
      </c>
      <c r="D62">
        <v>1900</v>
      </c>
      <c r="F62">
        <v>14563</v>
      </c>
    </row>
    <row r="63" spans="1:6" x14ac:dyDescent="0.3">
      <c r="A63" s="133" t="s">
        <v>636</v>
      </c>
      <c r="D63">
        <v>250000</v>
      </c>
      <c r="F63">
        <v>250000</v>
      </c>
    </row>
    <row r="64" spans="1:6" x14ac:dyDescent="0.3">
      <c r="A64" s="133" t="s">
        <v>462</v>
      </c>
      <c r="D64">
        <v>7700</v>
      </c>
      <c r="F64">
        <v>7700</v>
      </c>
    </row>
    <row r="65" spans="1:6" x14ac:dyDescent="0.3">
      <c r="A65" s="133" t="s">
        <v>2025</v>
      </c>
      <c r="E65">
        <v>3300</v>
      </c>
      <c r="F65">
        <v>3300</v>
      </c>
    </row>
    <row r="66" spans="1:6" x14ac:dyDescent="0.3">
      <c r="A66" s="133" t="s">
        <v>549</v>
      </c>
      <c r="D66">
        <v>1500</v>
      </c>
      <c r="F66">
        <v>1500</v>
      </c>
    </row>
    <row r="67" spans="1:6" x14ac:dyDescent="0.3">
      <c r="A67" s="133" t="s">
        <v>822</v>
      </c>
      <c r="D67">
        <v>5000</v>
      </c>
      <c r="F67">
        <v>5000</v>
      </c>
    </row>
    <row r="68" spans="1:6" x14ac:dyDescent="0.3">
      <c r="A68" s="133" t="s">
        <v>967</v>
      </c>
      <c r="C68">
        <v>2500</v>
      </c>
      <c r="F68">
        <v>2500</v>
      </c>
    </row>
    <row r="69" spans="1:6" x14ac:dyDescent="0.3">
      <c r="A69" s="133" t="s">
        <v>964</v>
      </c>
      <c r="C69">
        <v>1000</v>
      </c>
      <c r="F69">
        <v>1000</v>
      </c>
    </row>
    <row r="70" spans="1:6" x14ac:dyDescent="0.3">
      <c r="A70" s="133" t="s">
        <v>516</v>
      </c>
      <c r="D70">
        <v>3503</v>
      </c>
      <c r="F70">
        <v>3503</v>
      </c>
    </row>
    <row r="71" spans="1:6" x14ac:dyDescent="0.3">
      <c r="A71" s="133" t="s">
        <v>434</v>
      </c>
      <c r="B71">
        <v>282364</v>
      </c>
      <c r="C71">
        <v>632260</v>
      </c>
      <c r="D71">
        <v>454120</v>
      </c>
      <c r="E71">
        <v>205390</v>
      </c>
      <c r="F71">
        <v>1574134</v>
      </c>
    </row>
    <row r="72" spans="1:6" x14ac:dyDescent="0.3">
      <c r="A72" s="133" t="s">
        <v>522</v>
      </c>
      <c r="B72">
        <v>72300</v>
      </c>
      <c r="C72">
        <v>145450</v>
      </c>
      <c r="D72">
        <v>69330</v>
      </c>
      <c r="E72">
        <v>90500</v>
      </c>
      <c r="F72">
        <v>377580</v>
      </c>
    </row>
    <row r="73" spans="1:6" x14ac:dyDescent="0.3">
      <c r="A73" s="133" t="s">
        <v>529</v>
      </c>
      <c r="C73">
        <v>1539</v>
      </c>
      <c r="D73">
        <v>12410</v>
      </c>
      <c r="F73">
        <v>13949</v>
      </c>
    </row>
    <row r="74" spans="1:6" x14ac:dyDescent="0.3">
      <c r="A74" s="133" t="s">
        <v>458</v>
      </c>
      <c r="D74">
        <v>11200</v>
      </c>
      <c r="F74">
        <v>11200</v>
      </c>
    </row>
    <row r="75" spans="1:6" x14ac:dyDescent="0.3">
      <c r="A75" s="133" t="s">
        <v>957</v>
      </c>
      <c r="C75">
        <v>20000</v>
      </c>
      <c r="F75">
        <v>20000</v>
      </c>
    </row>
    <row r="76" spans="1:6" x14ac:dyDescent="0.3">
      <c r="A76" s="133" t="s">
        <v>397</v>
      </c>
      <c r="D76">
        <v>51840</v>
      </c>
      <c r="F76">
        <v>51840</v>
      </c>
    </row>
    <row r="77" spans="1:6" x14ac:dyDescent="0.3">
      <c r="A77" s="133" t="s">
        <v>861</v>
      </c>
      <c r="D77">
        <v>269600</v>
      </c>
      <c r="F77">
        <v>269600</v>
      </c>
    </row>
    <row r="78" spans="1:6" x14ac:dyDescent="0.3">
      <c r="A78" s="133" t="s">
        <v>2638</v>
      </c>
      <c r="C78">
        <v>3300</v>
      </c>
      <c r="D78">
        <v>8496</v>
      </c>
      <c r="F78">
        <v>11796</v>
      </c>
    </row>
    <row r="79" spans="1:6" x14ac:dyDescent="0.3">
      <c r="A79" s="133" t="s">
        <v>4008</v>
      </c>
      <c r="B79">
        <v>8400</v>
      </c>
      <c r="C79">
        <v>30400</v>
      </c>
      <c r="D79">
        <v>2574776</v>
      </c>
      <c r="E79">
        <v>63820</v>
      </c>
      <c r="F79">
        <v>2677396</v>
      </c>
    </row>
    <row r="80" spans="1:6" x14ac:dyDescent="0.3">
      <c r="A80" s="133" t="s">
        <v>4128</v>
      </c>
      <c r="B80">
        <v>14800</v>
      </c>
      <c r="C80">
        <v>303900</v>
      </c>
      <c r="D80">
        <v>107052</v>
      </c>
      <c r="E80">
        <v>28300</v>
      </c>
      <c r="F80">
        <v>454052</v>
      </c>
    </row>
    <row r="81" spans="1:6" x14ac:dyDescent="0.3">
      <c r="A81" s="133" t="s">
        <v>2427</v>
      </c>
      <c r="C81">
        <v>332448</v>
      </c>
      <c r="D81">
        <v>807770.1</v>
      </c>
      <c r="F81">
        <v>1140218.1000000001</v>
      </c>
    </row>
    <row r="82" spans="1:6" x14ac:dyDescent="0.3">
      <c r="A82" s="133" t="s">
        <v>4009</v>
      </c>
      <c r="B82">
        <v>42000</v>
      </c>
      <c r="C82">
        <v>72240</v>
      </c>
      <c r="D82">
        <v>98690</v>
      </c>
      <c r="F82">
        <v>212930</v>
      </c>
    </row>
    <row r="83" spans="1:6" x14ac:dyDescent="0.3">
      <c r="A83" s="133" t="s">
        <v>4091</v>
      </c>
      <c r="C83">
        <v>9000</v>
      </c>
      <c r="D83">
        <v>3006</v>
      </c>
      <c r="F83">
        <v>12006</v>
      </c>
    </row>
    <row r="84" spans="1:6" x14ac:dyDescent="0.3">
      <c r="A84" s="133" t="s">
        <v>3349</v>
      </c>
      <c r="C84">
        <v>606</v>
      </c>
      <c r="D84">
        <v>607</v>
      </c>
      <c r="F84">
        <v>1213</v>
      </c>
    </row>
    <row r="85" spans="1:6" x14ac:dyDescent="0.3">
      <c r="A85" s="133" t="s">
        <v>3042</v>
      </c>
      <c r="C85">
        <v>1080</v>
      </c>
      <c r="F85">
        <v>1080</v>
      </c>
    </row>
    <row r="86" spans="1:6" x14ac:dyDescent="0.3">
      <c r="A86" s="133" t="s">
        <v>2765</v>
      </c>
      <c r="C86">
        <v>3000</v>
      </c>
      <c r="F86">
        <v>3000</v>
      </c>
    </row>
    <row r="87" spans="1:6" x14ac:dyDescent="0.3">
      <c r="A87" s="133" t="s">
        <v>3124</v>
      </c>
      <c r="C87">
        <v>13560</v>
      </c>
      <c r="F87">
        <v>13560</v>
      </c>
    </row>
    <row r="88" spans="1:6" x14ac:dyDescent="0.3">
      <c r="A88" s="133" t="s">
        <v>3173</v>
      </c>
      <c r="C88">
        <v>5980</v>
      </c>
      <c r="F88">
        <v>5980</v>
      </c>
    </row>
    <row r="89" spans="1:6" x14ac:dyDescent="0.3">
      <c r="A89" s="133" t="s">
        <v>4129</v>
      </c>
      <c r="C89">
        <v>4400</v>
      </c>
      <c r="F89">
        <v>4400</v>
      </c>
    </row>
    <row r="90" spans="1:6" x14ac:dyDescent="0.3">
      <c r="A90" s="133" t="s">
        <v>4097</v>
      </c>
      <c r="C90">
        <v>10400</v>
      </c>
      <c r="F90">
        <v>10400</v>
      </c>
    </row>
    <row r="91" spans="1:6" x14ac:dyDescent="0.3">
      <c r="A91" s="133" t="s">
        <v>3248</v>
      </c>
      <c r="C91">
        <v>120</v>
      </c>
      <c r="F91">
        <v>120</v>
      </c>
    </row>
    <row r="92" spans="1:6" x14ac:dyDescent="0.3">
      <c r="A92" s="133" t="s">
        <v>3892</v>
      </c>
      <c r="C92">
        <v>1500</v>
      </c>
      <c r="F92">
        <v>1500</v>
      </c>
    </row>
    <row r="93" spans="1:6" x14ac:dyDescent="0.3">
      <c r="A93" s="133" t="s">
        <v>2639</v>
      </c>
      <c r="B93">
        <v>1502525</v>
      </c>
      <c r="C93">
        <v>6192341.8200000003</v>
      </c>
      <c r="D93">
        <v>18773513.310000002</v>
      </c>
      <c r="E93">
        <v>1001836</v>
      </c>
      <c r="F93">
        <v>27470216.130000003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5901-4520-46C2-BDAB-144404DEAEFD}">
  <sheetPr>
    <pageSetUpPr autoPageBreaks="0"/>
  </sheetPr>
  <dimension ref="A1:M4080"/>
  <sheetViews>
    <sheetView showGridLines="0" tabSelected="1" zoomScale="89" zoomScaleNormal="89" workbookViewId="0">
      <pane ySplit="3" topLeftCell="A4069" activePane="bottomLeft" state="frozen"/>
      <selection pane="bottomLeft" activeCell="E4081" sqref="E4081"/>
    </sheetView>
  </sheetViews>
  <sheetFormatPr defaultRowHeight="14.4" x14ac:dyDescent="0.3"/>
  <cols>
    <col min="1" max="1" width="8.88671875" style="160"/>
    <col min="2" max="2" width="14.6640625" style="57" customWidth="1"/>
    <col min="3" max="3" width="23.77734375" style="143" bestFit="1" customWidth="1"/>
    <col min="4" max="4" width="17.109375" style="57" bestFit="1" customWidth="1"/>
    <col min="5" max="5" width="23.88671875" style="57" bestFit="1" customWidth="1"/>
    <col min="6" max="6" width="15.21875" style="57" bestFit="1" customWidth="1"/>
    <col min="7" max="7" width="17.44140625" style="57" bestFit="1" customWidth="1"/>
    <col min="8" max="8" width="160.77734375" style="140" bestFit="1" customWidth="1"/>
    <col min="9" max="9" width="39.21875" style="140" bestFit="1" customWidth="1"/>
    <col min="10" max="10" width="12.44140625" style="165" bestFit="1" customWidth="1"/>
    <col min="11" max="11" width="12.44140625" style="57" bestFit="1" customWidth="1"/>
    <col min="12" max="12" width="13.21875" style="164" bestFit="1" customWidth="1"/>
    <col min="13" max="13" width="72.88671875" style="57" bestFit="1" customWidth="1"/>
    <col min="14" max="16384" width="8.88671875" style="160"/>
  </cols>
  <sheetData>
    <row r="1" spans="2:13" x14ac:dyDescent="0.3">
      <c r="B1" s="157" t="s">
        <v>956</v>
      </c>
      <c r="C1" s="150"/>
      <c r="D1" s="157"/>
      <c r="E1" s="157"/>
      <c r="F1" s="157"/>
      <c r="G1" s="157"/>
      <c r="H1" s="177"/>
      <c r="I1" s="177"/>
      <c r="J1" s="158"/>
      <c r="K1" s="157"/>
      <c r="L1" s="159"/>
      <c r="M1" s="157"/>
    </row>
    <row r="2" spans="2:13" ht="15" customHeight="1" x14ac:dyDescent="0.3">
      <c r="B2" s="157" t="s">
        <v>955</v>
      </c>
      <c r="C2" s="150"/>
      <c r="D2" s="157"/>
      <c r="E2" s="157"/>
      <c r="F2" s="157"/>
      <c r="G2" s="157"/>
      <c r="H2" s="177"/>
      <c r="I2" s="177"/>
      <c r="J2" s="158"/>
      <c r="K2" s="157"/>
      <c r="L2" s="159">
        <f>SUBTOTAL(9,L4:L1048576)</f>
        <v>38648830.899999999</v>
      </c>
      <c r="M2" s="157"/>
    </row>
    <row r="3" spans="2:13" ht="15.6" x14ac:dyDescent="0.3">
      <c r="B3" s="161" t="s">
        <v>0</v>
      </c>
      <c r="C3" s="151" t="s">
        <v>1</v>
      </c>
      <c r="D3" s="161" t="s">
        <v>954</v>
      </c>
      <c r="E3" s="161" t="s">
        <v>953</v>
      </c>
      <c r="F3" s="161" t="s">
        <v>952</v>
      </c>
      <c r="G3" s="161" t="s">
        <v>951</v>
      </c>
      <c r="H3" s="178" t="s">
        <v>3</v>
      </c>
      <c r="I3" s="178" t="s">
        <v>237</v>
      </c>
      <c r="J3" s="162" t="s">
        <v>238</v>
      </c>
      <c r="K3" s="161" t="s">
        <v>239</v>
      </c>
      <c r="L3" s="163" t="s">
        <v>5</v>
      </c>
      <c r="M3" s="161" t="s">
        <v>6</v>
      </c>
    </row>
    <row r="4" spans="2:13" x14ac:dyDescent="0.3">
      <c r="B4" s="57">
        <v>1</v>
      </c>
      <c r="C4" s="141">
        <v>45942</v>
      </c>
      <c r="D4" s="57" t="s">
        <v>30</v>
      </c>
      <c r="E4" s="57" t="s">
        <v>522</v>
      </c>
      <c r="F4" s="57" t="s">
        <v>436</v>
      </c>
      <c r="G4" s="57" t="s">
        <v>987</v>
      </c>
      <c r="H4" s="140" t="s">
        <v>2078</v>
      </c>
      <c r="I4" s="57"/>
      <c r="J4" s="57"/>
      <c r="L4" s="164">
        <v>900</v>
      </c>
    </row>
    <row r="5" spans="2:13" x14ac:dyDescent="0.3">
      <c r="B5" s="57">
        <f>+B4+1</f>
        <v>2</v>
      </c>
      <c r="C5" s="141">
        <v>45942</v>
      </c>
      <c r="D5" s="57" t="s">
        <v>30</v>
      </c>
      <c r="E5" s="57" t="s">
        <v>4008</v>
      </c>
      <c r="F5" s="57" t="s">
        <v>436</v>
      </c>
      <c r="G5" s="57" t="s">
        <v>987</v>
      </c>
      <c r="H5" s="140" t="s">
        <v>2079</v>
      </c>
      <c r="I5" s="57"/>
      <c r="J5" s="57"/>
      <c r="L5" s="164">
        <v>6000</v>
      </c>
    </row>
    <row r="6" spans="2:13" x14ac:dyDescent="0.3">
      <c r="B6" s="57">
        <f t="shared" ref="B6:B69" si="0">+B5+1</f>
        <v>3</v>
      </c>
      <c r="C6" s="141">
        <v>45942</v>
      </c>
      <c r="D6" s="57" t="s">
        <v>30</v>
      </c>
      <c r="E6" s="57" t="s">
        <v>4008</v>
      </c>
      <c r="F6" s="57" t="s">
        <v>502</v>
      </c>
      <c r="G6" s="57" t="s">
        <v>257</v>
      </c>
      <c r="H6" s="140" t="s">
        <v>2079</v>
      </c>
      <c r="I6" s="57"/>
      <c r="J6" s="57"/>
      <c r="L6" s="164">
        <v>3120</v>
      </c>
    </row>
    <row r="7" spans="2:13" x14ac:dyDescent="0.3">
      <c r="B7" s="57">
        <f t="shared" si="0"/>
        <v>4</v>
      </c>
      <c r="C7" s="141">
        <v>45942</v>
      </c>
      <c r="D7" s="57" t="s">
        <v>30</v>
      </c>
      <c r="E7" s="57" t="s">
        <v>481</v>
      </c>
      <c r="F7" s="57" t="s">
        <v>502</v>
      </c>
      <c r="G7" s="57" t="s">
        <v>257</v>
      </c>
      <c r="H7" s="140" t="s">
        <v>2052</v>
      </c>
      <c r="I7" s="57"/>
      <c r="J7" s="57"/>
      <c r="L7" s="164">
        <v>2000</v>
      </c>
    </row>
    <row r="8" spans="2:13" x14ac:dyDescent="0.3">
      <c r="B8" s="57">
        <f t="shared" si="0"/>
        <v>5</v>
      </c>
      <c r="C8" s="142">
        <v>45973</v>
      </c>
      <c r="D8" s="57" t="s">
        <v>30</v>
      </c>
      <c r="E8" s="57" t="s">
        <v>522</v>
      </c>
      <c r="F8" s="57" t="s">
        <v>436</v>
      </c>
      <c r="G8" s="57" t="s">
        <v>987</v>
      </c>
      <c r="H8" s="140" t="s">
        <v>2078</v>
      </c>
      <c r="I8" s="57"/>
      <c r="J8" s="57"/>
      <c r="L8" s="164">
        <v>600</v>
      </c>
    </row>
    <row r="9" spans="2:13" x14ac:dyDescent="0.3">
      <c r="B9" s="57">
        <f t="shared" si="0"/>
        <v>6</v>
      </c>
      <c r="C9" s="141">
        <v>45973</v>
      </c>
      <c r="D9" s="57" t="s">
        <v>30</v>
      </c>
      <c r="E9" s="57" t="s">
        <v>4008</v>
      </c>
      <c r="F9" s="57" t="s">
        <v>502</v>
      </c>
      <c r="G9" s="57" t="s">
        <v>257</v>
      </c>
      <c r="H9" s="140" t="s">
        <v>2080</v>
      </c>
      <c r="I9" s="57"/>
      <c r="J9" s="57"/>
      <c r="L9" s="164">
        <v>20000</v>
      </c>
    </row>
    <row r="10" spans="2:13" x14ac:dyDescent="0.3">
      <c r="B10" s="57">
        <f t="shared" si="0"/>
        <v>7</v>
      </c>
      <c r="C10" s="141">
        <v>45973</v>
      </c>
      <c r="D10" s="57" t="s">
        <v>30</v>
      </c>
      <c r="E10" s="57" t="s">
        <v>434</v>
      </c>
      <c r="F10" s="57" t="s">
        <v>502</v>
      </c>
      <c r="G10" s="57" t="s">
        <v>257</v>
      </c>
      <c r="H10" s="140" t="s">
        <v>2081</v>
      </c>
      <c r="I10" s="57"/>
      <c r="J10" s="57"/>
      <c r="L10" s="164">
        <v>9600</v>
      </c>
    </row>
    <row r="11" spans="2:13" x14ac:dyDescent="0.3">
      <c r="B11" s="57">
        <f t="shared" si="0"/>
        <v>8</v>
      </c>
      <c r="C11" s="141">
        <v>45973</v>
      </c>
      <c r="D11" s="57" t="s">
        <v>30</v>
      </c>
      <c r="E11" s="57" t="s">
        <v>434</v>
      </c>
      <c r="F11" s="57" t="s">
        <v>502</v>
      </c>
      <c r="G11" s="57" t="s">
        <v>257</v>
      </c>
      <c r="H11" s="140" t="s">
        <v>2082</v>
      </c>
      <c r="I11" s="57"/>
      <c r="J11" s="57"/>
      <c r="L11" s="164">
        <v>170</v>
      </c>
    </row>
    <row r="12" spans="2:13" x14ac:dyDescent="0.3">
      <c r="B12" s="57">
        <f t="shared" si="0"/>
        <v>9</v>
      </c>
      <c r="C12" s="142">
        <v>45999</v>
      </c>
      <c r="D12" s="57" t="s">
        <v>30</v>
      </c>
      <c r="E12" s="57" t="s">
        <v>522</v>
      </c>
      <c r="F12" s="57" t="s">
        <v>436</v>
      </c>
      <c r="G12" s="57" t="s">
        <v>987</v>
      </c>
      <c r="H12" s="140" t="s">
        <v>2071</v>
      </c>
      <c r="I12" s="57"/>
      <c r="J12" s="57"/>
      <c r="L12" s="164">
        <v>3000</v>
      </c>
    </row>
    <row r="13" spans="2:13" x14ac:dyDescent="0.3">
      <c r="B13" s="57">
        <f t="shared" si="0"/>
        <v>10</v>
      </c>
      <c r="C13" s="142">
        <v>45999</v>
      </c>
      <c r="D13" s="57" t="s">
        <v>30</v>
      </c>
      <c r="E13" s="57" t="s">
        <v>434</v>
      </c>
      <c r="F13" s="57" t="s">
        <v>436</v>
      </c>
      <c r="G13" s="57" t="s">
        <v>987</v>
      </c>
      <c r="H13" s="140" t="s">
        <v>2072</v>
      </c>
      <c r="I13" s="57"/>
      <c r="J13" s="57"/>
      <c r="L13" s="164">
        <v>2900</v>
      </c>
    </row>
    <row r="14" spans="2:13" x14ac:dyDescent="0.3">
      <c r="B14" s="57">
        <f t="shared" si="0"/>
        <v>11</v>
      </c>
      <c r="C14" s="142">
        <v>45999</v>
      </c>
      <c r="D14" s="57" t="s">
        <v>30</v>
      </c>
      <c r="E14" s="57" t="s">
        <v>434</v>
      </c>
      <c r="F14" s="57" t="s">
        <v>502</v>
      </c>
      <c r="G14" s="57" t="s">
        <v>257</v>
      </c>
      <c r="H14" s="140" t="s">
        <v>2073</v>
      </c>
      <c r="I14" s="57"/>
      <c r="J14" s="57"/>
      <c r="L14" s="164">
        <v>4500</v>
      </c>
    </row>
    <row r="15" spans="2:13" x14ac:dyDescent="0.3">
      <c r="B15" s="57">
        <f t="shared" si="0"/>
        <v>12</v>
      </c>
      <c r="C15" s="142">
        <v>45999</v>
      </c>
      <c r="D15" s="57" t="s">
        <v>30</v>
      </c>
      <c r="E15" s="57" t="s">
        <v>434</v>
      </c>
      <c r="F15" s="57" t="s">
        <v>436</v>
      </c>
      <c r="G15" s="57" t="s">
        <v>987</v>
      </c>
      <c r="H15" s="140" t="s">
        <v>2074</v>
      </c>
      <c r="I15" s="57"/>
      <c r="J15" s="57"/>
      <c r="L15" s="164">
        <v>400</v>
      </c>
    </row>
    <row r="16" spans="2:13" x14ac:dyDescent="0.3">
      <c r="B16" s="57">
        <f t="shared" si="0"/>
        <v>13</v>
      </c>
      <c r="C16" s="142">
        <v>46000</v>
      </c>
      <c r="D16" s="57" t="s">
        <v>30</v>
      </c>
      <c r="E16" s="57" t="s">
        <v>434</v>
      </c>
      <c r="F16" s="57" t="s">
        <v>436</v>
      </c>
      <c r="G16" s="57" t="s">
        <v>987</v>
      </c>
      <c r="H16" s="140" t="s">
        <v>2075</v>
      </c>
      <c r="I16" s="57"/>
      <c r="J16" s="57"/>
      <c r="L16" s="164">
        <v>3600</v>
      </c>
    </row>
    <row r="17" spans="2:12" x14ac:dyDescent="0.3">
      <c r="B17" s="57">
        <f t="shared" si="0"/>
        <v>14</v>
      </c>
      <c r="C17" s="142">
        <v>46000</v>
      </c>
      <c r="D17" s="57" t="s">
        <v>30</v>
      </c>
      <c r="E17" s="57" t="s">
        <v>434</v>
      </c>
      <c r="F17" s="57" t="s">
        <v>502</v>
      </c>
      <c r="G17" s="57" t="s">
        <v>257</v>
      </c>
      <c r="H17" s="140" t="s">
        <v>2076</v>
      </c>
      <c r="I17" s="57"/>
      <c r="J17" s="57"/>
      <c r="L17" s="164">
        <v>9800</v>
      </c>
    </row>
    <row r="18" spans="2:12" x14ac:dyDescent="0.3">
      <c r="B18" s="57">
        <f t="shared" si="0"/>
        <v>15</v>
      </c>
      <c r="C18" s="142">
        <v>46000</v>
      </c>
      <c r="D18" s="57" t="s">
        <v>30</v>
      </c>
      <c r="E18" s="57" t="s">
        <v>434</v>
      </c>
      <c r="F18" s="57" t="s">
        <v>502</v>
      </c>
      <c r="G18" s="57" t="s">
        <v>257</v>
      </c>
      <c r="H18" s="140" t="s">
        <v>2077</v>
      </c>
      <c r="I18" s="57"/>
      <c r="J18" s="57"/>
      <c r="L18" s="164">
        <v>5500</v>
      </c>
    </row>
    <row r="19" spans="2:12" x14ac:dyDescent="0.3">
      <c r="B19" s="57">
        <f t="shared" si="0"/>
        <v>16</v>
      </c>
      <c r="C19" s="141">
        <v>46003</v>
      </c>
      <c r="D19" s="57" t="s">
        <v>30</v>
      </c>
      <c r="E19" s="57" t="s">
        <v>560</v>
      </c>
      <c r="F19" s="57" t="s">
        <v>436</v>
      </c>
      <c r="G19" s="57" t="s">
        <v>987</v>
      </c>
      <c r="H19" s="140" t="s">
        <v>2078</v>
      </c>
      <c r="I19" s="57"/>
      <c r="J19" s="57"/>
      <c r="L19" s="164">
        <v>800</v>
      </c>
    </row>
    <row r="20" spans="2:12" x14ac:dyDescent="0.3">
      <c r="B20" s="57">
        <f t="shared" si="0"/>
        <v>17</v>
      </c>
      <c r="C20" s="141">
        <v>46003</v>
      </c>
      <c r="D20" s="57" t="s">
        <v>30</v>
      </c>
      <c r="E20" s="57" t="s">
        <v>2022</v>
      </c>
      <c r="F20" s="57" t="s">
        <v>436</v>
      </c>
      <c r="G20" s="57" t="s">
        <v>987</v>
      </c>
      <c r="H20" s="140" t="s">
        <v>2067</v>
      </c>
      <c r="I20" s="57"/>
      <c r="J20" s="57"/>
      <c r="L20" s="164">
        <v>400</v>
      </c>
    </row>
    <row r="21" spans="2:12" x14ac:dyDescent="0.3">
      <c r="B21" s="57">
        <f t="shared" si="0"/>
        <v>18</v>
      </c>
      <c r="C21" s="141">
        <v>46004</v>
      </c>
      <c r="D21" s="57" t="s">
        <v>30</v>
      </c>
      <c r="E21" s="57" t="s">
        <v>4008</v>
      </c>
      <c r="F21" s="57" t="s">
        <v>436</v>
      </c>
      <c r="G21" s="57" t="s">
        <v>987</v>
      </c>
      <c r="H21" s="140" t="s">
        <v>2079</v>
      </c>
      <c r="I21" s="57"/>
      <c r="J21" s="57"/>
      <c r="L21" s="164">
        <v>1200</v>
      </c>
    </row>
    <row r="22" spans="2:12" x14ac:dyDescent="0.3">
      <c r="B22" s="57">
        <f t="shared" si="0"/>
        <v>19</v>
      </c>
      <c r="C22" s="141">
        <v>46006</v>
      </c>
      <c r="D22" s="57" t="s">
        <v>30</v>
      </c>
      <c r="E22" s="57" t="s">
        <v>434</v>
      </c>
      <c r="F22" s="57" t="s">
        <v>502</v>
      </c>
      <c r="G22" s="57" t="s">
        <v>257</v>
      </c>
      <c r="H22" s="140" t="s">
        <v>2083</v>
      </c>
      <c r="I22" s="57"/>
      <c r="J22" s="57"/>
      <c r="L22" s="164">
        <v>1000</v>
      </c>
    </row>
    <row r="23" spans="2:12" x14ac:dyDescent="0.3">
      <c r="B23" s="57">
        <f t="shared" si="0"/>
        <v>20</v>
      </c>
      <c r="C23" s="141">
        <v>46006</v>
      </c>
      <c r="D23" s="57" t="s">
        <v>30</v>
      </c>
      <c r="E23" s="57" t="s">
        <v>434</v>
      </c>
      <c r="F23" s="57" t="s">
        <v>502</v>
      </c>
      <c r="G23" s="57" t="s">
        <v>257</v>
      </c>
      <c r="H23" s="140" t="s">
        <v>2084</v>
      </c>
      <c r="I23" s="57"/>
      <c r="J23" s="57"/>
      <c r="L23" s="164">
        <v>2100</v>
      </c>
    </row>
    <row r="24" spans="2:12" x14ac:dyDescent="0.3">
      <c r="B24" s="57">
        <f t="shared" si="0"/>
        <v>21</v>
      </c>
      <c r="C24" s="141">
        <v>46008</v>
      </c>
      <c r="D24" s="57" t="s">
        <v>30</v>
      </c>
      <c r="E24" s="57" t="s">
        <v>560</v>
      </c>
      <c r="F24" s="57" t="s">
        <v>300</v>
      </c>
      <c r="G24" s="57" t="s">
        <v>530</v>
      </c>
      <c r="H24" s="140" t="s">
        <v>2087</v>
      </c>
      <c r="I24" s="57"/>
      <c r="J24" s="57"/>
      <c r="L24" s="164">
        <v>470</v>
      </c>
    </row>
    <row r="25" spans="2:12" x14ac:dyDescent="0.3">
      <c r="B25" s="57">
        <f t="shared" si="0"/>
        <v>22</v>
      </c>
      <c r="C25" s="141">
        <v>46008</v>
      </c>
      <c r="D25" s="57" t="s">
        <v>30</v>
      </c>
      <c r="E25" s="57" t="s">
        <v>2022</v>
      </c>
      <c r="F25" s="57" t="s">
        <v>436</v>
      </c>
      <c r="G25" s="57" t="s">
        <v>987</v>
      </c>
      <c r="H25" s="140" t="s">
        <v>2088</v>
      </c>
      <c r="I25" s="57"/>
      <c r="J25" s="57"/>
      <c r="L25" s="164">
        <v>400</v>
      </c>
    </row>
    <row r="26" spans="2:12" x14ac:dyDescent="0.3">
      <c r="B26" s="57">
        <f t="shared" si="0"/>
        <v>23</v>
      </c>
      <c r="C26" s="141">
        <v>46008</v>
      </c>
      <c r="D26" s="57" t="s">
        <v>30</v>
      </c>
      <c r="E26" s="57" t="s">
        <v>2022</v>
      </c>
      <c r="F26" s="57" t="s">
        <v>300</v>
      </c>
      <c r="G26" s="57" t="s">
        <v>530</v>
      </c>
      <c r="H26" s="140" t="s">
        <v>2089</v>
      </c>
      <c r="I26" s="57"/>
      <c r="J26" s="57"/>
      <c r="L26" s="164">
        <v>5000</v>
      </c>
    </row>
    <row r="27" spans="2:12" x14ac:dyDescent="0.3">
      <c r="B27" s="57">
        <f t="shared" si="0"/>
        <v>24</v>
      </c>
      <c r="C27" s="141">
        <v>46008</v>
      </c>
      <c r="D27" s="57" t="s">
        <v>30</v>
      </c>
      <c r="E27" s="57" t="s">
        <v>2027</v>
      </c>
      <c r="F27" s="57" t="s">
        <v>300</v>
      </c>
      <c r="G27" s="57" t="s">
        <v>530</v>
      </c>
      <c r="H27" s="140" t="s">
        <v>2090</v>
      </c>
      <c r="I27" s="57"/>
      <c r="J27" s="57"/>
      <c r="L27" s="164">
        <v>4600</v>
      </c>
    </row>
    <row r="28" spans="2:12" x14ac:dyDescent="0.3">
      <c r="B28" s="57">
        <f t="shared" si="0"/>
        <v>25</v>
      </c>
      <c r="C28" s="141">
        <v>46008</v>
      </c>
      <c r="D28" s="57" t="s">
        <v>30</v>
      </c>
      <c r="E28" s="57" t="s">
        <v>2022</v>
      </c>
      <c r="F28" s="57" t="s">
        <v>300</v>
      </c>
      <c r="G28" s="57" t="s">
        <v>530</v>
      </c>
      <c r="H28" s="140" t="s">
        <v>2091</v>
      </c>
      <c r="I28" s="57"/>
      <c r="J28" s="57"/>
      <c r="L28" s="164">
        <v>37970</v>
      </c>
    </row>
    <row r="29" spans="2:12" x14ac:dyDescent="0.3">
      <c r="B29" s="57">
        <f t="shared" si="0"/>
        <v>26</v>
      </c>
      <c r="C29" s="141">
        <v>46008</v>
      </c>
      <c r="D29" s="57" t="s">
        <v>30</v>
      </c>
      <c r="E29" s="57" t="s">
        <v>2022</v>
      </c>
      <c r="F29" s="57" t="s">
        <v>300</v>
      </c>
      <c r="G29" s="57" t="s">
        <v>530</v>
      </c>
      <c r="H29" s="140" t="s">
        <v>2092</v>
      </c>
      <c r="I29" s="57"/>
      <c r="J29" s="57"/>
      <c r="L29" s="164">
        <v>27600</v>
      </c>
    </row>
    <row r="30" spans="2:12" x14ac:dyDescent="0.3">
      <c r="B30" s="57">
        <f t="shared" si="0"/>
        <v>27</v>
      </c>
      <c r="C30" s="141">
        <v>46008</v>
      </c>
      <c r="D30" s="57" t="s">
        <v>30</v>
      </c>
      <c r="E30" s="57" t="s">
        <v>474</v>
      </c>
      <c r="F30" s="57" t="s">
        <v>300</v>
      </c>
      <c r="G30" s="57" t="s">
        <v>530</v>
      </c>
      <c r="H30" s="140" t="s">
        <v>2093</v>
      </c>
      <c r="I30" s="57"/>
      <c r="J30" s="57"/>
      <c r="L30" s="164">
        <v>82000</v>
      </c>
    </row>
    <row r="31" spans="2:12" x14ac:dyDescent="0.3">
      <c r="B31" s="57">
        <f t="shared" si="0"/>
        <v>28</v>
      </c>
      <c r="C31" s="141">
        <v>46008</v>
      </c>
      <c r="D31" s="57" t="s">
        <v>30</v>
      </c>
      <c r="E31" s="57" t="s">
        <v>2022</v>
      </c>
      <c r="F31" s="57" t="s">
        <v>436</v>
      </c>
      <c r="G31" s="57" t="s">
        <v>987</v>
      </c>
      <c r="H31" s="140" t="s">
        <v>2067</v>
      </c>
      <c r="I31" s="57"/>
      <c r="J31" s="57"/>
      <c r="L31" s="164">
        <v>1300</v>
      </c>
    </row>
    <row r="32" spans="2:12" x14ac:dyDescent="0.3">
      <c r="B32" s="57">
        <f t="shared" si="0"/>
        <v>29</v>
      </c>
      <c r="C32" s="141">
        <v>46010</v>
      </c>
      <c r="D32" s="57" t="s">
        <v>30</v>
      </c>
      <c r="E32" s="57" t="s">
        <v>434</v>
      </c>
      <c r="F32" s="57" t="s">
        <v>436</v>
      </c>
      <c r="G32" s="57" t="s">
        <v>987</v>
      </c>
      <c r="H32" s="140" t="s">
        <v>2094</v>
      </c>
      <c r="I32" s="57"/>
      <c r="J32" s="57"/>
      <c r="L32" s="164">
        <v>2500</v>
      </c>
    </row>
    <row r="33" spans="2:13" x14ac:dyDescent="0.3">
      <c r="B33" s="57">
        <f t="shared" si="0"/>
        <v>30</v>
      </c>
      <c r="C33" s="141">
        <v>46010</v>
      </c>
      <c r="D33" s="57" t="s">
        <v>30</v>
      </c>
      <c r="E33" s="57" t="s">
        <v>522</v>
      </c>
      <c r="F33" s="57" t="s">
        <v>436</v>
      </c>
      <c r="G33" s="57" t="s">
        <v>987</v>
      </c>
      <c r="H33" s="140" t="s">
        <v>2078</v>
      </c>
      <c r="I33" s="57"/>
      <c r="J33" s="57"/>
      <c r="L33" s="164">
        <v>800</v>
      </c>
    </row>
    <row r="34" spans="2:13" x14ac:dyDescent="0.3">
      <c r="B34" s="57">
        <f t="shared" si="0"/>
        <v>31</v>
      </c>
      <c r="C34" s="141">
        <v>46011</v>
      </c>
      <c r="D34" s="57" t="s">
        <v>2020</v>
      </c>
      <c r="E34" s="57" t="s">
        <v>522</v>
      </c>
      <c r="F34" s="57" t="s">
        <v>436</v>
      </c>
      <c r="G34" s="57" t="s">
        <v>987</v>
      </c>
      <c r="H34" s="140" t="s">
        <v>2078</v>
      </c>
      <c r="I34" s="57"/>
      <c r="J34" s="57"/>
      <c r="L34" s="164">
        <v>700</v>
      </c>
    </row>
    <row r="35" spans="2:13" x14ac:dyDescent="0.3">
      <c r="B35" s="57">
        <f t="shared" si="0"/>
        <v>32</v>
      </c>
      <c r="C35" s="141">
        <v>46012</v>
      </c>
      <c r="D35" s="57" t="s">
        <v>2020</v>
      </c>
      <c r="E35" s="57" t="s">
        <v>4128</v>
      </c>
      <c r="F35" s="57" t="s">
        <v>502</v>
      </c>
      <c r="G35" s="57" t="s">
        <v>257</v>
      </c>
      <c r="H35" s="140" t="s">
        <v>2095</v>
      </c>
      <c r="I35" s="57"/>
      <c r="J35" s="57"/>
      <c r="L35" s="164">
        <v>9000</v>
      </c>
    </row>
    <row r="36" spans="2:13" x14ac:dyDescent="0.3">
      <c r="B36" s="57">
        <f t="shared" si="0"/>
        <v>33</v>
      </c>
      <c r="C36" s="141">
        <v>46012</v>
      </c>
      <c r="D36" s="57" t="s">
        <v>2020</v>
      </c>
      <c r="E36" s="57" t="s">
        <v>522</v>
      </c>
      <c r="F36" s="57" t="s">
        <v>300</v>
      </c>
      <c r="G36" s="57" t="s">
        <v>530</v>
      </c>
      <c r="H36" s="140" t="s">
        <v>2096</v>
      </c>
      <c r="I36" s="57"/>
      <c r="J36" s="57"/>
      <c r="L36" s="164">
        <v>4000</v>
      </c>
      <c r="M36" s="57" t="s">
        <v>2316</v>
      </c>
    </row>
    <row r="37" spans="2:13" x14ac:dyDescent="0.3">
      <c r="B37" s="57">
        <f t="shared" si="0"/>
        <v>34</v>
      </c>
      <c r="C37" s="141">
        <v>46012</v>
      </c>
      <c r="D37" s="57" t="s">
        <v>2020</v>
      </c>
      <c r="E37" s="57" t="s">
        <v>958</v>
      </c>
      <c r="F37" s="57" t="s">
        <v>300</v>
      </c>
      <c r="G37" s="57" t="s">
        <v>530</v>
      </c>
      <c r="H37" s="140" t="s">
        <v>2097</v>
      </c>
      <c r="I37" s="57"/>
      <c r="J37" s="57"/>
      <c r="L37" s="164">
        <v>12000</v>
      </c>
    </row>
    <row r="38" spans="2:13" x14ac:dyDescent="0.3">
      <c r="B38" s="57">
        <f t="shared" si="0"/>
        <v>35</v>
      </c>
      <c r="C38" s="141">
        <v>46012</v>
      </c>
      <c r="D38" s="57" t="s">
        <v>2020</v>
      </c>
      <c r="E38" s="57" t="s">
        <v>958</v>
      </c>
      <c r="F38" s="57" t="s">
        <v>300</v>
      </c>
      <c r="G38" s="57" t="s">
        <v>530</v>
      </c>
      <c r="H38" s="140" t="s">
        <v>2098</v>
      </c>
      <c r="I38" s="57"/>
      <c r="J38" s="57"/>
      <c r="L38" s="164">
        <v>11500</v>
      </c>
    </row>
    <row r="39" spans="2:13" x14ac:dyDescent="0.3">
      <c r="B39" s="57">
        <f t="shared" si="0"/>
        <v>36</v>
      </c>
      <c r="C39" s="141">
        <v>46012</v>
      </c>
      <c r="D39" s="57" t="s">
        <v>2020</v>
      </c>
      <c r="E39" s="57" t="s">
        <v>522</v>
      </c>
      <c r="F39" s="57" t="s">
        <v>436</v>
      </c>
      <c r="G39" s="57" t="s">
        <v>987</v>
      </c>
      <c r="H39" s="140" t="s">
        <v>2099</v>
      </c>
      <c r="I39" s="57"/>
      <c r="J39" s="57"/>
      <c r="L39" s="164">
        <v>8000</v>
      </c>
    </row>
    <row r="40" spans="2:13" x14ac:dyDescent="0.3">
      <c r="B40" s="57">
        <f t="shared" si="0"/>
        <v>37</v>
      </c>
      <c r="C40" s="141">
        <v>46014</v>
      </c>
      <c r="D40" s="57" t="s">
        <v>2020</v>
      </c>
      <c r="E40" s="57" t="s">
        <v>434</v>
      </c>
      <c r="F40" s="57" t="s">
        <v>300</v>
      </c>
      <c r="G40" s="57" t="s">
        <v>530</v>
      </c>
      <c r="H40" s="140" t="s">
        <v>2100</v>
      </c>
      <c r="I40" s="57"/>
      <c r="J40" s="57"/>
      <c r="L40" s="164">
        <v>20000</v>
      </c>
    </row>
    <row r="41" spans="2:13" x14ac:dyDescent="0.3">
      <c r="B41" s="57">
        <f t="shared" si="0"/>
        <v>38</v>
      </c>
      <c r="C41" s="141">
        <v>46015</v>
      </c>
      <c r="D41" s="57" t="s">
        <v>2020</v>
      </c>
      <c r="E41" s="57" t="s">
        <v>560</v>
      </c>
      <c r="F41" s="57" t="s">
        <v>300</v>
      </c>
      <c r="G41" s="57" t="s">
        <v>443</v>
      </c>
      <c r="H41" s="140" t="s">
        <v>560</v>
      </c>
      <c r="I41" s="57"/>
      <c r="J41" s="57"/>
      <c r="L41" s="164">
        <v>1300</v>
      </c>
    </row>
    <row r="42" spans="2:13" x14ac:dyDescent="0.3">
      <c r="B42" s="57">
        <f t="shared" si="0"/>
        <v>39</v>
      </c>
      <c r="C42" s="141">
        <v>46016</v>
      </c>
      <c r="D42" s="57" t="s">
        <v>2020</v>
      </c>
      <c r="E42" s="57" t="s">
        <v>146</v>
      </c>
      <c r="F42" s="57" t="s">
        <v>436</v>
      </c>
      <c r="G42" s="57" t="s">
        <v>987</v>
      </c>
      <c r="H42" s="140" t="s">
        <v>2101</v>
      </c>
      <c r="I42" s="57" t="s">
        <v>146</v>
      </c>
      <c r="J42" s="165">
        <f>L42/K42</f>
        <v>20.833333333333332</v>
      </c>
      <c r="K42" s="57">
        <v>96</v>
      </c>
      <c r="L42" s="164">
        <v>2000</v>
      </c>
      <c r="M42" s="57" t="s">
        <v>2317</v>
      </c>
    </row>
    <row r="43" spans="2:13" x14ac:dyDescent="0.3">
      <c r="B43" s="57">
        <f t="shared" si="0"/>
        <v>40</v>
      </c>
      <c r="C43" s="141">
        <v>46016</v>
      </c>
      <c r="D43" s="57" t="s">
        <v>30</v>
      </c>
      <c r="E43" s="57" t="s">
        <v>4008</v>
      </c>
      <c r="F43" s="57" t="s">
        <v>436</v>
      </c>
      <c r="G43" s="57" t="s">
        <v>987</v>
      </c>
      <c r="H43" s="140" t="s">
        <v>2102</v>
      </c>
      <c r="I43" s="57"/>
      <c r="J43" s="57"/>
      <c r="L43" s="164">
        <v>3000</v>
      </c>
    </row>
    <row r="44" spans="2:13" x14ac:dyDescent="0.3">
      <c r="B44" s="57">
        <f t="shared" si="0"/>
        <v>41</v>
      </c>
      <c r="C44" s="141">
        <v>46016</v>
      </c>
      <c r="D44" s="57" t="s">
        <v>30</v>
      </c>
      <c r="E44" s="57" t="s">
        <v>560</v>
      </c>
      <c r="F44" s="57" t="s">
        <v>436</v>
      </c>
      <c r="G44" s="57" t="s">
        <v>987</v>
      </c>
      <c r="H44" s="140" t="s">
        <v>2078</v>
      </c>
      <c r="I44" s="57"/>
      <c r="J44" s="57"/>
      <c r="L44" s="164">
        <v>900</v>
      </c>
    </row>
    <row r="45" spans="2:13" x14ac:dyDescent="0.3">
      <c r="B45" s="57">
        <f t="shared" si="0"/>
        <v>42</v>
      </c>
      <c r="C45" s="141">
        <v>46016</v>
      </c>
      <c r="D45" s="57" t="s">
        <v>30</v>
      </c>
      <c r="E45" s="57" t="s">
        <v>434</v>
      </c>
      <c r="F45" s="57" t="s">
        <v>436</v>
      </c>
      <c r="G45" s="57" t="s">
        <v>987</v>
      </c>
      <c r="H45" s="140" t="s">
        <v>2103</v>
      </c>
      <c r="I45" s="57"/>
      <c r="J45" s="57"/>
      <c r="L45" s="164">
        <v>3000</v>
      </c>
    </row>
    <row r="46" spans="2:13" x14ac:dyDescent="0.3">
      <c r="B46" s="57">
        <f t="shared" si="0"/>
        <v>43</v>
      </c>
      <c r="C46" s="141">
        <v>46016</v>
      </c>
      <c r="D46" s="57" t="s">
        <v>30</v>
      </c>
      <c r="E46" s="57" t="s">
        <v>2029</v>
      </c>
      <c r="F46" s="57" t="s">
        <v>436</v>
      </c>
      <c r="G46" s="57" t="s">
        <v>987</v>
      </c>
      <c r="H46" s="140" t="s">
        <v>2104</v>
      </c>
      <c r="I46" s="57"/>
      <c r="J46" s="165">
        <f>L46/K46</f>
        <v>20.833333333333332</v>
      </c>
      <c r="K46" s="57">
        <v>96</v>
      </c>
      <c r="L46" s="164">
        <v>2000</v>
      </c>
    </row>
    <row r="47" spans="2:13" x14ac:dyDescent="0.3">
      <c r="B47" s="57">
        <f t="shared" si="0"/>
        <v>44</v>
      </c>
      <c r="C47" s="141">
        <v>46017</v>
      </c>
      <c r="D47" s="57" t="s">
        <v>30</v>
      </c>
      <c r="E47" s="57" t="s">
        <v>2028</v>
      </c>
      <c r="F47" s="57" t="s">
        <v>436</v>
      </c>
      <c r="G47" s="57" t="s">
        <v>987</v>
      </c>
      <c r="H47" s="140" t="s">
        <v>2105</v>
      </c>
      <c r="I47" s="57"/>
      <c r="J47" s="57"/>
      <c r="L47" s="164">
        <v>2500</v>
      </c>
    </row>
    <row r="48" spans="2:13" x14ac:dyDescent="0.3">
      <c r="B48" s="57">
        <f t="shared" si="0"/>
        <v>45</v>
      </c>
      <c r="C48" s="141">
        <v>46017</v>
      </c>
      <c r="D48" s="57" t="s">
        <v>30</v>
      </c>
      <c r="E48" s="57" t="s">
        <v>560</v>
      </c>
      <c r="F48" s="57" t="s">
        <v>436</v>
      </c>
      <c r="G48" s="57" t="s">
        <v>987</v>
      </c>
      <c r="H48" s="140" t="s">
        <v>2106</v>
      </c>
      <c r="I48" s="57"/>
      <c r="J48" s="57"/>
      <c r="L48" s="164">
        <v>500</v>
      </c>
    </row>
    <row r="49" spans="2:12" x14ac:dyDescent="0.3">
      <c r="B49" s="57">
        <f t="shared" si="0"/>
        <v>46</v>
      </c>
      <c r="C49" s="141">
        <v>46017</v>
      </c>
      <c r="D49" s="57" t="s">
        <v>30</v>
      </c>
      <c r="E49" s="57" t="s">
        <v>4008</v>
      </c>
      <c r="F49" s="57" t="s">
        <v>436</v>
      </c>
      <c r="G49" s="57" t="s">
        <v>987</v>
      </c>
      <c r="H49" s="140" t="s">
        <v>2107</v>
      </c>
      <c r="I49" s="57"/>
      <c r="J49" s="57"/>
      <c r="L49" s="164">
        <v>9000</v>
      </c>
    </row>
    <row r="50" spans="2:12" x14ac:dyDescent="0.3">
      <c r="B50" s="57">
        <f t="shared" si="0"/>
        <v>47</v>
      </c>
      <c r="C50" s="141">
        <v>46017</v>
      </c>
      <c r="D50" s="57" t="s">
        <v>30</v>
      </c>
      <c r="E50" s="57" t="s">
        <v>434</v>
      </c>
      <c r="F50" s="57" t="s">
        <v>300</v>
      </c>
      <c r="G50" s="57" t="s">
        <v>530</v>
      </c>
      <c r="H50" s="140" t="s">
        <v>2108</v>
      </c>
      <c r="I50" s="57"/>
      <c r="J50" s="57"/>
      <c r="L50" s="164">
        <v>5450</v>
      </c>
    </row>
    <row r="51" spans="2:12" x14ac:dyDescent="0.3">
      <c r="B51" s="57">
        <f t="shared" si="0"/>
        <v>48</v>
      </c>
      <c r="C51" s="141">
        <v>46018</v>
      </c>
      <c r="D51" s="57" t="s">
        <v>30</v>
      </c>
      <c r="E51" s="57" t="s">
        <v>2022</v>
      </c>
      <c r="F51" s="57" t="s">
        <v>436</v>
      </c>
      <c r="G51" s="57" t="s">
        <v>987</v>
      </c>
      <c r="H51" s="140" t="s">
        <v>2109</v>
      </c>
      <c r="I51" s="57"/>
      <c r="J51" s="57"/>
      <c r="L51" s="164">
        <v>2000</v>
      </c>
    </row>
    <row r="52" spans="2:12" x14ac:dyDescent="0.3">
      <c r="B52" s="57">
        <f t="shared" si="0"/>
        <v>49</v>
      </c>
      <c r="C52" s="141">
        <v>46018</v>
      </c>
      <c r="D52" s="57" t="s">
        <v>30</v>
      </c>
      <c r="E52" s="57" t="s">
        <v>434</v>
      </c>
      <c r="F52" s="57" t="s">
        <v>436</v>
      </c>
      <c r="G52" s="57" t="s">
        <v>987</v>
      </c>
      <c r="H52" s="140" t="s">
        <v>2110</v>
      </c>
      <c r="I52" s="57"/>
      <c r="J52" s="57"/>
      <c r="L52" s="164">
        <v>780</v>
      </c>
    </row>
    <row r="53" spans="2:12" x14ac:dyDescent="0.3">
      <c r="B53" s="57">
        <f t="shared" si="0"/>
        <v>50</v>
      </c>
      <c r="C53" s="141">
        <v>46018</v>
      </c>
      <c r="D53" s="57" t="s">
        <v>30</v>
      </c>
      <c r="E53" s="57" t="s">
        <v>2027</v>
      </c>
      <c r="F53" s="57" t="s">
        <v>300</v>
      </c>
      <c r="G53" s="57" t="s">
        <v>530</v>
      </c>
      <c r="H53" s="140" t="s">
        <v>2111</v>
      </c>
      <c r="I53" s="57"/>
      <c r="J53" s="57"/>
      <c r="L53" s="164">
        <v>400</v>
      </c>
    </row>
    <row r="54" spans="2:12" x14ac:dyDescent="0.3">
      <c r="B54" s="57">
        <f t="shared" si="0"/>
        <v>51</v>
      </c>
      <c r="C54" s="141">
        <v>46018</v>
      </c>
      <c r="D54" s="57" t="s">
        <v>30</v>
      </c>
      <c r="E54" s="57" t="s">
        <v>434</v>
      </c>
      <c r="F54" s="57" t="s">
        <v>300</v>
      </c>
      <c r="G54" s="57" t="s">
        <v>530</v>
      </c>
      <c r="H54" s="140" t="s">
        <v>2112</v>
      </c>
      <c r="I54" s="57"/>
      <c r="J54" s="57"/>
      <c r="L54" s="164">
        <v>2680</v>
      </c>
    </row>
    <row r="55" spans="2:12" x14ac:dyDescent="0.3">
      <c r="B55" s="57">
        <f t="shared" si="0"/>
        <v>52</v>
      </c>
      <c r="C55" s="141">
        <v>46018</v>
      </c>
      <c r="D55" s="57" t="s">
        <v>30</v>
      </c>
      <c r="E55" s="57" t="s">
        <v>2027</v>
      </c>
      <c r="F55" s="57" t="s">
        <v>300</v>
      </c>
      <c r="G55" s="57" t="s">
        <v>530</v>
      </c>
      <c r="H55" s="140" t="s">
        <v>2027</v>
      </c>
      <c r="I55" s="57"/>
      <c r="J55" s="57"/>
      <c r="L55" s="164">
        <v>1000</v>
      </c>
    </row>
    <row r="56" spans="2:12" x14ac:dyDescent="0.3">
      <c r="B56" s="57">
        <f t="shared" si="0"/>
        <v>53</v>
      </c>
      <c r="C56" s="141">
        <v>46019</v>
      </c>
      <c r="D56" s="57" t="s">
        <v>30</v>
      </c>
      <c r="E56" s="57" t="s">
        <v>434</v>
      </c>
      <c r="F56" s="57" t="s">
        <v>300</v>
      </c>
      <c r="G56" s="57" t="s">
        <v>530</v>
      </c>
      <c r="H56" s="140" t="s">
        <v>2113</v>
      </c>
      <c r="I56" s="57"/>
      <c r="J56" s="57"/>
      <c r="L56" s="164">
        <v>3900</v>
      </c>
    </row>
    <row r="57" spans="2:12" x14ac:dyDescent="0.3">
      <c r="B57" s="57">
        <f t="shared" si="0"/>
        <v>54</v>
      </c>
      <c r="C57" s="141">
        <v>46019</v>
      </c>
      <c r="D57" s="57" t="s">
        <v>30</v>
      </c>
      <c r="E57" s="57" t="s">
        <v>146</v>
      </c>
      <c r="F57" s="57" t="s">
        <v>300</v>
      </c>
      <c r="G57" s="57" t="s">
        <v>530</v>
      </c>
      <c r="H57" s="140" t="s">
        <v>2114</v>
      </c>
      <c r="I57" s="57"/>
      <c r="J57" s="165">
        <f>L57/K57</f>
        <v>20.833333333333332</v>
      </c>
      <c r="K57" s="57">
        <v>96</v>
      </c>
      <c r="L57" s="164">
        <v>2000</v>
      </c>
    </row>
    <row r="58" spans="2:12" x14ac:dyDescent="0.3">
      <c r="B58" s="57">
        <f t="shared" si="0"/>
        <v>55</v>
      </c>
      <c r="C58" s="141">
        <v>46019</v>
      </c>
      <c r="D58" s="57" t="s">
        <v>30</v>
      </c>
      <c r="E58" s="57" t="s">
        <v>2022</v>
      </c>
      <c r="F58" s="57" t="s">
        <v>502</v>
      </c>
      <c r="G58" s="57" t="s">
        <v>257</v>
      </c>
      <c r="H58" s="140" t="s">
        <v>2115</v>
      </c>
      <c r="I58" s="57"/>
      <c r="J58" s="57"/>
      <c r="L58" s="164">
        <v>1000</v>
      </c>
    </row>
    <row r="59" spans="2:12" x14ac:dyDescent="0.3">
      <c r="B59" s="57">
        <f t="shared" si="0"/>
        <v>56</v>
      </c>
      <c r="C59" s="141">
        <v>46019</v>
      </c>
      <c r="D59" s="57" t="s">
        <v>2021</v>
      </c>
      <c r="E59" s="57" t="s">
        <v>2022</v>
      </c>
      <c r="F59" s="57" t="s">
        <v>300</v>
      </c>
      <c r="G59" s="57" t="s">
        <v>530</v>
      </c>
      <c r="H59" s="140" t="s">
        <v>2149</v>
      </c>
      <c r="I59" s="57"/>
      <c r="J59" s="57"/>
      <c r="L59" s="164">
        <v>5600</v>
      </c>
    </row>
    <row r="60" spans="2:12" x14ac:dyDescent="0.3">
      <c r="B60" s="57">
        <f t="shared" si="0"/>
        <v>57</v>
      </c>
      <c r="C60" s="141">
        <v>46020</v>
      </c>
      <c r="D60" s="57" t="s">
        <v>30</v>
      </c>
      <c r="E60" s="57" t="s">
        <v>146</v>
      </c>
      <c r="F60" s="57" t="s">
        <v>436</v>
      </c>
      <c r="G60" s="57" t="s">
        <v>987</v>
      </c>
      <c r="H60" s="140" t="s">
        <v>2116</v>
      </c>
      <c r="I60" s="57"/>
      <c r="J60" s="165">
        <f>L60/K60</f>
        <v>31.25</v>
      </c>
      <c r="K60" s="57">
        <v>96</v>
      </c>
      <c r="L60" s="164">
        <v>3000</v>
      </c>
    </row>
    <row r="61" spans="2:12" x14ac:dyDescent="0.3">
      <c r="B61" s="57">
        <f t="shared" si="0"/>
        <v>58</v>
      </c>
      <c r="C61" s="141">
        <v>46020</v>
      </c>
      <c r="D61" s="57" t="s">
        <v>30</v>
      </c>
      <c r="E61" s="57" t="s">
        <v>522</v>
      </c>
      <c r="F61" s="57" t="s">
        <v>300</v>
      </c>
      <c r="G61" s="57" t="s">
        <v>530</v>
      </c>
      <c r="H61" s="140" t="s">
        <v>2117</v>
      </c>
      <c r="I61" s="57"/>
      <c r="J61" s="57"/>
      <c r="L61" s="164">
        <v>19500</v>
      </c>
    </row>
    <row r="62" spans="2:12" x14ac:dyDescent="0.3">
      <c r="B62" s="57">
        <f t="shared" si="0"/>
        <v>59</v>
      </c>
      <c r="C62" s="141">
        <v>46020</v>
      </c>
      <c r="D62" s="57" t="s">
        <v>30</v>
      </c>
      <c r="E62" s="57" t="s">
        <v>434</v>
      </c>
      <c r="F62" s="57" t="s">
        <v>436</v>
      </c>
      <c r="G62" s="57" t="s">
        <v>987</v>
      </c>
      <c r="H62" s="140" t="s">
        <v>2118</v>
      </c>
      <c r="I62" s="57"/>
      <c r="J62" s="57"/>
      <c r="L62" s="164">
        <v>3500</v>
      </c>
    </row>
    <row r="63" spans="2:12" x14ac:dyDescent="0.3">
      <c r="B63" s="57">
        <f t="shared" si="0"/>
        <v>60</v>
      </c>
      <c r="C63" s="141">
        <v>46021</v>
      </c>
      <c r="D63" s="57" t="s">
        <v>30</v>
      </c>
      <c r="E63" s="57" t="s">
        <v>2022</v>
      </c>
      <c r="F63" s="57" t="s">
        <v>502</v>
      </c>
      <c r="G63" s="57" t="s">
        <v>257</v>
      </c>
      <c r="H63" s="140" t="s">
        <v>2067</v>
      </c>
      <c r="I63" s="57"/>
      <c r="J63" s="57"/>
      <c r="L63" s="164">
        <v>2000</v>
      </c>
    </row>
    <row r="64" spans="2:12" x14ac:dyDescent="0.3">
      <c r="B64" s="57">
        <f t="shared" si="0"/>
        <v>61</v>
      </c>
      <c r="C64" s="141">
        <v>46021</v>
      </c>
      <c r="D64" s="57" t="s">
        <v>30</v>
      </c>
      <c r="E64" s="57" t="s">
        <v>560</v>
      </c>
      <c r="F64" s="57" t="s">
        <v>300</v>
      </c>
      <c r="G64" s="57" t="s">
        <v>530</v>
      </c>
      <c r="H64" s="140" t="s">
        <v>2119</v>
      </c>
      <c r="I64" s="57"/>
      <c r="J64" s="57"/>
      <c r="L64" s="164">
        <v>270</v>
      </c>
    </row>
    <row r="65" spans="2:13" x14ac:dyDescent="0.3">
      <c r="B65" s="57">
        <f t="shared" si="0"/>
        <v>62</v>
      </c>
      <c r="C65" s="141">
        <v>46021</v>
      </c>
      <c r="D65" s="57" t="s">
        <v>30</v>
      </c>
      <c r="E65" s="57" t="s">
        <v>2022</v>
      </c>
      <c r="F65" s="57" t="s">
        <v>300</v>
      </c>
      <c r="G65" s="57" t="s">
        <v>530</v>
      </c>
      <c r="H65" s="140" t="s">
        <v>2057</v>
      </c>
      <c r="I65" s="57"/>
      <c r="J65" s="57"/>
      <c r="L65" s="164">
        <v>900</v>
      </c>
    </row>
    <row r="66" spans="2:13" x14ac:dyDescent="0.3">
      <c r="B66" s="57">
        <f t="shared" si="0"/>
        <v>63</v>
      </c>
      <c r="C66" s="141">
        <v>46021</v>
      </c>
      <c r="D66" s="57" t="s">
        <v>30</v>
      </c>
      <c r="E66" s="57" t="s">
        <v>4008</v>
      </c>
      <c r="F66" s="57" t="s">
        <v>300</v>
      </c>
      <c r="G66" s="57" t="s">
        <v>530</v>
      </c>
      <c r="H66" s="140" t="s">
        <v>2120</v>
      </c>
      <c r="I66" s="57"/>
      <c r="J66" s="57"/>
      <c r="L66" s="164">
        <v>4500</v>
      </c>
    </row>
    <row r="67" spans="2:13" x14ac:dyDescent="0.3">
      <c r="B67" s="57">
        <f t="shared" si="0"/>
        <v>64</v>
      </c>
      <c r="C67" s="141">
        <v>46021</v>
      </c>
      <c r="D67" s="57" t="s">
        <v>30</v>
      </c>
      <c r="E67" s="57" t="s">
        <v>434</v>
      </c>
      <c r="F67" s="57" t="s">
        <v>436</v>
      </c>
      <c r="G67" s="57" t="s">
        <v>987</v>
      </c>
      <c r="H67" s="140" t="s">
        <v>2121</v>
      </c>
      <c r="I67" s="57"/>
      <c r="J67" s="57"/>
      <c r="L67" s="164">
        <v>5300</v>
      </c>
    </row>
    <row r="68" spans="2:13" x14ac:dyDescent="0.3">
      <c r="B68" s="57">
        <f t="shared" si="0"/>
        <v>65</v>
      </c>
      <c r="C68" s="141">
        <v>46021</v>
      </c>
      <c r="D68" s="57" t="s">
        <v>2021</v>
      </c>
      <c r="E68" s="57" t="s">
        <v>522</v>
      </c>
      <c r="F68" s="57" t="s">
        <v>300</v>
      </c>
      <c r="G68" s="57" t="s">
        <v>530</v>
      </c>
      <c r="H68" s="140" t="s">
        <v>2150</v>
      </c>
      <c r="I68" s="57"/>
      <c r="J68" s="57"/>
      <c r="L68" s="164">
        <v>300</v>
      </c>
    </row>
    <row r="69" spans="2:13" x14ac:dyDescent="0.3">
      <c r="B69" s="57">
        <f t="shared" si="0"/>
        <v>66</v>
      </c>
      <c r="C69" s="141">
        <v>46022</v>
      </c>
      <c r="D69" s="57" t="s">
        <v>30</v>
      </c>
      <c r="E69" s="57" t="s">
        <v>522</v>
      </c>
      <c r="F69" s="57" t="s">
        <v>436</v>
      </c>
      <c r="G69" s="57" t="s">
        <v>987</v>
      </c>
      <c r="H69" s="140" t="s">
        <v>2122</v>
      </c>
      <c r="I69" s="57"/>
      <c r="J69" s="57"/>
      <c r="L69" s="164">
        <v>600</v>
      </c>
    </row>
    <row r="70" spans="2:13" x14ac:dyDescent="0.3">
      <c r="B70" s="57">
        <f t="shared" ref="B70:B133" si="1">+B69+1</f>
        <v>67</v>
      </c>
      <c r="C70" s="141">
        <v>46022</v>
      </c>
      <c r="D70" s="57" t="s">
        <v>30</v>
      </c>
      <c r="E70" s="57" t="s">
        <v>146</v>
      </c>
      <c r="F70" s="57" t="s">
        <v>436</v>
      </c>
      <c r="G70" s="57" t="s">
        <v>987</v>
      </c>
      <c r="H70" s="140" t="s">
        <v>2123</v>
      </c>
      <c r="I70" s="57"/>
      <c r="J70" s="165">
        <f>L70/K70</f>
        <v>10.416666666666666</v>
      </c>
      <c r="K70" s="57">
        <v>96</v>
      </c>
      <c r="L70" s="164">
        <v>1000</v>
      </c>
      <c r="M70" s="57" t="s">
        <v>2318</v>
      </c>
    </row>
    <row r="71" spans="2:13" x14ac:dyDescent="0.3">
      <c r="B71" s="57">
        <f t="shared" si="1"/>
        <v>68</v>
      </c>
      <c r="C71" s="141">
        <v>46022</v>
      </c>
      <c r="D71" s="57" t="s">
        <v>30</v>
      </c>
      <c r="E71" s="57" t="s">
        <v>560</v>
      </c>
      <c r="F71" s="57" t="s">
        <v>436</v>
      </c>
      <c r="G71" s="57" t="s">
        <v>987</v>
      </c>
      <c r="H71" s="140" t="s">
        <v>2106</v>
      </c>
      <c r="I71" s="57"/>
      <c r="J71" s="57"/>
      <c r="L71" s="164">
        <v>1250</v>
      </c>
    </row>
    <row r="72" spans="2:13" x14ac:dyDescent="0.3">
      <c r="B72" s="57">
        <f t="shared" si="1"/>
        <v>69</v>
      </c>
      <c r="C72" s="141">
        <v>46022</v>
      </c>
      <c r="D72" s="57" t="s">
        <v>30</v>
      </c>
      <c r="E72" s="57" t="s">
        <v>2027</v>
      </c>
      <c r="F72" s="57" t="s">
        <v>300</v>
      </c>
      <c r="G72" s="57" t="s">
        <v>530</v>
      </c>
      <c r="H72" s="140" t="s">
        <v>2111</v>
      </c>
      <c r="I72" s="57"/>
      <c r="J72" s="57"/>
      <c r="L72" s="164">
        <v>2300</v>
      </c>
    </row>
    <row r="73" spans="2:13" x14ac:dyDescent="0.3">
      <c r="B73" s="57">
        <f t="shared" si="1"/>
        <v>70</v>
      </c>
      <c r="C73" s="141">
        <v>46022</v>
      </c>
      <c r="D73" s="57" t="s">
        <v>30</v>
      </c>
      <c r="E73" s="57" t="s">
        <v>481</v>
      </c>
      <c r="F73" s="57" t="s">
        <v>300</v>
      </c>
      <c r="G73" s="57" t="s">
        <v>530</v>
      </c>
      <c r="H73" s="140" t="s">
        <v>2052</v>
      </c>
      <c r="I73" s="57"/>
      <c r="J73" s="57"/>
      <c r="L73" s="164">
        <v>1000</v>
      </c>
    </row>
    <row r="74" spans="2:13" x14ac:dyDescent="0.3">
      <c r="B74" s="57">
        <f t="shared" si="1"/>
        <v>71</v>
      </c>
      <c r="C74" s="141">
        <v>46022</v>
      </c>
      <c r="D74" s="57" t="s">
        <v>30</v>
      </c>
      <c r="E74" s="57" t="s">
        <v>2031</v>
      </c>
      <c r="F74" s="57" t="s">
        <v>436</v>
      </c>
      <c r="G74" s="57" t="s">
        <v>987</v>
      </c>
      <c r="H74" s="140" t="s">
        <v>2124</v>
      </c>
      <c r="I74" s="57"/>
      <c r="J74" s="57"/>
      <c r="L74" s="164">
        <v>7300</v>
      </c>
    </row>
    <row r="75" spans="2:13" x14ac:dyDescent="0.3">
      <c r="B75" s="57">
        <f t="shared" si="1"/>
        <v>72</v>
      </c>
      <c r="C75" s="141">
        <v>46023</v>
      </c>
      <c r="D75" s="57" t="s">
        <v>30</v>
      </c>
      <c r="E75" s="57" t="s">
        <v>2031</v>
      </c>
      <c r="F75" s="57" t="s">
        <v>300</v>
      </c>
      <c r="G75" s="57" t="s">
        <v>530</v>
      </c>
      <c r="H75" s="140" t="s">
        <v>2125</v>
      </c>
      <c r="I75" s="57"/>
      <c r="J75" s="57"/>
      <c r="L75" s="164">
        <v>5000</v>
      </c>
    </row>
    <row r="76" spans="2:13" x14ac:dyDescent="0.3">
      <c r="B76" s="57">
        <f t="shared" si="1"/>
        <v>73</v>
      </c>
      <c r="C76" s="141">
        <v>46023</v>
      </c>
      <c r="D76" s="57" t="s">
        <v>30</v>
      </c>
      <c r="E76" s="57" t="s">
        <v>2029</v>
      </c>
      <c r="F76" s="57" t="s">
        <v>502</v>
      </c>
      <c r="G76" s="57" t="s">
        <v>257</v>
      </c>
      <c r="H76" s="140" t="s">
        <v>2123</v>
      </c>
      <c r="I76" s="57"/>
      <c r="J76" s="165">
        <f t="shared" ref="J76:J77" si="2">L76/K76</f>
        <v>26.041666666666668</v>
      </c>
      <c r="K76" s="57">
        <v>96</v>
      </c>
      <c r="L76" s="164">
        <v>2500</v>
      </c>
    </row>
    <row r="77" spans="2:13" x14ac:dyDescent="0.3">
      <c r="B77" s="57">
        <f t="shared" si="1"/>
        <v>74</v>
      </c>
      <c r="C77" s="143">
        <v>46033</v>
      </c>
      <c r="D77" s="57" t="s">
        <v>435</v>
      </c>
      <c r="E77" s="57" t="s">
        <v>146</v>
      </c>
      <c r="F77" s="57" t="s">
        <v>300</v>
      </c>
      <c r="G77" s="57" t="s">
        <v>530</v>
      </c>
      <c r="H77" s="140" t="s">
        <v>973</v>
      </c>
      <c r="I77" s="57"/>
      <c r="J77" s="165">
        <f t="shared" si="2"/>
        <v>36.666666666666664</v>
      </c>
      <c r="K77" s="57">
        <v>96</v>
      </c>
      <c r="L77" s="164">
        <v>3520</v>
      </c>
    </row>
    <row r="78" spans="2:13" x14ac:dyDescent="0.3">
      <c r="B78" s="57">
        <f t="shared" si="1"/>
        <v>75</v>
      </c>
      <c r="C78" s="141">
        <v>46035</v>
      </c>
      <c r="D78" s="57" t="s">
        <v>30</v>
      </c>
      <c r="E78" s="57" t="s">
        <v>2022</v>
      </c>
      <c r="F78" s="57" t="s">
        <v>300</v>
      </c>
      <c r="G78" s="57" t="s">
        <v>530</v>
      </c>
      <c r="H78" s="140" t="s">
        <v>493</v>
      </c>
      <c r="I78" s="57"/>
      <c r="J78" s="57"/>
      <c r="L78" s="164">
        <v>800</v>
      </c>
    </row>
    <row r="79" spans="2:13" x14ac:dyDescent="0.3">
      <c r="B79" s="57">
        <f t="shared" si="1"/>
        <v>76</v>
      </c>
      <c r="C79" s="141">
        <v>46036</v>
      </c>
      <c r="D79" s="57" t="s">
        <v>30</v>
      </c>
      <c r="E79" s="57" t="s">
        <v>2031</v>
      </c>
      <c r="F79" s="57" t="s">
        <v>436</v>
      </c>
      <c r="G79" s="57" t="s">
        <v>987</v>
      </c>
      <c r="H79" s="140" t="s">
        <v>2136</v>
      </c>
      <c r="I79" s="57"/>
      <c r="J79" s="57"/>
      <c r="L79" s="164">
        <v>3000</v>
      </c>
    </row>
    <row r="80" spans="2:13" x14ac:dyDescent="0.3">
      <c r="B80" s="57">
        <f t="shared" si="1"/>
        <v>77</v>
      </c>
      <c r="C80" s="141">
        <v>46039</v>
      </c>
      <c r="D80" s="57" t="s">
        <v>30</v>
      </c>
      <c r="E80" s="57" t="s">
        <v>532</v>
      </c>
      <c r="F80" s="57" t="s">
        <v>300</v>
      </c>
      <c r="G80" s="57" t="s">
        <v>530</v>
      </c>
      <c r="H80" s="140" t="s">
        <v>2137</v>
      </c>
      <c r="I80" s="57"/>
      <c r="J80" s="57">
        <v>3</v>
      </c>
      <c r="K80" s="57">
        <v>300</v>
      </c>
      <c r="L80" s="164">
        <v>900</v>
      </c>
    </row>
    <row r="81" spans="2:12" x14ac:dyDescent="0.3">
      <c r="B81" s="57">
        <f t="shared" si="1"/>
        <v>78</v>
      </c>
      <c r="C81" s="141">
        <v>46039</v>
      </c>
      <c r="D81" s="57" t="s">
        <v>30</v>
      </c>
      <c r="E81" s="57" t="s">
        <v>434</v>
      </c>
      <c r="F81" s="57" t="s">
        <v>300</v>
      </c>
      <c r="G81" s="57" t="s">
        <v>530</v>
      </c>
      <c r="H81" s="140" t="s">
        <v>2138</v>
      </c>
      <c r="I81" s="57"/>
      <c r="J81" s="57"/>
      <c r="L81" s="164">
        <v>500</v>
      </c>
    </row>
    <row r="82" spans="2:12" x14ac:dyDescent="0.3">
      <c r="B82" s="57">
        <f t="shared" si="1"/>
        <v>79</v>
      </c>
      <c r="C82" s="141">
        <v>46039</v>
      </c>
      <c r="D82" s="57" t="s">
        <v>30</v>
      </c>
      <c r="E82" s="57" t="s">
        <v>481</v>
      </c>
      <c r="F82" s="57" t="s">
        <v>502</v>
      </c>
      <c r="G82" s="57" t="s">
        <v>257</v>
      </c>
      <c r="H82" s="140" t="s">
        <v>2139</v>
      </c>
      <c r="I82" s="57"/>
      <c r="J82" s="57"/>
      <c r="L82" s="164">
        <v>500</v>
      </c>
    </row>
    <row r="83" spans="2:12" x14ac:dyDescent="0.3">
      <c r="B83" s="57">
        <f t="shared" si="1"/>
        <v>80</v>
      </c>
      <c r="C83" s="141">
        <v>46039</v>
      </c>
      <c r="D83" s="57" t="s">
        <v>30</v>
      </c>
      <c r="E83" s="57" t="s">
        <v>2022</v>
      </c>
      <c r="F83" s="57" t="s">
        <v>502</v>
      </c>
      <c r="G83" s="57" t="s">
        <v>257</v>
      </c>
      <c r="H83" s="140" t="s">
        <v>2129</v>
      </c>
      <c r="I83" s="57"/>
      <c r="J83" s="57"/>
      <c r="L83" s="164">
        <v>600</v>
      </c>
    </row>
    <row r="84" spans="2:12" x14ac:dyDescent="0.3">
      <c r="B84" s="57">
        <f t="shared" si="1"/>
        <v>81</v>
      </c>
      <c r="C84" s="141">
        <v>46039</v>
      </c>
      <c r="D84" s="57" t="s">
        <v>30</v>
      </c>
      <c r="E84" s="57" t="s">
        <v>522</v>
      </c>
      <c r="F84" s="57" t="s">
        <v>502</v>
      </c>
      <c r="G84" s="57" t="s">
        <v>257</v>
      </c>
      <c r="H84" s="140" t="s">
        <v>2122</v>
      </c>
      <c r="I84" s="57"/>
      <c r="J84" s="57"/>
      <c r="L84" s="164">
        <v>500</v>
      </c>
    </row>
    <row r="85" spans="2:12" x14ac:dyDescent="0.3">
      <c r="B85" s="57">
        <f t="shared" si="1"/>
        <v>82</v>
      </c>
      <c r="C85" s="141">
        <v>46041</v>
      </c>
      <c r="D85" s="57" t="s">
        <v>30</v>
      </c>
      <c r="E85" s="57" t="s">
        <v>522</v>
      </c>
      <c r="F85" s="57" t="s">
        <v>502</v>
      </c>
      <c r="G85" s="57" t="s">
        <v>257</v>
      </c>
      <c r="H85" s="140" t="s">
        <v>2122</v>
      </c>
      <c r="I85" s="57"/>
      <c r="J85" s="57"/>
      <c r="L85" s="164">
        <v>450</v>
      </c>
    </row>
    <row r="86" spans="2:12" x14ac:dyDescent="0.3">
      <c r="B86" s="57">
        <f t="shared" si="1"/>
        <v>83</v>
      </c>
      <c r="C86" s="141">
        <v>46042</v>
      </c>
      <c r="D86" s="57" t="s">
        <v>30</v>
      </c>
      <c r="E86" s="57" t="s">
        <v>2031</v>
      </c>
      <c r="F86" s="57" t="s">
        <v>436</v>
      </c>
      <c r="G86" s="57" t="s">
        <v>987</v>
      </c>
      <c r="H86" s="140" t="s">
        <v>2140</v>
      </c>
      <c r="I86" s="57"/>
      <c r="J86" s="57"/>
      <c r="L86" s="164">
        <v>2300</v>
      </c>
    </row>
    <row r="87" spans="2:12" x14ac:dyDescent="0.3">
      <c r="B87" s="57">
        <f t="shared" si="1"/>
        <v>84</v>
      </c>
      <c r="C87" s="141">
        <v>46042</v>
      </c>
      <c r="D87" s="57" t="s">
        <v>2021</v>
      </c>
      <c r="E87" s="57" t="s">
        <v>434</v>
      </c>
      <c r="F87" s="57" t="s">
        <v>300</v>
      </c>
      <c r="G87" s="57" t="s">
        <v>530</v>
      </c>
      <c r="H87" s="140" t="s">
        <v>2176</v>
      </c>
      <c r="I87" s="57"/>
      <c r="J87" s="57"/>
      <c r="L87" s="164">
        <v>2400</v>
      </c>
    </row>
    <row r="88" spans="2:12" x14ac:dyDescent="0.3">
      <c r="B88" s="57">
        <f t="shared" si="1"/>
        <v>85</v>
      </c>
      <c r="C88" s="141">
        <v>46043</v>
      </c>
      <c r="D88" s="57" t="s">
        <v>30</v>
      </c>
      <c r="E88" s="57" t="s">
        <v>522</v>
      </c>
      <c r="F88" s="57" t="s">
        <v>300</v>
      </c>
      <c r="G88" s="57" t="s">
        <v>530</v>
      </c>
      <c r="H88" s="140" t="s">
        <v>2141</v>
      </c>
      <c r="I88" s="57"/>
      <c r="J88" s="57"/>
      <c r="L88" s="164">
        <v>550</v>
      </c>
    </row>
    <row r="89" spans="2:12" x14ac:dyDescent="0.3">
      <c r="B89" s="57">
        <f t="shared" si="1"/>
        <v>86</v>
      </c>
      <c r="C89" s="141">
        <v>46043</v>
      </c>
      <c r="D89" s="57" t="s">
        <v>2021</v>
      </c>
      <c r="E89" s="57" t="s">
        <v>522</v>
      </c>
      <c r="F89" s="57" t="s">
        <v>300</v>
      </c>
      <c r="G89" s="57" t="s">
        <v>530</v>
      </c>
      <c r="H89" s="140" t="s">
        <v>2177</v>
      </c>
      <c r="I89" s="57"/>
      <c r="J89" s="57"/>
      <c r="L89" s="164">
        <v>2500</v>
      </c>
    </row>
    <row r="90" spans="2:12" x14ac:dyDescent="0.3">
      <c r="B90" s="57">
        <f t="shared" si="1"/>
        <v>87</v>
      </c>
      <c r="C90" s="141">
        <v>46044</v>
      </c>
      <c r="D90" s="57" t="s">
        <v>30</v>
      </c>
      <c r="E90" s="57" t="s">
        <v>2022</v>
      </c>
      <c r="F90" s="57" t="s">
        <v>300</v>
      </c>
      <c r="G90" s="57" t="s">
        <v>530</v>
      </c>
      <c r="H90" s="140" t="s">
        <v>2142</v>
      </c>
      <c r="I90" s="57"/>
      <c r="J90" s="57"/>
      <c r="L90" s="164">
        <v>1200</v>
      </c>
    </row>
    <row r="91" spans="2:12" x14ac:dyDescent="0.3">
      <c r="B91" s="57">
        <f t="shared" si="1"/>
        <v>88</v>
      </c>
      <c r="C91" s="141">
        <v>46044</v>
      </c>
      <c r="D91" s="57" t="s">
        <v>2021</v>
      </c>
      <c r="E91" s="57" t="s">
        <v>2029</v>
      </c>
      <c r="F91" s="57" t="s">
        <v>300</v>
      </c>
      <c r="G91" s="57" t="s">
        <v>530</v>
      </c>
      <c r="H91" s="140" t="s">
        <v>2160</v>
      </c>
      <c r="I91" s="57"/>
      <c r="J91" s="165">
        <f>L91/K91</f>
        <v>19.822916666666668</v>
      </c>
      <c r="K91" s="57">
        <v>96</v>
      </c>
      <c r="L91" s="164">
        <v>1903</v>
      </c>
    </row>
    <row r="92" spans="2:12" x14ac:dyDescent="0.3">
      <c r="B92" s="57">
        <f t="shared" si="1"/>
        <v>89</v>
      </c>
      <c r="C92" s="141">
        <v>46044</v>
      </c>
      <c r="D92" s="57" t="s">
        <v>2021</v>
      </c>
      <c r="E92" s="57" t="s">
        <v>4008</v>
      </c>
      <c r="F92" s="57" t="s">
        <v>300</v>
      </c>
      <c r="G92" s="57" t="s">
        <v>530</v>
      </c>
      <c r="H92" s="140" t="s">
        <v>2167</v>
      </c>
      <c r="I92" s="57"/>
      <c r="J92" s="57"/>
      <c r="L92" s="164">
        <v>8400</v>
      </c>
    </row>
    <row r="93" spans="2:12" x14ac:dyDescent="0.3">
      <c r="B93" s="57">
        <f t="shared" si="1"/>
        <v>90</v>
      </c>
      <c r="C93" s="141">
        <v>46044</v>
      </c>
      <c r="D93" s="57" t="s">
        <v>2021</v>
      </c>
      <c r="E93" s="57" t="s">
        <v>2027</v>
      </c>
      <c r="F93" s="57" t="s">
        <v>300</v>
      </c>
      <c r="G93" s="57" t="s">
        <v>530</v>
      </c>
      <c r="H93" s="140" t="s">
        <v>2168</v>
      </c>
      <c r="I93" s="57"/>
      <c r="J93" s="57"/>
      <c r="L93" s="164">
        <v>24000</v>
      </c>
    </row>
    <row r="94" spans="2:12" x14ac:dyDescent="0.3">
      <c r="B94" s="57">
        <f t="shared" si="1"/>
        <v>91</v>
      </c>
      <c r="C94" s="141">
        <v>46045</v>
      </c>
      <c r="D94" s="57" t="s">
        <v>30</v>
      </c>
      <c r="E94" s="57" t="s">
        <v>2032</v>
      </c>
      <c r="F94" s="57" t="s">
        <v>502</v>
      </c>
      <c r="G94" s="57" t="s">
        <v>257</v>
      </c>
      <c r="H94" s="140" t="s">
        <v>2143</v>
      </c>
      <c r="I94" s="57"/>
      <c r="J94" s="57"/>
      <c r="L94" s="164">
        <v>8200</v>
      </c>
    </row>
    <row r="95" spans="2:12" x14ac:dyDescent="0.3">
      <c r="B95" s="57">
        <f t="shared" si="1"/>
        <v>92</v>
      </c>
      <c r="C95" s="141">
        <v>46045</v>
      </c>
      <c r="D95" s="57" t="s">
        <v>2021</v>
      </c>
      <c r="E95" s="57" t="s">
        <v>434</v>
      </c>
      <c r="F95" s="57" t="s">
        <v>300</v>
      </c>
      <c r="G95" s="57" t="s">
        <v>530</v>
      </c>
      <c r="H95" s="140" t="s">
        <v>2169</v>
      </c>
      <c r="I95" s="57"/>
      <c r="J95" s="57"/>
      <c r="L95" s="164">
        <v>15250</v>
      </c>
    </row>
    <row r="96" spans="2:12" x14ac:dyDescent="0.3">
      <c r="B96" s="57">
        <f t="shared" si="1"/>
        <v>93</v>
      </c>
      <c r="C96" s="141">
        <v>46045</v>
      </c>
      <c r="D96" s="57" t="s">
        <v>2021</v>
      </c>
      <c r="E96" s="57" t="s">
        <v>146</v>
      </c>
      <c r="F96" s="57" t="s">
        <v>300</v>
      </c>
      <c r="G96" s="57" t="s">
        <v>530</v>
      </c>
      <c r="H96" s="140" t="s">
        <v>2170</v>
      </c>
      <c r="I96" s="57"/>
      <c r="J96" s="165">
        <f>L96/K96</f>
        <v>10.416666666666666</v>
      </c>
      <c r="K96" s="57">
        <v>96</v>
      </c>
      <c r="L96" s="164">
        <v>1000</v>
      </c>
    </row>
    <row r="97" spans="2:12" x14ac:dyDescent="0.3">
      <c r="B97" s="57">
        <f t="shared" si="1"/>
        <v>94</v>
      </c>
      <c r="C97" s="141">
        <v>46045</v>
      </c>
      <c r="D97" s="57" t="s">
        <v>2021</v>
      </c>
      <c r="E97" s="57" t="s">
        <v>4128</v>
      </c>
      <c r="F97" s="57" t="s">
        <v>300</v>
      </c>
      <c r="G97" s="57" t="s">
        <v>530</v>
      </c>
      <c r="H97" s="140" t="s">
        <v>2171</v>
      </c>
      <c r="I97" s="57"/>
      <c r="J97" s="57"/>
      <c r="L97" s="164">
        <v>3500</v>
      </c>
    </row>
    <row r="98" spans="2:12" x14ac:dyDescent="0.3">
      <c r="B98" s="57">
        <f t="shared" si="1"/>
        <v>95</v>
      </c>
      <c r="C98" s="141">
        <v>46045</v>
      </c>
      <c r="D98" s="57" t="s">
        <v>2021</v>
      </c>
      <c r="E98" s="57" t="s">
        <v>434</v>
      </c>
      <c r="F98" s="57" t="s">
        <v>436</v>
      </c>
      <c r="G98" s="57" t="s">
        <v>987</v>
      </c>
      <c r="H98" s="140" t="s">
        <v>2172</v>
      </c>
      <c r="I98" s="57"/>
      <c r="J98" s="57"/>
      <c r="L98" s="164">
        <v>2250</v>
      </c>
    </row>
    <row r="99" spans="2:12" x14ac:dyDescent="0.3">
      <c r="B99" s="57">
        <f t="shared" si="1"/>
        <v>96</v>
      </c>
      <c r="C99" s="141">
        <v>46045</v>
      </c>
      <c r="D99" s="57" t="s">
        <v>2021</v>
      </c>
      <c r="E99" s="57" t="s">
        <v>2027</v>
      </c>
      <c r="F99" s="57" t="s">
        <v>300</v>
      </c>
      <c r="G99" s="57" t="s">
        <v>530</v>
      </c>
      <c r="H99" s="140" t="s">
        <v>2173</v>
      </c>
      <c r="I99" s="57"/>
      <c r="J99" s="57"/>
      <c r="L99" s="164">
        <v>18400</v>
      </c>
    </row>
    <row r="100" spans="2:12" x14ac:dyDescent="0.3">
      <c r="B100" s="57">
        <f t="shared" si="1"/>
        <v>97</v>
      </c>
      <c r="C100" s="141">
        <v>46045</v>
      </c>
      <c r="D100" s="57" t="s">
        <v>2021</v>
      </c>
      <c r="E100" s="57" t="s">
        <v>434</v>
      </c>
      <c r="F100" s="57" t="s">
        <v>300</v>
      </c>
      <c r="G100" s="57" t="s">
        <v>530</v>
      </c>
      <c r="H100" s="140" t="s">
        <v>2174</v>
      </c>
      <c r="I100" s="57"/>
      <c r="J100" s="57"/>
      <c r="L100" s="164">
        <v>71500</v>
      </c>
    </row>
    <row r="101" spans="2:12" x14ac:dyDescent="0.3">
      <c r="B101" s="57">
        <f t="shared" si="1"/>
        <v>98</v>
      </c>
      <c r="C101" s="141">
        <v>46045</v>
      </c>
      <c r="D101" s="57" t="s">
        <v>2021</v>
      </c>
      <c r="E101" s="57" t="s">
        <v>2027</v>
      </c>
      <c r="F101" s="57" t="s">
        <v>300</v>
      </c>
      <c r="G101" s="57" t="s">
        <v>530</v>
      </c>
      <c r="H101" s="140" t="s">
        <v>2175</v>
      </c>
      <c r="I101" s="57"/>
      <c r="J101" s="57"/>
      <c r="L101" s="164">
        <v>560</v>
      </c>
    </row>
    <row r="102" spans="2:12" x14ac:dyDescent="0.3">
      <c r="B102" s="57">
        <f t="shared" si="1"/>
        <v>99</v>
      </c>
      <c r="C102" s="141">
        <v>46045</v>
      </c>
      <c r="D102" s="57" t="s">
        <v>2021</v>
      </c>
      <c r="E102" s="57" t="s">
        <v>2033</v>
      </c>
      <c r="F102" s="57" t="s">
        <v>300</v>
      </c>
      <c r="G102" s="57" t="s">
        <v>530</v>
      </c>
      <c r="H102" s="140" t="s">
        <v>2210</v>
      </c>
      <c r="I102" s="57"/>
      <c r="J102" s="57"/>
      <c r="L102" s="164">
        <v>2000</v>
      </c>
    </row>
    <row r="103" spans="2:12" x14ac:dyDescent="0.3">
      <c r="B103" s="57">
        <f t="shared" si="1"/>
        <v>100</v>
      </c>
      <c r="C103" s="141">
        <v>46046</v>
      </c>
      <c r="D103" s="57" t="s">
        <v>30</v>
      </c>
      <c r="E103" s="57" t="s">
        <v>434</v>
      </c>
      <c r="F103" s="57" t="s">
        <v>300</v>
      </c>
      <c r="G103" s="57" t="s">
        <v>530</v>
      </c>
      <c r="H103" s="140" t="s">
        <v>2083</v>
      </c>
      <c r="I103" s="57"/>
      <c r="J103" s="57"/>
      <c r="L103" s="164">
        <v>1000</v>
      </c>
    </row>
    <row r="104" spans="2:12" x14ac:dyDescent="0.3">
      <c r="B104" s="57">
        <f t="shared" si="1"/>
        <v>101</v>
      </c>
      <c r="C104" s="141">
        <v>46046</v>
      </c>
      <c r="D104" s="57" t="s">
        <v>2021</v>
      </c>
      <c r="E104" s="57" t="s">
        <v>2032</v>
      </c>
      <c r="F104" s="57" t="s">
        <v>300</v>
      </c>
      <c r="G104" s="57" t="s">
        <v>530</v>
      </c>
      <c r="H104" s="140" t="s">
        <v>2178</v>
      </c>
      <c r="I104" s="57"/>
      <c r="J104" s="57"/>
      <c r="L104" s="164">
        <v>45960</v>
      </c>
    </row>
    <row r="105" spans="2:12" x14ac:dyDescent="0.3">
      <c r="B105" s="57">
        <f t="shared" si="1"/>
        <v>102</v>
      </c>
      <c r="C105" s="141">
        <v>46046</v>
      </c>
      <c r="D105" s="57" t="s">
        <v>2021</v>
      </c>
      <c r="E105" s="57" t="s">
        <v>522</v>
      </c>
      <c r="F105" s="57" t="s">
        <v>300</v>
      </c>
      <c r="G105" s="57" t="s">
        <v>530</v>
      </c>
      <c r="H105" s="140" t="s">
        <v>2179</v>
      </c>
      <c r="I105" s="57"/>
      <c r="J105" s="57"/>
      <c r="L105" s="164">
        <v>10000</v>
      </c>
    </row>
    <row r="106" spans="2:12" x14ac:dyDescent="0.3">
      <c r="B106" s="57">
        <f t="shared" si="1"/>
        <v>103</v>
      </c>
      <c r="C106" s="141">
        <v>46046</v>
      </c>
      <c r="D106" s="57" t="s">
        <v>2021</v>
      </c>
      <c r="E106" s="57" t="s">
        <v>2032</v>
      </c>
      <c r="F106" s="57" t="s">
        <v>300</v>
      </c>
      <c r="G106" s="57" t="s">
        <v>530</v>
      </c>
      <c r="H106" s="140" t="s">
        <v>2180</v>
      </c>
      <c r="I106" s="57"/>
      <c r="J106" s="57"/>
      <c r="L106" s="164">
        <v>13000</v>
      </c>
    </row>
    <row r="107" spans="2:12" x14ac:dyDescent="0.3">
      <c r="B107" s="57">
        <f t="shared" si="1"/>
        <v>104</v>
      </c>
      <c r="C107" s="141">
        <v>46046</v>
      </c>
      <c r="D107" s="57" t="s">
        <v>2021</v>
      </c>
      <c r="E107" s="57" t="s">
        <v>2034</v>
      </c>
      <c r="F107" s="57" t="s">
        <v>300</v>
      </c>
      <c r="G107" s="57" t="s">
        <v>530</v>
      </c>
      <c r="H107" s="140" t="s">
        <v>2181</v>
      </c>
      <c r="I107" s="57"/>
      <c r="J107" s="57"/>
      <c r="L107" s="164">
        <v>64550</v>
      </c>
    </row>
    <row r="108" spans="2:12" x14ac:dyDescent="0.3">
      <c r="B108" s="57">
        <f t="shared" si="1"/>
        <v>105</v>
      </c>
      <c r="C108" s="141">
        <v>46046</v>
      </c>
      <c r="D108" s="57" t="s">
        <v>2021</v>
      </c>
      <c r="E108" s="57" t="s">
        <v>522</v>
      </c>
      <c r="F108" s="57" t="s">
        <v>300</v>
      </c>
      <c r="G108" s="57" t="s">
        <v>530</v>
      </c>
      <c r="H108" s="140" t="s">
        <v>2182</v>
      </c>
      <c r="I108" s="57"/>
      <c r="J108" s="57"/>
      <c r="L108" s="164">
        <v>1000</v>
      </c>
    </row>
    <row r="109" spans="2:12" x14ac:dyDescent="0.3">
      <c r="B109" s="57">
        <f t="shared" si="1"/>
        <v>106</v>
      </c>
      <c r="C109" s="141">
        <v>46046</v>
      </c>
      <c r="D109" s="57" t="s">
        <v>2021</v>
      </c>
      <c r="E109" s="57" t="s">
        <v>146</v>
      </c>
      <c r="F109" s="57" t="s">
        <v>300</v>
      </c>
      <c r="G109" s="57" t="s">
        <v>530</v>
      </c>
      <c r="H109" s="140" t="s">
        <v>2183</v>
      </c>
      <c r="I109" s="57"/>
      <c r="J109" s="165">
        <f t="shared" ref="J109:J110" si="3">L109/K109</f>
        <v>43.4375</v>
      </c>
      <c r="K109" s="57">
        <v>96</v>
      </c>
      <c r="L109" s="164">
        <v>4170</v>
      </c>
    </row>
    <row r="110" spans="2:12" x14ac:dyDescent="0.3">
      <c r="B110" s="57">
        <f t="shared" si="1"/>
        <v>107</v>
      </c>
      <c r="C110" s="141">
        <v>46046</v>
      </c>
      <c r="D110" s="57" t="s">
        <v>2021</v>
      </c>
      <c r="E110" s="57" t="s">
        <v>146</v>
      </c>
      <c r="F110" s="57" t="s">
        <v>502</v>
      </c>
      <c r="G110" s="57" t="s">
        <v>257</v>
      </c>
      <c r="H110" s="140" t="s">
        <v>2123</v>
      </c>
      <c r="I110" s="57"/>
      <c r="J110" s="165">
        <f t="shared" si="3"/>
        <v>20.833333333333332</v>
      </c>
      <c r="K110" s="57">
        <v>96</v>
      </c>
      <c r="L110" s="164">
        <v>2000</v>
      </c>
    </row>
    <row r="111" spans="2:12" x14ac:dyDescent="0.3">
      <c r="B111" s="57">
        <f t="shared" si="1"/>
        <v>108</v>
      </c>
      <c r="C111" s="141">
        <v>46046</v>
      </c>
      <c r="D111" s="57" t="s">
        <v>2021</v>
      </c>
      <c r="E111" s="57" t="s">
        <v>2034</v>
      </c>
      <c r="F111" s="57" t="s">
        <v>436</v>
      </c>
      <c r="G111" s="57" t="s">
        <v>987</v>
      </c>
      <c r="H111" s="140" t="s">
        <v>2184</v>
      </c>
      <c r="I111" s="57"/>
      <c r="J111" s="57"/>
      <c r="L111" s="164">
        <v>7130</v>
      </c>
    </row>
    <row r="112" spans="2:12" x14ac:dyDescent="0.3">
      <c r="B112" s="57">
        <f t="shared" si="1"/>
        <v>109</v>
      </c>
      <c r="C112" s="141">
        <v>46046</v>
      </c>
      <c r="D112" s="57" t="s">
        <v>2021</v>
      </c>
      <c r="E112" s="57" t="s">
        <v>434</v>
      </c>
      <c r="F112" s="57" t="s">
        <v>300</v>
      </c>
      <c r="G112" s="57" t="s">
        <v>530</v>
      </c>
      <c r="H112" s="140" t="s">
        <v>2185</v>
      </c>
      <c r="I112" s="57"/>
      <c r="J112" s="57"/>
      <c r="L112" s="164">
        <v>1450</v>
      </c>
    </row>
    <row r="113" spans="2:12" x14ac:dyDescent="0.3">
      <c r="B113" s="57">
        <f t="shared" si="1"/>
        <v>110</v>
      </c>
      <c r="C113" s="144">
        <v>46046</v>
      </c>
      <c r="D113" s="57" t="s">
        <v>2021</v>
      </c>
      <c r="E113" s="57" t="s">
        <v>767</v>
      </c>
      <c r="F113" s="57" t="s">
        <v>300</v>
      </c>
      <c r="G113" s="57" t="s">
        <v>530</v>
      </c>
      <c r="H113" s="140" t="s">
        <v>2186</v>
      </c>
      <c r="I113" s="57"/>
      <c r="J113" s="57"/>
      <c r="L113" s="164">
        <v>100</v>
      </c>
    </row>
    <row r="114" spans="2:12" x14ac:dyDescent="0.3">
      <c r="B114" s="57">
        <f t="shared" si="1"/>
        <v>111</v>
      </c>
      <c r="C114" s="141">
        <v>46047</v>
      </c>
      <c r="D114" s="57" t="s">
        <v>2021</v>
      </c>
      <c r="E114" s="57" t="s">
        <v>532</v>
      </c>
      <c r="F114" s="57" t="s">
        <v>300</v>
      </c>
      <c r="G114" s="57" t="s">
        <v>530</v>
      </c>
      <c r="H114" s="140" t="s">
        <v>2187</v>
      </c>
      <c r="I114" s="57"/>
      <c r="J114" s="57">
        <v>20</v>
      </c>
      <c r="K114" s="57">
        <v>300</v>
      </c>
      <c r="L114" s="164">
        <v>6000</v>
      </c>
    </row>
    <row r="115" spans="2:12" x14ac:dyDescent="0.3">
      <c r="B115" s="57">
        <f t="shared" si="1"/>
        <v>112</v>
      </c>
      <c r="C115" s="141">
        <v>46047</v>
      </c>
      <c r="D115" s="57" t="s">
        <v>2021</v>
      </c>
      <c r="E115" s="57" t="s">
        <v>2022</v>
      </c>
      <c r="F115" s="57" t="s">
        <v>300</v>
      </c>
      <c r="G115" s="57" t="s">
        <v>530</v>
      </c>
      <c r="H115" s="140" t="s">
        <v>2188</v>
      </c>
      <c r="I115" s="57"/>
      <c r="J115" s="57"/>
      <c r="L115" s="164">
        <v>350</v>
      </c>
    </row>
    <row r="116" spans="2:12" x14ac:dyDescent="0.3">
      <c r="B116" s="57">
        <f t="shared" si="1"/>
        <v>113</v>
      </c>
      <c r="C116" s="141">
        <v>46047</v>
      </c>
      <c r="D116" s="57" t="s">
        <v>2021</v>
      </c>
      <c r="E116" s="57" t="s">
        <v>522</v>
      </c>
      <c r="F116" s="57" t="s">
        <v>502</v>
      </c>
      <c r="G116" s="57" t="s">
        <v>257</v>
      </c>
      <c r="H116" s="140" t="s">
        <v>2189</v>
      </c>
      <c r="I116" s="57"/>
      <c r="J116" s="57"/>
      <c r="L116" s="164">
        <v>10000</v>
      </c>
    </row>
    <row r="117" spans="2:12" x14ac:dyDescent="0.3">
      <c r="B117" s="57">
        <f t="shared" si="1"/>
        <v>114</v>
      </c>
      <c r="C117" s="141">
        <v>46047</v>
      </c>
      <c r="D117" s="57" t="s">
        <v>2021</v>
      </c>
      <c r="E117" s="57" t="s">
        <v>2035</v>
      </c>
      <c r="F117" s="57" t="s">
        <v>300</v>
      </c>
      <c r="G117" s="57" t="s">
        <v>530</v>
      </c>
      <c r="H117" s="140" t="s">
        <v>2190</v>
      </c>
      <c r="I117" s="57"/>
      <c r="J117" s="57"/>
      <c r="L117" s="164">
        <v>960</v>
      </c>
    </row>
    <row r="118" spans="2:12" x14ac:dyDescent="0.3">
      <c r="B118" s="57">
        <f t="shared" si="1"/>
        <v>115</v>
      </c>
      <c r="C118" s="141">
        <v>46047</v>
      </c>
      <c r="D118" s="57" t="s">
        <v>2021</v>
      </c>
      <c r="E118" s="57" t="s">
        <v>2022</v>
      </c>
      <c r="F118" s="57" t="s">
        <v>300</v>
      </c>
      <c r="G118" s="57" t="s">
        <v>530</v>
      </c>
      <c r="H118" s="140" t="s">
        <v>2191</v>
      </c>
      <c r="I118" s="57"/>
      <c r="J118" s="57"/>
      <c r="L118" s="164">
        <v>800</v>
      </c>
    </row>
    <row r="119" spans="2:12" x14ac:dyDescent="0.3">
      <c r="B119" s="57">
        <f t="shared" si="1"/>
        <v>116</v>
      </c>
      <c r="C119" s="141">
        <v>46047</v>
      </c>
      <c r="D119" s="57" t="s">
        <v>2021</v>
      </c>
      <c r="E119" s="57" t="s">
        <v>2035</v>
      </c>
      <c r="F119" s="57" t="s">
        <v>300</v>
      </c>
      <c r="G119" s="57" t="s">
        <v>530</v>
      </c>
      <c r="H119" s="140" t="s">
        <v>2192</v>
      </c>
      <c r="I119" s="57"/>
      <c r="J119" s="57"/>
      <c r="L119" s="164">
        <v>10000</v>
      </c>
    </row>
    <row r="120" spans="2:12" x14ac:dyDescent="0.3">
      <c r="B120" s="57">
        <f t="shared" si="1"/>
        <v>117</v>
      </c>
      <c r="C120" s="141">
        <v>46047</v>
      </c>
      <c r="D120" s="57" t="s">
        <v>2021</v>
      </c>
      <c r="E120" s="57" t="s">
        <v>4128</v>
      </c>
      <c r="F120" s="57" t="s">
        <v>300</v>
      </c>
      <c r="G120" s="57" t="s">
        <v>530</v>
      </c>
      <c r="H120" s="140" t="s">
        <v>2927</v>
      </c>
      <c r="I120" s="57"/>
      <c r="J120" s="57"/>
      <c r="L120" s="164">
        <v>3000</v>
      </c>
    </row>
    <row r="121" spans="2:12" x14ac:dyDescent="0.3">
      <c r="B121" s="57">
        <f t="shared" si="1"/>
        <v>118</v>
      </c>
      <c r="C121" s="145">
        <v>46047</v>
      </c>
      <c r="D121" s="57" t="s">
        <v>2021</v>
      </c>
      <c r="E121" s="57" t="s">
        <v>767</v>
      </c>
      <c r="F121" s="57" t="s">
        <v>300</v>
      </c>
      <c r="G121" s="57" t="s">
        <v>530</v>
      </c>
      <c r="H121" s="140" t="s">
        <v>2193</v>
      </c>
      <c r="I121" s="57"/>
      <c r="J121" s="57"/>
      <c r="L121" s="164">
        <v>100</v>
      </c>
    </row>
    <row r="122" spans="2:12" x14ac:dyDescent="0.3">
      <c r="B122" s="57">
        <f t="shared" si="1"/>
        <v>119</v>
      </c>
      <c r="C122" s="141">
        <v>46047</v>
      </c>
      <c r="D122" s="57" t="s">
        <v>2021</v>
      </c>
      <c r="E122" s="57" t="s">
        <v>2033</v>
      </c>
      <c r="F122" s="57" t="s">
        <v>300</v>
      </c>
      <c r="G122" s="57" t="s">
        <v>530</v>
      </c>
      <c r="H122" s="140" t="s">
        <v>2194</v>
      </c>
      <c r="I122" s="57"/>
      <c r="J122" s="57"/>
      <c r="L122" s="164">
        <v>340</v>
      </c>
    </row>
    <row r="123" spans="2:12" x14ac:dyDescent="0.3">
      <c r="B123" s="57">
        <f t="shared" si="1"/>
        <v>120</v>
      </c>
      <c r="C123" s="141">
        <v>46048</v>
      </c>
      <c r="D123" s="57" t="s">
        <v>30</v>
      </c>
      <c r="E123" s="57" t="s">
        <v>2032</v>
      </c>
      <c r="F123" s="57" t="s">
        <v>300</v>
      </c>
      <c r="G123" s="57" t="s">
        <v>530</v>
      </c>
      <c r="H123" s="140" t="s">
        <v>2144</v>
      </c>
      <c r="I123" s="57"/>
      <c r="J123" s="57"/>
      <c r="L123" s="164">
        <v>109500</v>
      </c>
    </row>
    <row r="124" spans="2:12" x14ac:dyDescent="0.3">
      <c r="B124" s="57">
        <f t="shared" si="1"/>
        <v>121</v>
      </c>
      <c r="C124" s="141">
        <v>46048</v>
      </c>
      <c r="D124" s="57" t="s">
        <v>30</v>
      </c>
      <c r="E124" s="57" t="s">
        <v>522</v>
      </c>
      <c r="F124" s="57" t="s">
        <v>300</v>
      </c>
      <c r="G124" s="57" t="s">
        <v>530</v>
      </c>
      <c r="H124" s="140" t="s">
        <v>2145</v>
      </c>
      <c r="I124" s="57"/>
      <c r="J124" s="57"/>
      <c r="L124" s="164">
        <v>2500</v>
      </c>
    </row>
    <row r="125" spans="2:12" x14ac:dyDescent="0.3">
      <c r="B125" s="57">
        <f t="shared" si="1"/>
        <v>122</v>
      </c>
      <c r="C125" s="141">
        <v>46048</v>
      </c>
      <c r="D125" s="57" t="s">
        <v>30</v>
      </c>
      <c r="E125" s="57" t="s">
        <v>2032</v>
      </c>
      <c r="F125" s="57" t="s">
        <v>300</v>
      </c>
      <c r="G125" s="57" t="s">
        <v>530</v>
      </c>
      <c r="H125" s="140" t="s">
        <v>2146</v>
      </c>
      <c r="I125" s="57"/>
      <c r="J125" s="57"/>
      <c r="L125" s="164">
        <v>52000</v>
      </c>
    </row>
    <row r="126" spans="2:12" x14ac:dyDescent="0.3">
      <c r="B126" s="57">
        <f t="shared" si="1"/>
        <v>123</v>
      </c>
      <c r="C126" s="141">
        <v>46048</v>
      </c>
      <c r="D126" s="57" t="s">
        <v>2021</v>
      </c>
      <c r="E126" s="57" t="s">
        <v>2029</v>
      </c>
      <c r="F126" s="57" t="s">
        <v>300</v>
      </c>
      <c r="G126" s="57" t="s">
        <v>530</v>
      </c>
      <c r="H126" s="140" t="s">
        <v>2211</v>
      </c>
      <c r="I126" s="57"/>
      <c r="J126" s="165">
        <f>L126/K126</f>
        <v>58.520833333333336</v>
      </c>
      <c r="K126" s="57">
        <v>96</v>
      </c>
      <c r="L126" s="164">
        <v>5618</v>
      </c>
    </row>
    <row r="127" spans="2:12" x14ac:dyDescent="0.3">
      <c r="B127" s="57">
        <f t="shared" si="1"/>
        <v>124</v>
      </c>
      <c r="C127" s="141">
        <v>46048</v>
      </c>
      <c r="D127" s="57" t="s">
        <v>2021</v>
      </c>
      <c r="E127" s="57" t="s">
        <v>532</v>
      </c>
      <c r="F127" s="57" t="s">
        <v>436</v>
      </c>
      <c r="G127" s="57" t="s">
        <v>987</v>
      </c>
      <c r="H127" s="140" t="s">
        <v>2212</v>
      </c>
      <c r="I127" s="57"/>
      <c r="J127" s="57">
        <v>20</v>
      </c>
      <c r="K127" s="57">
        <v>300</v>
      </c>
      <c r="L127" s="164">
        <v>6400</v>
      </c>
    </row>
    <row r="128" spans="2:12" x14ac:dyDescent="0.3">
      <c r="B128" s="57">
        <f t="shared" si="1"/>
        <v>125</v>
      </c>
      <c r="C128" s="141">
        <v>46048</v>
      </c>
      <c r="D128" s="57" t="s">
        <v>2021</v>
      </c>
      <c r="E128" s="57" t="s">
        <v>434</v>
      </c>
      <c r="F128" s="57" t="s">
        <v>300</v>
      </c>
      <c r="G128" s="57" t="s">
        <v>530</v>
      </c>
      <c r="H128" s="140" t="s">
        <v>2213</v>
      </c>
      <c r="I128" s="57"/>
      <c r="J128" s="57"/>
      <c r="L128" s="164">
        <v>12000</v>
      </c>
    </row>
    <row r="129" spans="2:13" x14ac:dyDescent="0.3">
      <c r="B129" s="57">
        <f t="shared" si="1"/>
        <v>126</v>
      </c>
      <c r="C129" s="141">
        <v>46048</v>
      </c>
      <c r="D129" s="57" t="s">
        <v>2021</v>
      </c>
      <c r="E129" s="57" t="s">
        <v>2034</v>
      </c>
      <c r="F129" s="57" t="s">
        <v>300</v>
      </c>
      <c r="G129" s="57" t="s">
        <v>2327</v>
      </c>
      <c r="H129" s="140" t="s">
        <v>2034</v>
      </c>
      <c r="I129" s="57"/>
      <c r="J129" s="57"/>
      <c r="L129" s="164">
        <v>693</v>
      </c>
    </row>
    <row r="130" spans="2:13" x14ac:dyDescent="0.3">
      <c r="B130" s="57">
        <f t="shared" si="1"/>
        <v>127</v>
      </c>
      <c r="C130" s="141">
        <v>46048</v>
      </c>
      <c r="D130" s="57" t="s">
        <v>2021</v>
      </c>
      <c r="E130" s="57" t="s">
        <v>2022</v>
      </c>
      <c r="F130" s="57" t="s">
        <v>300</v>
      </c>
      <c r="G130" s="57" t="s">
        <v>2327</v>
      </c>
      <c r="H130" s="140" t="s">
        <v>2214</v>
      </c>
      <c r="I130" s="57"/>
      <c r="J130" s="57"/>
      <c r="L130" s="164">
        <v>2000</v>
      </c>
    </row>
    <row r="131" spans="2:13" x14ac:dyDescent="0.3">
      <c r="B131" s="57">
        <f t="shared" si="1"/>
        <v>128</v>
      </c>
      <c r="C131" s="141">
        <v>46048</v>
      </c>
      <c r="D131" s="57" t="s">
        <v>2021</v>
      </c>
      <c r="E131" s="57" t="s">
        <v>2022</v>
      </c>
      <c r="F131" s="57" t="s">
        <v>300</v>
      </c>
      <c r="G131" s="57" t="s">
        <v>530</v>
      </c>
      <c r="H131" s="140" t="s">
        <v>2215</v>
      </c>
      <c r="I131" s="57"/>
      <c r="J131" s="57"/>
      <c r="L131" s="164">
        <v>400</v>
      </c>
    </row>
    <row r="132" spans="2:13" x14ac:dyDescent="0.3">
      <c r="B132" s="57">
        <f t="shared" si="1"/>
        <v>129</v>
      </c>
      <c r="C132" s="141">
        <v>46048</v>
      </c>
      <c r="D132" s="57" t="s">
        <v>2021</v>
      </c>
      <c r="E132" s="57" t="s">
        <v>4128</v>
      </c>
      <c r="F132" s="57" t="s">
        <v>300</v>
      </c>
      <c r="G132" s="57" t="s">
        <v>530</v>
      </c>
      <c r="H132" s="140" t="s">
        <v>2216</v>
      </c>
      <c r="I132" s="57"/>
      <c r="J132" s="57"/>
      <c r="L132" s="164">
        <v>1000</v>
      </c>
    </row>
    <row r="133" spans="2:13" x14ac:dyDescent="0.3">
      <c r="B133" s="57">
        <f t="shared" si="1"/>
        <v>130</v>
      </c>
      <c r="C133" s="141">
        <v>46049</v>
      </c>
      <c r="D133" s="57" t="s">
        <v>2021</v>
      </c>
      <c r="E133" s="57" t="s">
        <v>2032</v>
      </c>
      <c r="F133" s="57" t="s">
        <v>436</v>
      </c>
      <c r="G133" s="57" t="s">
        <v>987</v>
      </c>
      <c r="H133" s="140" t="s">
        <v>2195</v>
      </c>
      <c r="I133" s="57"/>
      <c r="J133" s="57"/>
      <c r="L133" s="164">
        <v>7500</v>
      </c>
    </row>
    <row r="134" spans="2:13" x14ac:dyDescent="0.3">
      <c r="B134" s="57">
        <f t="shared" ref="B134:B197" si="4">+B133+1</f>
        <v>131</v>
      </c>
      <c r="C134" s="141">
        <v>46049</v>
      </c>
      <c r="D134" s="57" t="s">
        <v>2021</v>
      </c>
      <c r="E134" s="57" t="s">
        <v>2033</v>
      </c>
      <c r="F134" s="57" t="s">
        <v>436</v>
      </c>
      <c r="G134" s="57" t="s">
        <v>987</v>
      </c>
      <c r="H134" s="140" t="s">
        <v>2196</v>
      </c>
      <c r="I134" s="57"/>
      <c r="J134" s="57"/>
      <c r="L134" s="164">
        <v>1000</v>
      </c>
    </row>
    <row r="135" spans="2:13" x14ac:dyDescent="0.3">
      <c r="B135" s="57">
        <f t="shared" si="4"/>
        <v>132</v>
      </c>
      <c r="C135" s="141">
        <v>46049</v>
      </c>
      <c r="D135" s="57" t="s">
        <v>2021</v>
      </c>
      <c r="E135" s="57" t="s">
        <v>2022</v>
      </c>
      <c r="F135" s="57" t="s">
        <v>300</v>
      </c>
      <c r="G135" s="57" t="s">
        <v>530</v>
      </c>
      <c r="H135" s="140" t="s">
        <v>2217</v>
      </c>
      <c r="I135" s="57"/>
      <c r="J135" s="57"/>
      <c r="L135" s="164">
        <v>400</v>
      </c>
    </row>
    <row r="136" spans="2:13" x14ac:dyDescent="0.3">
      <c r="B136" s="57">
        <f t="shared" si="4"/>
        <v>133</v>
      </c>
      <c r="C136" s="141">
        <v>46049</v>
      </c>
      <c r="D136" s="57" t="s">
        <v>2021</v>
      </c>
      <c r="E136" s="57" t="s">
        <v>434</v>
      </c>
      <c r="F136" s="57" t="s">
        <v>300</v>
      </c>
      <c r="G136" s="57" t="s">
        <v>530</v>
      </c>
      <c r="H136" s="140" t="s">
        <v>2218</v>
      </c>
      <c r="I136" s="57"/>
      <c r="J136" s="57"/>
      <c r="L136" s="164">
        <v>3500</v>
      </c>
    </row>
    <row r="137" spans="2:13" x14ac:dyDescent="0.3">
      <c r="B137" s="57">
        <f t="shared" si="4"/>
        <v>134</v>
      </c>
      <c r="C137" s="141">
        <v>46049</v>
      </c>
      <c r="D137" s="57" t="s">
        <v>2021</v>
      </c>
      <c r="E137" s="57" t="s">
        <v>2022</v>
      </c>
      <c r="F137" s="57" t="s">
        <v>300</v>
      </c>
      <c r="G137" s="57" t="s">
        <v>530</v>
      </c>
      <c r="H137" s="140" t="s">
        <v>2219</v>
      </c>
      <c r="I137" s="57"/>
      <c r="J137" s="57"/>
      <c r="L137" s="164">
        <v>8300</v>
      </c>
    </row>
    <row r="138" spans="2:13" x14ac:dyDescent="0.3">
      <c r="B138" s="57">
        <f t="shared" si="4"/>
        <v>135</v>
      </c>
      <c r="C138" s="141">
        <v>46049</v>
      </c>
      <c r="D138" s="57" t="s">
        <v>2021</v>
      </c>
      <c r="E138" s="57" t="s">
        <v>522</v>
      </c>
      <c r="F138" s="57" t="s">
        <v>502</v>
      </c>
      <c r="G138" s="57" t="s">
        <v>257</v>
      </c>
      <c r="H138" s="140" t="s">
        <v>2220</v>
      </c>
      <c r="I138" s="57"/>
      <c r="J138" s="57"/>
      <c r="L138" s="164">
        <v>1000</v>
      </c>
    </row>
    <row r="139" spans="2:13" x14ac:dyDescent="0.3">
      <c r="B139" s="57">
        <f t="shared" si="4"/>
        <v>136</v>
      </c>
      <c r="C139" s="141">
        <v>46049</v>
      </c>
      <c r="D139" s="57" t="s">
        <v>2021</v>
      </c>
      <c r="E139" s="57" t="s">
        <v>434</v>
      </c>
      <c r="F139" s="57" t="s">
        <v>300</v>
      </c>
      <c r="G139" s="57" t="s">
        <v>530</v>
      </c>
      <c r="H139" s="140" t="s">
        <v>2221</v>
      </c>
      <c r="I139" s="57"/>
      <c r="J139" s="57"/>
      <c r="L139" s="164">
        <v>3400</v>
      </c>
    </row>
    <row r="140" spans="2:13" x14ac:dyDescent="0.3">
      <c r="B140" s="57">
        <f t="shared" si="4"/>
        <v>137</v>
      </c>
      <c r="C140" s="141">
        <v>46050</v>
      </c>
      <c r="D140" s="57" t="s">
        <v>30</v>
      </c>
      <c r="E140" s="57" t="s">
        <v>434</v>
      </c>
      <c r="F140" s="57" t="s">
        <v>300</v>
      </c>
      <c r="G140" s="57" t="s">
        <v>530</v>
      </c>
      <c r="H140" s="140" t="s">
        <v>2147</v>
      </c>
      <c r="I140" s="57"/>
      <c r="J140" s="57"/>
      <c r="L140" s="164">
        <v>950</v>
      </c>
    </row>
    <row r="141" spans="2:13" x14ac:dyDescent="0.3">
      <c r="B141" s="57">
        <f t="shared" si="4"/>
        <v>138</v>
      </c>
      <c r="C141" s="141">
        <v>46050</v>
      </c>
      <c r="D141" s="57" t="s">
        <v>2021</v>
      </c>
      <c r="E141" s="57" t="s">
        <v>2022</v>
      </c>
      <c r="F141" s="57" t="s">
        <v>300</v>
      </c>
      <c r="G141" s="57" t="s">
        <v>530</v>
      </c>
      <c r="H141" s="140" t="s">
        <v>2197</v>
      </c>
      <c r="I141" s="57"/>
      <c r="J141" s="57"/>
      <c r="L141" s="164">
        <v>1570</v>
      </c>
    </row>
    <row r="142" spans="2:13" x14ac:dyDescent="0.3">
      <c r="B142" s="57">
        <f t="shared" si="4"/>
        <v>139</v>
      </c>
      <c r="C142" s="141">
        <v>46050</v>
      </c>
      <c r="D142" s="57" t="s">
        <v>2021</v>
      </c>
      <c r="E142" s="57" t="s">
        <v>434</v>
      </c>
      <c r="F142" s="57" t="s">
        <v>300</v>
      </c>
      <c r="G142" s="57" t="s">
        <v>530</v>
      </c>
      <c r="H142" s="140" t="s">
        <v>2198</v>
      </c>
      <c r="I142" s="57"/>
      <c r="J142" s="57"/>
      <c r="L142" s="164">
        <v>1080</v>
      </c>
    </row>
    <row r="143" spans="2:13" x14ac:dyDescent="0.3">
      <c r="B143" s="57">
        <f t="shared" si="4"/>
        <v>140</v>
      </c>
      <c r="C143" s="141">
        <v>46050</v>
      </c>
      <c r="D143" s="57" t="s">
        <v>2021</v>
      </c>
      <c r="E143" s="57" t="s">
        <v>2022</v>
      </c>
      <c r="F143" s="57" t="s">
        <v>300</v>
      </c>
      <c r="G143" s="57" t="s">
        <v>530</v>
      </c>
      <c r="H143" s="140" t="s">
        <v>2928</v>
      </c>
      <c r="I143" s="57"/>
      <c r="J143" s="57"/>
      <c r="L143" s="164">
        <v>210780</v>
      </c>
      <c r="M143" s="57" t="s">
        <v>2928</v>
      </c>
    </row>
    <row r="144" spans="2:13" x14ac:dyDescent="0.3">
      <c r="B144" s="57">
        <f t="shared" si="4"/>
        <v>141</v>
      </c>
      <c r="C144" s="141">
        <v>46050</v>
      </c>
      <c r="D144" s="57" t="s">
        <v>2021</v>
      </c>
      <c r="E144" s="57" t="s">
        <v>146</v>
      </c>
      <c r="F144" s="57" t="s">
        <v>436</v>
      </c>
      <c r="G144" s="57" t="s">
        <v>987</v>
      </c>
      <c r="H144" s="140" t="s">
        <v>2199</v>
      </c>
      <c r="I144" s="57"/>
      <c r="J144" s="165">
        <f>L144/K144</f>
        <v>40.145833333333336</v>
      </c>
      <c r="K144" s="57">
        <v>96</v>
      </c>
      <c r="L144" s="164">
        <v>3854</v>
      </c>
    </row>
    <row r="145" spans="2:13" x14ac:dyDescent="0.3">
      <c r="B145" s="57">
        <f t="shared" si="4"/>
        <v>142</v>
      </c>
      <c r="C145" s="141">
        <v>46050</v>
      </c>
      <c r="D145" s="57" t="s">
        <v>2021</v>
      </c>
      <c r="E145" s="57" t="s">
        <v>2032</v>
      </c>
      <c r="F145" s="57" t="s">
        <v>436</v>
      </c>
      <c r="G145" s="57" t="s">
        <v>987</v>
      </c>
      <c r="H145" s="140" t="s">
        <v>2200</v>
      </c>
      <c r="I145" s="57"/>
      <c r="J145" s="57"/>
      <c r="L145" s="164">
        <v>1800</v>
      </c>
    </row>
    <row r="146" spans="2:13" x14ac:dyDescent="0.3">
      <c r="B146" s="57">
        <f t="shared" si="4"/>
        <v>143</v>
      </c>
      <c r="C146" s="141">
        <v>46050</v>
      </c>
      <c r="D146" s="57" t="s">
        <v>2021</v>
      </c>
      <c r="E146" s="57" t="s">
        <v>2022</v>
      </c>
      <c r="F146" s="57" t="s">
        <v>300</v>
      </c>
      <c r="G146" s="57" t="s">
        <v>530</v>
      </c>
      <c r="H146" s="140" t="s">
        <v>2201</v>
      </c>
      <c r="I146" s="57"/>
      <c r="J146" s="57"/>
      <c r="L146" s="164">
        <v>2300</v>
      </c>
    </row>
    <row r="147" spans="2:13" x14ac:dyDescent="0.3">
      <c r="B147" s="57">
        <f t="shared" si="4"/>
        <v>144</v>
      </c>
      <c r="C147" s="141">
        <v>46050</v>
      </c>
      <c r="D147" s="57" t="s">
        <v>2021</v>
      </c>
      <c r="E147" s="57" t="s">
        <v>146</v>
      </c>
      <c r="F147" s="57" t="s">
        <v>300</v>
      </c>
      <c r="G147" s="57" t="s">
        <v>2038</v>
      </c>
      <c r="H147" s="140" t="s">
        <v>2030</v>
      </c>
      <c r="I147" s="57"/>
      <c r="J147" s="165">
        <f>L147/K147</f>
        <v>42.21875</v>
      </c>
      <c r="K147" s="57">
        <v>96</v>
      </c>
      <c r="L147" s="164">
        <v>4053</v>
      </c>
    </row>
    <row r="148" spans="2:13" x14ac:dyDescent="0.3">
      <c r="B148" s="57">
        <f t="shared" si="4"/>
        <v>145</v>
      </c>
      <c r="C148" s="141">
        <v>46051</v>
      </c>
      <c r="D148" s="57" t="s">
        <v>30</v>
      </c>
      <c r="E148" s="57" t="s">
        <v>2022</v>
      </c>
      <c r="F148" s="57" t="s">
        <v>300</v>
      </c>
      <c r="G148" s="57" t="s">
        <v>530</v>
      </c>
      <c r="H148" s="140" t="s">
        <v>2142</v>
      </c>
      <c r="I148" s="57"/>
      <c r="J148" s="57"/>
      <c r="L148" s="164">
        <v>600</v>
      </c>
    </row>
    <row r="149" spans="2:13" x14ac:dyDescent="0.3">
      <c r="B149" s="57">
        <f t="shared" si="4"/>
        <v>146</v>
      </c>
      <c r="C149" s="141">
        <v>46051</v>
      </c>
      <c r="D149" s="57" t="s">
        <v>30</v>
      </c>
      <c r="E149" s="57" t="s">
        <v>522</v>
      </c>
      <c r="F149" s="57" t="s">
        <v>300</v>
      </c>
      <c r="G149" s="57" t="s">
        <v>530</v>
      </c>
      <c r="H149" s="140" t="s">
        <v>2141</v>
      </c>
      <c r="I149" s="57"/>
      <c r="J149" s="57"/>
      <c r="L149" s="164">
        <v>500</v>
      </c>
    </row>
    <row r="150" spans="2:13" x14ac:dyDescent="0.3">
      <c r="B150" s="57">
        <f t="shared" si="4"/>
        <v>147</v>
      </c>
      <c r="C150" s="141">
        <v>46051</v>
      </c>
      <c r="D150" s="57" t="s">
        <v>2021</v>
      </c>
      <c r="E150" s="57" t="s">
        <v>2036</v>
      </c>
      <c r="F150" s="57" t="s">
        <v>300</v>
      </c>
      <c r="G150" s="57" t="s">
        <v>2327</v>
      </c>
      <c r="H150" s="140" t="s">
        <v>2202</v>
      </c>
      <c r="I150" s="57"/>
      <c r="J150" s="57"/>
      <c r="L150" s="164">
        <v>3000</v>
      </c>
      <c r="M150" s="57" t="s">
        <v>2320</v>
      </c>
    </row>
    <row r="151" spans="2:13" x14ac:dyDescent="0.3">
      <c r="B151" s="57">
        <f t="shared" si="4"/>
        <v>148</v>
      </c>
      <c r="C151" s="141">
        <v>46051</v>
      </c>
      <c r="D151" s="57" t="s">
        <v>2021</v>
      </c>
      <c r="E151" s="57" t="s">
        <v>2032</v>
      </c>
      <c r="F151" s="57" t="s">
        <v>436</v>
      </c>
      <c r="G151" s="57" t="s">
        <v>987</v>
      </c>
      <c r="H151" s="140" t="s">
        <v>2203</v>
      </c>
      <c r="I151" s="57"/>
      <c r="J151" s="57"/>
      <c r="L151" s="164">
        <v>6450</v>
      </c>
    </row>
    <row r="152" spans="2:13" x14ac:dyDescent="0.3">
      <c r="B152" s="57">
        <f t="shared" si="4"/>
        <v>149</v>
      </c>
      <c r="C152" s="141">
        <v>46051</v>
      </c>
      <c r="D152" s="57" t="s">
        <v>2021</v>
      </c>
      <c r="E152" s="57" t="s">
        <v>2022</v>
      </c>
      <c r="F152" s="57" t="s">
        <v>300</v>
      </c>
      <c r="G152" s="57" t="s">
        <v>530</v>
      </c>
      <c r="H152" s="140" t="s">
        <v>2204</v>
      </c>
      <c r="I152" s="57"/>
      <c r="J152" s="57"/>
      <c r="L152" s="164">
        <v>15960</v>
      </c>
    </row>
    <row r="153" spans="2:13" x14ac:dyDescent="0.3">
      <c r="B153" s="57">
        <f t="shared" si="4"/>
        <v>150</v>
      </c>
      <c r="C153" s="141">
        <v>46051</v>
      </c>
      <c r="D153" s="57" t="s">
        <v>2021</v>
      </c>
      <c r="E153" s="57" t="s">
        <v>434</v>
      </c>
      <c r="F153" s="57" t="s">
        <v>300</v>
      </c>
      <c r="G153" s="57" t="s">
        <v>530</v>
      </c>
      <c r="H153" s="140" t="s">
        <v>2205</v>
      </c>
      <c r="I153" s="57"/>
      <c r="J153" s="57"/>
      <c r="L153" s="164">
        <v>240</v>
      </c>
    </row>
    <row r="154" spans="2:13" x14ac:dyDescent="0.3">
      <c r="B154" s="57">
        <f t="shared" si="4"/>
        <v>151</v>
      </c>
      <c r="C154" s="141">
        <v>46051</v>
      </c>
      <c r="D154" s="57" t="s">
        <v>2021</v>
      </c>
      <c r="E154" s="57" t="s">
        <v>532</v>
      </c>
      <c r="F154" s="57" t="s">
        <v>436</v>
      </c>
      <c r="G154" s="57" t="s">
        <v>987</v>
      </c>
      <c r="H154" s="140" t="s">
        <v>2206</v>
      </c>
      <c r="I154" s="57"/>
      <c r="J154" s="57">
        <v>20</v>
      </c>
      <c r="K154" s="57">
        <v>300</v>
      </c>
      <c r="L154" s="164">
        <v>6000</v>
      </c>
    </row>
    <row r="155" spans="2:13" x14ac:dyDescent="0.3">
      <c r="B155" s="57">
        <f t="shared" si="4"/>
        <v>152</v>
      </c>
      <c r="C155" s="141">
        <v>46051</v>
      </c>
      <c r="D155" s="57" t="s">
        <v>2021</v>
      </c>
      <c r="E155" s="57" t="s">
        <v>2027</v>
      </c>
      <c r="F155" s="57" t="s">
        <v>300</v>
      </c>
      <c r="G155" s="57" t="s">
        <v>530</v>
      </c>
      <c r="H155" s="140" t="s">
        <v>2271</v>
      </c>
      <c r="I155" s="57"/>
      <c r="J155" s="57"/>
      <c r="L155" s="164">
        <v>6500</v>
      </c>
    </row>
    <row r="156" spans="2:13" x14ac:dyDescent="0.3">
      <c r="B156" s="57">
        <f t="shared" si="4"/>
        <v>153</v>
      </c>
      <c r="C156" s="141">
        <v>46052</v>
      </c>
      <c r="D156" s="57" t="s">
        <v>30</v>
      </c>
      <c r="E156" s="57" t="s">
        <v>958</v>
      </c>
      <c r="F156" s="57" t="s">
        <v>436</v>
      </c>
      <c r="G156" s="57" t="s">
        <v>987</v>
      </c>
      <c r="H156" s="140" t="s">
        <v>958</v>
      </c>
      <c r="I156" s="57"/>
      <c r="J156" s="57"/>
      <c r="L156" s="164">
        <v>4400</v>
      </c>
    </row>
    <row r="157" spans="2:13" x14ac:dyDescent="0.3">
      <c r="B157" s="57">
        <f t="shared" si="4"/>
        <v>154</v>
      </c>
      <c r="C157" s="141">
        <v>46052</v>
      </c>
      <c r="D157" s="57" t="s">
        <v>2021</v>
      </c>
      <c r="E157" s="57" t="s">
        <v>532</v>
      </c>
      <c r="F157" s="57" t="s">
        <v>436</v>
      </c>
      <c r="G157" s="57" t="s">
        <v>987</v>
      </c>
      <c r="H157" s="140" t="s">
        <v>2207</v>
      </c>
      <c r="I157" s="57"/>
      <c r="J157" s="57">
        <v>6</v>
      </c>
      <c r="K157" s="57">
        <v>300</v>
      </c>
      <c r="L157" s="164">
        <v>1800</v>
      </c>
    </row>
    <row r="158" spans="2:13" x14ac:dyDescent="0.3">
      <c r="B158" s="57">
        <f t="shared" si="4"/>
        <v>155</v>
      </c>
      <c r="C158" s="141">
        <v>46052</v>
      </c>
      <c r="D158" s="57" t="s">
        <v>2021</v>
      </c>
      <c r="E158" s="57" t="s">
        <v>2022</v>
      </c>
      <c r="F158" s="57" t="s">
        <v>436</v>
      </c>
      <c r="G158" s="57" t="s">
        <v>987</v>
      </c>
      <c r="H158" s="140" t="s">
        <v>2208</v>
      </c>
      <c r="I158" s="57"/>
      <c r="J158" s="57"/>
      <c r="L158" s="164">
        <v>1680</v>
      </c>
    </row>
    <row r="159" spans="2:13" x14ac:dyDescent="0.3">
      <c r="B159" s="57">
        <f t="shared" si="4"/>
        <v>156</v>
      </c>
      <c r="C159" s="141">
        <v>46052</v>
      </c>
      <c r="D159" s="57" t="s">
        <v>2021</v>
      </c>
      <c r="E159" s="57" t="s">
        <v>434</v>
      </c>
      <c r="F159" s="57" t="s">
        <v>300</v>
      </c>
      <c r="G159" s="57" t="s">
        <v>530</v>
      </c>
      <c r="H159" s="140" t="s">
        <v>2209</v>
      </c>
      <c r="I159" s="57"/>
      <c r="J159" s="57"/>
      <c r="L159" s="164">
        <v>8800</v>
      </c>
    </row>
    <row r="160" spans="2:13" x14ac:dyDescent="0.3">
      <c r="B160" s="57">
        <f t="shared" si="4"/>
        <v>157</v>
      </c>
      <c r="C160" s="141">
        <v>46052</v>
      </c>
      <c r="D160" s="57" t="s">
        <v>2021</v>
      </c>
      <c r="E160" s="57" t="s">
        <v>2033</v>
      </c>
      <c r="F160" s="57" t="s">
        <v>300</v>
      </c>
      <c r="G160" s="57" t="s">
        <v>530</v>
      </c>
      <c r="H160" s="140" t="s">
        <v>2222</v>
      </c>
      <c r="I160" s="57"/>
      <c r="J160" s="57"/>
      <c r="L160" s="164">
        <v>2200</v>
      </c>
      <c r="M160" s="57" t="s">
        <v>2321</v>
      </c>
    </row>
    <row r="161" spans="2:12" x14ac:dyDescent="0.3">
      <c r="B161" s="57">
        <f t="shared" si="4"/>
        <v>158</v>
      </c>
      <c r="C161" s="141">
        <v>46052</v>
      </c>
      <c r="D161" s="57" t="s">
        <v>2021</v>
      </c>
      <c r="E161" s="57" t="s">
        <v>2033</v>
      </c>
      <c r="F161" s="57" t="s">
        <v>300</v>
      </c>
      <c r="G161" s="57" t="s">
        <v>530</v>
      </c>
      <c r="H161" s="140" t="s">
        <v>2223</v>
      </c>
      <c r="I161" s="57"/>
      <c r="J161" s="57"/>
      <c r="L161" s="164">
        <v>800</v>
      </c>
    </row>
    <row r="162" spans="2:12" x14ac:dyDescent="0.3">
      <c r="B162" s="57">
        <f t="shared" si="4"/>
        <v>159</v>
      </c>
      <c r="C162" s="141">
        <v>46052</v>
      </c>
      <c r="D162" s="57" t="s">
        <v>2021</v>
      </c>
      <c r="E162" s="57" t="s">
        <v>2022</v>
      </c>
      <c r="F162" s="57" t="s">
        <v>300</v>
      </c>
      <c r="G162" s="57" t="s">
        <v>530</v>
      </c>
      <c r="H162" s="140" t="s">
        <v>2224</v>
      </c>
      <c r="I162" s="57"/>
      <c r="J162" s="57"/>
      <c r="L162" s="164">
        <v>2120</v>
      </c>
    </row>
    <row r="163" spans="2:12" x14ac:dyDescent="0.3">
      <c r="B163" s="57">
        <f t="shared" si="4"/>
        <v>160</v>
      </c>
      <c r="C163" s="141">
        <v>46053</v>
      </c>
      <c r="D163" s="57" t="s">
        <v>30</v>
      </c>
      <c r="E163" s="57" t="s">
        <v>958</v>
      </c>
      <c r="F163" s="57" t="s">
        <v>300</v>
      </c>
      <c r="G163" s="57" t="s">
        <v>303</v>
      </c>
      <c r="H163" s="140" t="s">
        <v>2148</v>
      </c>
      <c r="I163" s="57"/>
      <c r="J163" s="57"/>
      <c r="L163" s="164">
        <v>3000</v>
      </c>
    </row>
    <row r="164" spans="2:12" x14ac:dyDescent="0.3">
      <c r="B164" s="57">
        <f t="shared" si="4"/>
        <v>161</v>
      </c>
      <c r="C164" s="141">
        <v>46053</v>
      </c>
      <c r="D164" s="57" t="s">
        <v>2021</v>
      </c>
      <c r="E164" s="57" t="s">
        <v>2032</v>
      </c>
      <c r="F164" s="57" t="s">
        <v>300</v>
      </c>
      <c r="G164" s="57" t="s">
        <v>530</v>
      </c>
      <c r="H164" s="140" t="s">
        <v>2225</v>
      </c>
      <c r="I164" s="57"/>
      <c r="J164" s="57"/>
      <c r="L164" s="164">
        <v>4500</v>
      </c>
    </row>
    <row r="165" spans="2:12" x14ac:dyDescent="0.3">
      <c r="B165" s="57">
        <f t="shared" si="4"/>
        <v>162</v>
      </c>
      <c r="C165" s="141">
        <v>46053</v>
      </c>
      <c r="D165" s="57" t="s">
        <v>2021</v>
      </c>
      <c r="E165" s="57" t="s">
        <v>2032</v>
      </c>
      <c r="F165" s="57" t="s">
        <v>300</v>
      </c>
      <c r="G165" s="57" t="s">
        <v>530</v>
      </c>
      <c r="H165" s="140" t="s">
        <v>2226</v>
      </c>
      <c r="I165" s="57"/>
      <c r="J165" s="57"/>
      <c r="L165" s="164">
        <v>11000</v>
      </c>
    </row>
    <row r="166" spans="2:12" x14ac:dyDescent="0.3">
      <c r="B166" s="57">
        <f t="shared" si="4"/>
        <v>163</v>
      </c>
      <c r="C166" s="141">
        <v>46053</v>
      </c>
      <c r="D166" s="57" t="s">
        <v>2021</v>
      </c>
      <c r="E166" s="57" t="s">
        <v>532</v>
      </c>
      <c r="F166" s="57" t="s">
        <v>300</v>
      </c>
      <c r="G166" s="57" t="s">
        <v>530</v>
      </c>
      <c r="H166" s="140" t="s">
        <v>2227</v>
      </c>
      <c r="I166" s="57"/>
      <c r="J166" s="57">
        <v>40</v>
      </c>
      <c r="K166" s="57">
        <v>300</v>
      </c>
      <c r="L166" s="164">
        <v>12600</v>
      </c>
    </row>
    <row r="167" spans="2:12" x14ac:dyDescent="0.3">
      <c r="B167" s="57">
        <f t="shared" si="4"/>
        <v>164</v>
      </c>
      <c r="C167" s="141">
        <v>46053</v>
      </c>
      <c r="D167" s="57" t="s">
        <v>2021</v>
      </c>
      <c r="E167" s="57" t="s">
        <v>2036</v>
      </c>
      <c r="F167" s="57" t="s">
        <v>436</v>
      </c>
      <c r="G167" s="57" t="s">
        <v>987</v>
      </c>
      <c r="H167" s="140" t="s">
        <v>2228</v>
      </c>
      <c r="I167" s="57"/>
      <c r="J167" s="57"/>
      <c r="L167" s="164">
        <v>1500</v>
      </c>
    </row>
    <row r="168" spans="2:12" x14ac:dyDescent="0.3">
      <c r="B168" s="57">
        <f t="shared" si="4"/>
        <v>165</v>
      </c>
      <c r="C168" s="141">
        <v>46053</v>
      </c>
      <c r="D168" s="57" t="s">
        <v>2021</v>
      </c>
      <c r="E168" s="57" t="s">
        <v>2022</v>
      </c>
      <c r="F168" s="57" t="s">
        <v>300</v>
      </c>
      <c r="G168" s="57" t="s">
        <v>530</v>
      </c>
      <c r="H168" s="140" t="s">
        <v>2229</v>
      </c>
      <c r="I168" s="57"/>
      <c r="J168" s="57"/>
      <c r="L168" s="164">
        <v>750</v>
      </c>
    </row>
    <row r="169" spans="2:12" x14ac:dyDescent="0.3">
      <c r="B169" s="57">
        <f t="shared" si="4"/>
        <v>166</v>
      </c>
      <c r="C169" s="141">
        <v>46053</v>
      </c>
      <c r="D169" s="57" t="s">
        <v>2021</v>
      </c>
      <c r="E169" s="57" t="s">
        <v>2022</v>
      </c>
      <c r="F169" s="57" t="s">
        <v>300</v>
      </c>
      <c r="G169" s="57" t="s">
        <v>530</v>
      </c>
      <c r="H169" s="140" t="s">
        <v>2230</v>
      </c>
      <c r="I169" s="57"/>
      <c r="J169" s="57"/>
      <c r="L169" s="164">
        <v>1280</v>
      </c>
    </row>
    <row r="170" spans="2:12" x14ac:dyDescent="0.3">
      <c r="B170" s="57">
        <f t="shared" si="4"/>
        <v>167</v>
      </c>
      <c r="C170" s="141">
        <v>46053</v>
      </c>
      <c r="D170" s="57" t="s">
        <v>2021</v>
      </c>
      <c r="E170" s="57" t="s">
        <v>2032</v>
      </c>
      <c r="F170" s="57" t="s">
        <v>300</v>
      </c>
      <c r="G170" s="57" t="s">
        <v>530</v>
      </c>
      <c r="H170" s="140" t="s">
        <v>2270</v>
      </c>
      <c r="I170" s="57"/>
      <c r="J170" s="57"/>
      <c r="L170" s="164">
        <v>1280</v>
      </c>
    </row>
    <row r="171" spans="2:12" x14ac:dyDescent="0.3">
      <c r="B171" s="57">
        <f t="shared" si="4"/>
        <v>168</v>
      </c>
      <c r="C171" s="141">
        <v>46054</v>
      </c>
      <c r="D171" s="57" t="s">
        <v>30</v>
      </c>
      <c r="E171" s="57" t="s">
        <v>146</v>
      </c>
      <c r="F171" s="57" t="s">
        <v>502</v>
      </c>
      <c r="G171" s="57" t="s">
        <v>257</v>
      </c>
      <c r="H171" s="140" t="s">
        <v>146</v>
      </c>
      <c r="I171" s="57"/>
      <c r="J171" s="165">
        <f t="shared" ref="J171:J172" si="5">L171/K171</f>
        <v>41.666666666666664</v>
      </c>
      <c r="K171" s="57">
        <v>96</v>
      </c>
      <c r="L171" s="164">
        <v>4000</v>
      </c>
    </row>
    <row r="172" spans="2:12" x14ac:dyDescent="0.3">
      <c r="B172" s="57">
        <f t="shared" si="4"/>
        <v>169</v>
      </c>
      <c r="C172" s="141">
        <v>46054</v>
      </c>
      <c r="D172" s="57" t="s">
        <v>2021</v>
      </c>
      <c r="E172" s="57" t="s">
        <v>146</v>
      </c>
      <c r="F172" s="57" t="s">
        <v>502</v>
      </c>
      <c r="G172" s="57" t="s">
        <v>257</v>
      </c>
      <c r="H172" s="140" t="s">
        <v>2151</v>
      </c>
      <c r="I172" s="57"/>
      <c r="J172" s="165">
        <f t="shared" si="5"/>
        <v>10.416666666666666</v>
      </c>
      <c r="K172" s="57">
        <v>96</v>
      </c>
      <c r="L172" s="164">
        <v>1000</v>
      </c>
    </row>
    <row r="173" spans="2:12" x14ac:dyDescent="0.3">
      <c r="B173" s="57">
        <f t="shared" si="4"/>
        <v>170</v>
      </c>
      <c r="C173" s="141">
        <v>46054</v>
      </c>
      <c r="D173" s="57" t="s">
        <v>2021</v>
      </c>
      <c r="E173" s="57" t="s">
        <v>434</v>
      </c>
      <c r="F173" s="57" t="s">
        <v>300</v>
      </c>
      <c r="G173" s="57" t="s">
        <v>530</v>
      </c>
      <c r="H173" s="140" t="s">
        <v>2152</v>
      </c>
      <c r="I173" s="57"/>
      <c r="J173" s="57"/>
      <c r="L173" s="164">
        <v>200</v>
      </c>
    </row>
    <row r="174" spans="2:12" x14ac:dyDescent="0.3">
      <c r="B174" s="57">
        <f t="shared" si="4"/>
        <v>171</v>
      </c>
      <c r="C174" s="141">
        <v>46054</v>
      </c>
      <c r="D174" s="57" t="s">
        <v>2021</v>
      </c>
      <c r="E174" s="57" t="s">
        <v>2033</v>
      </c>
      <c r="F174" s="57" t="s">
        <v>300</v>
      </c>
      <c r="G174" s="57" t="s">
        <v>530</v>
      </c>
      <c r="H174" s="140" t="s">
        <v>2153</v>
      </c>
      <c r="I174" s="57"/>
      <c r="J174" s="57"/>
      <c r="L174" s="164">
        <v>1150</v>
      </c>
    </row>
    <row r="175" spans="2:12" x14ac:dyDescent="0.3">
      <c r="B175" s="57">
        <f t="shared" si="4"/>
        <v>172</v>
      </c>
      <c r="C175" s="141">
        <v>46054</v>
      </c>
      <c r="D175" s="57" t="s">
        <v>2021</v>
      </c>
      <c r="E175" s="57" t="s">
        <v>146</v>
      </c>
      <c r="F175" s="57" t="s">
        <v>300</v>
      </c>
      <c r="G175" s="57" t="s">
        <v>530</v>
      </c>
      <c r="H175" s="140" t="s">
        <v>2154</v>
      </c>
      <c r="I175" s="57"/>
      <c r="J175" s="165">
        <f>L175/K175</f>
        <v>5.208333333333333</v>
      </c>
      <c r="K175" s="57">
        <v>96</v>
      </c>
      <c r="L175" s="164">
        <v>500</v>
      </c>
    </row>
    <row r="176" spans="2:12" x14ac:dyDescent="0.3">
      <c r="B176" s="57">
        <f t="shared" si="4"/>
        <v>173</v>
      </c>
      <c r="C176" s="141">
        <v>46054</v>
      </c>
      <c r="D176" s="57" t="s">
        <v>2021</v>
      </c>
      <c r="E176" s="57" t="s">
        <v>434</v>
      </c>
      <c r="F176" s="57" t="s">
        <v>300</v>
      </c>
      <c r="G176" s="57" t="s">
        <v>530</v>
      </c>
      <c r="H176" s="140" t="s">
        <v>2155</v>
      </c>
      <c r="I176" s="57"/>
      <c r="J176" s="57"/>
      <c r="L176" s="164">
        <v>1705</v>
      </c>
    </row>
    <row r="177" spans="2:13" x14ac:dyDescent="0.3">
      <c r="B177" s="57">
        <f t="shared" si="4"/>
        <v>174</v>
      </c>
      <c r="C177" s="141">
        <v>46054</v>
      </c>
      <c r="D177" s="57" t="s">
        <v>2021</v>
      </c>
      <c r="E177" s="57" t="s">
        <v>146</v>
      </c>
      <c r="F177" s="57" t="s">
        <v>436</v>
      </c>
      <c r="G177" s="57" t="s">
        <v>987</v>
      </c>
      <c r="H177" s="140" t="s">
        <v>2156</v>
      </c>
      <c r="I177" s="57"/>
      <c r="J177" s="165">
        <f>L177/K177</f>
        <v>10.416666666666666</v>
      </c>
      <c r="K177" s="57">
        <v>96</v>
      </c>
      <c r="L177" s="164">
        <v>1000</v>
      </c>
    </row>
    <row r="178" spans="2:13" x14ac:dyDescent="0.3">
      <c r="B178" s="57">
        <f t="shared" si="4"/>
        <v>175</v>
      </c>
      <c r="C178" s="141">
        <v>46054</v>
      </c>
      <c r="D178" s="57" t="s">
        <v>2021</v>
      </c>
      <c r="E178" s="57" t="s">
        <v>2022</v>
      </c>
      <c r="F178" s="57" t="s">
        <v>300</v>
      </c>
      <c r="G178" s="57" t="s">
        <v>530</v>
      </c>
      <c r="H178" s="140" t="s">
        <v>2272</v>
      </c>
      <c r="I178" s="57"/>
      <c r="J178" s="57"/>
      <c r="L178" s="164">
        <v>41481</v>
      </c>
    </row>
    <row r="179" spans="2:13" x14ac:dyDescent="0.3">
      <c r="B179" s="57">
        <f t="shared" si="4"/>
        <v>176</v>
      </c>
      <c r="C179" s="141">
        <v>46054</v>
      </c>
      <c r="D179" s="57" t="s">
        <v>2021</v>
      </c>
      <c r="E179" s="57" t="s">
        <v>2022</v>
      </c>
      <c r="F179" s="57" t="s">
        <v>300</v>
      </c>
      <c r="G179" s="57" t="s">
        <v>530</v>
      </c>
      <c r="H179" s="140" t="s">
        <v>2273</v>
      </c>
      <c r="I179" s="57"/>
      <c r="J179" s="57"/>
      <c r="L179" s="164">
        <v>18750</v>
      </c>
    </row>
    <row r="180" spans="2:13" x14ac:dyDescent="0.3">
      <c r="B180" s="57">
        <f t="shared" si="4"/>
        <v>177</v>
      </c>
      <c r="C180" s="141">
        <v>46055</v>
      </c>
      <c r="D180" s="57" t="s">
        <v>2021</v>
      </c>
      <c r="E180" s="57" t="s">
        <v>532</v>
      </c>
      <c r="F180" s="57" t="s">
        <v>300</v>
      </c>
      <c r="G180" s="57" t="s">
        <v>530</v>
      </c>
      <c r="H180" s="140" t="s">
        <v>2212</v>
      </c>
      <c r="I180" s="57"/>
      <c r="J180" s="57">
        <v>20</v>
      </c>
      <c r="K180" s="57">
        <v>300</v>
      </c>
      <c r="L180" s="164">
        <v>6000</v>
      </c>
    </row>
    <row r="181" spans="2:13" x14ac:dyDescent="0.3">
      <c r="B181" s="57">
        <f t="shared" si="4"/>
        <v>178</v>
      </c>
      <c r="C181" s="143">
        <v>46066</v>
      </c>
      <c r="D181" s="57" t="s">
        <v>435</v>
      </c>
      <c r="E181" s="57" t="s">
        <v>958</v>
      </c>
      <c r="F181" s="57" t="s">
        <v>350</v>
      </c>
      <c r="G181" s="57" t="s">
        <v>350</v>
      </c>
      <c r="H181" s="140" t="s">
        <v>916</v>
      </c>
      <c r="I181" s="57"/>
      <c r="J181" s="57"/>
      <c r="L181" s="164">
        <v>13000</v>
      </c>
      <c r="M181" s="57" t="s">
        <v>889</v>
      </c>
    </row>
    <row r="182" spans="2:13" x14ac:dyDescent="0.3">
      <c r="B182" s="57">
        <f t="shared" si="4"/>
        <v>179</v>
      </c>
      <c r="C182" s="141">
        <v>46066</v>
      </c>
      <c r="D182" s="57" t="s">
        <v>2021</v>
      </c>
      <c r="E182" s="57" t="s">
        <v>146</v>
      </c>
      <c r="F182" s="57" t="s">
        <v>300</v>
      </c>
      <c r="G182" s="57" t="s">
        <v>2327</v>
      </c>
      <c r="H182" s="140" t="s">
        <v>441</v>
      </c>
      <c r="I182" s="57"/>
      <c r="J182" s="165">
        <f>L182/K182</f>
        <v>10.416666666666666</v>
      </c>
      <c r="K182" s="57">
        <v>96</v>
      </c>
      <c r="L182" s="164">
        <v>1000</v>
      </c>
    </row>
    <row r="183" spans="2:13" x14ac:dyDescent="0.3">
      <c r="B183" s="57">
        <f t="shared" si="4"/>
        <v>180</v>
      </c>
      <c r="C183" s="141">
        <v>46066</v>
      </c>
      <c r="D183" s="57" t="s">
        <v>2021</v>
      </c>
      <c r="E183" s="57" t="s">
        <v>532</v>
      </c>
      <c r="F183" s="57" t="s">
        <v>300</v>
      </c>
      <c r="G183" s="57" t="s">
        <v>530</v>
      </c>
      <c r="H183" s="140" t="s">
        <v>2308</v>
      </c>
      <c r="I183" s="57" t="s">
        <v>532</v>
      </c>
      <c r="J183" s="57">
        <v>47</v>
      </c>
      <c r="K183" s="57">
        <v>280</v>
      </c>
      <c r="L183" s="164">
        <v>13160</v>
      </c>
    </row>
    <row r="184" spans="2:13" x14ac:dyDescent="0.3">
      <c r="B184" s="57">
        <f t="shared" si="4"/>
        <v>181</v>
      </c>
      <c r="C184" s="143">
        <v>46067</v>
      </c>
      <c r="D184" s="57" t="s">
        <v>435</v>
      </c>
      <c r="E184" s="57" t="s">
        <v>969</v>
      </c>
      <c r="F184" s="57" t="s">
        <v>300</v>
      </c>
      <c r="G184" s="57" t="s">
        <v>530</v>
      </c>
      <c r="H184" s="140" t="s">
        <v>970</v>
      </c>
      <c r="I184" s="57"/>
      <c r="J184" s="57"/>
      <c r="L184" s="164">
        <v>1100000</v>
      </c>
      <c r="M184" s="57" t="s">
        <v>971</v>
      </c>
    </row>
    <row r="185" spans="2:13" x14ac:dyDescent="0.3">
      <c r="B185" s="57">
        <f t="shared" si="4"/>
        <v>182</v>
      </c>
      <c r="C185" s="143">
        <v>46067</v>
      </c>
      <c r="D185" s="57" t="s">
        <v>435</v>
      </c>
      <c r="E185" s="57" t="s">
        <v>434</v>
      </c>
      <c r="F185" s="57" t="s">
        <v>502</v>
      </c>
      <c r="G185" s="57" t="s">
        <v>2344</v>
      </c>
      <c r="H185" s="140" t="s">
        <v>950</v>
      </c>
      <c r="I185" s="57"/>
      <c r="J185" s="57"/>
      <c r="L185" s="164">
        <v>6716</v>
      </c>
      <c r="M185" s="57" t="s">
        <v>889</v>
      </c>
    </row>
    <row r="186" spans="2:13" x14ac:dyDescent="0.3">
      <c r="B186" s="57">
        <f t="shared" si="4"/>
        <v>183</v>
      </c>
      <c r="C186" s="143">
        <v>46067</v>
      </c>
      <c r="D186" s="57" t="s">
        <v>435</v>
      </c>
      <c r="E186" s="57" t="s">
        <v>590</v>
      </c>
      <c r="F186" s="57" t="s">
        <v>502</v>
      </c>
      <c r="G186" s="57" t="s">
        <v>2344</v>
      </c>
      <c r="H186" s="140" t="s">
        <v>950</v>
      </c>
      <c r="I186" s="57"/>
      <c r="J186" s="57"/>
      <c r="L186" s="164">
        <v>1180</v>
      </c>
      <c r="M186" s="57" t="s">
        <v>889</v>
      </c>
    </row>
    <row r="187" spans="2:13" x14ac:dyDescent="0.3">
      <c r="B187" s="57">
        <f t="shared" si="4"/>
        <v>184</v>
      </c>
      <c r="C187" s="143">
        <v>46067</v>
      </c>
      <c r="D187" s="57" t="s">
        <v>435</v>
      </c>
      <c r="E187" s="57" t="s">
        <v>4008</v>
      </c>
      <c r="F187" s="57" t="s">
        <v>300</v>
      </c>
      <c r="G187" s="57" t="s">
        <v>996</v>
      </c>
      <c r="H187" s="140" t="s">
        <v>949</v>
      </c>
      <c r="I187" s="57"/>
      <c r="J187" s="57"/>
      <c r="L187" s="164">
        <v>2000</v>
      </c>
      <c r="M187" s="57" t="s">
        <v>889</v>
      </c>
    </row>
    <row r="188" spans="2:13" x14ac:dyDescent="0.3">
      <c r="B188" s="57">
        <f t="shared" si="4"/>
        <v>185</v>
      </c>
      <c r="C188" s="143">
        <v>46067</v>
      </c>
      <c r="D188" s="57" t="s">
        <v>435</v>
      </c>
      <c r="E188" s="57" t="s">
        <v>958</v>
      </c>
      <c r="F188" s="57" t="s">
        <v>350</v>
      </c>
      <c r="G188" s="57" t="s">
        <v>350</v>
      </c>
      <c r="H188" s="140" t="s">
        <v>948</v>
      </c>
      <c r="I188" s="57"/>
      <c r="J188" s="57"/>
      <c r="L188" s="164">
        <v>15000</v>
      </c>
      <c r="M188" s="57" t="s">
        <v>889</v>
      </c>
    </row>
    <row r="189" spans="2:13" x14ac:dyDescent="0.3">
      <c r="B189" s="57">
        <f t="shared" si="4"/>
        <v>186</v>
      </c>
      <c r="C189" s="143">
        <v>46067</v>
      </c>
      <c r="D189" s="57" t="s">
        <v>435</v>
      </c>
      <c r="E189" s="57" t="s">
        <v>958</v>
      </c>
      <c r="F189" s="57" t="s">
        <v>350</v>
      </c>
      <c r="G189" s="57" t="s">
        <v>350</v>
      </c>
      <c r="H189" s="140" t="s">
        <v>947</v>
      </c>
      <c r="I189" s="57"/>
      <c r="J189" s="57"/>
      <c r="L189" s="164">
        <v>8500</v>
      </c>
      <c r="M189" s="57" t="s">
        <v>889</v>
      </c>
    </row>
    <row r="190" spans="2:13" x14ac:dyDescent="0.3">
      <c r="B190" s="57">
        <f t="shared" si="4"/>
        <v>187</v>
      </c>
      <c r="C190" s="141">
        <v>46067</v>
      </c>
      <c r="D190" s="57" t="s">
        <v>2021</v>
      </c>
      <c r="E190" s="57" t="s">
        <v>146</v>
      </c>
      <c r="F190" s="57" t="s">
        <v>300</v>
      </c>
      <c r="G190" s="57" t="s">
        <v>2327</v>
      </c>
      <c r="H190" s="140" t="s">
        <v>2309</v>
      </c>
      <c r="I190" s="57"/>
      <c r="J190" s="165">
        <f>L190/K190</f>
        <v>39.645833333333336</v>
      </c>
      <c r="K190" s="57">
        <v>96</v>
      </c>
      <c r="L190" s="164">
        <v>3806</v>
      </c>
    </row>
    <row r="191" spans="2:13" x14ac:dyDescent="0.3">
      <c r="B191" s="57">
        <f t="shared" si="4"/>
        <v>188</v>
      </c>
      <c r="C191" s="141">
        <v>46067</v>
      </c>
      <c r="D191" s="57" t="s">
        <v>2021</v>
      </c>
      <c r="E191" s="57" t="s">
        <v>522</v>
      </c>
      <c r="F191" s="57" t="s">
        <v>300</v>
      </c>
      <c r="G191" s="57" t="s">
        <v>530</v>
      </c>
      <c r="H191" s="140" t="s">
        <v>2310</v>
      </c>
      <c r="I191" s="57"/>
      <c r="J191" s="57"/>
      <c r="L191" s="164">
        <v>16600</v>
      </c>
    </row>
    <row r="192" spans="2:13" x14ac:dyDescent="0.3">
      <c r="B192" s="57">
        <f t="shared" si="4"/>
        <v>189</v>
      </c>
      <c r="C192" s="143">
        <v>46068</v>
      </c>
      <c r="D192" s="57" t="s">
        <v>435</v>
      </c>
      <c r="E192" s="57" t="s">
        <v>146</v>
      </c>
      <c r="F192" s="57" t="s">
        <v>300</v>
      </c>
      <c r="G192" s="57" t="s">
        <v>530</v>
      </c>
      <c r="H192" s="140" t="s">
        <v>4093</v>
      </c>
      <c r="I192" s="57"/>
      <c r="J192" s="165">
        <f>L192/K192</f>
        <v>40.577500000000001</v>
      </c>
      <c r="K192" s="57">
        <v>96</v>
      </c>
      <c r="L192" s="164">
        <v>3895.44</v>
      </c>
      <c r="M192" s="57" t="s">
        <v>889</v>
      </c>
    </row>
    <row r="193" spans="2:13" x14ac:dyDescent="0.3">
      <c r="B193" s="57">
        <f t="shared" si="4"/>
        <v>190</v>
      </c>
      <c r="C193" s="143">
        <v>46068</v>
      </c>
      <c r="D193" s="57" t="s">
        <v>435</v>
      </c>
      <c r="E193" s="57" t="s">
        <v>532</v>
      </c>
      <c r="F193" s="57" t="s">
        <v>300</v>
      </c>
      <c r="G193" s="57" t="s">
        <v>996</v>
      </c>
      <c r="H193" s="140" t="s">
        <v>4131</v>
      </c>
      <c r="I193" s="57"/>
      <c r="J193" s="57">
        <v>1</v>
      </c>
      <c r="K193" s="57">
        <v>300</v>
      </c>
      <c r="L193" s="164">
        <v>300</v>
      </c>
      <c r="M193" s="57" t="s">
        <v>889</v>
      </c>
    </row>
    <row r="194" spans="2:13" x14ac:dyDescent="0.3">
      <c r="B194" s="57">
        <f t="shared" si="4"/>
        <v>191</v>
      </c>
      <c r="C194" s="143">
        <v>46068</v>
      </c>
      <c r="D194" s="57" t="s">
        <v>435</v>
      </c>
      <c r="E194" s="57" t="s">
        <v>767</v>
      </c>
      <c r="F194" s="57" t="s">
        <v>300</v>
      </c>
      <c r="G194" s="57" t="s">
        <v>996</v>
      </c>
      <c r="H194" s="140" t="s">
        <v>4132</v>
      </c>
      <c r="I194" s="57"/>
      <c r="J194" s="57"/>
      <c r="K194" s="57">
        <v>200</v>
      </c>
      <c r="L194" s="164">
        <v>200</v>
      </c>
      <c r="M194" s="57" t="s">
        <v>889</v>
      </c>
    </row>
    <row r="195" spans="2:13" x14ac:dyDescent="0.3">
      <c r="B195" s="57">
        <f t="shared" si="4"/>
        <v>192</v>
      </c>
      <c r="C195" s="143">
        <v>46068</v>
      </c>
      <c r="D195" s="57" t="s">
        <v>435</v>
      </c>
      <c r="E195" s="57" t="s">
        <v>782</v>
      </c>
      <c r="F195" s="57" t="s">
        <v>350</v>
      </c>
      <c r="G195" s="57" t="s">
        <v>350</v>
      </c>
      <c r="H195" s="140" t="s">
        <v>946</v>
      </c>
      <c r="I195" s="57"/>
      <c r="J195" s="57"/>
      <c r="L195" s="164">
        <v>30000</v>
      </c>
      <c r="M195" s="57" t="s">
        <v>893</v>
      </c>
    </row>
    <row r="196" spans="2:13" x14ac:dyDescent="0.3">
      <c r="B196" s="57">
        <f t="shared" si="4"/>
        <v>193</v>
      </c>
      <c r="C196" s="143">
        <v>46068</v>
      </c>
      <c r="D196" s="57" t="s">
        <v>435</v>
      </c>
      <c r="E196" s="57" t="s">
        <v>146</v>
      </c>
      <c r="F196" s="57" t="s">
        <v>502</v>
      </c>
      <c r="G196" s="57" t="s">
        <v>2344</v>
      </c>
      <c r="H196" s="140" t="s">
        <v>899</v>
      </c>
      <c r="I196" s="57"/>
      <c r="J196" s="165">
        <f t="shared" ref="J196:J197" si="6">L196/K196</f>
        <v>20.833333333333332</v>
      </c>
      <c r="K196" s="57">
        <v>96</v>
      </c>
      <c r="L196" s="164">
        <v>2000</v>
      </c>
      <c r="M196" s="57" t="s">
        <v>893</v>
      </c>
    </row>
    <row r="197" spans="2:13" x14ac:dyDescent="0.3">
      <c r="B197" s="57">
        <f t="shared" si="4"/>
        <v>194</v>
      </c>
      <c r="C197" s="143">
        <v>46068</v>
      </c>
      <c r="D197" s="57" t="s">
        <v>435</v>
      </c>
      <c r="E197" s="57" t="s">
        <v>146</v>
      </c>
      <c r="F197" s="57" t="s">
        <v>502</v>
      </c>
      <c r="G197" s="57" t="s">
        <v>257</v>
      </c>
      <c r="H197" s="140" t="s">
        <v>4100</v>
      </c>
      <c r="I197" s="57"/>
      <c r="J197" s="165">
        <f t="shared" si="6"/>
        <v>10.416666666666666</v>
      </c>
      <c r="K197" s="57">
        <v>96</v>
      </c>
      <c r="L197" s="164">
        <v>1000</v>
      </c>
      <c r="M197" s="57" t="s">
        <v>889</v>
      </c>
    </row>
    <row r="198" spans="2:13" x14ac:dyDescent="0.3">
      <c r="B198" s="57">
        <f t="shared" ref="B198:B261" si="7">+B197+1</f>
        <v>195</v>
      </c>
      <c r="C198" s="143">
        <v>46068</v>
      </c>
      <c r="D198" s="57" t="s">
        <v>435</v>
      </c>
      <c r="E198" s="57" t="s">
        <v>434</v>
      </c>
      <c r="F198" s="57" t="s">
        <v>300</v>
      </c>
      <c r="G198" s="57" t="s">
        <v>2325</v>
      </c>
      <c r="H198" s="140" t="s">
        <v>945</v>
      </c>
      <c r="I198" s="57"/>
      <c r="J198" s="57"/>
      <c r="L198" s="164">
        <v>760</v>
      </c>
      <c r="M198" s="57" t="s">
        <v>893</v>
      </c>
    </row>
    <row r="199" spans="2:13" x14ac:dyDescent="0.3">
      <c r="B199" s="57">
        <f t="shared" si="7"/>
        <v>196</v>
      </c>
      <c r="C199" s="143">
        <v>46068</v>
      </c>
      <c r="D199" s="57" t="s">
        <v>435</v>
      </c>
      <c r="E199" s="57" t="s">
        <v>146</v>
      </c>
      <c r="F199" s="57" t="s">
        <v>350</v>
      </c>
      <c r="G199" s="57" t="s">
        <v>663</v>
      </c>
      <c r="H199" s="140" t="s">
        <v>4111</v>
      </c>
      <c r="I199" s="57"/>
      <c r="J199" s="165">
        <f>L199/K199</f>
        <v>56.30802083333333</v>
      </c>
      <c r="K199" s="57">
        <v>96</v>
      </c>
      <c r="L199" s="164">
        <v>5405.57</v>
      </c>
      <c r="M199" s="57" t="s">
        <v>889</v>
      </c>
    </row>
    <row r="200" spans="2:13" x14ac:dyDescent="0.3">
      <c r="B200" s="57">
        <f t="shared" si="7"/>
        <v>197</v>
      </c>
      <c r="C200" s="143">
        <v>46068</v>
      </c>
      <c r="D200" s="57" t="s">
        <v>435</v>
      </c>
      <c r="E200" s="57" t="s">
        <v>434</v>
      </c>
      <c r="F200" s="57" t="s">
        <v>502</v>
      </c>
      <c r="G200" s="57" t="s">
        <v>2344</v>
      </c>
      <c r="H200" s="140" t="s">
        <v>837</v>
      </c>
      <c r="I200" s="57"/>
      <c r="J200" s="57"/>
      <c r="L200" s="164">
        <v>11250</v>
      </c>
      <c r="M200" s="57" t="s">
        <v>831</v>
      </c>
    </row>
    <row r="201" spans="2:13" x14ac:dyDescent="0.3">
      <c r="B201" s="57">
        <f t="shared" si="7"/>
        <v>198</v>
      </c>
      <c r="C201" s="143">
        <v>46069</v>
      </c>
      <c r="D201" s="57" t="s">
        <v>435</v>
      </c>
      <c r="E201" s="57" t="s">
        <v>146</v>
      </c>
      <c r="F201" s="57" t="s">
        <v>300</v>
      </c>
      <c r="G201" s="57" t="s">
        <v>526</v>
      </c>
      <c r="H201" s="140" t="s">
        <v>1051</v>
      </c>
      <c r="I201" s="57"/>
      <c r="J201" s="165">
        <f>L201/K201</f>
        <v>10.416666666666666</v>
      </c>
      <c r="K201" s="57">
        <v>96</v>
      </c>
      <c r="L201" s="164">
        <v>1000</v>
      </c>
      <c r="M201" s="57" t="s">
        <v>893</v>
      </c>
    </row>
    <row r="202" spans="2:13" x14ac:dyDescent="0.3">
      <c r="B202" s="57">
        <f t="shared" si="7"/>
        <v>199</v>
      </c>
      <c r="C202" s="143">
        <v>46069</v>
      </c>
      <c r="D202" s="57" t="s">
        <v>435</v>
      </c>
      <c r="E202" s="57" t="s">
        <v>782</v>
      </c>
      <c r="F202" s="57" t="s">
        <v>300</v>
      </c>
      <c r="G202" s="57" t="s">
        <v>845</v>
      </c>
      <c r="H202" s="140" t="s">
        <v>944</v>
      </c>
      <c r="I202" s="57"/>
      <c r="J202" s="57"/>
      <c r="L202" s="164">
        <v>15000</v>
      </c>
      <c r="M202" s="57" t="s">
        <v>893</v>
      </c>
    </row>
    <row r="203" spans="2:13" x14ac:dyDescent="0.3">
      <c r="B203" s="57">
        <f t="shared" si="7"/>
        <v>200</v>
      </c>
      <c r="C203" s="143">
        <v>46069</v>
      </c>
      <c r="D203" s="57" t="s">
        <v>435</v>
      </c>
      <c r="E203" s="57" t="s">
        <v>782</v>
      </c>
      <c r="F203" s="57" t="s">
        <v>300</v>
      </c>
      <c r="G203" s="57" t="s">
        <v>845</v>
      </c>
      <c r="H203" s="140" t="s">
        <v>943</v>
      </c>
      <c r="I203" s="57"/>
      <c r="J203" s="57"/>
      <c r="L203" s="164">
        <v>7000</v>
      </c>
      <c r="M203" s="57" t="s">
        <v>889</v>
      </c>
    </row>
    <row r="204" spans="2:13" x14ac:dyDescent="0.3">
      <c r="B204" s="57">
        <f t="shared" si="7"/>
        <v>201</v>
      </c>
      <c r="C204" s="143">
        <v>46069</v>
      </c>
      <c r="D204" s="57" t="s">
        <v>435</v>
      </c>
      <c r="E204" s="57" t="s">
        <v>782</v>
      </c>
      <c r="F204" s="57" t="s">
        <v>300</v>
      </c>
      <c r="G204" s="57" t="s">
        <v>845</v>
      </c>
      <c r="H204" s="140" t="s">
        <v>942</v>
      </c>
      <c r="I204" s="57"/>
      <c r="J204" s="57"/>
      <c r="L204" s="164">
        <v>7000</v>
      </c>
      <c r="M204" s="57" t="s">
        <v>889</v>
      </c>
    </row>
    <row r="205" spans="2:13" x14ac:dyDescent="0.3">
      <c r="B205" s="57">
        <f t="shared" si="7"/>
        <v>202</v>
      </c>
      <c r="C205" s="143">
        <v>46070</v>
      </c>
      <c r="D205" s="57" t="s">
        <v>435</v>
      </c>
      <c r="E205" s="57" t="s">
        <v>146</v>
      </c>
      <c r="F205" s="57" t="s">
        <v>300</v>
      </c>
      <c r="G205" s="57" t="s">
        <v>526</v>
      </c>
      <c r="H205" s="140" t="s">
        <v>441</v>
      </c>
      <c r="I205" s="57"/>
      <c r="J205" s="165">
        <f>L205/K205</f>
        <v>5.729166666666667</v>
      </c>
      <c r="K205" s="57">
        <v>96</v>
      </c>
      <c r="L205" s="164">
        <v>550</v>
      </c>
      <c r="M205" s="57" t="s">
        <v>940</v>
      </c>
    </row>
    <row r="206" spans="2:13" x14ac:dyDescent="0.3">
      <c r="B206" s="57">
        <f t="shared" si="7"/>
        <v>203</v>
      </c>
      <c r="C206" s="143">
        <v>46070</v>
      </c>
      <c r="D206" s="57" t="s">
        <v>435</v>
      </c>
      <c r="E206" s="57" t="s">
        <v>2022</v>
      </c>
      <c r="F206" s="57" t="s">
        <v>300</v>
      </c>
      <c r="G206" s="57" t="s">
        <v>526</v>
      </c>
      <c r="H206" s="179" t="s">
        <v>941</v>
      </c>
      <c r="I206" s="166"/>
      <c r="J206" s="166"/>
      <c r="K206" s="166"/>
      <c r="L206" s="164">
        <v>400</v>
      </c>
      <c r="M206" s="57" t="s">
        <v>940</v>
      </c>
    </row>
    <row r="207" spans="2:13" x14ac:dyDescent="0.3">
      <c r="B207" s="57">
        <f t="shared" si="7"/>
        <v>204</v>
      </c>
      <c r="C207" s="143">
        <v>46070</v>
      </c>
      <c r="D207" s="57" t="s">
        <v>435</v>
      </c>
      <c r="E207" s="57" t="s">
        <v>532</v>
      </c>
      <c r="F207" s="57" t="s">
        <v>300</v>
      </c>
      <c r="G207" s="57" t="s">
        <v>526</v>
      </c>
      <c r="H207" s="140" t="s">
        <v>566</v>
      </c>
      <c r="I207" s="57"/>
      <c r="J207" s="57">
        <v>1</v>
      </c>
      <c r="K207" s="57">
        <v>330</v>
      </c>
      <c r="L207" s="164">
        <v>330</v>
      </c>
      <c r="M207" s="57" t="s">
        <v>940</v>
      </c>
    </row>
    <row r="208" spans="2:13" x14ac:dyDescent="0.3">
      <c r="B208" s="57">
        <f t="shared" si="7"/>
        <v>205</v>
      </c>
      <c r="C208" s="143">
        <v>46070</v>
      </c>
      <c r="D208" s="57" t="s">
        <v>435</v>
      </c>
      <c r="E208" s="57" t="s">
        <v>146</v>
      </c>
      <c r="F208" s="57" t="s">
        <v>300</v>
      </c>
      <c r="G208" s="57" t="s">
        <v>257</v>
      </c>
      <c r="H208" s="140" t="s">
        <v>939</v>
      </c>
      <c r="I208" s="57"/>
      <c r="J208" s="165">
        <f t="shared" ref="J208:J209" si="8">L208/K208</f>
        <v>10.416666666666666</v>
      </c>
      <c r="K208" s="57">
        <v>96</v>
      </c>
      <c r="L208" s="164">
        <v>1000</v>
      </c>
    </row>
    <row r="209" spans="2:13" x14ac:dyDescent="0.3">
      <c r="B209" s="57">
        <f t="shared" si="7"/>
        <v>206</v>
      </c>
      <c r="C209" s="143">
        <v>46070</v>
      </c>
      <c r="D209" s="57" t="s">
        <v>435</v>
      </c>
      <c r="E209" s="57" t="s">
        <v>146</v>
      </c>
      <c r="F209" s="57" t="s">
        <v>300</v>
      </c>
      <c r="G209" s="57" t="s">
        <v>530</v>
      </c>
      <c r="H209" s="140" t="s">
        <v>938</v>
      </c>
      <c r="I209" s="57"/>
      <c r="J209" s="165">
        <f t="shared" si="8"/>
        <v>60.945833333333333</v>
      </c>
      <c r="K209" s="57">
        <v>96</v>
      </c>
      <c r="L209" s="164">
        <v>5850.8</v>
      </c>
      <c r="M209" s="57" t="s">
        <v>893</v>
      </c>
    </row>
    <row r="210" spans="2:13" x14ac:dyDescent="0.3">
      <c r="B210" s="57">
        <f t="shared" si="7"/>
        <v>207</v>
      </c>
      <c r="C210" s="143">
        <v>46070</v>
      </c>
      <c r="D210" s="57" t="s">
        <v>435</v>
      </c>
      <c r="E210" s="57" t="s">
        <v>458</v>
      </c>
      <c r="F210" s="57" t="s">
        <v>436</v>
      </c>
      <c r="G210" s="57" t="s">
        <v>480</v>
      </c>
      <c r="H210" s="140" t="s">
        <v>937</v>
      </c>
      <c r="I210" s="57"/>
      <c r="J210" s="57"/>
      <c r="L210" s="164">
        <v>10300</v>
      </c>
      <c r="M210" s="57" t="s">
        <v>889</v>
      </c>
    </row>
    <row r="211" spans="2:13" x14ac:dyDescent="0.3">
      <c r="B211" s="57">
        <f t="shared" si="7"/>
        <v>208</v>
      </c>
      <c r="C211" s="143">
        <v>46070</v>
      </c>
      <c r="D211" s="57" t="s">
        <v>435</v>
      </c>
      <c r="E211" s="57" t="s">
        <v>958</v>
      </c>
      <c r="F211" s="57" t="s">
        <v>350</v>
      </c>
      <c r="G211" s="57" t="s">
        <v>350</v>
      </c>
      <c r="H211" s="140" t="s">
        <v>936</v>
      </c>
      <c r="I211" s="57"/>
      <c r="J211" s="57"/>
      <c r="L211" s="164">
        <v>3655</v>
      </c>
      <c r="M211" s="57" t="s">
        <v>889</v>
      </c>
    </row>
    <row r="212" spans="2:13" x14ac:dyDescent="0.3">
      <c r="B212" s="57">
        <f t="shared" si="7"/>
        <v>209</v>
      </c>
      <c r="C212" s="143">
        <v>46070</v>
      </c>
      <c r="D212" s="57" t="s">
        <v>435</v>
      </c>
      <c r="E212" s="57" t="s">
        <v>2022</v>
      </c>
      <c r="F212" s="57" t="s">
        <v>436</v>
      </c>
      <c r="G212" s="57" t="s">
        <v>480</v>
      </c>
      <c r="H212" s="140" t="s">
        <v>935</v>
      </c>
      <c r="I212" s="57"/>
      <c r="J212" s="57"/>
      <c r="L212" s="164">
        <v>300</v>
      </c>
      <c r="M212" s="57" t="s">
        <v>893</v>
      </c>
    </row>
    <row r="213" spans="2:13" x14ac:dyDescent="0.3">
      <c r="B213" s="57">
        <f t="shared" si="7"/>
        <v>210</v>
      </c>
      <c r="C213" s="143">
        <v>46071</v>
      </c>
      <c r="D213" s="57" t="s">
        <v>435</v>
      </c>
      <c r="E213" s="57" t="s">
        <v>969</v>
      </c>
      <c r="F213" s="57" t="s">
        <v>300</v>
      </c>
      <c r="G213" s="57" t="s">
        <v>530</v>
      </c>
      <c r="H213" s="140" t="s">
        <v>970</v>
      </c>
      <c r="I213" s="57"/>
      <c r="J213" s="57"/>
      <c r="L213" s="164">
        <v>550000</v>
      </c>
      <c r="M213" s="57" t="s">
        <v>971</v>
      </c>
    </row>
    <row r="214" spans="2:13" x14ac:dyDescent="0.3">
      <c r="B214" s="57">
        <f t="shared" si="7"/>
        <v>211</v>
      </c>
      <c r="C214" s="143">
        <v>46071</v>
      </c>
      <c r="D214" s="57" t="s">
        <v>435</v>
      </c>
      <c r="E214" s="57" t="s">
        <v>782</v>
      </c>
      <c r="F214" s="57" t="s">
        <v>300</v>
      </c>
      <c r="G214" s="57" t="s">
        <v>530</v>
      </c>
      <c r="H214" s="140" t="s">
        <v>972</v>
      </c>
      <c r="I214" s="57"/>
      <c r="J214" s="57"/>
      <c r="L214" s="164">
        <v>543285</v>
      </c>
      <c r="M214" s="57" t="s">
        <v>782</v>
      </c>
    </row>
    <row r="215" spans="2:13" x14ac:dyDescent="0.3">
      <c r="B215" s="57">
        <f t="shared" si="7"/>
        <v>212</v>
      </c>
      <c r="C215" s="143">
        <v>46071</v>
      </c>
      <c r="D215" s="57" t="s">
        <v>435</v>
      </c>
      <c r="E215" s="57" t="s">
        <v>782</v>
      </c>
      <c r="F215" s="57" t="s">
        <v>300</v>
      </c>
      <c r="G215" s="57" t="s">
        <v>530</v>
      </c>
      <c r="H215" s="140" t="s">
        <v>972</v>
      </c>
      <c r="I215" s="57"/>
      <c r="J215" s="57"/>
      <c r="L215" s="164">
        <v>543285</v>
      </c>
      <c r="M215" s="57" t="s">
        <v>782</v>
      </c>
    </row>
    <row r="216" spans="2:13" x14ac:dyDescent="0.3">
      <c r="B216" s="57">
        <f t="shared" si="7"/>
        <v>213</v>
      </c>
      <c r="C216" s="143">
        <v>46071</v>
      </c>
      <c r="D216" s="57" t="s">
        <v>435</v>
      </c>
      <c r="E216" s="57" t="s">
        <v>146</v>
      </c>
      <c r="F216" s="57" t="s">
        <v>300</v>
      </c>
      <c r="G216" s="57" t="s">
        <v>526</v>
      </c>
      <c r="H216" s="140" t="s">
        <v>1051</v>
      </c>
      <c r="I216" s="57"/>
      <c r="J216" s="165">
        <f>L216/K216</f>
        <v>10.416666666666666</v>
      </c>
      <c r="K216" s="57">
        <v>96</v>
      </c>
      <c r="L216" s="164">
        <v>1000</v>
      </c>
      <c r="M216" s="57" t="s">
        <v>889</v>
      </c>
    </row>
    <row r="217" spans="2:13" x14ac:dyDescent="0.3">
      <c r="B217" s="57">
        <f t="shared" si="7"/>
        <v>214</v>
      </c>
      <c r="C217" s="143">
        <v>46071</v>
      </c>
      <c r="D217" s="57" t="s">
        <v>435</v>
      </c>
      <c r="E217" s="57" t="s">
        <v>815</v>
      </c>
      <c r="F217" s="57" t="s">
        <v>300</v>
      </c>
      <c r="G217" s="57" t="s">
        <v>438</v>
      </c>
      <c r="H217" s="140" t="s">
        <v>934</v>
      </c>
      <c r="I217" s="57"/>
      <c r="J217" s="57"/>
      <c r="L217" s="164">
        <v>30000</v>
      </c>
      <c r="M217" s="57" t="s">
        <v>933</v>
      </c>
    </row>
    <row r="218" spans="2:13" x14ac:dyDescent="0.3">
      <c r="B218" s="57">
        <f t="shared" si="7"/>
        <v>215</v>
      </c>
      <c r="C218" s="143">
        <v>46071</v>
      </c>
      <c r="D218" s="57" t="s">
        <v>435</v>
      </c>
      <c r="E218" s="57" t="s">
        <v>450</v>
      </c>
      <c r="F218" s="57" t="s">
        <v>502</v>
      </c>
      <c r="G218" s="57" t="s">
        <v>773</v>
      </c>
      <c r="H218" s="140" t="s">
        <v>883</v>
      </c>
      <c r="I218" s="57"/>
      <c r="J218" s="165">
        <f>L218/K218</f>
        <v>10.424375</v>
      </c>
      <c r="K218" s="57">
        <v>96</v>
      </c>
      <c r="L218" s="164">
        <v>1000.74</v>
      </c>
      <c r="M218" s="57" t="s">
        <v>893</v>
      </c>
    </row>
    <row r="219" spans="2:13" x14ac:dyDescent="0.3">
      <c r="B219" s="57">
        <f t="shared" si="7"/>
        <v>216</v>
      </c>
      <c r="C219" s="143">
        <v>46071</v>
      </c>
      <c r="D219" s="57" t="s">
        <v>435</v>
      </c>
      <c r="E219" s="57" t="s">
        <v>782</v>
      </c>
      <c r="F219" s="57" t="s">
        <v>436</v>
      </c>
      <c r="G219" s="57" t="s">
        <v>480</v>
      </c>
      <c r="H219" s="140" t="s">
        <v>932</v>
      </c>
      <c r="I219" s="57"/>
      <c r="J219" s="57"/>
      <c r="L219" s="164">
        <v>100000</v>
      </c>
      <c r="M219" s="57" t="s">
        <v>831</v>
      </c>
    </row>
    <row r="220" spans="2:13" x14ac:dyDescent="0.3">
      <c r="B220" s="57">
        <f t="shared" si="7"/>
        <v>217</v>
      </c>
      <c r="C220" s="143">
        <v>46071</v>
      </c>
      <c r="D220" s="57" t="s">
        <v>435</v>
      </c>
      <c r="E220" s="57" t="s">
        <v>146</v>
      </c>
      <c r="F220" s="57" t="s">
        <v>436</v>
      </c>
      <c r="G220" s="57" t="s">
        <v>480</v>
      </c>
      <c r="H220" s="140" t="s">
        <v>894</v>
      </c>
      <c r="I220" s="57"/>
      <c r="J220" s="165">
        <f>L220/K220</f>
        <v>42.592812500000001</v>
      </c>
      <c r="K220" s="57">
        <v>96</v>
      </c>
      <c r="L220" s="164">
        <v>4088.91</v>
      </c>
      <c r="M220" s="57" t="s">
        <v>829</v>
      </c>
    </row>
    <row r="221" spans="2:13" x14ac:dyDescent="0.3">
      <c r="B221" s="57">
        <f t="shared" si="7"/>
        <v>218</v>
      </c>
      <c r="C221" s="143">
        <v>46071</v>
      </c>
      <c r="D221" s="57" t="s">
        <v>435</v>
      </c>
      <c r="E221" s="57" t="s">
        <v>574</v>
      </c>
      <c r="F221" s="57" t="s">
        <v>436</v>
      </c>
      <c r="G221" s="57" t="s">
        <v>480</v>
      </c>
      <c r="H221" s="140" t="s">
        <v>4140</v>
      </c>
      <c r="I221" s="140" t="s">
        <v>4081</v>
      </c>
      <c r="J221" s="57">
        <v>4</v>
      </c>
      <c r="K221" s="167">
        <f>L221/J221</f>
        <v>450</v>
      </c>
      <c r="L221" s="164">
        <v>1800</v>
      </c>
      <c r="M221" s="57" t="s">
        <v>893</v>
      </c>
    </row>
    <row r="222" spans="2:13" x14ac:dyDescent="0.3">
      <c r="B222" s="57">
        <f t="shared" si="7"/>
        <v>219</v>
      </c>
      <c r="C222" s="143">
        <v>46071</v>
      </c>
      <c r="D222" s="57" t="s">
        <v>435</v>
      </c>
      <c r="E222" s="57" t="s">
        <v>2427</v>
      </c>
      <c r="F222" s="57" t="s">
        <v>300</v>
      </c>
      <c r="G222" s="57" t="s">
        <v>438</v>
      </c>
      <c r="H222" s="140" t="s">
        <v>931</v>
      </c>
      <c r="I222" s="57" t="s">
        <v>2914</v>
      </c>
      <c r="J222" s="165">
        <v>3000</v>
      </c>
      <c r="K222" s="167">
        <f>L222/J222</f>
        <v>57</v>
      </c>
      <c r="L222" s="164">
        <v>171000</v>
      </c>
      <c r="M222" s="57" t="s">
        <v>831</v>
      </c>
    </row>
    <row r="223" spans="2:13" x14ac:dyDescent="0.3">
      <c r="B223" s="57">
        <f t="shared" si="7"/>
        <v>220</v>
      </c>
      <c r="C223" s="143">
        <v>46071</v>
      </c>
      <c r="D223" s="152" t="s">
        <v>435</v>
      </c>
      <c r="E223" s="57" t="s">
        <v>146</v>
      </c>
      <c r="F223" s="57" t="s">
        <v>300</v>
      </c>
      <c r="G223" s="57" t="s">
        <v>828</v>
      </c>
      <c r="H223" s="140" t="s">
        <v>921</v>
      </c>
      <c r="I223" s="57"/>
      <c r="J223" s="165">
        <f t="shared" ref="J223:J224" si="9">L223/K223</f>
        <v>14.875</v>
      </c>
      <c r="K223" s="57">
        <v>96</v>
      </c>
      <c r="L223" s="164">
        <v>1428</v>
      </c>
      <c r="M223" s="57" t="s">
        <v>831</v>
      </c>
    </row>
    <row r="224" spans="2:13" x14ac:dyDescent="0.3">
      <c r="B224" s="57">
        <f t="shared" si="7"/>
        <v>221</v>
      </c>
      <c r="C224" s="143">
        <v>46072</v>
      </c>
      <c r="D224" s="57" t="s">
        <v>435</v>
      </c>
      <c r="E224" s="57" t="s">
        <v>146</v>
      </c>
      <c r="F224" s="57" t="s">
        <v>300</v>
      </c>
      <c r="G224" s="57" t="s">
        <v>828</v>
      </c>
      <c r="H224" s="140" t="s">
        <v>4088</v>
      </c>
      <c r="I224" s="57"/>
      <c r="J224" s="165">
        <f t="shared" si="9"/>
        <v>56.257395833333334</v>
      </c>
      <c r="K224" s="57">
        <v>96</v>
      </c>
      <c r="L224" s="164">
        <v>5400.71</v>
      </c>
      <c r="M224" s="57" t="s">
        <v>889</v>
      </c>
    </row>
    <row r="225" spans="2:13" x14ac:dyDescent="0.3">
      <c r="B225" s="57">
        <f t="shared" si="7"/>
        <v>222</v>
      </c>
      <c r="C225" s="143">
        <v>46072</v>
      </c>
      <c r="D225" s="57" t="s">
        <v>435</v>
      </c>
      <c r="E225" s="57" t="s">
        <v>532</v>
      </c>
      <c r="F225" s="57" t="s">
        <v>436</v>
      </c>
      <c r="G225" s="57" t="s">
        <v>480</v>
      </c>
      <c r="H225" s="140" t="s">
        <v>920</v>
      </c>
      <c r="I225" s="57" t="s">
        <v>532</v>
      </c>
      <c r="J225" s="57">
        <v>20</v>
      </c>
      <c r="K225" s="57">
        <v>300</v>
      </c>
      <c r="L225" s="164">
        <f>20*300</f>
        <v>6000</v>
      </c>
      <c r="M225" s="57" t="s">
        <v>889</v>
      </c>
    </row>
    <row r="226" spans="2:13" x14ac:dyDescent="0.3">
      <c r="B226" s="57">
        <f t="shared" si="7"/>
        <v>223</v>
      </c>
      <c r="C226" s="143">
        <v>46072</v>
      </c>
      <c r="D226" s="57" t="s">
        <v>435</v>
      </c>
      <c r="E226" s="57" t="s">
        <v>481</v>
      </c>
      <c r="F226" s="57" t="s">
        <v>436</v>
      </c>
      <c r="G226" s="57" t="s">
        <v>480</v>
      </c>
      <c r="H226" s="140" t="s">
        <v>919</v>
      </c>
      <c r="I226" s="57"/>
      <c r="J226" s="57"/>
      <c r="L226" s="164">
        <v>1000</v>
      </c>
      <c r="M226" s="57" t="s">
        <v>893</v>
      </c>
    </row>
    <row r="227" spans="2:13" x14ac:dyDescent="0.3">
      <c r="B227" s="57">
        <f t="shared" si="7"/>
        <v>224</v>
      </c>
      <c r="C227" s="143">
        <v>46072</v>
      </c>
      <c r="D227" s="57" t="s">
        <v>435</v>
      </c>
      <c r="E227" s="57" t="s">
        <v>958</v>
      </c>
      <c r="F227" s="57" t="s">
        <v>350</v>
      </c>
      <c r="G227" s="57" t="s">
        <v>350</v>
      </c>
      <c r="H227" s="140" t="s">
        <v>918</v>
      </c>
      <c r="I227" s="57"/>
      <c r="J227" s="57"/>
      <c r="L227" s="164">
        <v>38000</v>
      </c>
      <c r="M227" s="57" t="s">
        <v>831</v>
      </c>
    </row>
    <row r="228" spans="2:13" x14ac:dyDescent="0.3">
      <c r="B228" s="57">
        <f t="shared" si="7"/>
        <v>225</v>
      </c>
      <c r="C228" s="143">
        <v>46072</v>
      </c>
      <c r="D228" s="57" t="s">
        <v>435</v>
      </c>
      <c r="E228" s="57" t="s">
        <v>471</v>
      </c>
      <c r="F228" s="57" t="s">
        <v>350</v>
      </c>
      <c r="G228" s="57" t="s">
        <v>663</v>
      </c>
      <c r="H228" s="140" t="s">
        <v>917</v>
      </c>
      <c r="I228" s="57"/>
      <c r="J228" s="57"/>
      <c r="L228" s="164">
        <v>21520</v>
      </c>
      <c r="M228" s="57" t="s">
        <v>831</v>
      </c>
    </row>
    <row r="229" spans="2:13" x14ac:dyDescent="0.3">
      <c r="B229" s="57">
        <f t="shared" si="7"/>
        <v>226</v>
      </c>
      <c r="C229" s="143">
        <v>46072</v>
      </c>
      <c r="D229" s="57" t="s">
        <v>435</v>
      </c>
      <c r="E229" s="57" t="s">
        <v>958</v>
      </c>
      <c r="F229" s="57" t="s">
        <v>350</v>
      </c>
      <c r="G229" s="57" t="s">
        <v>350</v>
      </c>
      <c r="H229" s="140" t="s">
        <v>916</v>
      </c>
      <c r="I229" s="57"/>
      <c r="J229" s="57"/>
      <c r="L229" s="164">
        <v>14000</v>
      </c>
      <c r="M229" s="57" t="s">
        <v>829</v>
      </c>
    </row>
    <row r="230" spans="2:13" x14ac:dyDescent="0.3">
      <c r="B230" s="57">
        <f t="shared" si="7"/>
        <v>227</v>
      </c>
      <c r="C230" s="143">
        <v>46072</v>
      </c>
      <c r="D230" s="152" t="s">
        <v>435</v>
      </c>
      <c r="E230" s="57" t="s">
        <v>146</v>
      </c>
      <c r="F230" s="57" t="s">
        <v>300</v>
      </c>
      <c r="G230" s="57" t="s">
        <v>845</v>
      </c>
      <c r="H230" s="140" t="s">
        <v>879</v>
      </c>
      <c r="I230" s="57"/>
      <c r="J230" s="165">
        <f>L230/K230</f>
        <v>48.784479166666671</v>
      </c>
      <c r="K230" s="57">
        <v>96</v>
      </c>
      <c r="L230" s="164">
        <v>4683.3100000000004</v>
      </c>
      <c r="M230" s="57" t="s">
        <v>893</v>
      </c>
    </row>
    <row r="231" spans="2:13" x14ac:dyDescent="0.3">
      <c r="B231" s="57">
        <f t="shared" si="7"/>
        <v>228</v>
      </c>
      <c r="C231" s="143">
        <v>46072</v>
      </c>
      <c r="D231" s="152" t="s">
        <v>435</v>
      </c>
      <c r="E231" s="57" t="s">
        <v>861</v>
      </c>
      <c r="F231" s="57" t="s">
        <v>300</v>
      </c>
      <c r="G231" s="57" t="s">
        <v>530</v>
      </c>
      <c r="H231" s="140" t="s">
        <v>912</v>
      </c>
      <c r="I231" s="57"/>
      <c r="J231" s="57"/>
      <c r="L231" s="164">
        <v>50000</v>
      </c>
      <c r="M231" s="57" t="s">
        <v>831</v>
      </c>
    </row>
    <row r="232" spans="2:13" x14ac:dyDescent="0.3">
      <c r="B232" s="57">
        <f t="shared" si="7"/>
        <v>229</v>
      </c>
      <c r="C232" s="143">
        <v>46072</v>
      </c>
      <c r="D232" s="152" t="s">
        <v>435</v>
      </c>
      <c r="E232" s="57" t="s">
        <v>2022</v>
      </c>
      <c r="F232" s="57" t="s">
        <v>436</v>
      </c>
      <c r="G232" s="57" t="s">
        <v>480</v>
      </c>
      <c r="H232" s="140" t="s">
        <v>915</v>
      </c>
      <c r="I232" s="57"/>
      <c r="J232" s="57"/>
      <c r="L232" s="164">
        <v>1290</v>
      </c>
      <c r="M232" s="57" t="s">
        <v>889</v>
      </c>
    </row>
    <row r="233" spans="2:13" x14ac:dyDescent="0.3">
      <c r="B233" s="57">
        <f t="shared" si="7"/>
        <v>230</v>
      </c>
      <c r="C233" s="143">
        <v>46072</v>
      </c>
      <c r="D233" s="152" t="s">
        <v>435</v>
      </c>
      <c r="E233" s="57" t="s">
        <v>908</v>
      </c>
      <c r="F233" s="57" t="s">
        <v>300</v>
      </c>
      <c r="G233" s="57" t="s">
        <v>530</v>
      </c>
      <c r="H233" s="140" t="s">
        <v>848</v>
      </c>
      <c r="I233" s="57"/>
      <c r="J233" s="57"/>
      <c r="L233" s="164">
        <v>50000</v>
      </c>
      <c r="M233" s="57" t="s">
        <v>831</v>
      </c>
    </row>
    <row r="234" spans="2:13" x14ac:dyDescent="0.3">
      <c r="B234" s="57">
        <f t="shared" si="7"/>
        <v>231</v>
      </c>
      <c r="C234" s="143">
        <v>46072</v>
      </c>
      <c r="D234" s="152" t="s">
        <v>435</v>
      </c>
      <c r="E234" s="57" t="s">
        <v>782</v>
      </c>
      <c r="F234" s="57" t="s">
        <v>910</v>
      </c>
      <c r="G234" s="57" t="s">
        <v>910</v>
      </c>
      <c r="H234" s="140" t="s">
        <v>914</v>
      </c>
      <c r="I234" s="57"/>
      <c r="J234" s="57"/>
      <c r="L234" s="164">
        <v>35000</v>
      </c>
      <c r="M234" s="57" t="s">
        <v>831</v>
      </c>
    </row>
    <row r="235" spans="2:13" x14ac:dyDescent="0.3">
      <c r="B235" s="57">
        <f t="shared" si="7"/>
        <v>232</v>
      </c>
      <c r="C235" s="143">
        <v>46072</v>
      </c>
      <c r="D235" s="152" t="s">
        <v>435</v>
      </c>
      <c r="E235" s="57" t="s">
        <v>782</v>
      </c>
      <c r="F235" s="57" t="s">
        <v>910</v>
      </c>
      <c r="G235" s="57" t="s">
        <v>910</v>
      </c>
      <c r="H235" s="140" t="s">
        <v>913</v>
      </c>
      <c r="I235" s="57"/>
      <c r="J235" s="57"/>
      <c r="L235" s="164">
        <v>25000</v>
      </c>
      <c r="M235" s="57" t="s">
        <v>831</v>
      </c>
    </row>
    <row r="236" spans="2:13" x14ac:dyDescent="0.3">
      <c r="B236" s="57">
        <f t="shared" si="7"/>
        <v>233</v>
      </c>
      <c r="C236" s="143">
        <v>46072</v>
      </c>
      <c r="D236" s="152" t="s">
        <v>435</v>
      </c>
      <c r="E236" s="57" t="s">
        <v>861</v>
      </c>
      <c r="F236" s="57" t="s">
        <v>300</v>
      </c>
      <c r="G236" s="57" t="s">
        <v>530</v>
      </c>
      <c r="H236" s="140" t="s">
        <v>912</v>
      </c>
      <c r="I236" s="57"/>
      <c r="J236" s="57"/>
      <c r="L236" s="164">
        <v>41000</v>
      </c>
      <c r="M236" s="57" t="s">
        <v>831</v>
      </c>
    </row>
    <row r="237" spans="2:13" x14ac:dyDescent="0.3">
      <c r="B237" s="57">
        <f t="shared" si="7"/>
        <v>234</v>
      </c>
      <c r="C237" s="143">
        <v>46072</v>
      </c>
      <c r="D237" s="152" t="s">
        <v>435</v>
      </c>
      <c r="E237" s="57" t="s">
        <v>861</v>
      </c>
      <c r="F237" s="57" t="s">
        <v>300</v>
      </c>
      <c r="G237" s="57" t="s">
        <v>530</v>
      </c>
      <c r="H237" s="140" t="s">
        <v>912</v>
      </c>
      <c r="I237" s="57"/>
      <c r="J237" s="57"/>
      <c r="L237" s="164">
        <v>109000</v>
      </c>
      <c r="M237" s="57" t="s">
        <v>831</v>
      </c>
    </row>
    <row r="238" spans="2:13" x14ac:dyDescent="0.3">
      <c r="B238" s="57">
        <f t="shared" si="7"/>
        <v>235</v>
      </c>
      <c r="C238" s="143">
        <v>46072</v>
      </c>
      <c r="D238" s="152" t="s">
        <v>435</v>
      </c>
      <c r="E238" s="57" t="s">
        <v>450</v>
      </c>
      <c r="F238" s="57" t="s">
        <v>300</v>
      </c>
      <c r="G238" s="57" t="s">
        <v>530</v>
      </c>
      <c r="H238" s="140" t="s">
        <v>4093</v>
      </c>
      <c r="I238" s="57"/>
      <c r="J238" s="165">
        <f>L238/K238</f>
        <v>62.497708333333328</v>
      </c>
      <c r="K238" s="57">
        <v>96</v>
      </c>
      <c r="L238" s="164">
        <v>5999.78</v>
      </c>
      <c r="M238" s="57" t="s">
        <v>831</v>
      </c>
    </row>
    <row r="239" spans="2:13" x14ac:dyDescent="0.3">
      <c r="B239" s="57">
        <f t="shared" si="7"/>
        <v>236</v>
      </c>
      <c r="C239" s="143">
        <v>46072</v>
      </c>
      <c r="D239" s="152" t="s">
        <v>435</v>
      </c>
      <c r="E239" s="57" t="s">
        <v>522</v>
      </c>
      <c r="F239" s="57" t="s">
        <v>300</v>
      </c>
      <c r="G239" s="57" t="s">
        <v>438</v>
      </c>
      <c r="H239" s="140" t="s">
        <v>909</v>
      </c>
      <c r="I239" s="57"/>
      <c r="J239" s="57"/>
      <c r="L239" s="164">
        <v>25000</v>
      </c>
      <c r="M239" s="57" t="s">
        <v>889</v>
      </c>
    </row>
    <row r="240" spans="2:13" x14ac:dyDescent="0.3">
      <c r="B240" s="57">
        <f t="shared" si="7"/>
        <v>237</v>
      </c>
      <c r="C240" s="143">
        <v>46072</v>
      </c>
      <c r="D240" s="152" t="s">
        <v>435</v>
      </c>
      <c r="E240" s="57" t="s">
        <v>908</v>
      </c>
      <c r="F240" s="57" t="s">
        <v>300</v>
      </c>
      <c r="G240" s="57" t="s">
        <v>530</v>
      </c>
      <c r="H240" s="140" t="s">
        <v>848</v>
      </c>
      <c r="I240" s="57"/>
      <c r="J240" s="57"/>
      <c r="L240" s="164">
        <v>167345</v>
      </c>
      <c r="M240" s="57" t="s">
        <v>831</v>
      </c>
    </row>
    <row r="241" spans="2:13" x14ac:dyDescent="0.3">
      <c r="B241" s="57">
        <f t="shared" si="7"/>
        <v>238</v>
      </c>
      <c r="C241" s="143">
        <v>46072</v>
      </c>
      <c r="D241" s="152" t="s">
        <v>435</v>
      </c>
      <c r="E241" s="57" t="s">
        <v>896</v>
      </c>
      <c r="F241" s="57" t="s">
        <v>350</v>
      </c>
      <c r="G241" s="57" t="s">
        <v>350</v>
      </c>
      <c r="H241" s="140" t="s">
        <v>907</v>
      </c>
      <c r="I241" s="57"/>
      <c r="J241" s="57"/>
      <c r="L241" s="164">
        <v>12540</v>
      </c>
      <c r="M241" s="57" t="s">
        <v>831</v>
      </c>
    </row>
    <row r="242" spans="2:13" x14ac:dyDescent="0.3">
      <c r="B242" s="57">
        <f t="shared" si="7"/>
        <v>239</v>
      </c>
      <c r="C242" s="143">
        <v>46072</v>
      </c>
      <c r="D242" s="152" t="s">
        <v>435</v>
      </c>
      <c r="E242" s="57" t="s">
        <v>532</v>
      </c>
      <c r="F242" s="57" t="s">
        <v>436</v>
      </c>
      <c r="G242" s="57" t="s">
        <v>480</v>
      </c>
      <c r="H242" s="140" t="s">
        <v>906</v>
      </c>
      <c r="I242" s="57" t="s">
        <v>532</v>
      </c>
      <c r="J242" s="57">
        <v>10</v>
      </c>
      <c r="K242" s="57">
        <v>300</v>
      </c>
      <c r="L242" s="164">
        <v>3000</v>
      </c>
      <c r="M242" s="57" t="s">
        <v>889</v>
      </c>
    </row>
    <row r="243" spans="2:13" x14ac:dyDescent="0.3">
      <c r="B243" s="57">
        <f t="shared" si="7"/>
        <v>240</v>
      </c>
      <c r="C243" s="143">
        <v>46074</v>
      </c>
      <c r="D243" s="152" t="s">
        <v>435</v>
      </c>
      <c r="E243" s="57" t="s">
        <v>767</v>
      </c>
      <c r="F243" s="57" t="s">
        <v>300</v>
      </c>
      <c r="G243" s="57" t="s">
        <v>530</v>
      </c>
      <c r="H243" s="140" t="s">
        <v>905</v>
      </c>
      <c r="I243" s="57"/>
      <c r="J243" s="57"/>
      <c r="L243" s="164">
        <v>100</v>
      </c>
      <c r="M243" s="57" t="s">
        <v>893</v>
      </c>
    </row>
    <row r="244" spans="2:13" x14ac:dyDescent="0.3">
      <c r="B244" s="57">
        <f t="shared" si="7"/>
        <v>241</v>
      </c>
      <c r="C244" s="143">
        <v>46074</v>
      </c>
      <c r="D244" s="152" t="s">
        <v>435</v>
      </c>
      <c r="E244" s="57" t="s">
        <v>146</v>
      </c>
      <c r="F244" s="57" t="s">
        <v>502</v>
      </c>
      <c r="G244" s="57" t="s">
        <v>2344</v>
      </c>
      <c r="H244" s="140" t="s">
        <v>899</v>
      </c>
      <c r="I244" s="57"/>
      <c r="J244" s="165">
        <f t="shared" ref="J244:J246" si="10">L244/K244</f>
        <v>20.833333333333332</v>
      </c>
      <c r="K244" s="57">
        <v>96</v>
      </c>
      <c r="L244" s="164">
        <v>2000</v>
      </c>
      <c r="M244" s="57" t="s">
        <v>889</v>
      </c>
    </row>
    <row r="245" spans="2:13" x14ac:dyDescent="0.3">
      <c r="B245" s="57">
        <f t="shared" si="7"/>
        <v>242</v>
      </c>
      <c r="C245" s="143">
        <v>46074</v>
      </c>
      <c r="D245" s="152" t="s">
        <v>435</v>
      </c>
      <c r="E245" s="57" t="s">
        <v>146</v>
      </c>
      <c r="F245" s="57" t="s">
        <v>300</v>
      </c>
      <c r="G245" s="57" t="s">
        <v>526</v>
      </c>
      <c r="H245" s="140" t="s">
        <v>1051</v>
      </c>
      <c r="I245" s="57"/>
      <c r="J245" s="165">
        <f t="shared" si="10"/>
        <v>10.416666666666666</v>
      </c>
      <c r="K245" s="57">
        <v>96</v>
      </c>
      <c r="L245" s="164">
        <v>1000</v>
      </c>
      <c r="M245" s="57" t="s">
        <v>889</v>
      </c>
    </row>
    <row r="246" spans="2:13" x14ac:dyDescent="0.3">
      <c r="B246" s="57">
        <f t="shared" si="7"/>
        <v>243</v>
      </c>
      <c r="C246" s="143">
        <v>46075</v>
      </c>
      <c r="D246" s="152" t="s">
        <v>435</v>
      </c>
      <c r="E246" s="57" t="s">
        <v>450</v>
      </c>
      <c r="F246" s="57" t="s">
        <v>502</v>
      </c>
      <c r="G246" s="57" t="s">
        <v>2344</v>
      </c>
      <c r="H246" s="140" t="s">
        <v>883</v>
      </c>
      <c r="I246" s="57"/>
      <c r="J246" s="165">
        <f t="shared" si="10"/>
        <v>20.833333333333332</v>
      </c>
      <c r="K246" s="57">
        <v>96</v>
      </c>
      <c r="L246" s="164">
        <v>2000</v>
      </c>
      <c r="M246" s="57" t="s">
        <v>831</v>
      </c>
    </row>
    <row r="247" spans="2:13" x14ac:dyDescent="0.3">
      <c r="B247" s="57">
        <f t="shared" si="7"/>
        <v>244</v>
      </c>
      <c r="C247" s="143">
        <v>46075</v>
      </c>
      <c r="D247" s="152" t="s">
        <v>435</v>
      </c>
      <c r="E247" s="57" t="s">
        <v>459</v>
      </c>
      <c r="F247" s="57" t="s">
        <v>502</v>
      </c>
      <c r="G247" s="57" t="s">
        <v>2344</v>
      </c>
      <c r="H247" s="140" t="s">
        <v>904</v>
      </c>
      <c r="I247" s="57" t="s">
        <v>4084</v>
      </c>
      <c r="J247" s="57">
        <v>5</v>
      </c>
      <c r="K247" s="167">
        <f>L247/J247</f>
        <v>72</v>
      </c>
      <c r="L247" s="164">
        <v>360</v>
      </c>
      <c r="M247" s="57" t="s">
        <v>831</v>
      </c>
    </row>
    <row r="248" spans="2:13" x14ac:dyDescent="0.3">
      <c r="B248" s="57">
        <f t="shared" si="7"/>
        <v>245</v>
      </c>
      <c r="C248" s="143">
        <v>46075</v>
      </c>
      <c r="D248" s="152" t="s">
        <v>435</v>
      </c>
      <c r="E248" s="57" t="s">
        <v>574</v>
      </c>
      <c r="F248" s="57" t="s">
        <v>436</v>
      </c>
      <c r="G248" s="57" t="s">
        <v>480</v>
      </c>
      <c r="H248" s="140" t="s">
        <v>903</v>
      </c>
      <c r="I248" s="140" t="s">
        <v>2635</v>
      </c>
      <c r="J248" s="57">
        <v>8</v>
      </c>
      <c r="K248" s="167">
        <f>L248/J248</f>
        <v>500</v>
      </c>
      <c r="L248" s="164">
        <v>4000</v>
      </c>
      <c r="M248" s="57" t="s">
        <v>831</v>
      </c>
    </row>
    <row r="249" spans="2:13" x14ac:dyDescent="0.3">
      <c r="B249" s="57">
        <f t="shared" si="7"/>
        <v>246</v>
      </c>
      <c r="C249" s="143">
        <v>46075</v>
      </c>
      <c r="D249" s="152" t="s">
        <v>435</v>
      </c>
      <c r="E249" s="57" t="s">
        <v>4008</v>
      </c>
      <c r="F249" s="57" t="s">
        <v>300</v>
      </c>
      <c r="G249" s="57" t="s">
        <v>526</v>
      </c>
      <c r="H249" s="140" t="s">
        <v>902</v>
      </c>
      <c r="I249" s="57"/>
      <c r="J249" s="57"/>
      <c r="L249" s="164">
        <v>25000</v>
      </c>
      <c r="M249" s="57" t="s">
        <v>831</v>
      </c>
    </row>
    <row r="250" spans="2:13" x14ac:dyDescent="0.3">
      <c r="B250" s="57">
        <f t="shared" si="7"/>
        <v>247</v>
      </c>
      <c r="C250" s="143">
        <v>46075</v>
      </c>
      <c r="D250" s="152" t="s">
        <v>435</v>
      </c>
      <c r="E250" s="57" t="s">
        <v>522</v>
      </c>
      <c r="F250" s="57" t="s">
        <v>300</v>
      </c>
      <c r="G250" s="57" t="s">
        <v>530</v>
      </c>
      <c r="H250" s="140" t="s">
        <v>901</v>
      </c>
      <c r="I250" s="57"/>
      <c r="J250" s="57"/>
      <c r="L250" s="164">
        <v>10000</v>
      </c>
      <c r="M250" s="57" t="s">
        <v>831</v>
      </c>
    </row>
    <row r="251" spans="2:13" x14ac:dyDescent="0.3">
      <c r="B251" s="57">
        <f t="shared" si="7"/>
        <v>248</v>
      </c>
      <c r="C251" s="143">
        <v>46076</v>
      </c>
      <c r="D251" s="152" t="s">
        <v>435</v>
      </c>
      <c r="E251" s="57" t="s">
        <v>146</v>
      </c>
      <c r="F251" s="57" t="s">
        <v>300</v>
      </c>
      <c r="G251" s="57" t="s">
        <v>996</v>
      </c>
      <c r="H251" s="140" t="s">
        <v>900</v>
      </c>
      <c r="I251" s="57"/>
      <c r="J251" s="165">
        <f t="shared" ref="J251:J252" si="11">L251/K251</f>
        <v>41.666666666666664</v>
      </c>
      <c r="K251" s="57">
        <v>96</v>
      </c>
      <c r="L251" s="164">
        <v>4000</v>
      </c>
      <c r="M251" s="57" t="s">
        <v>831</v>
      </c>
    </row>
    <row r="252" spans="2:13" x14ac:dyDescent="0.3">
      <c r="B252" s="57">
        <f t="shared" si="7"/>
        <v>249</v>
      </c>
      <c r="C252" s="143">
        <v>46076</v>
      </c>
      <c r="D252" s="152" t="s">
        <v>435</v>
      </c>
      <c r="E252" s="57" t="s">
        <v>146</v>
      </c>
      <c r="F252" s="57" t="s">
        <v>502</v>
      </c>
      <c r="G252" s="57" t="s">
        <v>2344</v>
      </c>
      <c r="H252" s="140" t="s">
        <v>899</v>
      </c>
      <c r="I252" s="57"/>
      <c r="J252" s="165">
        <f t="shared" si="11"/>
        <v>20.833333333333332</v>
      </c>
      <c r="K252" s="57">
        <v>96</v>
      </c>
      <c r="L252" s="164">
        <v>2000</v>
      </c>
      <c r="M252" s="57" t="s">
        <v>831</v>
      </c>
    </row>
    <row r="253" spans="2:13" x14ac:dyDescent="0.3">
      <c r="B253" s="57">
        <f t="shared" si="7"/>
        <v>250</v>
      </c>
      <c r="C253" s="143">
        <v>46076</v>
      </c>
      <c r="D253" s="152" t="s">
        <v>435</v>
      </c>
      <c r="E253" s="57" t="s">
        <v>892</v>
      </c>
      <c r="F253" s="57" t="s">
        <v>436</v>
      </c>
      <c r="G253" s="57" t="s">
        <v>480</v>
      </c>
      <c r="H253" s="140" t="s">
        <v>898</v>
      </c>
      <c r="I253" s="57"/>
      <c r="J253" s="57"/>
      <c r="L253" s="164">
        <v>26700</v>
      </c>
      <c r="M253" s="57" t="s">
        <v>831</v>
      </c>
    </row>
    <row r="254" spans="2:13" x14ac:dyDescent="0.3">
      <c r="B254" s="57">
        <f t="shared" si="7"/>
        <v>251</v>
      </c>
      <c r="C254" s="143">
        <v>46076</v>
      </c>
      <c r="D254" s="152" t="s">
        <v>435</v>
      </c>
      <c r="E254" s="57" t="s">
        <v>434</v>
      </c>
      <c r="F254" s="57" t="s">
        <v>300</v>
      </c>
      <c r="G254" s="57" t="s">
        <v>526</v>
      </c>
      <c r="H254" s="140" t="s">
        <v>897</v>
      </c>
      <c r="I254" s="57"/>
      <c r="J254" s="57"/>
      <c r="L254" s="164">
        <v>1560</v>
      </c>
      <c r="M254" s="57" t="s">
        <v>889</v>
      </c>
    </row>
    <row r="255" spans="2:13" x14ac:dyDescent="0.3">
      <c r="B255" s="57">
        <f t="shared" si="7"/>
        <v>252</v>
      </c>
      <c r="C255" s="143">
        <v>46077</v>
      </c>
      <c r="D255" s="152" t="s">
        <v>435</v>
      </c>
      <c r="E255" s="57" t="s">
        <v>767</v>
      </c>
      <c r="F255" s="57" t="s">
        <v>300</v>
      </c>
      <c r="G255" s="57" t="s">
        <v>996</v>
      </c>
      <c r="H255" s="140" t="s">
        <v>859</v>
      </c>
      <c r="I255" s="57"/>
      <c r="J255" s="57"/>
      <c r="L255" s="164">
        <v>1000</v>
      </c>
      <c r="M255" s="57" t="s">
        <v>831</v>
      </c>
    </row>
    <row r="256" spans="2:13" x14ac:dyDescent="0.3">
      <c r="B256" s="57">
        <f t="shared" si="7"/>
        <v>253</v>
      </c>
      <c r="C256" s="143">
        <v>46077</v>
      </c>
      <c r="D256" s="152" t="s">
        <v>435</v>
      </c>
      <c r="E256" s="57" t="s">
        <v>896</v>
      </c>
      <c r="F256" s="57" t="s">
        <v>300</v>
      </c>
      <c r="G256" s="57" t="s">
        <v>530</v>
      </c>
      <c r="H256" s="140" t="s">
        <v>896</v>
      </c>
      <c r="I256" s="57"/>
      <c r="J256" s="57"/>
      <c r="L256" s="164">
        <v>1150</v>
      </c>
      <c r="M256" s="57" t="s">
        <v>831</v>
      </c>
    </row>
    <row r="257" spans="2:13" x14ac:dyDescent="0.3">
      <c r="B257" s="57">
        <f t="shared" si="7"/>
        <v>254</v>
      </c>
      <c r="C257" s="143">
        <v>46077</v>
      </c>
      <c r="D257" s="152" t="s">
        <v>435</v>
      </c>
      <c r="E257" s="57" t="s">
        <v>532</v>
      </c>
      <c r="F257" s="57" t="s">
        <v>502</v>
      </c>
      <c r="G257" s="57" t="s">
        <v>2344</v>
      </c>
      <c r="H257" s="140" t="s">
        <v>895</v>
      </c>
      <c r="I257" s="57" t="s">
        <v>532</v>
      </c>
      <c r="J257" s="57">
        <v>1</v>
      </c>
      <c r="K257" s="57">
        <v>250</v>
      </c>
      <c r="L257" s="164">
        <v>250</v>
      </c>
      <c r="M257" s="57" t="s">
        <v>831</v>
      </c>
    </row>
    <row r="258" spans="2:13" x14ac:dyDescent="0.3">
      <c r="B258" s="57">
        <f t="shared" si="7"/>
        <v>255</v>
      </c>
      <c r="C258" s="143">
        <v>46077</v>
      </c>
      <c r="D258" s="152" t="s">
        <v>435</v>
      </c>
      <c r="E258" s="57" t="s">
        <v>146</v>
      </c>
      <c r="F258" s="57" t="s">
        <v>436</v>
      </c>
      <c r="G258" s="57" t="s">
        <v>480</v>
      </c>
      <c r="H258" s="140" t="s">
        <v>894</v>
      </c>
      <c r="I258" s="57"/>
      <c r="J258" s="165">
        <f>L258/K258</f>
        <v>20.833333333333332</v>
      </c>
      <c r="K258" s="57">
        <v>96</v>
      </c>
      <c r="L258" s="164">
        <v>2000</v>
      </c>
      <c r="M258" s="57" t="s">
        <v>893</v>
      </c>
    </row>
    <row r="259" spans="2:13" x14ac:dyDescent="0.3">
      <c r="B259" s="57">
        <f t="shared" si="7"/>
        <v>256</v>
      </c>
      <c r="C259" s="143">
        <v>46077</v>
      </c>
      <c r="D259" s="152" t="s">
        <v>435</v>
      </c>
      <c r="E259" s="57" t="s">
        <v>892</v>
      </c>
      <c r="F259" s="57" t="s">
        <v>502</v>
      </c>
      <c r="G259" s="57" t="s">
        <v>257</v>
      </c>
      <c r="H259" s="140" t="s">
        <v>891</v>
      </c>
      <c r="I259" s="57"/>
      <c r="J259" s="57"/>
      <c r="L259" s="164">
        <v>19380</v>
      </c>
      <c r="M259" s="57" t="s">
        <v>889</v>
      </c>
    </row>
    <row r="260" spans="2:13" x14ac:dyDescent="0.3">
      <c r="B260" s="57">
        <f t="shared" si="7"/>
        <v>257</v>
      </c>
      <c r="C260" s="143">
        <v>46077</v>
      </c>
      <c r="D260" s="152" t="s">
        <v>435</v>
      </c>
      <c r="E260" s="57" t="s">
        <v>146</v>
      </c>
      <c r="F260" s="57" t="s">
        <v>300</v>
      </c>
      <c r="G260" s="57" t="s">
        <v>530</v>
      </c>
      <c r="H260" s="140" t="s">
        <v>890</v>
      </c>
      <c r="I260" s="57"/>
      <c r="J260" s="165">
        <f t="shared" ref="J260:J261" si="12">L260/K260</f>
        <v>128.01354166666667</v>
      </c>
      <c r="K260" s="57">
        <v>96</v>
      </c>
      <c r="L260" s="164">
        <v>12289.3</v>
      </c>
      <c r="M260" s="57" t="s">
        <v>889</v>
      </c>
    </row>
    <row r="261" spans="2:13" x14ac:dyDescent="0.3">
      <c r="B261" s="57">
        <f t="shared" si="7"/>
        <v>258</v>
      </c>
      <c r="C261" s="143">
        <v>46077</v>
      </c>
      <c r="D261" s="152" t="s">
        <v>435</v>
      </c>
      <c r="E261" s="57" t="s">
        <v>450</v>
      </c>
      <c r="F261" s="57" t="s">
        <v>300</v>
      </c>
      <c r="G261" s="57" t="s">
        <v>530</v>
      </c>
      <c r="H261" s="140" t="s">
        <v>778</v>
      </c>
      <c r="I261" s="57"/>
      <c r="J261" s="165">
        <f t="shared" si="12"/>
        <v>20.833333333333332</v>
      </c>
      <c r="K261" s="57">
        <v>96</v>
      </c>
      <c r="L261" s="164">
        <v>2000</v>
      </c>
      <c r="M261" s="57" t="s">
        <v>889</v>
      </c>
    </row>
    <row r="262" spans="2:13" x14ac:dyDescent="0.3">
      <c r="B262" s="57">
        <f t="shared" ref="B262:B325" si="13">+B261+1</f>
        <v>259</v>
      </c>
      <c r="C262" s="143">
        <v>46078</v>
      </c>
      <c r="D262" s="152" t="s">
        <v>435</v>
      </c>
      <c r="E262" s="57" t="s">
        <v>986</v>
      </c>
      <c r="F262" s="57" t="s">
        <v>502</v>
      </c>
      <c r="G262" s="57" t="s">
        <v>2344</v>
      </c>
      <c r="H262" s="140" t="s">
        <v>888</v>
      </c>
      <c r="I262" s="57" t="s">
        <v>986</v>
      </c>
      <c r="J262" s="57">
        <v>50</v>
      </c>
      <c r="K262" s="168">
        <f>L262/J262</f>
        <v>74.8</v>
      </c>
      <c r="L262" s="164">
        <v>3740</v>
      </c>
      <c r="M262" s="57" t="s">
        <v>177</v>
      </c>
    </row>
    <row r="263" spans="2:13" x14ac:dyDescent="0.3">
      <c r="B263" s="57">
        <f t="shared" si="13"/>
        <v>260</v>
      </c>
      <c r="C263" s="143">
        <v>46078</v>
      </c>
      <c r="D263" s="152" t="s">
        <v>435</v>
      </c>
      <c r="E263" s="57" t="s">
        <v>516</v>
      </c>
      <c r="F263" s="57" t="s">
        <v>300</v>
      </c>
      <c r="G263" s="57" t="s">
        <v>530</v>
      </c>
      <c r="H263" s="140" t="s">
        <v>874</v>
      </c>
      <c r="I263" s="57"/>
      <c r="J263" s="57"/>
      <c r="L263" s="164">
        <v>1000</v>
      </c>
    </row>
    <row r="264" spans="2:13" x14ac:dyDescent="0.3">
      <c r="B264" s="57">
        <f t="shared" si="13"/>
        <v>261</v>
      </c>
      <c r="C264" s="143">
        <v>46078</v>
      </c>
      <c r="D264" s="152" t="s">
        <v>435</v>
      </c>
      <c r="E264" s="57" t="s">
        <v>146</v>
      </c>
      <c r="F264" s="57" t="s">
        <v>502</v>
      </c>
      <c r="G264" s="57" t="s">
        <v>2344</v>
      </c>
      <c r="H264" s="140" t="s">
        <v>887</v>
      </c>
      <c r="I264" s="57"/>
      <c r="J264" s="165">
        <f t="shared" ref="J264:J266" si="14">L264/K264</f>
        <v>20.833333333333332</v>
      </c>
      <c r="K264" s="57">
        <v>96</v>
      </c>
      <c r="L264" s="164">
        <v>2000</v>
      </c>
      <c r="M264" s="57" t="s">
        <v>177</v>
      </c>
    </row>
    <row r="265" spans="2:13" x14ac:dyDescent="0.3">
      <c r="B265" s="57">
        <f t="shared" si="13"/>
        <v>262</v>
      </c>
      <c r="C265" s="143">
        <v>46079</v>
      </c>
      <c r="D265" s="152" t="s">
        <v>435</v>
      </c>
      <c r="E265" s="57" t="s">
        <v>146</v>
      </c>
      <c r="F265" s="57" t="s">
        <v>502</v>
      </c>
      <c r="G265" s="57" t="s">
        <v>257</v>
      </c>
      <c r="H265" s="140" t="s">
        <v>886</v>
      </c>
      <c r="I265" s="57"/>
      <c r="J265" s="165">
        <f t="shared" si="14"/>
        <v>41.666666666666664</v>
      </c>
      <c r="K265" s="57">
        <v>96</v>
      </c>
      <c r="L265" s="164">
        <v>4000</v>
      </c>
    </row>
    <row r="266" spans="2:13" x14ac:dyDescent="0.3">
      <c r="B266" s="57">
        <f t="shared" si="13"/>
        <v>263</v>
      </c>
      <c r="C266" s="143">
        <v>46079</v>
      </c>
      <c r="D266" s="152" t="s">
        <v>435</v>
      </c>
      <c r="E266" s="57" t="s">
        <v>146</v>
      </c>
      <c r="F266" s="57" t="s">
        <v>300</v>
      </c>
      <c r="G266" s="57" t="s">
        <v>996</v>
      </c>
      <c r="H266" s="140" t="s">
        <v>885</v>
      </c>
      <c r="I266" s="57"/>
      <c r="J266" s="165">
        <f t="shared" si="14"/>
        <v>20.833333333333332</v>
      </c>
      <c r="K266" s="57">
        <v>96</v>
      </c>
      <c r="L266" s="164">
        <v>2000</v>
      </c>
      <c r="M266" s="57" t="s">
        <v>831</v>
      </c>
    </row>
    <row r="267" spans="2:13" x14ac:dyDescent="0.3">
      <c r="B267" s="57">
        <f t="shared" si="13"/>
        <v>264</v>
      </c>
      <c r="C267" s="143">
        <v>46079</v>
      </c>
      <c r="D267" s="152" t="s">
        <v>435</v>
      </c>
      <c r="E267" s="57" t="s">
        <v>434</v>
      </c>
      <c r="F267" s="57" t="s">
        <v>436</v>
      </c>
      <c r="G267" s="57" t="s">
        <v>480</v>
      </c>
      <c r="H267" s="140" t="s">
        <v>884</v>
      </c>
      <c r="I267" s="57"/>
      <c r="J267" s="57"/>
      <c r="L267" s="164">
        <v>10990</v>
      </c>
      <c r="M267" s="57" t="s">
        <v>831</v>
      </c>
    </row>
    <row r="268" spans="2:13" x14ac:dyDescent="0.3">
      <c r="B268" s="57">
        <f t="shared" si="13"/>
        <v>265</v>
      </c>
      <c r="C268" s="143">
        <v>46079</v>
      </c>
      <c r="D268" s="152" t="s">
        <v>435</v>
      </c>
      <c r="E268" s="57" t="s">
        <v>2022</v>
      </c>
      <c r="F268" s="57" t="s">
        <v>436</v>
      </c>
      <c r="G268" s="57" t="s">
        <v>480</v>
      </c>
      <c r="H268" s="140" t="s">
        <v>732</v>
      </c>
      <c r="I268" s="57"/>
      <c r="J268" s="57"/>
      <c r="L268" s="164">
        <v>1500</v>
      </c>
    </row>
    <row r="269" spans="2:13" x14ac:dyDescent="0.3">
      <c r="B269" s="57">
        <f t="shared" si="13"/>
        <v>266</v>
      </c>
      <c r="C269" s="143">
        <v>46080</v>
      </c>
      <c r="D269" s="152" t="s">
        <v>435</v>
      </c>
      <c r="E269" s="57" t="s">
        <v>450</v>
      </c>
      <c r="F269" s="57" t="s">
        <v>300</v>
      </c>
      <c r="G269" s="57" t="s">
        <v>438</v>
      </c>
      <c r="H269" s="140" t="s">
        <v>4093</v>
      </c>
      <c r="I269" s="57"/>
      <c r="J269" s="165">
        <f t="shared" ref="J269:J271" si="15">L269/K269</f>
        <v>31.25</v>
      </c>
      <c r="K269" s="57">
        <v>96</v>
      </c>
      <c r="L269" s="164">
        <v>3000</v>
      </c>
      <c r="M269" s="57" t="s">
        <v>831</v>
      </c>
    </row>
    <row r="270" spans="2:13" x14ac:dyDescent="0.3">
      <c r="B270" s="57">
        <f t="shared" si="13"/>
        <v>267</v>
      </c>
      <c r="C270" s="143">
        <v>46080</v>
      </c>
      <c r="D270" s="152" t="s">
        <v>435</v>
      </c>
      <c r="E270" s="57" t="s">
        <v>450</v>
      </c>
      <c r="F270" s="57" t="s">
        <v>300</v>
      </c>
      <c r="G270" s="57" t="s">
        <v>438</v>
      </c>
      <c r="H270" s="140" t="s">
        <v>883</v>
      </c>
      <c r="I270" s="57"/>
      <c r="J270" s="165">
        <f t="shared" si="15"/>
        <v>312.5</v>
      </c>
      <c r="K270" s="57">
        <v>96</v>
      </c>
      <c r="L270" s="164">
        <v>30000</v>
      </c>
      <c r="M270" s="57" t="s">
        <v>831</v>
      </c>
    </row>
    <row r="271" spans="2:13" x14ac:dyDescent="0.3">
      <c r="B271" s="57">
        <f t="shared" si="13"/>
        <v>268</v>
      </c>
      <c r="C271" s="143">
        <v>46080</v>
      </c>
      <c r="D271" s="152" t="s">
        <v>435</v>
      </c>
      <c r="E271" s="57" t="s">
        <v>146</v>
      </c>
      <c r="F271" s="57" t="s">
        <v>350</v>
      </c>
      <c r="G271" s="57" t="s">
        <v>663</v>
      </c>
      <c r="H271" s="140" t="s">
        <v>4111</v>
      </c>
      <c r="I271" s="57"/>
      <c r="J271" s="165">
        <f t="shared" si="15"/>
        <v>20.833333333333332</v>
      </c>
      <c r="K271" s="57">
        <v>96</v>
      </c>
      <c r="L271" s="164">
        <v>2000</v>
      </c>
      <c r="M271" s="57" t="s">
        <v>831</v>
      </c>
    </row>
    <row r="272" spans="2:13" x14ac:dyDescent="0.3">
      <c r="B272" s="57">
        <f t="shared" si="13"/>
        <v>269</v>
      </c>
      <c r="C272" s="143">
        <v>46080</v>
      </c>
      <c r="D272" s="152" t="s">
        <v>435</v>
      </c>
      <c r="E272" s="57" t="s">
        <v>522</v>
      </c>
      <c r="F272" s="57" t="s">
        <v>300</v>
      </c>
      <c r="G272" s="57" t="s">
        <v>438</v>
      </c>
      <c r="H272" s="140" t="s">
        <v>882</v>
      </c>
      <c r="I272" s="57"/>
      <c r="J272" s="57"/>
      <c r="L272" s="164">
        <v>18000</v>
      </c>
      <c r="M272" s="57" t="s">
        <v>831</v>
      </c>
    </row>
    <row r="273" spans="2:13" x14ac:dyDescent="0.3">
      <c r="B273" s="57">
        <f t="shared" si="13"/>
        <v>270</v>
      </c>
      <c r="C273" s="143">
        <v>46080</v>
      </c>
      <c r="D273" s="152" t="s">
        <v>435</v>
      </c>
      <c r="E273" s="57" t="s">
        <v>434</v>
      </c>
      <c r="F273" s="57" t="s">
        <v>436</v>
      </c>
      <c r="G273" s="57" t="s">
        <v>480</v>
      </c>
      <c r="H273" s="140" t="s">
        <v>881</v>
      </c>
      <c r="I273" s="57"/>
      <c r="J273" s="57"/>
      <c r="L273" s="164">
        <v>1400</v>
      </c>
      <c r="M273" s="57" t="s">
        <v>831</v>
      </c>
    </row>
    <row r="274" spans="2:13" x14ac:dyDescent="0.3">
      <c r="B274" s="57">
        <f t="shared" si="13"/>
        <v>271</v>
      </c>
      <c r="C274" s="143">
        <v>46080</v>
      </c>
      <c r="D274" s="152" t="s">
        <v>435</v>
      </c>
      <c r="E274" s="57" t="s">
        <v>434</v>
      </c>
      <c r="F274" s="57" t="s">
        <v>502</v>
      </c>
      <c r="G274" s="57" t="s">
        <v>2344</v>
      </c>
      <c r="H274" s="140" t="s">
        <v>880</v>
      </c>
      <c r="I274" s="57"/>
      <c r="J274" s="57"/>
      <c r="L274" s="164">
        <v>1540</v>
      </c>
      <c r="M274" s="57" t="s">
        <v>831</v>
      </c>
    </row>
    <row r="275" spans="2:13" x14ac:dyDescent="0.3">
      <c r="B275" s="57">
        <f t="shared" si="13"/>
        <v>272</v>
      </c>
      <c r="C275" s="143">
        <v>46080</v>
      </c>
      <c r="D275" s="152" t="s">
        <v>435</v>
      </c>
      <c r="E275" s="57" t="s">
        <v>146</v>
      </c>
      <c r="F275" s="57" t="s">
        <v>300</v>
      </c>
      <c r="G275" s="57" t="s">
        <v>845</v>
      </c>
      <c r="H275" s="140" t="s">
        <v>879</v>
      </c>
      <c r="I275" s="57"/>
      <c r="J275" s="165">
        <f>L275/K275</f>
        <v>20.833333333333332</v>
      </c>
      <c r="K275" s="57">
        <v>96</v>
      </c>
      <c r="L275" s="164">
        <v>2000</v>
      </c>
      <c r="M275" s="57" t="s">
        <v>831</v>
      </c>
    </row>
    <row r="276" spans="2:13" x14ac:dyDescent="0.3">
      <c r="B276" s="57">
        <f t="shared" si="13"/>
        <v>273</v>
      </c>
      <c r="C276" s="143">
        <v>46080</v>
      </c>
      <c r="D276" s="152" t="s">
        <v>435</v>
      </c>
      <c r="E276" s="57" t="s">
        <v>434</v>
      </c>
      <c r="F276" s="57" t="s">
        <v>436</v>
      </c>
      <c r="G276" s="57" t="s">
        <v>480</v>
      </c>
      <c r="H276" s="140" t="s">
        <v>878</v>
      </c>
      <c r="I276" s="57"/>
      <c r="J276" s="57"/>
      <c r="L276" s="164">
        <v>900</v>
      </c>
      <c r="M276" s="57" t="s">
        <v>831</v>
      </c>
    </row>
    <row r="277" spans="2:13" x14ac:dyDescent="0.3">
      <c r="B277" s="57">
        <f t="shared" si="13"/>
        <v>274</v>
      </c>
      <c r="C277" s="143">
        <v>46080</v>
      </c>
      <c r="D277" s="152" t="s">
        <v>435</v>
      </c>
      <c r="E277" s="57" t="s">
        <v>434</v>
      </c>
      <c r="F277" s="57" t="s">
        <v>300</v>
      </c>
      <c r="G277" s="57" t="s">
        <v>526</v>
      </c>
      <c r="H277" s="140" t="s">
        <v>837</v>
      </c>
      <c r="I277" s="57"/>
      <c r="J277" s="57"/>
      <c r="L277" s="164">
        <v>5360</v>
      </c>
      <c r="M277" s="57" t="s">
        <v>831</v>
      </c>
    </row>
    <row r="278" spans="2:13" x14ac:dyDescent="0.3">
      <c r="B278" s="57">
        <f t="shared" si="13"/>
        <v>275</v>
      </c>
      <c r="C278" s="143">
        <v>46080</v>
      </c>
      <c r="D278" s="152" t="s">
        <v>435</v>
      </c>
      <c r="E278" s="57" t="s">
        <v>434</v>
      </c>
      <c r="F278" s="57" t="s">
        <v>436</v>
      </c>
      <c r="G278" s="57" t="s">
        <v>480</v>
      </c>
      <c r="H278" s="140" t="s">
        <v>877</v>
      </c>
      <c r="I278" s="57"/>
      <c r="J278" s="57"/>
      <c r="L278" s="164">
        <v>750</v>
      </c>
      <c r="M278" s="57" t="s">
        <v>831</v>
      </c>
    </row>
    <row r="279" spans="2:13" x14ac:dyDescent="0.3">
      <c r="B279" s="57">
        <f t="shared" si="13"/>
        <v>276</v>
      </c>
      <c r="C279" s="143">
        <v>46080</v>
      </c>
      <c r="D279" s="152" t="s">
        <v>435</v>
      </c>
      <c r="E279" s="57" t="s">
        <v>434</v>
      </c>
      <c r="F279" s="57" t="s">
        <v>502</v>
      </c>
      <c r="G279" s="57" t="s">
        <v>2344</v>
      </c>
      <c r="H279" s="140" t="s">
        <v>876</v>
      </c>
      <c r="I279" s="57"/>
      <c r="J279" s="57"/>
      <c r="L279" s="164">
        <v>800</v>
      </c>
      <c r="M279" s="57" t="s">
        <v>831</v>
      </c>
    </row>
    <row r="280" spans="2:13" x14ac:dyDescent="0.3">
      <c r="B280" s="57">
        <f t="shared" si="13"/>
        <v>277</v>
      </c>
      <c r="C280" s="143">
        <v>46080</v>
      </c>
      <c r="D280" s="152" t="s">
        <v>435</v>
      </c>
      <c r="E280" s="57" t="s">
        <v>146</v>
      </c>
      <c r="F280" s="57" t="s">
        <v>300</v>
      </c>
      <c r="G280" s="57" t="s">
        <v>438</v>
      </c>
      <c r="H280" s="140" t="s">
        <v>875</v>
      </c>
      <c r="I280" s="57"/>
      <c r="J280" s="165">
        <f>L280/K280</f>
        <v>154</v>
      </c>
      <c r="K280" s="57">
        <v>96</v>
      </c>
      <c r="L280" s="164">
        <v>14784</v>
      </c>
      <c r="M280" s="57" t="s">
        <v>831</v>
      </c>
    </row>
    <row r="281" spans="2:13" x14ac:dyDescent="0.3">
      <c r="B281" s="57">
        <f t="shared" si="13"/>
        <v>278</v>
      </c>
      <c r="C281" s="143">
        <v>46080</v>
      </c>
      <c r="D281" s="152" t="s">
        <v>435</v>
      </c>
      <c r="E281" s="57" t="s">
        <v>516</v>
      </c>
      <c r="F281" s="57" t="s">
        <v>300</v>
      </c>
      <c r="G281" s="57" t="s">
        <v>438</v>
      </c>
      <c r="H281" s="140" t="s">
        <v>874</v>
      </c>
      <c r="I281" s="57"/>
      <c r="J281" s="57"/>
      <c r="L281" s="164">
        <v>1500</v>
      </c>
      <c r="M281" s="57" t="s">
        <v>831</v>
      </c>
    </row>
    <row r="282" spans="2:13" x14ac:dyDescent="0.3">
      <c r="B282" s="57">
        <f t="shared" si="13"/>
        <v>279</v>
      </c>
      <c r="C282" s="143">
        <v>46080</v>
      </c>
      <c r="D282" s="152" t="s">
        <v>435</v>
      </c>
      <c r="E282" s="57" t="s">
        <v>2022</v>
      </c>
      <c r="F282" s="57" t="s">
        <v>502</v>
      </c>
      <c r="G282" s="57" t="s">
        <v>257</v>
      </c>
      <c r="H282" s="140" t="s">
        <v>873</v>
      </c>
      <c r="I282" s="57"/>
      <c r="J282" s="57"/>
      <c r="L282" s="164">
        <v>3000</v>
      </c>
      <c r="M282" s="57" t="s">
        <v>831</v>
      </c>
    </row>
    <row r="283" spans="2:13" x14ac:dyDescent="0.3">
      <c r="B283" s="57">
        <f t="shared" si="13"/>
        <v>280</v>
      </c>
      <c r="C283" s="143">
        <v>46081</v>
      </c>
      <c r="D283" s="152" t="s">
        <v>435</v>
      </c>
      <c r="E283" s="57" t="s">
        <v>146</v>
      </c>
      <c r="F283" s="57" t="s">
        <v>300</v>
      </c>
      <c r="G283" s="57" t="s">
        <v>526</v>
      </c>
      <c r="H283" s="140" t="s">
        <v>441</v>
      </c>
      <c r="I283" s="57"/>
      <c r="J283" s="165">
        <f t="shared" ref="J283:J284" si="16">L283/K283</f>
        <v>10.416666666666666</v>
      </c>
      <c r="K283" s="57">
        <v>96</v>
      </c>
      <c r="L283" s="164">
        <v>1000</v>
      </c>
      <c r="M283" s="57" t="s">
        <v>831</v>
      </c>
    </row>
    <row r="284" spans="2:13" x14ac:dyDescent="0.3">
      <c r="B284" s="57">
        <f t="shared" si="13"/>
        <v>281</v>
      </c>
      <c r="C284" s="143">
        <v>46081</v>
      </c>
      <c r="D284" s="152" t="s">
        <v>435</v>
      </c>
      <c r="E284" s="57" t="s">
        <v>146</v>
      </c>
      <c r="F284" s="57" t="s">
        <v>436</v>
      </c>
      <c r="G284" s="57" t="s">
        <v>480</v>
      </c>
      <c r="H284" s="140" t="s">
        <v>441</v>
      </c>
      <c r="I284" s="57"/>
      <c r="J284" s="165">
        <f t="shared" si="16"/>
        <v>20.833333333333332</v>
      </c>
      <c r="K284" s="57">
        <v>96</v>
      </c>
      <c r="L284" s="164">
        <v>2000</v>
      </c>
      <c r="M284" s="57" t="s">
        <v>831</v>
      </c>
    </row>
    <row r="285" spans="2:13" x14ac:dyDescent="0.3">
      <c r="B285" s="57">
        <f t="shared" si="13"/>
        <v>282</v>
      </c>
      <c r="C285" s="143">
        <v>46081</v>
      </c>
      <c r="D285" s="152" t="s">
        <v>435</v>
      </c>
      <c r="E285" s="57" t="s">
        <v>434</v>
      </c>
      <c r="F285" s="57" t="s">
        <v>350</v>
      </c>
      <c r="G285" s="57" t="s">
        <v>663</v>
      </c>
      <c r="H285" s="140" t="s">
        <v>872</v>
      </c>
      <c r="I285" s="57"/>
      <c r="J285" s="57"/>
      <c r="L285" s="164">
        <v>225</v>
      </c>
      <c r="M285" s="57" t="s">
        <v>831</v>
      </c>
    </row>
    <row r="286" spans="2:13" x14ac:dyDescent="0.3">
      <c r="B286" s="57">
        <f t="shared" si="13"/>
        <v>283</v>
      </c>
      <c r="C286" s="143">
        <v>46081</v>
      </c>
      <c r="D286" s="152" t="s">
        <v>435</v>
      </c>
      <c r="E286" s="57" t="s">
        <v>434</v>
      </c>
      <c r="F286" s="57" t="s">
        <v>300</v>
      </c>
      <c r="G286" s="57" t="s">
        <v>828</v>
      </c>
      <c r="H286" s="140" t="s">
        <v>871</v>
      </c>
      <c r="I286" s="57"/>
      <c r="J286" s="57"/>
      <c r="L286" s="164">
        <v>2240</v>
      </c>
      <c r="M286" s="57" t="s">
        <v>831</v>
      </c>
    </row>
    <row r="287" spans="2:13" x14ac:dyDescent="0.3">
      <c r="B287" s="57">
        <f t="shared" si="13"/>
        <v>284</v>
      </c>
      <c r="C287" s="143">
        <v>46081</v>
      </c>
      <c r="D287" s="152" t="s">
        <v>435</v>
      </c>
      <c r="E287" s="57" t="s">
        <v>767</v>
      </c>
      <c r="F287" s="57" t="s">
        <v>502</v>
      </c>
      <c r="G287" s="57" t="s">
        <v>2344</v>
      </c>
      <c r="H287" s="140" t="s">
        <v>859</v>
      </c>
      <c r="I287" s="57"/>
      <c r="J287" s="57"/>
      <c r="L287" s="164">
        <v>300</v>
      </c>
      <c r="M287" s="57" t="s">
        <v>831</v>
      </c>
    </row>
    <row r="288" spans="2:13" x14ac:dyDescent="0.3">
      <c r="B288" s="57">
        <f t="shared" si="13"/>
        <v>285</v>
      </c>
      <c r="C288" s="143">
        <v>46081</v>
      </c>
      <c r="D288" s="152" t="s">
        <v>435</v>
      </c>
      <c r="E288" s="57" t="s">
        <v>434</v>
      </c>
      <c r="F288" s="57" t="s">
        <v>300</v>
      </c>
      <c r="G288" s="57" t="s">
        <v>438</v>
      </c>
      <c r="H288" s="140" t="s">
        <v>870</v>
      </c>
      <c r="I288" s="57"/>
      <c r="J288" s="57"/>
      <c r="L288" s="164">
        <v>5000</v>
      </c>
      <c r="M288" s="57" t="s">
        <v>831</v>
      </c>
    </row>
    <row r="289" spans="2:13" x14ac:dyDescent="0.3">
      <c r="B289" s="57">
        <f t="shared" si="13"/>
        <v>286</v>
      </c>
      <c r="C289" s="143">
        <v>46081</v>
      </c>
      <c r="D289" s="152" t="s">
        <v>435</v>
      </c>
      <c r="E289" s="57" t="s">
        <v>146</v>
      </c>
      <c r="F289" s="57" t="s">
        <v>350</v>
      </c>
      <c r="G289" s="57" t="s">
        <v>663</v>
      </c>
      <c r="H289" s="140" t="s">
        <v>869</v>
      </c>
      <c r="I289" s="57"/>
      <c r="J289" s="165">
        <f t="shared" ref="J289:J290" si="17">L289/K289</f>
        <v>20.833333333333332</v>
      </c>
      <c r="K289" s="57">
        <v>96</v>
      </c>
      <c r="L289" s="164">
        <v>2000</v>
      </c>
      <c r="M289" s="57" t="s">
        <v>831</v>
      </c>
    </row>
    <row r="290" spans="2:13" x14ac:dyDescent="0.3">
      <c r="B290" s="57">
        <f t="shared" si="13"/>
        <v>287</v>
      </c>
      <c r="C290" s="143">
        <v>46081</v>
      </c>
      <c r="D290" s="152" t="s">
        <v>435</v>
      </c>
      <c r="E290" s="57" t="s">
        <v>450</v>
      </c>
      <c r="F290" s="57" t="s">
        <v>300</v>
      </c>
      <c r="G290" s="57" t="s">
        <v>530</v>
      </c>
      <c r="H290" s="140" t="s">
        <v>868</v>
      </c>
      <c r="I290" s="57"/>
      <c r="J290" s="165">
        <f t="shared" si="17"/>
        <v>31.25</v>
      </c>
      <c r="K290" s="57">
        <v>96</v>
      </c>
      <c r="L290" s="164">
        <v>3000</v>
      </c>
      <c r="M290" s="57" t="s">
        <v>831</v>
      </c>
    </row>
    <row r="291" spans="2:13" x14ac:dyDescent="0.3">
      <c r="B291" s="57">
        <f t="shared" si="13"/>
        <v>288</v>
      </c>
      <c r="C291" s="143">
        <v>46081</v>
      </c>
      <c r="D291" s="152" t="s">
        <v>435</v>
      </c>
      <c r="E291" s="57" t="s">
        <v>4128</v>
      </c>
      <c r="F291" s="57" t="s">
        <v>300</v>
      </c>
      <c r="G291" s="57" t="s">
        <v>438</v>
      </c>
      <c r="H291" s="140" t="s">
        <v>867</v>
      </c>
      <c r="I291" s="57"/>
      <c r="J291" s="57"/>
      <c r="L291" s="164">
        <v>1200</v>
      </c>
      <c r="M291" s="57" t="s">
        <v>831</v>
      </c>
    </row>
    <row r="292" spans="2:13" x14ac:dyDescent="0.3">
      <c r="B292" s="57">
        <f t="shared" si="13"/>
        <v>289</v>
      </c>
      <c r="C292" s="143">
        <v>46082</v>
      </c>
      <c r="D292" s="152" t="s">
        <v>435</v>
      </c>
      <c r="E292" s="57" t="s">
        <v>450</v>
      </c>
      <c r="F292" s="57" t="s">
        <v>300</v>
      </c>
      <c r="G292" s="57" t="s">
        <v>438</v>
      </c>
      <c r="H292" s="140" t="s">
        <v>4093</v>
      </c>
      <c r="I292" s="57"/>
      <c r="J292" s="165">
        <f t="shared" ref="J292:J296" si="18">L292/K292</f>
        <v>31.25</v>
      </c>
      <c r="K292" s="57">
        <v>96</v>
      </c>
      <c r="L292" s="164">
        <v>3000</v>
      </c>
      <c r="M292" s="57" t="s">
        <v>831</v>
      </c>
    </row>
    <row r="293" spans="2:13" x14ac:dyDescent="0.3">
      <c r="B293" s="57">
        <f t="shared" si="13"/>
        <v>290</v>
      </c>
      <c r="C293" s="143">
        <v>46082</v>
      </c>
      <c r="D293" s="152" t="s">
        <v>435</v>
      </c>
      <c r="E293" s="57" t="s">
        <v>146</v>
      </c>
      <c r="F293" s="57" t="s">
        <v>300</v>
      </c>
      <c r="G293" s="57" t="s">
        <v>438</v>
      </c>
      <c r="H293" s="140" t="s">
        <v>866</v>
      </c>
      <c r="I293" s="57"/>
      <c r="J293" s="165">
        <f t="shared" si="18"/>
        <v>20.833333333333332</v>
      </c>
      <c r="K293" s="57">
        <v>96</v>
      </c>
      <c r="L293" s="164">
        <v>2000</v>
      </c>
      <c r="M293" s="57" t="s">
        <v>831</v>
      </c>
    </row>
    <row r="294" spans="2:13" x14ac:dyDescent="0.3">
      <c r="B294" s="57">
        <f t="shared" si="13"/>
        <v>291</v>
      </c>
      <c r="C294" s="143">
        <v>46082</v>
      </c>
      <c r="D294" s="152" t="s">
        <v>435</v>
      </c>
      <c r="E294" s="57" t="s">
        <v>146</v>
      </c>
      <c r="F294" s="57" t="s">
        <v>300</v>
      </c>
      <c r="G294" s="57" t="s">
        <v>438</v>
      </c>
      <c r="H294" s="140" t="s">
        <v>4088</v>
      </c>
      <c r="I294" s="57"/>
      <c r="J294" s="165">
        <f t="shared" si="18"/>
        <v>20.833333333333332</v>
      </c>
      <c r="K294" s="57">
        <v>96</v>
      </c>
      <c r="L294" s="164">
        <v>2000</v>
      </c>
      <c r="M294" s="57" t="s">
        <v>831</v>
      </c>
    </row>
    <row r="295" spans="2:13" x14ac:dyDescent="0.3">
      <c r="B295" s="57">
        <f t="shared" si="13"/>
        <v>292</v>
      </c>
      <c r="C295" s="143">
        <v>46082</v>
      </c>
      <c r="D295" s="152" t="s">
        <v>435</v>
      </c>
      <c r="E295" s="57" t="s">
        <v>146</v>
      </c>
      <c r="F295" s="57" t="s">
        <v>502</v>
      </c>
      <c r="G295" s="57" t="s">
        <v>257</v>
      </c>
      <c r="H295" s="140" t="s">
        <v>4100</v>
      </c>
      <c r="I295" s="57"/>
      <c r="J295" s="165">
        <f t="shared" si="18"/>
        <v>20.833333333333332</v>
      </c>
      <c r="K295" s="57">
        <v>96</v>
      </c>
      <c r="L295" s="164">
        <v>2000</v>
      </c>
      <c r="M295" s="57" t="s">
        <v>831</v>
      </c>
    </row>
    <row r="296" spans="2:13" x14ac:dyDescent="0.3">
      <c r="B296" s="57">
        <f t="shared" si="13"/>
        <v>293</v>
      </c>
      <c r="C296" s="143">
        <v>46082</v>
      </c>
      <c r="D296" s="152" t="s">
        <v>435</v>
      </c>
      <c r="E296" s="57" t="s">
        <v>146</v>
      </c>
      <c r="F296" s="57" t="s">
        <v>300</v>
      </c>
      <c r="G296" s="57" t="s">
        <v>845</v>
      </c>
      <c r="H296" s="140" t="s">
        <v>879</v>
      </c>
      <c r="I296" s="57"/>
      <c r="J296" s="165">
        <f t="shared" si="18"/>
        <v>20.833333333333332</v>
      </c>
      <c r="K296" s="57">
        <v>96</v>
      </c>
      <c r="L296" s="164">
        <v>2000</v>
      </c>
      <c r="M296" s="57" t="s">
        <v>831</v>
      </c>
    </row>
    <row r="297" spans="2:13" x14ac:dyDescent="0.3">
      <c r="B297" s="57">
        <f t="shared" si="13"/>
        <v>294</v>
      </c>
      <c r="C297" s="143">
        <v>46082</v>
      </c>
      <c r="D297" s="152" t="s">
        <v>435</v>
      </c>
      <c r="E297" s="57" t="s">
        <v>767</v>
      </c>
      <c r="F297" s="57" t="s">
        <v>300</v>
      </c>
      <c r="G297" s="57" t="s">
        <v>845</v>
      </c>
      <c r="H297" s="140" t="s">
        <v>859</v>
      </c>
      <c r="I297" s="57"/>
      <c r="J297" s="57"/>
      <c r="L297" s="164">
        <v>1000</v>
      </c>
      <c r="M297" s="57" t="s">
        <v>831</v>
      </c>
    </row>
    <row r="298" spans="2:13" x14ac:dyDescent="0.3">
      <c r="B298" s="57">
        <f t="shared" si="13"/>
        <v>295</v>
      </c>
      <c r="C298" s="141">
        <v>46082</v>
      </c>
      <c r="D298" s="57" t="s">
        <v>30</v>
      </c>
      <c r="E298" s="57" t="s">
        <v>2022</v>
      </c>
      <c r="F298" s="57" t="s">
        <v>436</v>
      </c>
      <c r="G298" s="57" t="s">
        <v>987</v>
      </c>
      <c r="H298" s="140" t="s">
        <v>2065</v>
      </c>
      <c r="I298" s="57"/>
      <c r="J298" s="57"/>
      <c r="L298" s="164">
        <v>800</v>
      </c>
    </row>
    <row r="299" spans="2:13" x14ac:dyDescent="0.3">
      <c r="B299" s="57">
        <f t="shared" si="13"/>
        <v>296</v>
      </c>
      <c r="C299" s="141">
        <v>46082</v>
      </c>
      <c r="D299" s="57" t="s">
        <v>30</v>
      </c>
      <c r="E299" s="57" t="s">
        <v>434</v>
      </c>
      <c r="F299" s="57" t="s">
        <v>300</v>
      </c>
      <c r="G299" s="57" t="s">
        <v>530</v>
      </c>
      <c r="H299" s="140" t="s">
        <v>2108</v>
      </c>
      <c r="I299" s="57"/>
      <c r="J299" s="57"/>
      <c r="L299" s="164">
        <v>10860</v>
      </c>
    </row>
    <row r="300" spans="2:13" x14ac:dyDescent="0.3">
      <c r="B300" s="57">
        <f t="shared" si="13"/>
        <v>297</v>
      </c>
      <c r="C300" s="141">
        <v>46082</v>
      </c>
      <c r="D300" s="57" t="s">
        <v>30</v>
      </c>
      <c r="E300" s="57" t="s">
        <v>560</v>
      </c>
      <c r="F300" s="57" t="s">
        <v>436</v>
      </c>
      <c r="G300" s="57" t="s">
        <v>987</v>
      </c>
      <c r="H300" s="140" t="s">
        <v>2106</v>
      </c>
      <c r="I300" s="57"/>
      <c r="J300" s="57"/>
      <c r="L300" s="164">
        <v>650</v>
      </c>
    </row>
    <row r="301" spans="2:13" x14ac:dyDescent="0.3">
      <c r="B301" s="57">
        <f t="shared" si="13"/>
        <v>298</v>
      </c>
      <c r="C301" s="143">
        <v>46083</v>
      </c>
      <c r="D301" s="152" t="s">
        <v>435</v>
      </c>
      <c r="E301" s="57" t="s">
        <v>4128</v>
      </c>
      <c r="F301" s="57" t="s">
        <v>300</v>
      </c>
      <c r="G301" s="57" t="s">
        <v>438</v>
      </c>
      <c r="H301" s="140" t="s">
        <v>2929</v>
      </c>
      <c r="I301" s="57"/>
      <c r="J301" s="57"/>
      <c r="L301" s="164">
        <v>10000</v>
      </c>
      <c r="M301" s="57" t="s">
        <v>831</v>
      </c>
    </row>
    <row r="302" spans="2:13" x14ac:dyDescent="0.3">
      <c r="B302" s="57">
        <f t="shared" si="13"/>
        <v>299</v>
      </c>
      <c r="C302" s="143">
        <v>46083</v>
      </c>
      <c r="D302" s="152" t="s">
        <v>435</v>
      </c>
      <c r="E302" s="57" t="s">
        <v>146</v>
      </c>
      <c r="F302" s="57" t="s">
        <v>300</v>
      </c>
      <c r="G302" s="57" t="s">
        <v>526</v>
      </c>
      <c r="H302" s="140" t="s">
        <v>441</v>
      </c>
      <c r="I302" s="57"/>
      <c r="J302" s="165">
        <f>L302/K302</f>
        <v>10.416666666666666</v>
      </c>
      <c r="K302" s="57">
        <v>96</v>
      </c>
      <c r="L302" s="164">
        <v>1000</v>
      </c>
      <c r="M302" s="57" t="s">
        <v>831</v>
      </c>
    </row>
    <row r="303" spans="2:13" x14ac:dyDescent="0.3">
      <c r="B303" s="57">
        <f t="shared" si="13"/>
        <v>300</v>
      </c>
      <c r="C303" s="141">
        <v>46083</v>
      </c>
      <c r="D303" s="57" t="s">
        <v>2021</v>
      </c>
      <c r="E303" s="57" t="s">
        <v>532</v>
      </c>
      <c r="F303" s="57" t="s">
        <v>300</v>
      </c>
      <c r="G303" s="57" t="s">
        <v>2327</v>
      </c>
      <c r="H303" s="140" t="s">
        <v>2231</v>
      </c>
      <c r="I303" s="57"/>
      <c r="J303" s="57">
        <v>2</v>
      </c>
      <c r="K303" s="57">
        <v>290</v>
      </c>
      <c r="L303" s="164">
        <v>580</v>
      </c>
    </row>
    <row r="304" spans="2:13" x14ac:dyDescent="0.3">
      <c r="B304" s="57">
        <f t="shared" si="13"/>
        <v>301</v>
      </c>
      <c r="C304" s="141">
        <v>46083</v>
      </c>
      <c r="D304" s="57" t="s">
        <v>2021</v>
      </c>
      <c r="E304" s="57" t="s">
        <v>2022</v>
      </c>
      <c r="F304" s="57" t="s">
        <v>300</v>
      </c>
      <c r="G304" s="57" t="s">
        <v>2327</v>
      </c>
      <c r="H304" s="140" t="s">
        <v>2232</v>
      </c>
      <c r="I304" s="57"/>
      <c r="J304" s="57"/>
      <c r="L304" s="164">
        <v>400</v>
      </c>
    </row>
    <row r="305" spans="2:13" x14ac:dyDescent="0.3">
      <c r="B305" s="57">
        <f t="shared" si="13"/>
        <v>302</v>
      </c>
      <c r="C305" s="141">
        <v>46083</v>
      </c>
      <c r="D305" s="57" t="s">
        <v>2021</v>
      </c>
      <c r="E305" s="57" t="s">
        <v>2032</v>
      </c>
      <c r="F305" s="57" t="s">
        <v>436</v>
      </c>
      <c r="G305" s="57" t="s">
        <v>987</v>
      </c>
      <c r="H305" s="140" t="s">
        <v>2233</v>
      </c>
      <c r="I305" s="57"/>
      <c r="J305" s="57"/>
      <c r="L305" s="164">
        <v>6940</v>
      </c>
    </row>
    <row r="306" spans="2:13" x14ac:dyDescent="0.3">
      <c r="B306" s="57">
        <f t="shared" si="13"/>
        <v>303</v>
      </c>
      <c r="C306" s="141">
        <v>46083</v>
      </c>
      <c r="D306" s="57" t="s">
        <v>2021</v>
      </c>
      <c r="E306" s="57" t="s">
        <v>2032</v>
      </c>
      <c r="F306" s="57" t="s">
        <v>300</v>
      </c>
      <c r="G306" s="57" t="s">
        <v>530</v>
      </c>
      <c r="H306" s="140" t="s">
        <v>2234</v>
      </c>
      <c r="I306" s="57"/>
      <c r="J306" s="57"/>
      <c r="L306" s="164">
        <v>1900</v>
      </c>
    </row>
    <row r="307" spans="2:13" x14ac:dyDescent="0.3">
      <c r="B307" s="57">
        <f t="shared" si="13"/>
        <v>304</v>
      </c>
      <c r="C307" s="141">
        <v>46083</v>
      </c>
      <c r="D307" s="57" t="s">
        <v>2021</v>
      </c>
      <c r="E307" s="57" t="s">
        <v>532</v>
      </c>
      <c r="F307" s="57" t="s">
        <v>436</v>
      </c>
      <c r="G307" s="57" t="s">
        <v>987</v>
      </c>
      <c r="H307" s="140" t="s">
        <v>532</v>
      </c>
      <c r="I307" s="57"/>
      <c r="J307" s="57">
        <v>1</v>
      </c>
      <c r="K307" s="57">
        <v>300</v>
      </c>
      <c r="L307" s="164">
        <v>300</v>
      </c>
    </row>
    <row r="308" spans="2:13" x14ac:dyDescent="0.3">
      <c r="B308" s="57">
        <f t="shared" si="13"/>
        <v>305</v>
      </c>
      <c r="C308" s="141">
        <v>46083</v>
      </c>
      <c r="D308" s="57" t="s">
        <v>2021</v>
      </c>
      <c r="E308" s="57" t="s">
        <v>2032</v>
      </c>
      <c r="F308" s="57" t="s">
        <v>300</v>
      </c>
      <c r="G308" s="57" t="s">
        <v>530</v>
      </c>
      <c r="H308" s="140" t="s">
        <v>2427</v>
      </c>
      <c r="I308" s="57"/>
      <c r="J308" s="57"/>
      <c r="L308" s="164">
        <v>7550</v>
      </c>
    </row>
    <row r="309" spans="2:13" x14ac:dyDescent="0.3">
      <c r="B309" s="57">
        <f t="shared" si="13"/>
        <v>306</v>
      </c>
      <c r="C309" s="141">
        <v>46083</v>
      </c>
      <c r="D309" s="57" t="s">
        <v>2021</v>
      </c>
      <c r="E309" s="57" t="s">
        <v>2032</v>
      </c>
      <c r="F309" s="57" t="s">
        <v>300</v>
      </c>
      <c r="G309" s="57" t="s">
        <v>530</v>
      </c>
      <c r="H309" s="140" t="s">
        <v>2235</v>
      </c>
      <c r="I309" s="57"/>
      <c r="J309" s="57"/>
      <c r="L309" s="164">
        <v>350</v>
      </c>
    </row>
    <row r="310" spans="2:13" x14ac:dyDescent="0.3">
      <c r="B310" s="57">
        <f t="shared" si="13"/>
        <v>307</v>
      </c>
      <c r="C310" s="141">
        <v>46083</v>
      </c>
      <c r="D310" s="57" t="s">
        <v>2021</v>
      </c>
      <c r="E310" s="57" t="s">
        <v>434</v>
      </c>
      <c r="F310" s="57" t="s">
        <v>300</v>
      </c>
      <c r="G310" s="57" t="s">
        <v>530</v>
      </c>
      <c r="H310" s="140" t="s">
        <v>2236</v>
      </c>
      <c r="I310" s="57"/>
      <c r="J310" s="57"/>
      <c r="L310" s="164">
        <v>1020</v>
      </c>
    </row>
    <row r="311" spans="2:13" x14ac:dyDescent="0.3">
      <c r="B311" s="57">
        <f t="shared" si="13"/>
        <v>308</v>
      </c>
      <c r="C311" s="141">
        <v>46083</v>
      </c>
      <c r="D311" s="57" t="s">
        <v>2021</v>
      </c>
      <c r="E311" s="57" t="s">
        <v>146</v>
      </c>
      <c r="F311" s="57" t="s">
        <v>300</v>
      </c>
      <c r="G311" s="57" t="s">
        <v>530</v>
      </c>
      <c r="H311" s="140" t="s">
        <v>2237</v>
      </c>
      <c r="I311" s="57"/>
      <c r="J311" s="165">
        <f>L311/K311</f>
        <v>108.21875</v>
      </c>
      <c r="K311" s="57">
        <v>96</v>
      </c>
      <c r="L311" s="164">
        <v>10389</v>
      </c>
      <c r="M311" s="57" t="s">
        <v>2322</v>
      </c>
    </row>
    <row r="312" spans="2:13" x14ac:dyDescent="0.3">
      <c r="B312" s="57">
        <f t="shared" si="13"/>
        <v>309</v>
      </c>
      <c r="C312" s="141">
        <v>46083</v>
      </c>
      <c r="D312" s="57" t="s">
        <v>2021</v>
      </c>
      <c r="E312" s="57" t="s">
        <v>434</v>
      </c>
      <c r="F312" s="57" t="s">
        <v>300</v>
      </c>
      <c r="G312" s="57" t="s">
        <v>530</v>
      </c>
      <c r="H312" s="140" t="s">
        <v>2238</v>
      </c>
      <c r="I312" s="57"/>
      <c r="J312" s="57"/>
      <c r="L312" s="164">
        <v>1840</v>
      </c>
    </row>
    <row r="313" spans="2:13" x14ac:dyDescent="0.3">
      <c r="B313" s="57">
        <f t="shared" si="13"/>
        <v>310</v>
      </c>
      <c r="C313" s="141">
        <v>46083</v>
      </c>
      <c r="D313" s="57" t="s">
        <v>2021</v>
      </c>
      <c r="E313" s="57" t="s">
        <v>2022</v>
      </c>
      <c r="F313" s="57" t="s">
        <v>300</v>
      </c>
      <c r="G313" s="57" t="s">
        <v>530</v>
      </c>
      <c r="H313" s="140" t="s">
        <v>2239</v>
      </c>
      <c r="I313" s="57"/>
      <c r="J313" s="57"/>
      <c r="L313" s="164">
        <v>25205</v>
      </c>
    </row>
    <row r="314" spans="2:13" x14ac:dyDescent="0.3">
      <c r="B314" s="57">
        <f t="shared" si="13"/>
        <v>311</v>
      </c>
      <c r="C314" s="141">
        <v>46083</v>
      </c>
      <c r="D314" s="57" t="s">
        <v>2021</v>
      </c>
      <c r="E314" s="57" t="s">
        <v>4128</v>
      </c>
      <c r="F314" s="57" t="s">
        <v>300</v>
      </c>
      <c r="G314" s="57" t="s">
        <v>530</v>
      </c>
      <c r="H314" s="140" t="s">
        <v>2240</v>
      </c>
      <c r="I314" s="57"/>
      <c r="J314" s="57"/>
      <c r="L314" s="164">
        <v>5300</v>
      </c>
    </row>
    <row r="315" spans="2:13" x14ac:dyDescent="0.3">
      <c r="B315" s="57">
        <f t="shared" si="13"/>
        <v>312</v>
      </c>
      <c r="C315" s="141">
        <v>46083</v>
      </c>
      <c r="D315" s="57" t="s">
        <v>2021</v>
      </c>
      <c r="E315" s="57" t="s">
        <v>2032</v>
      </c>
      <c r="F315" s="57" t="s">
        <v>436</v>
      </c>
      <c r="G315" s="57" t="s">
        <v>987</v>
      </c>
      <c r="H315" s="140" t="s">
        <v>2241</v>
      </c>
      <c r="I315" s="57"/>
      <c r="J315" s="57"/>
      <c r="L315" s="164">
        <v>29520</v>
      </c>
    </row>
    <row r="316" spans="2:13" x14ac:dyDescent="0.3">
      <c r="B316" s="57">
        <f t="shared" si="13"/>
        <v>313</v>
      </c>
      <c r="C316" s="141">
        <v>46083</v>
      </c>
      <c r="D316" s="57" t="s">
        <v>2021</v>
      </c>
      <c r="E316" s="57" t="s">
        <v>434</v>
      </c>
      <c r="F316" s="57" t="s">
        <v>436</v>
      </c>
      <c r="G316" s="57" t="s">
        <v>987</v>
      </c>
      <c r="H316" s="140" t="s">
        <v>2242</v>
      </c>
      <c r="I316" s="57"/>
      <c r="J316" s="57"/>
      <c r="L316" s="164">
        <v>980</v>
      </c>
    </row>
    <row r="317" spans="2:13" x14ac:dyDescent="0.3">
      <c r="B317" s="57">
        <f t="shared" si="13"/>
        <v>314</v>
      </c>
      <c r="C317" s="141">
        <v>46083</v>
      </c>
      <c r="D317" s="57" t="s">
        <v>2021</v>
      </c>
      <c r="E317" s="57" t="s">
        <v>522</v>
      </c>
      <c r="F317" s="57" t="s">
        <v>436</v>
      </c>
      <c r="G317" s="57" t="s">
        <v>987</v>
      </c>
      <c r="H317" s="140" t="s">
        <v>2243</v>
      </c>
      <c r="I317" s="57"/>
      <c r="J317" s="57"/>
      <c r="L317" s="164">
        <v>2000</v>
      </c>
    </row>
    <row r="318" spans="2:13" x14ac:dyDescent="0.3">
      <c r="B318" s="57">
        <f t="shared" si="13"/>
        <v>315</v>
      </c>
      <c r="C318" s="143">
        <v>46084</v>
      </c>
      <c r="D318" s="152" t="s">
        <v>435</v>
      </c>
      <c r="E318" s="57" t="s">
        <v>146</v>
      </c>
      <c r="F318" s="57" t="s">
        <v>350</v>
      </c>
      <c r="G318" s="57" t="s">
        <v>452</v>
      </c>
      <c r="H318" s="140" t="s">
        <v>441</v>
      </c>
      <c r="I318" s="57"/>
      <c r="J318" s="165">
        <f t="shared" ref="J318:J319" si="19">L318/K318</f>
        <v>42.493020833333333</v>
      </c>
      <c r="K318" s="57">
        <v>96</v>
      </c>
      <c r="L318" s="164">
        <v>4079.33</v>
      </c>
      <c r="M318" s="57" t="s">
        <v>831</v>
      </c>
    </row>
    <row r="319" spans="2:13" x14ac:dyDescent="0.3">
      <c r="B319" s="57">
        <f t="shared" si="13"/>
        <v>316</v>
      </c>
      <c r="C319" s="143">
        <v>46084</v>
      </c>
      <c r="D319" s="152" t="s">
        <v>435</v>
      </c>
      <c r="E319" s="57" t="s">
        <v>450</v>
      </c>
      <c r="F319" s="57" t="s">
        <v>300</v>
      </c>
      <c r="G319" s="57" t="s">
        <v>530</v>
      </c>
      <c r="H319" s="140" t="s">
        <v>4093</v>
      </c>
      <c r="I319" s="57"/>
      <c r="J319" s="165">
        <f t="shared" si="19"/>
        <v>31.25</v>
      </c>
      <c r="K319" s="57">
        <v>96</v>
      </c>
      <c r="L319" s="164">
        <v>3000</v>
      </c>
      <c r="M319" s="57" t="s">
        <v>831</v>
      </c>
    </row>
    <row r="320" spans="2:13" x14ac:dyDescent="0.3">
      <c r="B320" s="57">
        <f t="shared" si="13"/>
        <v>317</v>
      </c>
      <c r="C320" s="143">
        <v>46084</v>
      </c>
      <c r="D320" s="152" t="s">
        <v>435</v>
      </c>
      <c r="E320" s="57" t="s">
        <v>434</v>
      </c>
      <c r="F320" s="57" t="s">
        <v>300</v>
      </c>
      <c r="G320" s="57" t="s">
        <v>438</v>
      </c>
      <c r="H320" s="140" t="s">
        <v>865</v>
      </c>
      <c r="I320" s="57"/>
      <c r="J320" s="57"/>
      <c r="L320" s="164">
        <v>40000</v>
      </c>
      <c r="M320" s="57" t="s">
        <v>831</v>
      </c>
    </row>
    <row r="321" spans="2:13" x14ac:dyDescent="0.3">
      <c r="B321" s="57">
        <f t="shared" si="13"/>
        <v>318</v>
      </c>
      <c r="C321" s="143">
        <v>46084</v>
      </c>
      <c r="D321" s="152" t="s">
        <v>435</v>
      </c>
      <c r="E321" s="57" t="s">
        <v>4008</v>
      </c>
      <c r="F321" s="57" t="s">
        <v>502</v>
      </c>
      <c r="G321" s="57" t="s">
        <v>2344</v>
      </c>
      <c r="H321" s="140" t="s">
        <v>864</v>
      </c>
      <c r="I321" s="57"/>
      <c r="J321" s="57"/>
      <c r="L321" s="164">
        <v>10000</v>
      </c>
      <c r="M321" s="57" t="s">
        <v>831</v>
      </c>
    </row>
    <row r="322" spans="2:13" x14ac:dyDescent="0.3">
      <c r="B322" s="57">
        <f t="shared" si="13"/>
        <v>319</v>
      </c>
      <c r="C322" s="143">
        <v>46084</v>
      </c>
      <c r="D322" s="152" t="s">
        <v>435</v>
      </c>
      <c r="E322" s="57" t="s">
        <v>434</v>
      </c>
      <c r="F322" s="57" t="s">
        <v>502</v>
      </c>
      <c r="G322" s="57" t="s">
        <v>2344</v>
      </c>
      <c r="H322" s="140" t="s">
        <v>863</v>
      </c>
      <c r="I322" s="57"/>
      <c r="J322" s="57"/>
      <c r="L322" s="164">
        <v>4000</v>
      </c>
      <c r="M322" s="57" t="s">
        <v>831</v>
      </c>
    </row>
    <row r="323" spans="2:13" x14ac:dyDescent="0.3">
      <c r="B323" s="57">
        <f t="shared" si="13"/>
        <v>320</v>
      </c>
      <c r="C323" s="143">
        <v>46084</v>
      </c>
      <c r="D323" s="152" t="s">
        <v>435</v>
      </c>
      <c r="E323" s="57" t="s">
        <v>522</v>
      </c>
      <c r="F323" s="57" t="s">
        <v>502</v>
      </c>
      <c r="G323" s="57" t="s">
        <v>2344</v>
      </c>
      <c r="H323" s="140" t="s">
        <v>862</v>
      </c>
      <c r="I323" s="57"/>
      <c r="J323" s="57"/>
      <c r="L323" s="164">
        <v>600</v>
      </c>
      <c r="M323" s="57" t="s">
        <v>831</v>
      </c>
    </row>
    <row r="324" spans="2:13" x14ac:dyDescent="0.3">
      <c r="B324" s="57">
        <f t="shared" si="13"/>
        <v>321</v>
      </c>
      <c r="C324" s="143">
        <v>46084</v>
      </c>
      <c r="D324" s="152" t="s">
        <v>435</v>
      </c>
      <c r="E324" s="57" t="s">
        <v>861</v>
      </c>
      <c r="F324" s="57" t="s">
        <v>436</v>
      </c>
      <c r="G324" s="57" t="s">
        <v>480</v>
      </c>
      <c r="H324" s="140" t="s">
        <v>860</v>
      </c>
      <c r="I324" s="57"/>
      <c r="J324" s="57"/>
      <c r="L324" s="164">
        <v>34800</v>
      </c>
      <c r="M324" s="57" t="s">
        <v>831</v>
      </c>
    </row>
    <row r="325" spans="2:13" x14ac:dyDescent="0.3">
      <c r="B325" s="57">
        <f t="shared" si="13"/>
        <v>322</v>
      </c>
      <c r="C325" s="143">
        <v>46084</v>
      </c>
      <c r="D325" s="152" t="s">
        <v>435</v>
      </c>
      <c r="E325" s="57" t="s">
        <v>861</v>
      </c>
      <c r="F325" s="57" t="s">
        <v>300</v>
      </c>
      <c r="G325" s="57" t="s">
        <v>438</v>
      </c>
      <c r="H325" s="140" t="s">
        <v>860</v>
      </c>
      <c r="I325" s="57"/>
      <c r="J325" s="57"/>
      <c r="L325" s="164">
        <v>34800</v>
      </c>
      <c r="M325" s="57" t="s">
        <v>831</v>
      </c>
    </row>
    <row r="326" spans="2:13" x14ac:dyDescent="0.3">
      <c r="B326" s="57">
        <f t="shared" ref="B326:B389" si="20">+B325+1</f>
        <v>323</v>
      </c>
      <c r="C326" s="143">
        <v>46084</v>
      </c>
      <c r="D326" s="152" t="s">
        <v>435</v>
      </c>
      <c r="E326" s="57" t="s">
        <v>767</v>
      </c>
      <c r="F326" s="57" t="s">
        <v>502</v>
      </c>
      <c r="G326" s="57" t="s">
        <v>2344</v>
      </c>
      <c r="H326" s="140" t="s">
        <v>859</v>
      </c>
      <c r="I326" s="57"/>
      <c r="J326" s="57"/>
      <c r="L326" s="164">
        <v>800</v>
      </c>
      <c r="M326" s="57" t="s">
        <v>831</v>
      </c>
    </row>
    <row r="327" spans="2:13" x14ac:dyDescent="0.3">
      <c r="B327" s="57">
        <f t="shared" si="20"/>
        <v>324</v>
      </c>
      <c r="C327" s="143">
        <v>46084</v>
      </c>
      <c r="D327" s="152" t="s">
        <v>435</v>
      </c>
      <c r="E327" s="57" t="s">
        <v>767</v>
      </c>
      <c r="F327" s="57" t="s">
        <v>502</v>
      </c>
      <c r="G327" s="57" t="s">
        <v>2344</v>
      </c>
      <c r="H327" s="140" t="s">
        <v>859</v>
      </c>
      <c r="I327" s="57"/>
      <c r="J327" s="57"/>
      <c r="L327" s="164">
        <v>400</v>
      </c>
      <c r="M327" s="57" t="s">
        <v>831</v>
      </c>
    </row>
    <row r="328" spans="2:13" x14ac:dyDescent="0.3">
      <c r="B328" s="57">
        <f t="shared" si="20"/>
        <v>325</v>
      </c>
      <c r="C328" s="143">
        <v>46084</v>
      </c>
      <c r="D328" s="152" t="s">
        <v>435</v>
      </c>
      <c r="E328" s="57" t="s">
        <v>767</v>
      </c>
      <c r="F328" s="57" t="s">
        <v>350</v>
      </c>
      <c r="G328" s="57" t="s">
        <v>663</v>
      </c>
      <c r="H328" s="140" t="s">
        <v>859</v>
      </c>
      <c r="I328" s="57"/>
      <c r="J328" s="57"/>
      <c r="L328" s="164">
        <v>300</v>
      </c>
      <c r="M328" s="57" t="s">
        <v>831</v>
      </c>
    </row>
    <row r="329" spans="2:13" x14ac:dyDescent="0.3">
      <c r="B329" s="57">
        <f t="shared" si="20"/>
        <v>326</v>
      </c>
      <c r="C329" s="143">
        <v>46084</v>
      </c>
      <c r="D329" s="152" t="s">
        <v>435</v>
      </c>
      <c r="E329" s="57" t="s">
        <v>481</v>
      </c>
      <c r="F329" s="57" t="s">
        <v>350</v>
      </c>
      <c r="G329" s="57" t="s">
        <v>663</v>
      </c>
      <c r="H329" s="140" t="s">
        <v>858</v>
      </c>
      <c r="I329" s="57"/>
      <c r="J329" s="57"/>
      <c r="L329" s="164">
        <v>600</v>
      </c>
      <c r="M329" s="57" t="s">
        <v>831</v>
      </c>
    </row>
    <row r="330" spans="2:13" x14ac:dyDescent="0.3">
      <c r="B330" s="57">
        <f t="shared" si="20"/>
        <v>327</v>
      </c>
      <c r="C330" s="143">
        <v>46084</v>
      </c>
      <c r="D330" s="152" t="s">
        <v>435</v>
      </c>
      <c r="E330" s="57" t="s">
        <v>146</v>
      </c>
      <c r="F330" s="57" t="s">
        <v>350</v>
      </c>
      <c r="G330" s="57" t="s">
        <v>663</v>
      </c>
      <c r="H330" s="140" t="s">
        <v>857</v>
      </c>
      <c r="I330" s="57"/>
      <c r="J330" s="165">
        <f>L330/K330</f>
        <v>4.166666666666667</v>
      </c>
      <c r="K330" s="57">
        <v>96</v>
      </c>
      <c r="L330" s="164">
        <v>400</v>
      </c>
      <c r="M330" s="57" t="s">
        <v>831</v>
      </c>
    </row>
    <row r="331" spans="2:13" x14ac:dyDescent="0.3">
      <c r="B331" s="57">
        <f t="shared" si="20"/>
        <v>328</v>
      </c>
      <c r="C331" s="143">
        <v>46084</v>
      </c>
      <c r="D331" s="152" t="s">
        <v>435</v>
      </c>
      <c r="E331" s="57" t="s">
        <v>434</v>
      </c>
      <c r="F331" s="57" t="s">
        <v>350</v>
      </c>
      <c r="G331" s="57" t="s">
        <v>663</v>
      </c>
      <c r="H331" s="140" t="s">
        <v>856</v>
      </c>
      <c r="I331" s="57"/>
      <c r="J331" s="57"/>
      <c r="L331" s="164">
        <v>80</v>
      </c>
      <c r="M331" s="57" t="s">
        <v>831</v>
      </c>
    </row>
    <row r="332" spans="2:13" x14ac:dyDescent="0.3">
      <c r="B332" s="57">
        <f t="shared" si="20"/>
        <v>329</v>
      </c>
      <c r="C332" s="143">
        <v>46084</v>
      </c>
      <c r="D332" s="152" t="s">
        <v>435</v>
      </c>
      <c r="E332" s="57" t="s">
        <v>434</v>
      </c>
      <c r="F332" s="57" t="s">
        <v>350</v>
      </c>
      <c r="G332" s="57" t="s">
        <v>663</v>
      </c>
      <c r="H332" s="140" t="s">
        <v>855</v>
      </c>
      <c r="I332" s="57"/>
      <c r="J332" s="57"/>
      <c r="L332" s="164">
        <v>40</v>
      </c>
      <c r="M332" s="57" t="s">
        <v>831</v>
      </c>
    </row>
    <row r="333" spans="2:13" x14ac:dyDescent="0.3">
      <c r="B333" s="57">
        <f t="shared" si="20"/>
        <v>330</v>
      </c>
      <c r="C333" s="143">
        <v>46084</v>
      </c>
      <c r="D333" s="152" t="s">
        <v>435</v>
      </c>
      <c r="E333" s="57" t="s">
        <v>434</v>
      </c>
      <c r="F333" s="57" t="s">
        <v>350</v>
      </c>
      <c r="G333" s="57" t="s">
        <v>663</v>
      </c>
      <c r="H333" s="140" t="s">
        <v>854</v>
      </c>
      <c r="I333" s="57"/>
      <c r="J333" s="57"/>
      <c r="L333" s="164">
        <v>180</v>
      </c>
      <c r="M333" s="57" t="s">
        <v>831</v>
      </c>
    </row>
    <row r="334" spans="2:13" x14ac:dyDescent="0.3">
      <c r="B334" s="57">
        <f t="shared" si="20"/>
        <v>331</v>
      </c>
      <c r="C334" s="143">
        <v>46084</v>
      </c>
      <c r="D334" s="152" t="s">
        <v>435</v>
      </c>
      <c r="E334" s="57" t="s">
        <v>434</v>
      </c>
      <c r="F334" s="57" t="s">
        <v>350</v>
      </c>
      <c r="G334" s="57" t="s">
        <v>663</v>
      </c>
      <c r="H334" s="140" t="s">
        <v>853</v>
      </c>
      <c r="I334" s="57"/>
      <c r="J334" s="57"/>
      <c r="L334" s="164">
        <v>180</v>
      </c>
      <c r="M334" s="57" t="s">
        <v>831</v>
      </c>
    </row>
    <row r="335" spans="2:13" x14ac:dyDescent="0.3">
      <c r="B335" s="57">
        <f t="shared" si="20"/>
        <v>332</v>
      </c>
      <c r="C335" s="143">
        <v>46084</v>
      </c>
      <c r="D335" s="152" t="s">
        <v>435</v>
      </c>
      <c r="E335" s="57" t="s">
        <v>434</v>
      </c>
      <c r="F335" s="57" t="s">
        <v>300</v>
      </c>
      <c r="G335" s="57" t="s">
        <v>438</v>
      </c>
      <c r="H335" s="140" t="s">
        <v>852</v>
      </c>
      <c r="I335" s="57"/>
      <c r="J335" s="57"/>
      <c r="L335" s="164">
        <v>84800</v>
      </c>
      <c r="M335" s="57" t="s">
        <v>831</v>
      </c>
    </row>
    <row r="336" spans="2:13" x14ac:dyDescent="0.3">
      <c r="B336" s="57">
        <f t="shared" si="20"/>
        <v>333</v>
      </c>
      <c r="C336" s="143">
        <v>46085</v>
      </c>
      <c r="D336" s="152" t="s">
        <v>435</v>
      </c>
      <c r="E336" s="57" t="s">
        <v>146</v>
      </c>
      <c r="F336" s="57" t="s">
        <v>300</v>
      </c>
      <c r="G336" s="57" t="s">
        <v>526</v>
      </c>
      <c r="H336" s="140" t="s">
        <v>441</v>
      </c>
      <c r="I336" s="57"/>
      <c r="J336" s="165">
        <f t="shared" ref="J336:J337" si="21">L336/K336</f>
        <v>10.416666666666666</v>
      </c>
      <c r="K336" s="57">
        <v>96</v>
      </c>
      <c r="L336" s="164">
        <v>1000</v>
      </c>
      <c r="M336" s="57" t="s">
        <v>831</v>
      </c>
    </row>
    <row r="337" spans="2:13" x14ac:dyDescent="0.3">
      <c r="B337" s="57">
        <f t="shared" si="20"/>
        <v>334</v>
      </c>
      <c r="C337" s="143">
        <v>46085</v>
      </c>
      <c r="D337" s="152" t="s">
        <v>435</v>
      </c>
      <c r="E337" s="57" t="s">
        <v>146</v>
      </c>
      <c r="F337" s="57" t="s">
        <v>350</v>
      </c>
      <c r="G337" s="57" t="s">
        <v>675</v>
      </c>
      <c r="H337" s="140" t="s">
        <v>441</v>
      </c>
      <c r="I337" s="57"/>
      <c r="J337" s="165">
        <f t="shared" si="21"/>
        <v>46.875</v>
      </c>
      <c r="K337" s="57">
        <v>96</v>
      </c>
      <c r="L337" s="164">
        <v>4500</v>
      </c>
      <c r="M337" s="57" t="s">
        <v>831</v>
      </c>
    </row>
    <row r="338" spans="2:13" x14ac:dyDescent="0.3">
      <c r="B338" s="57">
        <f t="shared" si="20"/>
        <v>335</v>
      </c>
      <c r="C338" s="143">
        <v>46085</v>
      </c>
      <c r="D338" s="152" t="s">
        <v>435</v>
      </c>
      <c r="E338" s="57" t="s">
        <v>590</v>
      </c>
      <c r="F338" s="57" t="s">
        <v>433</v>
      </c>
      <c r="G338" s="57" t="s">
        <v>432</v>
      </c>
      <c r="H338" s="140" t="s">
        <v>851</v>
      </c>
      <c r="I338" s="57"/>
      <c r="J338" s="57"/>
      <c r="L338" s="164">
        <v>8800</v>
      </c>
      <c r="M338" s="57" t="s">
        <v>831</v>
      </c>
    </row>
    <row r="339" spans="2:13" x14ac:dyDescent="0.3">
      <c r="B339" s="57">
        <f t="shared" si="20"/>
        <v>336</v>
      </c>
      <c r="C339" s="143">
        <v>46085</v>
      </c>
      <c r="D339" s="152" t="s">
        <v>435</v>
      </c>
      <c r="E339" s="57" t="s">
        <v>843</v>
      </c>
      <c r="F339" s="57" t="s">
        <v>300</v>
      </c>
      <c r="G339" s="57" t="s">
        <v>438</v>
      </c>
      <c r="H339" s="140" t="s">
        <v>850</v>
      </c>
      <c r="I339" s="57"/>
      <c r="J339" s="57"/>
      <c r="L339" s="164">
        <v>672</v>
      </c>
      <c r="M339" s="57" t="s">
        <v>831</v>
      </c>
    </row>
    <row r="340" spans="2:13" x14ac:dyDescent="0.3">
      <c r="B340" s="57">
        <f t="shared" si="20"/>
        <v>337</v>
      </c>
      <c r="C340" s="143">
        <v>46085</v>
      </c>
      <c r="D340" s="152" t="s">
        <v>435</v>
      </c>
      <c r="E340" s="57" t="s">
        <v>849</v>
      </c>
      <c r="F340" s="57" t="s">
        <v>300</v>
      </c>
      <c r="G340" s="57" t="s">
        <v>438</v>
      </c>
      <c r="H340" s="140" t="s">
        <v>848</v>
      </c>
      <c r="I340" s="57"/>
      <c r="J340" s="57"/>
      <c r="L340" s="164">
        <v>49000</v>
      </c>
      <c r="M340" s="57" t="s">
        <v>831</v>
      </c>
    </row>
    <row r="341" spans="2:13" x14ac:dyDescent="0.3">
      <c r="B341" s="57">
        <f t="shared" si="20"/>
        <v>338</v>
      </c>
      <c r="C341" s="143">
        <v>46085</v>
      </c>
      <c r="D341" s="152" t="s">
        <v>435</v>
      </c>
      <c r="E341" s="57" t="s">
        <v>2022</v>
      </c>
      <c r="F341" s="57" t="s">
        <v>300</v>
      </c>
      <c r="G341" s="57" t="s">
        <v>526</v>
      </c>
      <c r="H341" s="140" t="s">
        <v>847</v>
      </c>
      <c r="I341" s="57"/>
      <c r="J341" s="57"/>
      <c r="L341" s="164">
        <v>5590</v>
      </c>
      <c r="M341" s="57" t="s">
        <v>831</v>
      </c>
    </row>
    <row r="342" spans="2:13" x14ac:dyDescent="0.3">
      <c r="B342" s="57">
        <f t="shared" si="20"/>
        <v>339</v>
      </c>
      <c r="C342" s="143">
        <v>46085</v>
      </c>
      <c r="D342" s="152" t="s">
        <v>435</v>
      </c>
      <c r="E342" s="57" t="s">
        <v>560</v>
      </c>
      <c r="F342" s="57" t="s">
        <v>300</v>
      </c>
      <c r="G342" s="57" t="s">
        <v>438</v>
      </c>
      <c r="H342" s="140" t="s">
        <v>846</v>
      </c>
      <c r="I342" s="57"/>
      <c r="J342" s="57"/>
      <c r="L342" s="164">
        <v>10400</v>
      </c>
      <c r="M342" s="57" t="s">
        <v>831</v>
      </c>
    </row>
    <row r="343" spans="2:13" x14ac:dyDescent="0.3">
      <c r="B343" s="57">
        <f t="shared" si="20"/>
        <v>340</v>
      </c>
      <c r="C343" s="143">
        <v>46085</v>
      </c>
      <c r="D343" s="152" t="s">
        <v>435</v>
      </c>
      <c r="E343" s="57" t="s">
        <v>767</v>
      </c>
      <c r="F343" s="57" t="s">
        <v>300</v>
      </c>
      <c r="G343" s="57" t="s">
        <v>526</v>
      </c>
      <c r="H343" s="140" t="s">
        <v>493</v>
      </c>
      <c r="I343" s="57"/>
      <c r="J343" s="57"/>
      <c r="L343" s="164">
        <v>100</v>
      </c>
    </row>
    <row r="344" spans="2:13" x14ac:dyDescent="0.3">
      <c r="B344" s="57">
        <f t="shared" si="20"/>
        <v>341</v>
      </c>
      <c r="C344" s="143">
        <v>46085</v>
      </c>
      <c r="D344" s="152" t="s">
        <v>435</v>
      </c>
      <c r="E344" s="57" t="s">
        <v>146</v>
      </c>
      <c r="F344" s="57" t="s">
        <v>300</v>
      </c>
      <c r="G344" s="57" t="s">
        <v>526</v>
      </c>
      <c r="H344" s="140" t="s">
        <v>441</v>
      </c>
      <c r="I344" s="57"/>
      <c r="J344" s="165">
        <f t="shared" ref="J344:J345" si="22">L344/K344</f>
        <v>10.416666666666666</v>
      </c>
      <c r="K344" s="57">
        <v>96</v>
      </c>
      <c r="L344" s="164">
        <v>1000</v>
      </c>
    </row>
    <row r="345" spans="2:13" x14ac:dyDescent="0.3">
      <c r="B345" s="57">
        <f t="shared" si="20"/>
        <v>342</v>
      </c>
      <c r="C345" s="143">
        <v>46085</v>
      </c>
      <c r="D345" s="152" t="s">
        <v>435</v>
      </c>
      <c r="E345" s="57" t="s">
        <v>146</v>
      </c>
      <c r="F345" s="57" t="s">
        <v>300</v>
      </c>
      <c r="G345" s="57" t="s">
        <v>526</v>
      </c>
      <c r="H345" s="140" t="s">
        <v>441</v>
      </c>
      <c r="I345" s="57"/>
      <c r="J345" s="165">
        <f t="shared" si="22"/>
        <v>10.416666666666666</v>
      </c>
      <c r="K345" s="57">
        <v>96</v>
      </c>
      <c r="L345" s="164">
        <v>1000</v>
      </c>
    </row>
    <row r="346" spans="2:13" x14ac:dyDescent="0.3">
      <c r="B346" s="57">
        <f t="shared" si="20"/>
        <v>343</v>
      </c>
      <c r="C346" s="143">
        <v>46086</v>
      </c>
      <c r="D346" s="152" t="s">
        <v>435</v>
      </c>
      <c r="E346" s="57" t="s">
        <v>815</v>
      </c>
      <c r="F346" s="57" t="s">
        <v>300</v>
      </c>
      <c r="G346" s="57" t="s">
        <v>845</v>
      </c>
      <c r="H346" s="140" t="s">
        <v>844</v>
      </c>
      <c r="I346" s="57"/>
      <c r="J346" s="57"/>
      <c r="L346" s="164">
        <v>2500</v>
      </c>
    </row>
    <row r="347" spans="2:13" x14ac:dyDescent="0.3">
      <c r="B347" s="57">
        <f t="shared" si="20"/>
        <v>344</v>
      </c>
      <c r="C347" s="143">
        <v>46086</v>
      </c>
      <c r="D347" s="152" t="s">
        <v>435</v>
      </c>
      <c r="E347" s="57" t="s">
        <v>146</v>
      </c>
      <c r="F347" s="57" t="s">
        <v>502</v>
      </c>
      <c r="G347" s="57" t="s">
        <v>257</v>
      </c>
      <c r="H347" s="140" t="s">
        <v>441</v>
      </c>
      <c r="I347" s="57"/>
      <c r="J347" s="165">
        <f>L347/K347</f>
        <v>20.833333333333332</v>
      </c>
      <c r="K347" s="57">
        <v>96</v>
      </c>
      <c r="L347" s="164">
        <v>2000</v>
      </c>
    </row>
    <row r="348" spans="2:13" x14ac:dyDescent="0.3">
      <c r="B348" s="57">
        <f t="shared" si="20"/>
        <v>345</v>
      </c>
      <c r="C348" s="143">
        <v>46086</v>
      </c>
      <c r="D348" s="152" t="s">
        <v>435</v>
      </c>
      <c r="E348" s="57" t="s">
        <v>843</v>
      </c>
      <c r="F348" s="57" t="s">
        <v>300</v>
      </c>
      <c r="G348" s="57" t="s">
        <v>526</v>
      </c>
      <c r="H348" s="140" t="s">
        <v>842</v>
      </c>
      <c r="I348" s="57"/>
      <c r="J348" s="57"/>
      <c r="L348" s="164">
        <v>16400</v>
      </c>
    </row>
    <row r="349" spans="2:13" x14ac:dyDescent="0.3">
      <c r="B349" s="57">
        <f t="shared" si="20"/>
        <v>346</v>
      </c>
      <c r="C349" s="143">
        <v>46086</v>
      </c>
      <c r="D349" s="152" t="s">
        <v>435</v>
      </c>
      <c r="E349" s="57" t="s">
        <v>4128</v>
      </c>
      <c r="F349" s="57" t="s">
        <v>300</v>
      </c>
      <c r="G349" s="57" t="s">
        <v>438</v>
      </c>
      <c r="H349" s="140" t="s">
        <v>841</v>
      </c>
      <c r="I349" s="57"/>
      <c r="J349" s="57"/>
      <c r="L349" s="164">
        <v>4500</v>
      </c>
    </row>
    <row r="350" spans="2:13" x14ac:dyDescent="0.3">
      <c r="B350" s="57">
        <f t="shared" si="20"/>
        <v>347</v>
      </c>
      <c r="C350" s="143">
        <v>46086</v>
      </c>
      <c r="D350" s="152" t="s">
        <v>435</v>
      </c>
      <c r="E350" s="57" t="s">
        <v>146</v>
      </c>
      <c r="F350" s="57" t="s">
        <v>300</v>
      </c>
      <c r="G350" s="57" t="s">
        <v>526</v>
      </c>
      <c r="H350" s="140" t="s">
        <v>441</v>
      </c>
      <c r="I350" s="57"/>
      <c r="J350" s="165">
        <f>L350/K350</f>
        <v>10.416666666666666</v>
      </c>
      <c r="K350" s="57">
        <v>96</v>
      </c>
      <c r="L350" s="164">
        <v>1000</v>
      </c>
    </row>
    <row r="351" spans="2:13" x14ac:dyDescent="0.3">
      <c r="B351" s="57">
        <f t="shared" si="20"/>
        <v>348</v>
      </c>
      <c r="C351" s="143">
        <v>46086</v>
      </c>
      <c r="D351" s="152" t="s">
        <v>435</v>
      </c>
      <c r="E351" s="57" t="s">
        <v>560</v>
      </c>
      <c r="F351" s="57" t="s">
        <v>300</v>
      </c>
      <c r="G351" s="57" t="s">
        <v>526</v>
      </c>
      <c r="H351" s="140" t="s">
        <v>739</v>
      </c>
      <c r="I351" s="57"/>
      <c r="J351" s="57"/>
      <c r="L351" s="164">
        <v>600</v>
      </c>
    </row>
    <row r="352" spans="2:13" x14ac:dyDescent="0.3">
      <c r="B352" s="57">
        <f t="shared" si="20"/>
        <v>349</v>
      </c>
      <c r="C352" s="143">
        <v>46086</v>
      </c>
      <c r="D352" s="152" t="s">
        <v>435</v>
      </c>
      <c r="E352" s="57" t="s">
        <v>146</v>
      </c>
      <c r="F352" s="57" t="s">
        <v>300</v>
      </c>
      <c r="G352" s="57" t="s">
        <v>526</v>
      </c>
      <c r="H352" s="140" t="s">
        <v>441</v>
      </c>
      <c r="I352" s="57"/>
      <c r="J352" s="165">
        <f>L352/K352</f>
        <v>10.416666666666666</v>
      </c>
      <c r="K352" s="57">
        <v>96</v>
      </c>
      <c r="L352" s="164">
        <v>1000</v>
      </c>
    </row>
    <row r="353" spans="2:13" x14ac:dyDescent="0.3">
      <c r="B353" s="57">
        <f t="shared" si="20"/>
        <v>350</v>
      </c>
      <c r="C353" s="143">
        <v>46086</v>
      </c>
      <c r="D353" s="152" t="s">
        <v>435</v>
      </c>
      <c r="E353" s="57" t="s">
        <v>560</v>
      </c>
      <c r="F353" s="57" t="s">
        <v>300</v>
      </c>
      <c r="G353" s="57" t="s">
        <v>526</v>
      </c>
      <c r="H353" s="140" t="s">
        <v>739</v>
      </c>
      <c r="I353" s="57"/>
      <c r="J353" s="57"/>
      <c r="L353" s="164">
        <v>600</v>
      </c>
    </row>
    <row r="354" spans="2:13" x14ac:dyDescent="0.3">
      <c r="B354" s="57">
        <f t="shared" si="20"/>
        <v>351</v>
      </c>
      <c r="C354" s="143">
        <v>46086</v>
      </c>
      <c r="D354" s="152" t="s">
        <v>435</v>
      </c>
      <c r="E354" s="57" t="s">
        <v>459</v>
      </c>
      <c r="F354" s="57" t="s">
        <v>300</v>
      </c>
      <c r="G354" s="57" t="s">
        <v>526</v>
      </c>
      <c r="H354" s="140" t="s">
        <v>460</v>
      </c>
      <c r="I354" s="57" t="s">
        <v>4084</v>
      </c>
      <c r="J354" s="57">
        <v>20</v>
      </c>
      <c r="K354" s="168">
        <f>L354/J354</f>
        <v>73.5</v>
      </c>
      <c r="L354" s="164">
        <v>1470</v>
      </c>
    </row>
    <row r="355" spans="2:13" x14ac:dyDescent="0.3">
      <c r="B355" s="57">
        <f t="shared" si="20"/>
        <v>352</v>
      </c>
      <c r="C355" s="143">
        <v>46086</v>
      </c>
      <c r="D355" s="152" t="s">
        <v>435</v>
      </c>
      <c r="E355" s="57" t="s">
        <v>986</v>
      </c>
      <c r="F355" s="57" t="s">
        <v>300</v>
      </c>
      <c r="G355" s="57" t="s">
        <v>526</v>
      </c>
      <c r="H355" s="140" t="s">
        <v>738</v>
      </c>
      <c r="I355" s="57" t="s">
        <v>986</v>
      </c>
      <c r="J355" s="57">
        <v>11</v>
      </c>
      <c r="K355" s="57">
        <v>100</v>
      </c>
      <c r="L355" s="164">
        <v>1100</v>
      </c>
    </row>
    <row r="356" spans="2:13" x14ac:dyDescent="0.3">
      <c r="B356" s="57">
        <f t="shared" si="20"/>
        <v>353</v>
      </c>
      <c r="C356" s="143">
        <v>46086</v>
      </c>
      <c r="D356" s="152" t="s">
        <v>435</v>
      </c>
      <c r="E356" s="57" t="s">
        <v>481</v>
      </c>
      <c r="F356" s="57" t="s">
        <v>300</v>
      </c>
      <c r="G356" s="57" t="s">
        <v>526</v>
      </c>
      <c r="H356" s="140" t="s">
        <v>737</v>
      </c>
      <c r="I356" s="57"/>
      <c r="J356" s="57"/>
      <c r="L356" s="164">
        <v>200</v>
      </c>
    </row>
    <row r="357" spans="2:13" x14ac:dyDescent="0.3">
      <c r="B357" s="57">
        <f t="shared" si="20"/>
        <v>354</v>
      </c>
      <c r="C357" s="143">
        <v>46086</v>
      </c>
      <c r="D357" s="152" t="s">
        <v>435</v>
      </c>
      <c r="E357" s="57" t="s">
        <v>532</v>
      </c>
      <c r="F357" s="57" t="s">
        <v>300</v>
      </c>
      <c r="G357" s="57" t="s">
        <v>526</v>
      </c>
      <c r="H357" s="140" t="s">
        <v>736</v>
      </c>
      <c r="I357" s="57" t="s">
        <v>532</v>
      </c>
      <c r="J357" s="57">
        <v>2</v>
      </c>
      <c r="K357" s="57">
        <v>300</v>
      </c>
      <c r="L357" s="164">
        <v>600</v>
      </c>
    </row>
    <row r="358" spans="2:13" x14ac:dyDescent="0.3">
      <c r="B358" s="57">
        <f t="shared" si="20"/>
        <v>355</v>
      </c>
      <c r="C358" s="143">
        <v>46087</v>
      </c>
      <c r="D358" s="152" t="s">
        <v>435</v>
      </c>
      <c r="E358" s="57" t="s">
        <v>146</v>
      </c>
      <c r="F358" s="57" t="s">
        <v>300</v>
      </c>
      <c r="G358" s="57" t="s">
        <v>530</v>
      </c>
      <c r="H358" s="140" t="s">
        <v>879</v>
      </c>
      <c r="I358" s="57"/>
      <c r="J358" s="165">
        <f>L358/K358</f>
        <v>20.833333333333332</v>
      </c>
      <c r="K358" s="57">
        <v>96</v>
      </c>
      <c r="L358" s="164">
        <v>2000</v>
      </c>
      <c r="M358" s="57" t="s">
        <v>831</v>
      </c>
    </row>
    <row r="359" spans="2:13" x14ac:dyDescent="0.3">
      <c r="B359" s="57">
        <f t="shared" si="20"/>
        <v>356</v>
      </c>
      <c r="C359" s="143">
        <v>46087</v>
      </c>
      <c r="D359" s="152" t="s">
        <v>435</v>
      </c>
      <c r="E359" s="57" t="s">
        <v>4008</v>
      </c>
      <c r="F359" s="57" t="s">
        <v>300</v>
      </c>
      <c r="G359" s="57" t="s">
        <v>438</v>
      </c>
      <c r="H359" s="140" t="s">
        <v>840</v>
      </c>
      <c r="I359" s="57"/>
      <c r="J359" s="57"/>
      <c r="L359" s="164">
        <v>5000</v>
      </c>
      <c r="M359" s="57" t="s">
        <v>831</v>
      </c>
    </row>
    <row r="360" spans="2:13" x14ac:dyDescent="0.3">
      <c r="B360" s="57">
        <f t="shared" si="20"/>
        <v>357</v>
      </c>
      <c r="C360" s="143">
        <v>46087</v>
      </c>
      <c r="D360" s="152" t="s">
        <v>435</v>
      </c>
      <c r="E360" s="57" t="s">
        <v>839</v>
      </c>
      <c r="F360" s="57" t="s">
        <v>300</v>
      </c>
      <c r="G360" s="57" t="s">
        <v>811</v>
      </c>
      <c r="H360" s="140" t="s">
        <v>838</v>
      </c>
      <c r="I360" s="57"/>
      <c r="J360" s="57"/>
      <c r="L360" s="164">
        <v>70000</v>
      </c>
      <c r="M360" s="57" t="s">
        <v>831</v>
      </c>
    </row>
    <row r="361" spans="2:13" x14ac:dyDescent="0.3">
      <c r="B361" s="57">
        <f t="shared" si="20"/>
        <v>358</v>
      </c>
      <c r="C361" s="143">
        <v>46087</v>
      </c>
      <c r="D361" s="152" t="s">
        <v>435</v>
      </c>
      <c r="E361" s="57" t="s">
        <v>434</v>
      </c>
      <c r="F361" s="57" t="s">
        <v>300</v>
      </c>
      <c r="G361" s="57" t="s">
        <v>654</v>
      </c>
      <c r="H361" s="140" t="s">
        <v>837</v>
      </c>
      <c r="I361" s="57"/>
      <c r="J361" s="57"/>
      <c r="L361" s="164">
        <v>1665</v>
      </c>
      <c r="M361" s="57" t="s">
        <v>831</v>
      </c>
    </row>
    <row r="362" spans="2:13" x14ac:dyDescent="0.3">
      <c r="B362" s="57">
        <f t="shared" si="20"/>
        <v>359</v>
      </c>
      <c r="C362" s="143">
        <v>46087</v>
      </c>
      <c r="D362" s="152" t="s">
        <v>435</v>
      </c>
      <c r="E362" s="57" t="s">
        <v>522</v>
      </c>
      <c r="F362" s="57" t="s">
        <v>300</v>
      </c>
      <c r="G362" s="57" t="s">
        <v>530</v>
      </c>
      <c r="H362" s="140" t="s">
        <v>836</v>
      </c>
      <c r="I362" s="57"/>
      <c r="J362" s="57"/>
      <c r="L362" s="164">
        <v>1500</v>
      </c>
      <c r="M362" s="57" t="s">
        <v>831</v>
      </c>
    </row>
    <row r="363" spans="2:13" x14ac:dyDescent="0.3">
      <c r="B363" s="57">
        <f t="shared" si="20"/>
        <v>360</v>
      </c>
      <c r="C363" s="143">
        <v>46087</v>
      </c>
      <c r="D363" s="152" t="s">
        <v>435</v>
      </c>
      <c r="E363" s="57" t="s">
        <v>4128</v>
      </c>
      <c r="F363" s="57" t="s">
        <v>300</v>
      </c>
      <c r="G363" s="57" t="s">
        <v>438</v>
      </c>
      <c r="H363" s="140" t="s">
        <v>834</v>
      </c>
      <c r="I363" s="57"/>
      <c r="J363" s="57"/>
      <c r="L363" s="164">
        <v>3000</v>
      </c>
      <c r="M363" s="57" t="s">
        <v>831</v>
      </c>
    </row>
    <row r="364" spans="2:13" x14ac:dyDescent="0.3">
      <c r="B364" s="57">
        <f t="shared" si="20"/>
        <v>361</v>
      </c>
      <c r="C364" s="143">
        <v>46087</v>
      </c>
      <c r="D364" s="152" t="s">
        <v>435</v>
      </c>
      <c r="E364" s="57" t="s">
        <v>450</v>
      </c>
      <c r="F364" s="57" t="s">
        <v>300</v>
      </c>
      <c r="G364" s="57" t="s">
        <v>530</v>
      </c>
      <c r="H364" s="140" t="s">
        <v>801</v>
      </c>
      <c r="I364" s="57"/>
      <c r="J364" s="165">
        <f t="shared" ref="J364:J365" si="23">L364/K364</f>
        <v>20.833333333333332</v>
      </c>
      <c r="K364" s="57">
        <v>96</v>
      </c>
      <c r="L364" s="164">
        <v>2000</v>
      </c>
      <c r="M364" s="57" t="s">
        <v>831</v>
      </c>
    </row>
    <row r="365" spans="2:13" x14ac:dyDescent="0.3">
      <c r="B365" s="57">
        <f t="shared" si="20"/>
        <v>362</v>
      </c>
      <c r="C365" s="143">
        <v>46087</v>
      </c>
      <c r="D365" s="152" t="s">
        <v>435</v>
      </c>
      <c r="E365" s="57" t="s">
        <v>146</v>
      </c>
      <c r="F365" s="57" t="s">
        <v>436</v>
      </c>
      <c r="G365" s="57" t="s">
        <v>480</v>
      </c>
      <c r="H365" s="140" t="s">
        <v>441</v>
      </c>
      <c r="I365" s="57"/>
      <c r="J365" s="165">
        <f t="shared" si="23"/>
        <v>31.25</v>
      </c>
      <c r="K365" s="57">
        <v>96</v>
      </c>
      <c r="L365" s="164">
        <v>3000</v>
      </c>
    </row>
    <row r="366" spans="2:13" x14ac:dyDescent="0.3">
      <c r="B366" s="57">
        <f t="shared" si="20"/>
        <v>363</v>
      </c>
      <c r="C366" s="143">
        <v>46087</v>
      </c>
      <c r="D366" s="152" t="s">
        <v>435</v>
      </c>
      <c r="E366" s="57" t="s">
        <v>522</v>
      </c>
      <c r="F366" s="57" t="s">
        <v>436</v>
      </c>
      <c r="G366" s="57" t="s">
        <v>480</v>
      </c>
      <c r="H366" s="140" t="s">
        <v>735</v>
      </c>
      <c r="I366" s="57"/>
      <c r="J366" s="57"/>
      <c r="L366" s="164">
        <v>2000</v>
      </c>
    </row>
    <row r="367" spans="2:13" x14ac:dyDescent="0.3">
      <c r="B367" s="57">
        <f t="shared" si="20"/>
        <v>364</v>
      </c>
      <c r="C367" s="143">
        <v>46087</v>
      </c>
      <c r="D367" s="152" t="s">
        <v>435</v>
      </c>
      <c r="E367" s="57" t="s">
        <v>782</v>
      </c>
      <c r="F367" s="57" t="s">
        <v>436</v>
      </c>
      <c r="G367" s="57" t="s">
        <v>480</v>
      </c>
      <c r="H367" s="140" t="s">
        <v>734</v>
      </c>
      <c r="I367" s="57"/>
      <c r="J367" s="57"/>
      <c r="L367" s="164">
        <v>10000</v>
      </c>
    </row>
    <row r="368" spans="2:13" x14ac:dyDescent="0.3">
      <c r="B368" s="57">
        <f t="shared" si="20"/>
        <v>365</v>
      </c>
      <c r="C368" s="143">
        <v>46087</v>
      </c>
      <c r="D368" s="152" t="s">
        <v>435</v>
      </c>
      <c r="E368" s="57" t="s">
        <v>560</v>
      </c>
      <c r="F368" s="57" t="s">
        <v>436</v>
      </c>
      <c r="G368" s="57" t="s">
        <v>480</v>
      </c>
      <c r="H368" s="140" t="s">
        <v>733</v>
      </c>
      <c r="I368" s="57"/>
      <c r="J368" s="57"/>
      <c r="L368" s="164">
        <v>2000</v>
      </c>
    </row>
    <row r="369" spans="2:13" x14ac:dyDescent="0.3">
      <c r="B369" s="57">
        <f t="shared" si="20"/>
        <v>366</v>
      </c>
      <c r="C369" s="143">
        <v>46088</v>
      </c>
      <c r="D369" s="152" t="s">
        <v>435</v>
      </c>
      <c r="E369" s="57" t="s">
        <v>459</v>
      </c>
      <c r="F369" s="57" t="s">
        <v>300</v>
      </c>
      <c r="G369" s="57" t="s">
        <v>530</v>
      </c>
      <c r="H369" s="140" t="s">
        <v>833</v>
      </c>
      <c r="I369" s="57"/>
      <c r="J369" s="57"/>
      <c r="L369" s="164">
        <v>2770</v>
      </c>
      <c r="M369" s="57" t="s">
        <v>831</v>
      </c>
    </row>
    <row r="370" spans="2:13" x14ac:dyDescent="0.3">
      <c r="B370" s="57">
        <f t="shared" si="20"/>
        <v>367</v>
      </c>
      <c r="C370" s="143">
        <v>46088</v>
      </c>
      <c r="D370" s="152" t="s">
        <v>435</v>
      </c>
      <c r="E370" s="57" t="s">
        <v>146</v>
      </c>
      <c r="F370" s="57" t="s">
        <v>300</v>
      </c>
      <c r="G370" s="57" t="s">
        <v>530</v>
      </c>
      <c r="H370" s="140" t="s">
        <v>4088</v>
      </c>
      <c r="I370" s="57"/>
      <c r="J370" s="165">
        <f>L370/K370</f>
        <v>20.833333333333332</v>
      </c>
      <c r="K370" s="57">
        <v>96</v>
      </c>
      <c r="L370" s="164">
        <v>2000</v>
      </c>
      <c r="M370" s="57" t="s">
        <v>831</v>
      </c>
    </row>
    <row r="371" spans="2:13" x14ac:dyDescent="0.3">
      <c r="B371" s="57">
        <f t="shared" si="20"/>
        <v>368</v>
      </c>
      <c r="C371" s="143">
        <v>46088</v>
      </c>
      <c r="D371" s="152" t="s">
        <v>435</v>
      </c>
      <c r="E371" s="57" t="s">
        <v>459</v>
      </c>
      <c r="F371" s="57" t="s">
        <v>350</v>
      </c>
      <c r="G371" s="57" t="s">
        <v>452</v>
      </c>
      <c r="H371" s="140" t="s">
        <v>460</v>
      </c>
      <c r="I371" s="57"/>
      <c r="J371" s="57"/>
      <c r="L371" s="164">
        <v>800</v>
      </c>
      <c r="M371" s="57" t="s">
        <v>831</v>
      </c>
    </row>
    <row r="372" spans="2:13" x14ac:dyDescent="0.3">
      <c r="B372" s="57">
        <f t="shared" si="20"/>
        <v>369</v>
      </c>
      <c r="C372" s="143">
        <v>46088</v>
      </c>
      <c r="D372" s="152" t="s">
        <v>435</v>
      </c>
      <c r="E372" s="57" t="s">
        <v>146</v>
      </c>
      <c r="F372" s="57" t="s">
        <v>300</v>
      </c>
      <c r="G372" s="57" t="s">
        <v>530</v>
      </c>
      <c r="H372" s="140" t="s">
        <v>832</v>
      </c>
      <c r="I372" s="57"/>
      <c r="J372" s="165">
        <f>L372/K372</f>
        <v>62.5</v>
      </c>
      <c r="K372" s="57">
        <v>96</v>
      </c>
      <c r="L372" s="164">
        <v>6000</v>
      </c>
      <c r="M372" s="57" t="s">
        <v>831</v>
      </c>
    </row>
    <row r="373" spans="2:13" x14ac:dyDescent="0.3">
      <c r="B373" s="57">
        <f t="shared" si="20"/>
        <v>370</v>
      </c>
      <c r="C373" s="143">
        <v>46088</v>
      </c>
      <c r="D373" s="152" t="s">
        <v>435</v>
      </c>
      <c r="E373" s="57" t="s">
        <v>434</v>
      </c>
      <c r="F373" s="57" t="s">
        <v>300</v>
      </c>
      <c r="G373" s="57" t="s">
        <v>438</v>
      </c>
      <c r="H373" s="140" t="s">
        <v>768</v>
      </c>
      <c r="I373" s="57"/>
      <c r="J373" s="57"/>
      <c r="L373" s="164">
        <v>49560</v>
      </c>
      <c r="M373" s="57" t="s">
        <v>831</v>
      </c>
    </row>
    <row r="374" spans="2:13" x14ac:dyDescent="0.3">
      <c r="B374" s="57">
        <f t="shared" si="20"/>
        <v>371</v>
      </c>
      <c r="C374" s="143">
        <v>46088</v>
      </c>
      <c r="D374" s="152" t="s">
        <v>435</v>
      </c>
      <c r="E374" s="57" t="s">
        <v>434</v>
      </c>
      <c r="F374" s="57" t="s">
        <v>300</v>
      </c>
      <c r="G374" s="57" t="s">
        <v>438</v>
      </c>
      <c r="H374" s="140" t="s">
        <v>768</v>
      </c>
      <c r="I374" s="57"/>
      <c r="J374" s="57"/>
      <c r="L374" s="164">
        <v>4290</v>
      </c>
      <c r="M374" s="57" t="s">
        <v>829</v>
      </c>
    </row>
    <row r="375" spans="2:13" x14ac:dyDescent="0.3">
      <c r="B375" s="57">
        <f t="shared" si="20"/>
        <v>372</v>
      </c>
      <c r="C375" s="143">
        <v>46088</v>
      </c>
      <c r="D375" s="152" t="s">
        <v>435</v>
      </c>
      <c r="E375" s="57" t="s">
        <v>767</v>
      </c>
      <c r="F375" s="57" t="s">
        <v>300</v>
      </c>
      <c r="G375" s="57" t="s">
        <v>828</v>
      </c>
      <c r="H375" s="140" t="s">
        <v>830</v>
      </c>
      <c r="I375" s="57"/>
      <c r="J375" s="57"/>
      <c r="L375" s="164">
        <v>4150</v>
      </c>
      <c r="M375" s="57" t="s">
        <v>829</v>
      </c>
    </row>
    <row r="376" spans="2:13" x14ac:dyDescent="0.3">
      <c r="B376" s="57">
        <f t="shared" si="20"/>
        <v>373</v>
      </c>
      <c r="C376" s="143">
        <v>46088</v>
      </c>
      <c r="D376" s="152" t="s">
        <v>435</v>
      </c>
      <c r="E376" s="57" t="s">
        <v>459</v>
      </c>
      <c r="F376" s="57" t="s">
        <v>300</v>
      </c>
      <c r="G376" s="57" t="s">
        <v>828</v>
      </c>
      <c r="H376" s="140" t="s">
        <v>460</v>
      </c>
      <c r="I376" s="57"/>
      <c r="J376" s="57"/>
      <c r="L376" s="164">
        <v>1430</v>
      </c>
    </row>
    <row r="377" spans="2:13" x14ac:dyDescent="0.3">
      <c r="B377" s="57">
        <f t="shared" si="20"/>
        <v>374</v>
      </c>
      <c r="C377" s="143">
        <v>46088</v>
      </c>
      <c r="D377" s="152" t="s">
        <v>435</v>
      </c>
      <c r="E377" s="57" t="s">
        <v>477</v>
      </c>
      <c r="F377" s="57" t="s">
        <v>300</v>
      </c>
      <c r="G377" s="57" t="s">
        <v>438</v>
      </c>
      <c r="H377" s="140" t="s">
        <v>820</v>
      </c>
      <c r="I377" s="57"/>
      <c r="J377" s="57"/>
      <c r="L377" s="164">
        <v>6900</v>
      </c>
    </row>
    <row r="378" spans="2:13" x14ac:dyDescent="0.3">
      <c r="B378" s="57">
        <f t="shared" si="20"/>
        <v>375</v>
      </c>
      <c r="C378" s="143">
        <v>46088</v>
      </c>
      <c r="D378" s="152" t="s">
        <v>435</v>
      </c>
      <c r="E378" s="57" t="s">
        <v>434</v>
      </c>
      <c r="F378" s="57" t="s">
        <v>436</v>
      </c>
      <c r="G378" s="57" t="s">
        <v>480</v>
      </c>
      <c r="H378" s="140" t="s">
        <v>827</v>
      </c>
      <c r="I378" s="57"/>
      <c r="J378" s="57"/>
      <c r="L378" s="164">
        <v>2800</v>
      </c>
    </row>
    <row r="379" spans="2:13" x14ac:dyDescent="0.3">
      <c r="B379" s="57">
        <f t="shared" si="20"/>
        <v>376</v>
      </c>
      <c r="C379" s="143">
        <v>46088</v>
      </c>
      <c r="D379" s="152" t="s">
        <v>435</v>
      </c>
      <c r="E379" s="57" t="s">
        <v>146</v>
      </c>
      <c r="F379" s="57" t="s">
        <v>300</v>
      </c>
      <c r="G379" s="57" t="s">
        <v>526</v>
      </c>
      <c r="H379" s="140" t="s">
        <v>441</v>
      </c>
      <c r="I379" s="57"/>
      <c r="J379" s="165">
        <f>L379/K379</f>
        <v>10.416666666666666</v>
      </c>
      <c r="K379" s="57">
        <v>96</v>
      </c>
      <c r="L379" s="164">
        <v>1000</v>
      </c>
    </row>
    <row r="380" spans="2:13" x14ac:dyDescent="0.3">
      <c r="B380" s="57">
        <f t="shared" si="20"/>
        <v>377</v>
      </c>
      <c r="C380" s="143">
        <v>46089</v>
      </c>
      <c r="D380" s="152" t="s">
        <v>435</v>
      </c>
      <c r="E380" s="57" t="s">
        <v>826</v>
      </c>
      <c r="F380" s="57" t="s">
        <v>300</v>
      </c>
      <c r="H380" s="140" t="s">
        <v>825</v>
      </c>
      <c r="I380" s="57"/>
      <c r="J380" s="57"/>
      <c r="L380" s="164">
        <v>47500</v>
      </c>
    </row>
    <row r="381" spans="2:13" x14ac:dyDescent="0.3">
      <c r="B381" s="57">
        <f t="shared" si="20"/>
        <v>378</v>
      </c>
      <c r="C381" s="143">
        <v>46089</v>
      </c>
      <c r="D381" s="152" t="s">
        <v>435</v>
      </c>
      <c r="E381" s="57" t="s">
        <v>477</v>
      </c>
      <c r="F381" s="57" t="s">
        <v>300</v>
      </c>
      <c r="G381" s="57" t="s">
        <v>438</v>
      </c>
      <c r="H381" s="140" t="s">
        <v>824</v>
      </c>
      <c r="I381" s="57"/>
      <c r="J381" s="57"/>
      <c r="L381" s="164">
        <v>10000</v>
      </c>
    </row>
    <row r="382" spans="2:13" x14ac:dyDescent="0.3">
      <c r="B382" s="57">
        <f t="shared" si="20"/>
        <v>379</v>
      </c>
      <c r="C382" s="143">
        <v>46089</v>
      </c>
      <c r="D382" s="152" t="s">
        <v>435</v>
      </c>
      <c r="E382" s="57" t="s">
        <v>459</v>
      </c>
      <c r="F382" s="57" t="s">
        <v>300</v>
      </c>
      <c r="G382" s="57" t="s">
        <v>438</v>
      </c>
      <c r="H382" s="140" t="s">
        <v>775</v>
      </c>
      <c r="I382" s="57"/>
      <c r="J382" s="57"/>
      <c r="L382" s="164">
        <v>960</v>
      </c>
    </row>
    <row r="383" spans="2:13" x14ac:dyDescent="0.3">
      <c r="B383" s="57">
        <f t="shared" si="20"/>
        <v>380</v>
      </c>
      <c r="C383" s="143">
        <v>46089</v>
      </c>
      <c r="D383" s="152" t="s">
        <v>435</v>
      </c>
      <c r="E383" s="57" t="s">
        <v>471</v>
      </c>
      <c r="F383" s="57" t="s">
        <v>502</v>
      </c>
      <c r="G383" s="57" t="s">
        <v>257</v>
      </c>
      <c r="H383" s="140" t="s">
        <v>823</v>
      </c>
      <c r="I383" s="57"/>
      <c r="J383" s="57"/>
      <c r="L383" s="164">
        <v>69830</v>
      </c>
    </row>
    <row r="384" spans="2:13" x14ac:dyDescent="0.3">
      <c r="B384" s="57">
        <f t="shared" si="20"/>
        <v>381</v>
      </c>
      <c r="C384" s="143">
        <v>46089</v>
      </c>
      <c r="D384" s="152" t="s">
        <v>435</v>
      </c>
      <c r="E384" s="57" t="s">
        <v>822</v>
      </c>
      <c r="F384" s="57" t="s">
        <v>300</v>
      </c>
      <c r="G384" s="57" t="s">
        <v>438</v>
      </c>
      <c r="H384" s="140" t="s">
        <v>821</v>
      </c>
      <c r="I384" s="57"/>
      <c r="J384" s="57"/>
      <c r="L384" s="164">
        <v>5000</v>
      </c>
    </row>
    <row r="385" spans="2:12" x14ac:dyDescent="0.3">
      <c r="B385" s="57">
        <f t="shared" si="20"/>
        <v>382</v>
      </c>
      <c r="C385" s="143">
        <v>46089</v>
      </c>
      <c r="D385" s="152" t="s">
        <v>435</v>
      </c>
      <c r="E385" s="57" t="s">
        <v>477</v>
      </c>
      <c r="F385" s="57" t="s">
        <v>300</v>
      </c>
      <c r="G385" s="57" t="s">
        <v>438</v>
      </c>
      <c r="H385" s="140" t="s">
        <v>820</v>
      </c>
      <c r="I385" s="57"/>
      <c r="J385" s="57"/>
      <c r="L385" s="164">
        <v>6900</v>
      </c>
    </row>
    <row r="386" spans="2:12" x14ac:dyDescent="0.3">
      <c r="B386" s="57">
        <f t="shared" si="20"/>
        <v>383</v>
      </c>
      <c r="C386" s="143">
        <v>46090</v>
      </c>
      <c r="D386" s="152" t="s">
        <v>435</v>
      </c>
      <c r="E386" s="57" t="s">
        <v>459</v>
      </c>
      <c r="F386" s="57" t="s">
        <v>300</v>
      </c>
      <c r="G386" s="57" t="s">
        <v>438</v>
      </c>
      <c r="H386" s="140" t="s">
        <v>819</v>
      </c>
      <c r="I386" s="57" t="s">
        <v>4084</v>
      </c>
      <c r="J386" s="57"/>
      <c r="K386" s="168"/>
      <c r="L386" s="164">
        <v>2700</v>
      </c>
    </row>
    <row r="387" spans="2:12" x14ac:dyDescent="0.3">
      <c r="B387" s="57">
        <f t="shared" si="20"/>
        <v>384</v>
      </c>
      <c r="C387" s="143">
        <v>46090</v>
      </c>
      <c r="D387" s="152" t="s">
        <v>435</v>
      </c>
      <c r="E387" s="57" t="s">
        <v>450</v>
      </c>
      <c r="F387" s="57" t="s">
        <v>300</v>
      </c>
      <c r="G387" s="57" t="s">
        <v>438</v>
      </c>
      <c r="H387" s="140" t="s">
        <v>818</v>
      </c>
      <c r="I387" s="57"/>
      <c r="J387" s="165">
        <f>L387/K387</f>
        <v>20.833333333333332</v>
      </c>
      <c r="K387" s="57">
        <v>96</v>
      </c>
      <c r="L387" s="164">
        <v>2000</v>
      </c>
    </row>
    <row r="388" spans="2:12" x14ac:dyDescent="0.3">
      <c r="B388" s="57">
        <f t="shared" si="20"/>
        <v>385</v>
      </c>
      <c r="C388" s="143">
        <v>46090</v>
      </c>
      <c r="D388" s="152" t="s">
        <v>435</v>
      </c>
      <c r="E388" s="57" t="s">
        <v>459</v>
      </c>
      <c r="F388" s="57" t="s">
        <v>350</v>
      </c>
      <c r="G388" s="57" t="s">
        <v>675</v>
      </c>
      <c r="H388" s="140" t="s">
        <v>459</v>
      </c>
      <c r="I388" s="57"/>
      <c r="J388" s="57"/>
      <c r="L388" s="164">
        <v>1540</v>
      </c>
    </row>
    <row r="389" spans="2:12" x14ac:dyDescent="0.3">
      <c r="B389" s="57">
        <f t="shared" si="20"/>
        <v>386</v>
      </c>
      <c r="C389" s="143">
        <v>46090</v>
      </c>
      <c r="D389" s="152" t="s">
        <v>435</v>
      </c>
      <c r="E389" s="57" t="s">
        <v>986</v>
      </c>
      <c r="F389" s="57" t="s">
        <v>350</v>
      </c>
      <c r="G389" s="57" t="s">
        <v>675</v>
      </c>
      <c r="H389" s="140" t="s">
        <v>817</v>
      </c>
      <c r="I389" s="57" t="s">
        <v>986</v>
      </c>
      <c r="J389" s="57">
        <v>30</v>
      </c>
      <c r="K389" s="168">
        <f>L389/J389</f>
        <v>106.66666666666667</v>
      </c>
      <c r="L389" s="164">
        <v>3200</v>
      </c>
    </row>
    <row r="390" spans="2:12" x14ac:dyDescent="0.3">
      <c r="B390" s="57">
        <f t="shared" ref="B390:B453" si="24">+B389+1</f>
        <v>387</v>
      </c>
      <c r="C390" s="143">
        <v>46090</v>
      </c>
      <c r="D390" s="152" t="s">
        <v>435</v>
      </c>
      <c r="E390" s="57" t="s">
        <v>4008</v>
      </c>
      <c r="F390" s="57" t="s">
        <v>300</v>
      </c>
      <c r="G390" s="57" t="s">
        <v>526</v>
      </c>
      <c r="H390" s="140" t="s">
        <v>784</v>
      </c>
      <c r="I390" s="57"/>
      <c r="J390" s="57"/>
      <c r="L390" s="164">
        <v>15000</v>
      </c>
    </row>
    <row r="391" spans="2:12" x14ac:dyDescent="0.3">
      <c r="B391" s="57">
        <f t="shared" si="24"/>
        <v>388</v>
      </c>
      <c r="C391" s="143">
        <v>46090</v>
      </c>
      <c r="D391" s="152" t="s">
        <v>435</v>
      </c>
      <c r="E391" s="57" t="s">
        <v>459</v>
      </c>
      <c r="F391" s="57" t="s">
        <v>300</v>
      </c>
      <c r="G391" s="57" t="s">
        <v>438</v>
      </c>
      <c r="H391" s="140" t="s">
        <v>816</v>
      </c>
      <c r="I391" s="57"/>
      <c r="J391" s="57"/>
      <c r="L391" s="164">
        <v>4480</v>
      </c>
    </row>
    <row r="392" spans="2:12" x14ac:dyDescent="0.3">
      <c r="B392" s="57">
        <f t="shared" si="24"/>
        <v>389</v>
      </c>
      <c r="C392" s="143">
        <v>46090</v>
      </c>
      <c r="D392" s="152" t="s">
        <v>435</v>
      </c>
      <c r="E392" s="57" t="s">
        <v>815</v>
      </c>
      <c r="F392" s="57" t="s">
        <v>350</v>
      </c>
      <c r="G392" s="57" t="s">
        <v>675</v>
      </c>
      <c r="H392" s="140" t="s">
        <v>814</v>
      </c>
      <c r="I392" s="57"/>
      <c r="J392" s="57"/>
      <c r="L392" s="164">
        <v>1550</v>
      </c>
    </row>
    <row r="393" spans="2:12" x14ac:dyDescent="0.3">
      <c r="B393" s="57">
        <f t="shared" si="24"/>
        <v>390</v>
      </c>
      <c r="C393" s="143">
        <v>46090</v>
      </c>
      <c r="D393" s="152" t="s">
        <v>435</v>
      </c>
      <c r="E393" s="57" t="s">
        <v>477</v>
      </c>
      <c r="F393" s="57" t="s">
        <v>300</v>
      </c>
      <c r="G393" s="57" t="s">
        <v>438</v>
      </c>
      <c r="H393" s="140" t="s">
        <v>813</v>
      </c>
      <c r="I393" s="57"/>
      <c r="J393" s="57"/>
      <c r="L393" s="164">
        <v>10950</v>
      </c>
    </row>
    <row r="394" spans="2:12" x14ac:dyDescent="0.3">
      <c r="B394" s="57">
        <f t="shared" si="24"/>
        <v>391</v>
      </c>
      <c r="C394" s="143">
        <v>46090</v>
      </c>
      <c r="D394" s="152" t="s">
        <v>435</v>
      </c>
      <c r="E394" s="57" t="s">
        <v>958</v>
      </c>
      <c r="F394" s="57" t="s">
        <v>446</v>
      </c>
      <c r="G394" s="57" t="s">
        <v>316</v>
      </c>
      <c r="H394" s="140" t="s">
        <v>812</v>
      </c>
      <c r="I394" s="57"/>
      <c r="J394" s="57"/>
      <c r="L394" s="164">
        <v>4000</v>
      </c>
    </row>
    <row r="395" spans="2:12" x14ac:dyDescent="0.3">
      <c r="B395" s="57">
        <f t="shared" si="24"/>
        <v>392</v>
      </c>
      <c r="C395" s="143">
        <v>46090</v>
      </c>
      <c r="D395" s="152" t="s">
        <v>435</v>
      </c>
      <c r="E395" s="57" t="s">
        <v>146</v>
      </c>
      <c r="F395" s="57" t="s">
        <v>300</v>
      </c>
      <c r="G395" s="57" t="s">
        <v>526</v>
      </c>
      <c r="H395" s="140" t="s">
        <v>441</v>
      </c>
      <c r="I395" s="57"/>
      <c r="J395" s="165">
        <f>L395/K395</f>
        <v>10.416666666666666</v>
      </c>
      <c r="K395" s="57">
        <v>96</v>
      </c>
      <c r="L395" s="164">
        <v>1000</v>
      </c>
    </row>
    <row r="396" spans="2:12" x14ac:dyDescent="0.3">
      <c r="B396" s="57">
        <f t="shared" si="24"/>
        <v>393</v>
      </c>
      <c r="C396" s="143">
        <v>46091</v>
      </c>
      <c r="D396" s="152" t="s">
        <v>435</v>
      </c>
      <c r="E396" s="57" t="s">
        <v>958</v>
      </c>
      <c r="F396" s="57" t="s">
        <v>300</v>
      </c>
      <c r="G396" s="57" t="s">
        <v>811</v>
      </c>
      <c r="H396" s="140" t="s">
        <v>810</v>
      </c>
      <c r="I396" s="57"/>
      <c r="J396" s="57"/>
      <c r="L396" s="164">
        <v>18000</v>
      </c>
    </row>
    <row r="397" spans="2:12" x14ac:dyDescent="0.3">
      <c r="B397" s="57">
        <f t="shared" si="24"/>
        <v>394</v>
      </c>
      <c r="C397" s="143">
        <v>46091</v>
      </c>
      <c r="D397" s="152" t="s">
        <v>435</v>
      </c>
      <c r="E397" s="57" t="s">
        <v>146</v>
      </c>
      <c r="F397" s="57" t="s">
        <v>350</v>
      </c>
      <c r="G397" s="57" t="s">
        <v>675</v>
      </c>
      <c r="H397" s="140" t="s">
        <v>4111</v>
      </c>
      <c r="I397" s="57"/>
      <c r="J397" s="165">
        <f>L397/K397</f>
        <v>20.833333333333332</v>
      </c>
      <c r="K397" s="57">
        <v>96</v>
      </c>
      <c r="L397" s="164">
        <v>2000</v>
      </c>
    </row>
    <row r="398" spans="2:12" x14ac:dyDescent="0.3">
      <c r="B398" s="57">
        <f t="shared" si="24"/>
        <v>395</v>
      </c>
      <c r="C398" s="143">
        <v>46091</v>
      </c>
      <c r="D398" s="152" t="s">
        <v>435</v>
      </c>
      <c r="E398" s="57" t="s">
        <v>782</v>
      </c>
      <c r="F398" s="57" t="s">
        <v>300</v>
      </c>
      <c r="G398" s="57" t="s">
        <v>530</v>
      </c>
      <c r="H398" s="140" t="s">
        <v>809</v>
      </c>
      <c r="I398" s="57"/>
      <c r="J398" s="57"/>
      <c r="L398" s="164">
        <v>10000</v>
      </c>
    </row>
    <row r="399" spans="2:12" x14ac:dyDescent="0.3">
      <c r="B399" s="57">
        <f t="shared" si="24"/>
        <v>396</v>
      </c>
      <c r="C399" s="143">
        <v>46091</v>
      </c>
      <c r="D399" s="152" t="s">
        <v>435</v>
      </c>
      <c r="E399" s="57" t="s">
        <v>434</v>
      </c>
      <c r="F399" s="57" t="s">
        <v>300</v>
      </c>
      <c r="G399" s="57" t="s">
        <v>530</v>
      </c>
      <c r="H399" s="140" t="s">
        <v>768</v>
      </c>
      <c r="I399" s="57"/>
      <c r="J399" s="57"/>
      <c r="L399" s="164">
        <v>4700</v>
      </c>
    </row>
    <row r="400" spans="2:12" x14ac:dyDescent="0.3">
      <c r="B400" s="57">
        <f t="shared" si="24"/>
        <v>397</v>
      </c>
      <c r="C400" s="143">
        <v>46091</v>
      </c>
      <c r="D400" s="152" t="s">
        <v>435</v>
      </c>
      <c r="E400" s="57" t="s">
        <v>434</v>
      </c>
      <c r="F400" s="57" t="s">
        <v>300</v>
      </c>
      <c r="G400" s="57" t="s">
        <v>530</v>
      </c>
      <c r="H400" s="140" t="s">
        <v>808</v>
      </c>
      <c r="I400" s="57"/>
      <c r="J400" s="57"/>
      <c r="L400" s="164">
        <v>500</v>
      </c>
    </row>
    <row r="401" spans="2:12" x14ac:dyDescent="0.3">
      <c r="B401" s="57">
        <f t="shared" si="24"/>
        <v>398</v>
      </c>
      <c r="C401" s="143">
        <v>46091</v>
      </c>
      <c r="D401" s="152" t="s">
        <v>435</v>
      </c>
      <c r="E401" s="57" t="s">
        <v>450</v>
      </c>
      <c r="F401" s="57" t="s">
        <v>300</v>
      </c>
      <c r="H401" s="140" t="s">
        <v>778</v>
      </c>
      <c r="I401" s="57"/>
      <c r="J401" s="165">
        <f>L401/K401</f>
        <v>20.833333333333332</v>
      </c>
      <c r="K401" s="57">
        <v>96</v>
      </c>
      <c r="L401" s="164">
        <v>2000</v>
      </c>
    </row>
    <row r="402" spans="2:12" x14ac:dyDescent="0.3">
      <c r="B402" s="57">
        <f t="shared" si="24"/>
        <v>399</v>
      </c>
      <c r="C402" s="143">
        <v>46091</v>
      </c>
      <c r="D402" s="152" t="s">
        <v>435</v>
      </c>
      <c r="E402" s="57" t="s">
        <v>459</v>
      </c>
      <c r="F402" s="57" t="s">
        <v>350</v>
      </c>
      <c r="G402" s="57" t="s">
        <v>452</v>
      </c>
      <c r="H402" s="140" t="s">
        <v>460</v>
      </c>
      <c r="I402" s="57"/>
      <c r="J402" s="57"/>
      <c r="L402" s="164">
        <v>1100</v>
      </c>
    </row>
    <row r="403" spans="2:12" x14ac:dyDescent="0.3">
      <c r="B403" s="57">
        <f t="shared" si="24"/>
        <v>400</v>
      </c>
      <c r="C403" s="143">
        <v>46091</v>
      </c>
      <c r="D403" s="152" t="s">
        <v>435</v>
      </c>
      <c r="E403" s="57" t="s">
        <v>146</v>
      </c>
      <c r="F403" s="57" t="s">
        <v>300</v>
      </c>
      <c r="G403" s="57" t="s">
        <v>530</v>
      </c>
      <c r="H403" s="140" t="s">
        <v>807</v>
      </c>
      <c r="I403" s="57"/>
      <c r="J403" s="165">
        <f t="shared" ref="J403:J408" si="25">L403/K403</f>
        <v>157.94468750000001</v>
      </c>
      <c r="K403" s="57">
        <v>96</v>
      </c>
      <c r="L403" s="164">
        <v>15162.69</v>
      </c>
    </row>
    <row r="404" spans="2:12" x14ac:dyDescent="0.3">
      <c r="B404" s="57">
        <f t="shared" si="24"/>
        <v>401</v>
      </c>
      <c r="C404" s="143">
        <v>46092</v>
      </c>
      <c r="D404" s="152" t="s">
        <v>435</v>
      </c>
      <c r="E404" s="57" t="s">
        <v>450</v>
      </c>
      <c r="F404" s="57" t="s">
        <v>300</v>
      </c>
      <c r="G404" s="57" t="s">
        <v>530</v>
      </c>
      <c r="H404" s="140" t="s">
        <v>801</v>
      </c>
      <c r="I404" s="57"/>
      <c r="J404" s="165">
        <f t="shared" si="25"/>
        <v>41.666666666666664</v>
      </c>
      <c r="K404" s="57">
        <v>96</v>
      </c>
      <c r="L404" s="164">
        <v>4000</v>
      </c>
    </row>
    <row r="405" spans="2:12" x14ac:dyDescent="0.3">
      <c r="B405" s="57">
        <f t="shared" si="24"/>
        <v>402</v>
      </c>
      <c r="C405" s="143">
        <v>46092</v>
      </c>
      <c r="D405" s="152" t="s">
        <v>435</v>
      </c>
      <c r="E405" s="57" t="s">
        <v>146</v>
      </c>
      <c r="F405" s="57" t="s">
        <v>300</v>
      </c>
      <c r="G405" s="57" t="s">
        <v>530</v>
      </c>
      <c r="H405" s="140" t="s">
        <v>806</v>
      </c>
      <c r="I405" s="57"/>
      <c r="J405" s="165">
        <f t="shared" si="25"/>
        <v>20.833333333333332</v>
      </c>
      <c r="K405" s="57">
        <v>96</v>
      </c>
      <c r="L405" s="164">
        <v>2000</v>
      </c>
    </row>
    <row r="406" spans="2:12" x14ac:dyDescent="0.3">
      <c r="B406" s="57">
        <f t="shared" si="24"/>
        <v>403</v>
      </c>
      <c r="C406" s="143">
        <v>46092</v>
      </c>
      <c r="D406" s="152" t="s">
        <v>435</v>
      </c>
      <c r="E406" s="57" t="s">
        <v>146</v>
      </c>
      <c r="F406" s="57" t="s">
        <v>300</v>
      </c>
      <c r="G406" s="57" t="s">
        <v>530</v>
      </c>
      <c r="H406" s="140" t="s">
        <v>4088</v>
      </c>
      <c r="I406" s="57"/>
      <c r="J406" s="165">
        <f t="shared" si="25"/>
        <v>31.25</v>
      </c>
      <c r="K406" s="57">
        <v>96</v>
      </c>
      <c r="L406" s="164">
        <v>3000</v>
      </c>
    </row>
    <row r="407" spans="2:12" x14ac:dyDescent="0.3">
      <c r="B407" s="57">
        <f t="shared" si="24"/>
        <v>404</v>
      </c>
      <c r="C407" s="143">
        <v>46092</v>
      </c>
      <c r="D407" s="152" t="s">
        <v>435</v>
      </c>
      <c r="E407" s="57" t="s">
        <v>146</v>
      </c>
      <c r="F407" s="57" t="s">
        <v>300</v>
      </c>
      <c r="G407" s="57" t="s">
        <v>530</v>
      </c>
      <c r="H407" s="140" t="s">
        <v>885</v>
      </c>
      <c r="I407" s="57"/>
      <c r="J407" s="165">
        <f t="shared" si="25"/>
        <v>23.420729166666664</v>
      </c>
      <c r="K407" s="57">
        <v>96</v>
      </c>
      <c r="L407" s="164">
        <v>2248.39</v>
      </c>
    </row>
    <row r="408" spans="2:12" x14ac:dyDescent="0.3">
      <c r="B408" s="57">
        <f t="shared" si="24"/>
        <v>405</v>
      </c>
      <c r="C408" s="143">
        <v>46092</v>
      </c>
      <c r="D408" s="152" t="s">
        <v>435</v>
      </c>
      <c r="E408" s="57" t="s">
        <v>146</v>
      </c>
      <c r="F408" s="57" t="s">
        <v>300</v>
      </c>
      <c r="G408" s="57" t="s">
        <v>526</v>
      </c>
      <c r="H408" s="140" t="s">
        <v>441</v>
      </c>
      <c r="I408" s="57"/>
      <c r="J408" s="165">
        <f t="shared" si="25"/>
        <v>10.416666666666666</v>
      </c>
      <c r="K408" s="57">
        <v>96</v>
      </c>
      <c r="L408" s="164">
        <v>1000</v>
      </c>
    </row>
    <row r="409" spans="2:12" x14ac:dyDescent="0.3">
      <c r="B409" s="57">
        <f t="shared" si="24"/>
        <v>406</v>
      </c>
      <c r="C409" s="143">
        <v>46092</v>
      </c>
      <c r="D409" s="152" t="s">
        <v>435</v>
      </c>
      <c r="E409" s="57" t="s">
        <v>522</v>
      </c>
      <c r="F409" s="57" t="s">
        <v>300</v>
      </c>
      <c r="G409" s="57" t="s">
        <v>526</v>
      </c>
      <c r="H409" s="140" t="s">
        <v>739</v>
      </c>
      <c r="I409" s="57"/>
      <c r="J409" s="57"/>
      <c r="L409" s="164">
        <v>1000</v>
      </c>
    </row>
    <row r="410" spans="2:12" x14ac:dyDescent="0.3">
      <c r="B410" s="57">
        <f t="shared" si="24"/>
        <v>407</v>
      </c>
      <c r="C410" s="143">
        <v>46093</v>
      </c>
      <c r="D410" s="152" t="s">
        <v>435</v>
      </c>
      <c r="E410" s="57" t="s">
        <v>450</v>
      </c>
      <c r="F410" s="57" t="s">
        <v>300</v>
      </c>
      <c r="G410" s="57" t="s">
        <v>530</v>
      </c>
      <c r="H410" s="140" t="s">
        <v>801</v>
      </c>
      <c r="I410" s="57"/>
      <c r="J410" s="165">
        <f t="shared" ref="J410:J415" si="26">L410/K410</f>
        <v>20.833333333333332</v>
      </c>
      <c r="K410" s="57">
        <v>96</v>
      </c>
      <c r="L410" s="164">
        <v>2000</v>
      </c>
    </row>
    <row r="411" spans="2:12" x14ac:dyDescent="0.3">
      <c r="B411" s="57">
        <f t="shared" si="24"/>
        <v>408</v>
      </c>
      <c r="C411" s="143">
        <v>46093</v>
      </c>
      <c r="D411" s="152" t="s">
        <v>435</v>
      </c>
      <c r="E411" s="57" t="s">
        <v>146</v>
      </c>
      <c r="F411" s="57" t="s">
        <v>350</v>
      </c>
      <c r="G411" s="57" t="s">
        <v>675</v>
      </c>
      <c r="H411" s="140" t="s">
        <v>4111</v>
      </c>
      <c r="I411" s="57"/>
      <c r="J411" s="165">
        <f t="shared" si="26"/>
        <v>20.833333333333332</v>
      </c>
      <c r="K411" s="57">
        <v>96</v>
      </c>
      <c r="L411" s="164">
        <v>2000</v>
      </c>
    </row>
    <row r="412" spans="2:12" x14ac:dyDescent="0.3">
      <c r="B412" s="57">
        <f t="shared" si="24"/>
        <v>409</v>
      </c>
      <c r="C412" s="143">
        <v>46093</v>
      </c>
      <c r="D412" s="152" t="s">
        <v>435</v>
      </c>
      <c r="E412" s="57" t="s">
        <v>146</v>
      </c>
      <c r="F412" s="57" t="s">
        <v>300</v>
      </c>
      <c r="G412" s="57" t="s">
        <v>530</v>
      </c>
      <c r="H412" s="140" t="s">
        <v>879</v>
      </c>
      <c r="I412" s="57"/>
      <c r="J412" s="165">
        <f t="shared" si="26"/>
        <v>31.25</v>
      </c>
      <c r="K412" s="57">
        <v>96</v>
      </c>
      <c r="L412" s="164">
        <v>3000</v>
      </c>
    </row>
    <row r="413" spans="2:12" x14ac:dyDescent="0.3">
      <c r="B413" s="57">
        <f t="shared" si="24"/>
        <v>410</v>
      </c>
      <c r="C413" s="143">
        <v>46093</v>
      </c>
      <c r="D413" s="152" t="s">
        <v>435</v>
      </c>
      <c r="E413" s="57" t="s">
        <v>146</v>
      </c>
      <c r="F413" s="57" t="s">
        <v>502</v>
      </c>
      <c r="G413" s="57" t="s">
        <v>257</v>
      </c>
      <c r="H413" s="140" t="s">
        <v>805</v>
      </c>
      <c r="I413" s="57"/>
      <c r="J413" s="165">
        <f t="shared" si="26"/>
        <v>20.833333333333332</v>
      </c>
      <c r="K413" s="57">
        <v>96</v>
      </c>
      <c r="L413" s="164">
        <v>2000</v>
      </c>
    </row>
    <row r="414" spans="2:12" x14ac:dyDescent="0.3">
      <c r="B414" s="57">
        <f t="shared" si="24"/>
        <v>411</v>
      </c>
      <c r="C414" s="143">
        <v>46093</v>
      </c>
      <c r="D414" s="152" t="s">
        <v>435</v>
      </c>
      <c r="E414" s="57" t="s">
        <v>146</v>
      </c>
      <c r="F414" s="57" t="s">
        <v>502</v>
      </c>
      <c r="G414" s="57" t="s">
        <v>257</v>
      </c>
      <c r="H414" s="140" t="s">
        <v>4100</v>
      </c>
      <c r="I414" s="57"/>
      <c r="J414" s="165">
        <f t="shared" si="26"/>
        <v>20.833333333333332</v>
      </c>
      <c r="K414" s="57">
        <v>96</v>
      </c>
      <c r="L414" s="164">
        <v>2000</v>
      </c>
    </row>
    <row r="415" spans="2:12" x14ac:dyDescent="0.3">
      <c r="B415" s="57">
        <f t="shared" si="24"/>
        <v>412</v>
      </c>
      <c r="C415" s="143">
        <v>46093</v>
      </c>
      <c r="D415" s="152" t="s">
        <v>435</v>
      </c>
      <c r="E415" s="57" t="s">
        <v>146</v>
      </c>
      <c r="F415" s="57" t="s">
        <v>300</v>
      </c>
      <c r="G415" s="57" t="s">
        <v>530</v>
      </c>
      <c r="H415" s="140" t="s">
        <v>4115</v>
      </c>
      <c r="I415" s="57"/>
      <c r="J415" s="165">
        <f t="shared" si="26"/>
        <v>20.833333333333332</v>
      </c>
      <c r="K415" s="57">
        <v>96</v>
      </c>
      <c r="L415" s="164">
        <v>2000</v>
      </c>
    </row>
    <row r="416" spans="2:12" x14ac:dyDescent="0.3">
      <c r="B416" s="57">
        <f t="shared" si="24"/>
        <v>413</v>
      </c>
      <c r="C416" s="143">
        <v>46093</v>
      </c>
      <c r="D416" s="152" t="s">
        <v>435</v>
      </c>
      <c r="E416" s="57" t="s">
        <v>434</v>
      </c>
      <c r="F416" s="57" t="s">
        <v>261</v>
      </c>
      <c r="G416" s="57" t="s">
        <v>804</v>
      </c>
      <c r="H416" s="140" t="s">
        <v>803</v>
      </c>
      <c r="I416" s="57"/>
      <c r="J416" s="57"/>
      <c r="L416" s="164">
        <v>1200</v>
      </c>
    </row>
    <row r="417" spans="2:12" x14ac:dyDescent="0.3">
      <c r="B417" s="57">
        <f t="shared" si="24"/>
        <v>414</v>
      </c>
      <c r="C417" s="143">
        <v>46093</v>
      </c>
      <c r="D417" s="152" t="s">
        <v>435</v>
      </c>
      <c r="E417" s="57" t="s">
        <v>477</v>
      </c>
      <c r="F417" s="57" t="s">
        <v>300</v>
      </c>
      <c r="G417" s="57" t="s">
        <v>530</v>
      </c>
      <c r="H417" s="140" t="s">
        <v>802</v>
      </c>
      <c r="I417" s="57"/>
      <c r="J417" s="57"/>
      <c r="L417" s="164">
        <v>10000</v>
      </c>
    </row>
    <row r="418" spans="2:12" x14ac:dyDescent="0.3">
      <c r="B418" s="57">
        <f t="shared" si="24"/>
        <v>415</v>
      </c>
      <c r="C418" s="143">
        <v>46094</v>
      </c>
      <c r="D418" s="152" t="s">
        <v>435</v>
      </c>
      <c r="E418" s="57" t="s">
        <v>450</v>
      </c>
      <c r="F418" s="57" t="s">
        <v>300</v>
      </c>
      <c r="G418" s="57" t="s">
        <v>438</v>
      </c>
      <c r="H418" s="140" t="s">
        <v>801</v>
      </c>
      <c r="I418" s="57"/>
      <c r="J418" s="165">
        <f t="shared" ref="J418:J419" si="27">L418/K418</f>
        <v>20.833333333333332</v>
      </c>
      <c r="K418" s="57">
        <v>96</v>
      </c>
      <c r="L418" s="164">
        <v>2000</v>
      </c>
    </row>
    <row r="419" spans="2:12" x14ac:dyDescent="0.3">
      <c r="B419" s="57">
        <f t="shared" si="24"/>
        <v>416</v>
      </c>
      <c r="C419" s="143">
        <v>46094</v>
      </c>
      <c r="D419" s="152" t="s">
        <v>435</v>
      </c>
      <c r="E419" s="57" t="s">
        <v>146</v>
      </c>
      <c r="F419" s="57" t="s">
        <v>300</v>
      </c>
      <c r="G419" s="57" t="s">
        <v>530</v>
      </c>
      <c r="H419" s="140" t="s">
        <v>789</v>
      </c>
      <c r="I419" s="57"/>
      <c r="J419" s="165">
        <f t="shared" si="27"/>
        <v>31.25</v>
      </c>
      <c r="K419" s="57">
        <v>96</v>
      </c>
      <c r="L419" s="164">
        <v>3000</v>
      </c>
    </row>
    <row r="420" spans="2:12" x14ac:dyDescent="0.3">
      <c r="B420" s="57">
        <f t="shared" si="24"/>
        <v>417</v>
      </c>
      <c r="C420" s="143">
        <v>46094</v>
      </c>
      <c r="D420" s="152" t="s">
        <v>435</v>
      </c>
      <c r="E420" s="57" t="s">
        <v>958</v>
      </c>
      <c r="F420" s="57" t="s">
        <v>300</v>
      </c>
      <c r="G420" s="57" t="s">
        <v>438</v>
      </c>
      <c r="H420" s="140" t="s">
        <v>800</v>
      </c>
      <c r="I420" s="57"/>
      <c r="J420" s="57"/>
      <c r="L420" s="164">
        <v>5000</v>
      </c>
    </row>
    <row r="421" spans="2:12" x14ac:dyDescent="0.3">
      <c r="B421" s="57">
        <f t="shared" si="24"/>
        <v>418</v>
      </c>
      <c r="C421" s="143">
        <v>46094</v>
      </c>
      <c r="D421" s="152" t="s">
        <v>435</v>
      </c>
      <c r="E421" s="57" t="s">
        <v>459</v>
      </c>
      <c r="F421" s="57" t="s">
        <v>300</v>
      </c>
      <c r="G421" s="57" t="s">
        <v>438</v>
      </c>
      <c r="H421" s="140" t="s">
        <v>799</v>
      </c>
      <c r="I421" s="57"/>
      <c r="J421" s="57"/>
      <c r="L421" s="164">
        <v>6400</v>
      </c>
    </row>
    <row r="422" spans="2:12" x14ac:dyDescent="0.3">
      <c r="B422" s="57">
        <f t="shared" si="24"/>
        <v>419</v>
      </c>
      <c r="C422" s="143">
        <v>46094</v>
      </c>
      <c r="D422" s="152" t="s">
        <v>435</v>
      </c>
      <c r="E422" s="57" t="s">
        <v>146</v>
      </c>
      <c r="F422" s="57" t="s">
        <v>300</v>
      </c>
      <c r="G422" s="57" t="s">
        <v>530</v>
      </c>
      <c r="H422" s="140" t="s">
        <v>4115</v>
      </c>
      <c r="I422" s="57"/>
      <c r="J422" s="165">
        <f>L422/K422</f>
        <v>20.833333333333332</v>
      </c>
      <c r="K422" s="57">
        <v>96</v>
      </c>
      <c r="L422" s="164">
        <v>2000</v>
      </c>
    </row>
    <row r="423" spans="2:12" x14ac:dyDescent="0.3">
      <c r="B423" s="57">
        <f t="shared" si="24"/>
        <v>420</v>
      </c>
      <c r="C423" s="143">
        <v>46094</v>
      </c>
      <c r="D423" s="152" t="s">
        <v>435</v>
      </c>
      <c r="E423" s="57" t="s">
        <v>459</v>
      </c>
      <c r="F423" s="57" t="s">
        <v>350</v>
      </c>
      <c r="G423" s="57" t="s">
        <v>675</v>
      </c>
      <c r="H423" s="140" t="s">
        <v>775</v>
      </c>
      <c r="I423" s="57"/>
      <c r="J423" s="57"/>
      <c r="L423" s="164">
        <v>1690</v>
      </c>
    </row>
    <row r="424" spans="2:12" x14ac:dyDescent="0.3">
      <c r="B424" s="57">
        <f t="shared" si="24"/>
        <v>421</v>
      </c>
      <c r="C424" s="143">
        <v>46094</v>
      </c>
      <c r="D424" s="152" t="s">
        <v>435</v>
      </c>
      <c r="E424" s="57" t="s">
        <v>798</v>
      </c>
      <c r="F424" s="57" t="s">
        <v>350</v>
      </c>
      <c r="G424" s="57" t="s">
        <v>675</v>
      </c>
      <c r="H424" s="140" t="s">
        <v>797</v>
      </c>
      <c r="I424" s="57"/>
      <c r="J424" s="57"/>
      <c r="L424" s="164">
        <v>1500</v>
      </c>
    </row>
    <row r="425" spans="2:12" x14ac:dyDescent="0.3">
      <c r="B425" s="57">
        <f t="shared" si="24"/>
        <v>422</v>
      </c>
      <c r="C425" s="143">
        <v>46094</v>
      </c>
      <c r="D425" s="152" t="s">
        <v>435</v>
      </c>
      <c r="E425" s="57" t="s">
        <v>450</v>
      </c>
      <c r="F425" s="57" t="s">
        <v>300</v>
      </c>
      <c r="G425" s="57" t="s">
        <v>438</v>
      </c>
      <c r="H425" s="140" t="s">
        <v>796</v>
      </c>
      <c r="I425" s="57"/>
      <c r="J425" s="165">
        <f>L425/K425</f>
        <v>20.833333333333332</v>
      </c>
      <c r="K425" s="57">
        <v>96</v>
      </c>
      <c r="L425" s="164">
        <v>2000</v>
      </c>
    </row>
    <row r="426" spans="2:12" x14ac:dyDescent="0.3">
      <c r="B426" s="57">
        <f t="shared" si="24"/>
        <v>423</v>
      </c>
      <c r="C426" s="143">
        <v>46094</v>
      </c>
      <c r="D426" s="152" t="s">
        <v>435</v>
      </c>
      <c r="E426" s="57" t="s">
        <v>434</v>
      </c>
      <c r="F426" s="57" t="s">
        <v>300</v>
      </c>
      <c r="G426" s="57" t="s">
        <v>530</v>
      </c>
      <c r="H426" s="140" t="s">
        <v>795</v>
      </c>
      <c r="I426" s="57"/>
      <c r="J426" s="57"/>
      <c r="L426" s="164">
        <v>2050</v>
      </c>
    </row>
    <row r="427" spans="2:12" x14ac:dyDescent="0.3">
      <c r="B427" s="57">
        <f t="shared" si="24"/>
        <v>424</v>
      </c>
      <c r="C427" s="143">
        <v>46094</v>
      </c>
      <c r="D427" s="152" t="s">
        <v>435</v>
      </c>
      <c r="E427" s="57" t="s">
        <v>4009</v>
      </c>
      <c r="F427" s="57" t="s">
        <v>300</v>
      </c>
      <c r="G427" s="57" t="s">
        <v>438</v>
      </c>
      <c r="H427" s="140" t="s">
        <v>794</v>
      </c>
      <c r="I427" s="57"/>
      <c r="J427" s="57"/>
      <c r="L427" s="164">
        <v>23010</v>
      </c>
    </row>
    <row r="428" spans="2:12" x14ac:dyDescent="0.3">
      <c r="B428" s="57">
        <f t="shared" si="24"/>
        <v>425</v>
      </c>
      <c r="C428" s="143">
        <v>46094</v>
      </c>
      <c r="D428" s="152" t="s">
        <v>435</v>
      </c>
      <c r="E428" s="57" t="s">
        <v>397</v>
      </c>
      <c r="F428" s="57" t="s">
        <v>300</v>
      </c>
      <c r="G428" s="57" t="s">
        <v>585</v>
      </c>
      <c r="H428" s="140" t="s">
        <v>793</v>
      </c>
      <c r="I428" s="57"/>
      <c r="J428" s="57"/>
      <c r="L428" s="164">
        <v>950</v>
      </c>
    </row>
    <row r="429" spans="2:12" x14ac:dyDescent="0.3">
      <c r="B429" s="57">
        <f t="shared" si="24"/>
        <v>426</v>
      </c>
      <c r="C429" s="143">
        <v>46095</v>
      </c>
      <c r="D429" s="152" t="s">
        <v>435</v>
      </c>
      <c r="E429" s="57" t="s">
        <v>459</v>
      </c>
      <c r="F429" s="57" t="s">
        <v>350</v>
      </c>
      <c r="G429" s="57" t="s">
        <v>675</v>
      </c>
      <c r="H429" s="140" t="s">
        <v>775</v>
      </c>
      <c r="I429" s="57"/>
      <c r="J429" s="57"/>
      <c r="L429" s="164">
        <v>1000</v>
      </c>
    </row>
    <row r="430" spans="2:12" x14ac:dyDescent="0.3">
      <c r="B430" s="57">
        <f t="shared" si="24"/>
        <v>427</v>
      </c>
      <c r="C430" s="143">
        <v>46095</v>
      </c>
      <c r="D430" s="152" t="s">
        <v>435</v>
      </c>
      <c r="E430" s="57" t="s">
        <v>146</v>
      </c>
      <c r="F430" s="57" t="s">
        <v>350</v>
      </c>
      <c r="G430" s="57" t="s">
        <v>675</v>
      </c>
      <c r="H430" s="140" t="s">
        <v>4111</v>
      </c>
      <c r="I430" s="57"/>
      <c r="J430" s="165">
        <f>L430/K430</f>
        <v>20.833333333333332</v>
      </c>
      <c r="K430" s="57">
        <v>96</v>
      </c>
      <c r="L430" s="164">
        <v>2000</v>
      </c>
    </row>
    <row r="431" spans="2:12" x14ac:dyDescent="0.3">
      <c r="B431" s="57">
        <f t="shared" si="24"/>
        <v>428</v>
      </c>
      <c r="C431" s="143">
        <v>46095</v>
      </c>
      <c r="D431" s="152" t="s">
        <v>435</v>
      </c>
      <c r="E431" s="57" t="s">
        <v>434</v>
      </c>
      <c r="F431" s="57" t="s">
        <v>436</v>
      </c>
      <c r="G431" s="57" t="s">
        <v>780</v>
      </c>
      <c r="H431" s="140" t="s">
        <v>444</v>
      </c>
      <c r="I431" s="57"/>
      <c r="J431" s="57"/>
      <c r="L431" s="164">
        <v>2320</v>
      </c>
    </row>
    <row r="432" spans="2:12" x14ac:dyDescent="0.3">
      <c r="B432" s="57">
        <f t="shared" si="24"/>
        <v>429</v>
      </c>
      <c r="C432" s="143">
        <v>46095</v>
      </c>
      <c r="D432" s="152" t="s">
        <v>435</v>
      </c>
      <c r="E432" s="57" t="s">
        <v>4009</v>
      </c>
      <c r="F432" s="57" t="s">
        <v>300</v>
      </c>
      <c r="G432" s="57" t="s">
        <v>438</v>
      </c>
      <c r="H432" s="140" t="s">
        <v>792</v>
      </c>
      <c r="I432" s="57"/>
      <c r="J432" s="57"/>
      <c r="L432" s="164">
        <v>14400</v>
      </c>
    </row>
    <row r="433" spans="2:12" x14ac:dyDescent="0.3">
      <c r="B433" s="57">
        <f t="shared" si="24"/>
        <v>430</v>
      </c>
      <c r="C433" s="143">
        <v>46095</v>
      </c>
      <c r="D433" s="152" t="s">
        <v>435</v>
      </c>
      <c r="E433" s="57" t="s">
        <v>4009</v>
      </c>
      <c r="F433" s="57" t="s">
        <v>300</v>
      </c>
      <c r="G433" s="57" t="s">
        <v>438</v>
      </c>
      <c r="H433" s="140" t="s">
        <v>791</v>
      </c>
      <c r="I433" s="57"/>
      <c r="J433" s="57"/>
      <c r="L433" s="164">
        <v>7000</v>
      </c>
    </row>
    <row r="434" spans="2:12" x14ac:dyDescent="0.3">
      <c r="B434" s="57">
        <f t="shared" si="24"/>
        <v>431</v>
      </c>
      <c r="C434" s="143">
        <v>46095</v>
      </c>
      <c r="D434" s="152" t="s">
        <v>435</v>
      </c>
      <c r="E434" s="57" t="s">
        <v>418</v>
      </c>
      <c r="F434" s="57" t="s">
        <v>300</v>
      </c>
      <c r="G434" s="57" t="s">
        <v>438</v>
      </c>
      <c r="H434" s="140" t="s">
        <v>790</v>
      </c>
      <c r="I434" s="57"/>
      <c r="J434" s="57"/>
      <c r="L434" s="164">
        <v>96600</v>
      </c>
    </row>
    <row r="435" spans="2:12" x14ac:dyDescent="0.3">
      <c r="B435" s="57">
        <f t="shared" si="24"/>
        <v>432</v>
      </c>
      <c r="C435" s="143">
        <v>46096</v>
      </c>
      <c r="D435" s="152" t="s">
        <v>435</v>
      </c>
      <c r="E435" s="57" t="s">
        <v>458</v>
      </c>
      <c r="F435" s="57" t="s">
        <v>350</v>
      </c>
      <c r="G435" s="57" t="s">
        <v>452</v>
      </c>
      <c r="H435" s="140" t="s">
        <v>457</v>
      </c>
      <c r="I435" s="57"/>
      <c r="J435" s="57"/>
      <c r="L435" s="164">
        <v>600</v>
      </c>
    </row>
    <row r="436" spans="2:12" x14ac:dyDescent="0.3">
      <c r="B436" s="57">
        <f t="shared" si="24"/>
        <v>433</v>
      </c>
      <c r="C436" s="143">
        <v>46096</v>
      </c>
      <c r="D436" s="152" t="s">
        <v>435</v>
      </c>
      <c r="E436" s="57" t="s">
        <v>146</v>
      </c>
      <c r="F436" s="57" t="s">
        <v>502</v>
      </c>
      <c r="G436" s="57" t="s">
        <v>257</v>
      </c>
      <c r="H436" s="140" t="s">
        <v>4100</v>
      </c>
      <c r="I436" s="57"/>
      <c r="J436" s="165">
        <f t="shared" ref="J436:J437" si="28">L436/K436</f>
        <v>20.833333333333332</v>
      </c>
      <c r="K436" s="57">
        <v>96</v>
      </c>
      <c r="L436" s="164">
        <v>2000</v>
      </c>
    </row>
    <row r="437" spans="2:12" x14ac:dyDescent="0.3">
      <c r="B437" s="57">
        <f t="shared" si="24"/>
        <v>434</v>
      </c>
      <c r="C437" s="143">
        <v>46096</v>
      </c>
      <c r="D437" s="152" t="s">
        <v>435</v>
      </c>
      <c r="E437" s="57" t="s">
        <v>146</v>
      </c>
      <c r="F437" s="57" t="s">
        <v>300</v>
      </c>
      <c r="G437" s="57" t="s">
        <v>438</v>
      </c>
      <c r="H437" s="140" t="s">
        <v>789</v>
      </c>
      <c r="I437" s="57"/>
      <c r="J437" s="165">
        <f t="shared" si="28"/>
        <v>31.25</v>
      </c>
      <c r="K437" s="57">
        <v>96</v>
      </c>
      <c r="L437" s="164">
        <v>3000</v>
      </c>
    </row>
    <row r="438" spans="2:12" x14ac:dyDescent="0.3">
      <c r="B438" s="57">
        <f t="shared" si="24"/>
        <v>435</v>
      </c>
      <c r="C438" s="143">
        <v>46096</v>
      </c>
      <c r="D438" s="152" t="s">
        <v>435</v>
      </c>
      <c r="E438" s="57" t="s">
        <v>958</v>
      </c>
      <c r="F438" s="57" t="s">
        <v>350</v>
      </c>
      <c r="G438" s="57" t="s">
        <v>675</v>
      </c>
      <c r="H438" s="140" t="s">
        <v>788</v>
      </c>
      <c r="I438" s="57"/>
      <c r="J438" s="57"/>
      <c r="L438" s="164">
        <v>7199</v>
      </c>
    </row>
    <row r="439" spans="2:12" x14ac:dyDescent="0.3">
      <c r="B439" s="57">
        <f t="shared" si="24"/>
        <v>436</v>
      </c>
      <c r="C439" s="143">
        <v>46096</v>
      </c>
      <c r="D439" s="152" t="s">
        <v>435</v>
      </c>
      <c r="E439" s="57" t="s">
        <v>146</v>
      </c>
      <c r="F439" s="57" t="s">
        <v>300</v>
      </c>
      <c r="G439" s="57" t="s">
        <v>438</v>
      </c>
      <c r="H439" s="140" t="s">
        <v>4088</v>
      </c>
      <c r="I439" s="57"/>
      <c r="J439" s="165">
        <f>L439/K439</f>
        <v>31.25</v>
      </c>
      <c r="K439" s="57">
        <v>96</v>
      </c>
      <c r="L439" s="164">
        <v>3000</v>
      </c>
    </row>
    <row r="440" spans="2:12" x14ac:dyDescent="0.3">
      <c r="B440" s="57">
        <f t="shared" si="24"/>
        <v>437</v>
      </c>
      <c r="C440" s="143">
        <v>46096</v>
      </c>
      <c r="D440" s="152" t="s">
        <v>435</v>
      </c>
      <c r="E440" s="57" t="s">
        <v>4128</v>
      </c>
      <c r="F440" s="57" t="s">
        <v>300</v>
      </c>
      <c r="G440" s="57" t="s">
        <v>438</v>
      </c>
      <c r="H440" s="140" t="s">
        <v>787</v>
      </c>
      <c r="I440" s="57"/>
      <c r="J440" s="57"/>
      <c r="L440" s="164">
        <v>2000</v>
      </c>
    </row>
    <row r="441" spans="2:12" x14ac:dyDescent="0.3">
      <c r="B441" s="57">
        <f t="shared" si="24"/>
        <v>438</v>
      </c>
      <c r="C441" s="143">
        <v>46097</v>
      </c>
      <c r="D441" s="152" t="s">
        <v>435</v>
      </c>
      <c r="E441" s="57" t="s">
        <v>434</v>
      </c>
      <c r="F441" s="57" t="s">
        <v>300</v>
      </c>
      <c r="G441" s="57" t="s">
        <v>438</v>
      </c>
      <c r="H441" s="140" t="s">
        <v>786</v>
      </c>
      <c r="I441" s="57"/>
      <c r="J441" s="57"/>
      <c r="L441" s="164">
        <v>22600</v>
      </c>
    </row>
    <row r="442" spans="2:12" x14ac:dyDescent="0.3">
      <c r="B442" s="57">
        <f t="shared" si="24"/>
        <v>439</v>
      </c>
      <c r="C442" s="143">
        <v>46097</v>
      </c>
      <c r="D442" s="152" t="s">
        <v>435</v>
      </c>
      <c r="E442" s="57" t="s">
        <v>146</v>
      </c>
      <c r="F442" s="57" t="s">
        <v>300</v>
      </c>
      <c r="G442" s="57" t="s">
        <v>438</v>
      </c>
      <c r="H442" s="140" t="s">
        <v>785</v>
      </c>
      <c r="I442" s="57"/>
      <c r="J442" s="165">
        <f t="shared" ref="J442:J444" si="29">L442/K442</f>
        <v>107.19791666666667</v>
      </c>
      <c r="K442" s="57">
        <v>96</v>
      </c>
      <c r="L442" s="164">
        <v>10291</v>
      </c>
    </row>
    <row r="443" spans="2:12" x14ac:dyDescent="0.3">
      <c r="B443" s="57">
        <f t="shared" si="24"/>
        <v>440</v>
      </c>
      <c r="C443" s="143">
        <v>46097</v>
      </c>
      <c r="D443" s="152" t="s">
        <v>435</v>
      </c>
      <c r="E443" s="57" t="s">
        <v>146</v>
      </c>
      <c r="F443" s="57" t="s">
        <v>350</v>
      </c>
      <c r="G443" s="57" t="s">
        <v>452</v>
      </c>
      <c r="H443" s="140" t="s">
        <v>441</v>
      </c>
      <c r="I443" s="57"/>
      <c r="J443" s="165">
        <f t="shared" si="29"/>
        <v>20.833333333333332</v>
      </c>
      <c r="K443" s="57">
        <v>96</v>
      </c>
      <c r="L443" s="164">
        <v>2000</v>
      </c>
    </row>
    <row r="444" spans="2:12" x14ac:dyDescent="0.3">
      <c r="B444" s="57">
        <f t="shared" si="24"/>
        <v>441</v>
      </c>
      <c r="C444" s="143">
        <v>46097</v>
      </c>
      <c r="D444" s="152" t="s">
        <v>435</v>
      </c>
      <c r="E444" s="57" t="s">
        <v>146</v>
      </c>
      <c r="F444" s="57" t="s">
        <v>436</v>
      </c>
      <c r="G444" s="57" t="s">
        <v>780</v>
      </c>
      <c r="H444" s="140" t="s">
        <v>441</v>
      </c>
      <c r="I444" s="57"/>
      <c r="J444" s="165">
        <f t="shared" si="29"/>
        <v>20.833333333333332</v>
      </c>
      <c r="K444" s="57">
        <v>96</v>
      </c>
      <c r="L444" s="164">
        <v>2000</v>
      </c>
    </row>
    <row r="445" spans="2:12" x14ac:dyDescent="0.3">
      <c r="B445" s="57">
        <f t="shared" si="24"/>
        <v>442</v>
      </c>
      <c r="C445" s="143">
        <v>46097</v>
      </c>
      <c r="D445" s="152" t="s">
        <v>435</v>
      </c>
      <c r="E445" s="57" t="s">
        <v>4008</v>
      </c>
      <c r="F445" s="57" t="s">
        <v>502</v>
      </c>
      <c r="G445" s="57" t="s">
        <v>2344</v>
      </c>
      <c r="H445" s="140" t="s">
        <v>784</v>
      </c>
      <c r="I445" s="57"/>
      <c r="J445" s="57"/>
      <c r="L445" s="164">
        <v>12000</v>
      </c>
    </row>
    <row r="446" spans="2:12" x14ac:dyDescent="0.3">
      <c r="B446" s="57">
        <f t="shared" si="24"/>
        <v>443</v>
      </c>
      <c r="C446" s="143">
        <v>46097</v>
      </c>
      <c r="D446" s="152" t="s">
        <v>435</v>
      </c>
      <c r="E446" s="57" t="s">
        <v>434</v>
      </c>
      <c r="F446" s="57" t="s">
        <v>300</v>
      </c>
      <c r="G446" s="57" t="s">
        <v>438</v>
      </c>
      <c r="H446" s="140" t="s">
        <v>783</v>
      </c>
      <c r="I446" s="57"/>
      <c r="J446" s="57"/>
      <c r="L446" s="164">
        <v>32510</v>
      </c>
    </row>
    <row r="447" spans="2:12" x14ac:dyDescent="0.3">
      <c r="B447" s="57">
        <f t="shared" si="24"/>
        <v>444</v>
      </c>
      <c r="C447" s="143">
        <v>46098</v>
      </c>
      <c r="D447" s="152" t="s">
        <v>435</v>
      </c>
      <c r="E447" s="57" t="s">
        <v>782</v>
      </c>
      <c r="F447" s="57" t="s">
        <v>300</v>
      </c>
      <c r="G447" s="57" t="s">
        <v>438</v>
      </c>
      <c r="H447" s="140" t="s">
        <v>781</v>
      </c>
      <c r="I447" s="57"/>
      <c r="J447" s="57"/>
      <c r="L447" s="164">
        <v>21000</v>
      </c>
    </row>
    <row r="448" spans="2:12" x14ac:dyDescent="0.3">
      <c r="B448" s="57">
        <f t="shared" si="24"/>
        <v>445</v>
      </c>
      <c r="C448" s="143">
        <v>46098</v>
      </c>
      <c r="D448" s="152" t="s">
        <v>435</v>
      </c>
      <c r="E448" s="57" t="s">
        <v>532</v>
      </c>
      <c r="F448" s="57" t="s">
        <v>436</v>
      </c>
      <c r="G448" s="57" t="s">
        <v>780</v>
      </c>
      <c r="H448" s="140" t="s">
        <v>779</v>
      </c>
      <c r="I448" s="57" t="s">
        <v>532</v>
      </c>
      <c r="J448" s="57">
        <v>5</v>
      </c>
      <c r="K448" s="57">
        <v>300</v>
      </c>
      <c r="L448" s="164">
        <v>1500</v>
      </c>
    </row>
    <row r="449" spans="2:13" x14ac:dyDescent="0.3">
      <c r="B449" s="57">
        <f t="shared" si="24"/>
        <v>446</v>
      </c>
      <c r="C449" s="143">
        <v>46098</v>
      </c>
      <c r="D449" s="152" t="s">
        <v>435</v>
      </c>
      <c r="E449" s="57" t="s">
        <v>450</v>
      </c>
      <c r="F449" s="57" t="s">
        <v>350</v>
      </c>
      <c r="G449" s="57" t="s">
        <v>675</v>
      </c>
      <c r="H449" s="140" t="s">
        <v>778</v>
      </c>
      <c r="I449" s="57"/>
      <c r="J449" s="165">
        <f t="shared" ref="J449:J450" si="30">L449/K449</f>
        <v>20.833333333333332</v>
      </c>
      <c r="K449" s="57">
        <v>96</v>
      </c>
      <c r="L449" s="164">
        <v>2000</v>
      </c>
    </row>
    <row r="450" spans="2:13" x14ac:dyDescent="0.3">
      <c r="B450" s="57">
        <f t="shared" si="24"/>
        <v>447</v>
      </c>
      <c r="C450" s="143">
        <v>46098</v>
      </c>
      <c r="D450" s="152" t="s">
        <v>435</v>
      </c>
      <c r="E450" s="57" t="s">
        <v>146</v>
      </c>
      <c r="F450" s="57" t="s">
        <v>300</v>
      </c>
      <c r="G450" s="57" t="s">
        <v>438</v>
      </c>
      <c r="H450" s="140" t="s">
        <v>777</v>
      </c>
      <c r="I450" s="57"/>
      <c r="J450" s="165">
        <f t="shared" si="30"/>
        <v>173.90625</v>
      </c>
      <c r="K450" s="57">
        <v>96</v>
      </c>
      <c r="L450" s="164">
        <v>16695</v>
      </c>
    </row>
    <row r="451" spans="2:13" x14ac:dyDescent="0.3">
      <c r="B451" s="57">
        <f t="shared" si="24"/>
        <v>448</v>
      </c>
      <c r="C451" s="143">
        <v>46098</v>
      </c>
      <c r="D451" s="152" t="s">
        <v>435</v>
      </c>
      <c r="E451" s="57" t="s">
        <v>958</v>
      </c>
      <c r="F451" s="57" t="s">
        <v>446</v>
      </c>
      <c r="G451" s="57" t="s">
        <v>352</v>
      </c>
      <c r="H451" s="140" t="s">
        <v>682</v>
      </c>
      <c r="I451" s="57"/>
      <c r="J451" s="57"/>
      <c r="L451" s="164">
        <v>3600</v>
      </c>
    </row>
    <row r="452" spans="2:13" x14ac:dyDescent="0.3">
      <c r="B452" s="57">
        <f t="shared" si="24"/>
        <v>449</v>
      </c>
      <c r="C452" s="143">
        <v>46098</v>
      </c>
      <c r="D452" s="152" t="s">
        <v>435</v>
      </c>
      <c r="E452" s="57" t="s">
        <v>4008</v>
      </c>
      <c r="F452" s="57" t="s">
        <v>446</v>
      </c>
      <c r="G452" s="57" t="s">
        <v>316</v>
      </c>
      <c r="H452" s="140" t="s">
        <v>700</v>
      </c>
      <c r="I452" s="57"/>
      <c r="J452" s="57"/>
      <c r="L452" s="164">
        <v>3000</v>
      </c>
    </row>
    <row r="453" spans="2:13" x14ac:dyDescent="0.3">
      <c r="B453" s="57">
        <f t="shared" si="24"/>
        <v>450</v>
      </c>
      <c r="C453" s="143">
        <v>46098</v>
      </c>
      <c r="D453" s="152" t="s">
        <v>435</v>
      </c>
      <c r="E453" s="57" t="s">
        <v>477</v>
      </c>
      <c r="F453" s="57" t="s">
        <v>300</v>
      </c>
      <c r="G453" s="57" t="s">
        <v>438</v>
      </c>
      <c r="H453" s="140" t="s">
        <v>721</v>
      </c>
      <c r="I453" s="57"/>
      <c r="J453" s="57"/>
      <c r="L453" s="164">
        <v>80000</v>
      </c>
    </row>
    <row r="454" spans="2:13" x14ac:dyDescent="0.3">
      <c r="B454" s="57">
        <f t="shared" ref="B454:B517" si="31">+B453+1</f>
        <v>451</v>
      </c>
      <c r="C454" s="143">
        <v>46099</v>
      </c>
      <c r="D454" s="152" t="s">
        <v>435</v>
      </c>
      <c r="E454" s="57" t="s">
        <v>146</v>
      </c>
      <c r="F454" s="57" t="s">
        <v>350</v>
      </c>
      <c r="G454" s="57" t="s">
        <v>452</v>
      </c>
      <c r="H454" s="140" t="s">
        <v>441</v>
      </c>
      <c r="I454" s="57"/>
      <c r="J454" s="165">
        <f t="shared" ref="J454:J455" si="32">L454/K454</f>
        <v>20.833333333333332</v>
      </c>
      <c r="K454" s="57">
        <v>96</v>
      </c>
      <c r="L454" s="164">
        <v>2000</v>
      </c>
    </row>
    <row r="455" spans="2:13" x14ac:dyDescent="0.3">
      <c r="B455" s="57">
        <f t="shared" si="31"/>
        <v>452</v>
      </c>
      <c r="C455" s="143">
        <v>46099</v>
      </c>
      <c r="D455" s="152" t="s">
        <v>435</v>
      </c>
      <c r="E455" s="57" t="s">
        <v>146</v>
      </c>
      <c r="F455" s="57" t="s">
        <v>300</v>
      </c>
      <c r="G455" s="57" t="s">
        <v>530</v>
      </c>
      <c r="H455" s="140" t="s">
        <v>4115</v>
      </c>
      <c r="I455" s="57"/>
      <c r="J455" s="165">
        <f t="shared" si="32"/>
        <v>31.786041666666666</v>
      </c>
      <c r="K455" s="57">
        <v>96</v>
      </c>
      <c r="L455" s="164">
        <v>3051.46</v>
      </c>
    </row>
    <row r="456" spans="2:13" x14ac:dyDescent="0.3">
      <c r="B456" s="57">
        <f t="shared" si="31"/>
        <v>453</v>
      </c>
      <c r="C456" s="143">
        <v>46099</v>
      </c>
      <c r="D456" s="152" t="s">
        <v>435</v>
      </c>
      <c r="E456" s="57" t="s">
        <v>522</v>
      </c>
      <c r="F456" s="57" t="s">
        <v>300</v>
      </c>
      <c r="G456" s="57" t="s">
        <v>438</v>
      </c>
      <c r="H456" s="140" t="s">
        <v>776</v>
      </c>
      <c r="I456" s="57"/>
      <c r="J456" s="57"/>
      <c r="L456" s="164">
        <v>1730</v>
      </c>
    </row>
    <row r="457" spans="2:13" x14ac:dyDescent="0.3">
      <c r="B457" s="57">
        <f t="shared" si="31"/>
        <v>454</v>
      </c>
      <c r="C457" s="143">
        <v>46099</v>
      </c>
      <c r="D457" s="152" t="s">
        <v>435</v>
      </c>
      <c r="E457" s="57" t="s">
        <v>459</v>
      </c>
      <c r="F457" s="57" t="s">
        <v>350</v>
      </c>
      <c r="G457" s="57" t="s">
        <v>452</v>
      </c>
      <c r="H457" s="140" t="s">
        <v>775</v>
      </c>
      <c r="I457" s="57"/>
      <c r="J457" s="57"/>
      <c r="L457" s="164">
        <v>1150</v>
      </c>
    </row>
    <row r="458" spans="2:13" x14ac:dyDescent="0.3">
      <c r="B458" s="57">
        <f t="shared" si="31"/>
        <v>455</v>
      </c>
      <c r="C458" s="143">
        <v>46099</v>
      </c>
      <c r="D458" s="152" t="s">
        <v>435</v>
      </c>
      <c r="E458" s="57" t="s">
        <v>4008</v>
      </c>
      <c r="F458" s="57" t="s">
        <v>300</v>
      </c>
      <c r="G458" s="57" t="s">
        <v>654</v>
      </c>
      <c r="H458" s="140" t="s">
        <v>774</v>
      </c>
      <c r="I458" s="57"/>
      <c r="J458" s="57"/>
      <c r="L458" s="164">
        <v>10000</v>
      </c>
    </row>
    <row r="459" spans="2:13" x14ac:dyDescent="0.3">
      <c r="B459" s="57">
        <f t="shared" si="31"/>
        <v>456</v>
      </c>
      <c r="C459" s="143">
        <v>46099</v>
      </c>
      <c r="D459" s="152" t="s">
        <v>435</v>
      </c>
      <c r="E459" s="57" t="s">
        <v>434</v>
      </c>
      <c r="F459" s="57" t="s">
        <v>446</v>
      </c>
      <c r="G459" s="57" t="s">
        <v>352</v>
      </c>
      <c r="H459" s="140" t="s">
        <v>768</v>
      </c>
      <c r="I459" s="57"/>
      <c r="J459" s="57"/>
      <c r="L459" s="164">
        <v>1260</v>
      </c>
    </row>
    <row r="460" spans="2:13" x14ac:dyDescent="0.3">
      <c r="B460" s="57">
        <f t="shared" si="31"/>
        <v>457</v>
      </c>
      <c r="C460" s="143">
        <v>46099</v>
      </c>
      <c r="D460" s="152" t="s">
        <v>435</v>
      </c>
      <c r="E460" s="57" t="s">
        <v>4008</v>
      </c>
      <c r="F460" s="57" t="s">
        <v>502</v>
      </c>
      <c r="G460" s="57" t="s">
        <v>773</v>
      </c>
      <c r="H460" s="140" t="s">
        <v>772</v>
      </c>
      <c r="I460" s="57"/>
      <c r="J460" s="57"/>
      <c r="L460" s="164">
        <v>40000</v>
      </c>
      <c r="M460" s="57" t="s">
        <v>770</v>
      </c>
    </row>
    <row r="461" spans="2:13" x14ac:dyDescent="0.3">
      <c r="B461" s="57">
        <f t="shared" si="31"/>
        <v>458</v>
      </c>
      <c r="C461" s="143">
        <v>46099</v>
      </c>
      <c r="D461" s="152" t="s">
        <v>435</v>
      </c>
      <c r="E461" s="57" t="s">
        <v>4008</v>
      </c>
      <c r="F461" s="57" t="s">
        <v>502</v>
      </c>
      <c r="G461" s="57" t="s">
        <v>257</v>
      </c>
      <c r="H461" s="140" t="s">
        <v>771</v>
      </c>
      <c r="I461" s="57"/>
      <c r="J461" s="57"/>
      <c r="L461" s="164">
        <v>40000</v>
      </c>
      <c r="M461" s="57" t="s">
        <v>770</v>
      </c>
    </row>
    <row r="462" spans="2:13" x14ac:dyDescent="0.3">
      <c r="B462" s="57">
        <f t="shared" si="31"/>
        <v>459</v>
      </c>
      <c r="C462" s="143">
        <v>46099</v>
      </c>
      <c r="D462" s="152" t="s">
        <v>435</v>
      </c>
      <c r="E462" s="57" t="s">
        <v>471</v>
      </c>
      <c r="F462" s="57" t="s">
        <v>433</v>
      </c>
      <c r="G462" s="57" t="s">
        <v>432</v>
      </c>
      <c r="H462" s="140" t="s">
        <v>769</v>
      </c>
      <c r="I462" s="57"/>
      <c r="J462" s="57"/>
      <c r="L462" s="164">
        <v>190248</v>
      </c>
    </row>
    <row r="463" spans="2:13" x14ac:dyDescent="0.3">
      <c r="B463" s="57">
        <f t="shared" si="31"/>
        <v>460</v>
      </c>
      <c r="C463" s="143">
        <v>46099</v>
      </c>
      <c r="D463" s="152" t="s">
        <v>435</v>
      </c>
      <c r="E463" s="57" t="s">
        <v>434</v>
      </c>
      <c r="F463" s="57" t="s">
        <v>446</v>
      </c>
      <c r="G463" s="57" t="s">
        <v>352</v>
      </c>
      <c r="H463" s="140" t="s">
        <v>768</v>
      </c>
      <c r="I463" s="57"/>
      <c r="J463" s="57"/>
      <c r="L463" s="164">
        <v>1210</v>
      </c>
    </row>
    <row r="464" spans="2:13" x14ac:dyDescent="0.3">
      <c r="B464" s="57">
        <f t="shared" si="31"/>
        <v>461</v>
      </c>
      <c r="C464" s="143">
        <v>46099</v>
      </c>
      <c r="D464" s="152" t="s">
        <v>435</v>
      </c>
      <c r="E464" s="57" t="s">
        <v>450</v>
      </c>
      <c r="F464" s="57" t="s">
        <v>300</v>
      </c>
      <c r="G464" s="57" t="s">
        <v>438</v>
      </c>
      <c r="H464" s="140" t="s">
        <v>693</v>
      </c>
      <c r="I464" s="57"/>
      <c r="J464" s="165">
        <f>L464/K464</f>
        <v>20.833333333333332</v>
      </c>
      <c r="K464" s="57">
        <v>96</v>
      </c>
      <c r="L464" s="164">
        <v>2000</v>
      </c>
    </row>
    <row r="465" spans="2:13" x14ac:dyDescent="0.3">
      <c r="B465" s="57">
        <f t="shared" si="31"/>
        <v>462</v>
      </c>
      <c r="C465" s="143">
        <v>46100</v>
      </c>
      <c r="D465" s="152" t="s">
        <v>435</v>
      </c>
      <c r="E465" s="57" t="s">
        <v>767</v>
      </c>
      <c r="F465" s="57" t="s">
        <v>350</v>
      </c>
      <c r="G465" s="57" t="s">
        <v>675</v>
      </c>
      <c r="H465" s="140" t="s">
        <v>766</v>
      </c>
      <c r="I465" s="57"/>
      <c r="J465" s="57"/>
      <c r="L465" s="164">
        <v>2200</v>
      </c>
    </row>
    <row r="466" spans="2:13" x14ac:dyDescent="0.3">
      <c r="B466" s="57">
        <f t="shared" si="31"/>
        <v>463</v>
      </c>
      <c r="C466" s="143">
        <v>46100</v>
      </c>
      <c r="D466" s="152" t="s">
        <v>435</v>
      </c>
      <c r="E466" s="57" t="s">
        <v>146</v>
      </c>
      <c r="F466" s="57" t="s">
        <v>300</v>
      </c>
      <c r="G466" s="57" t="s">
        <v>530</v>
      </c>
      <c r="H466" s="140" t="s">
        <v>765</v>
      </c>
      <c r="I466" s="57"/>
      <c r="J466" s="165">
        <f t="shared" ref="J466:J468" si="33">L466/K466</f>
        <v>28.653958333333335</v>
      </c>
      <c r="K466" s="57">
        <v>96</v>
      </c>
      <c r="L466" s="164">
        <v>2750.78</v>
      </c>
    </row>
    <row r="467" spans="2:13" x14ac:dyDescent="0.3">
      <c r="B467" s="57">
        <f t="shared" si="31"/>
        <v>464</v>
      </c>
      <c r="C467" s="143">
        <v>46100</v>
      </c>
      <c r="D467" s="152" t="s">
        <v>435</v>
      </c>
      <c r="E467" s="57" t="s">
        <v>450</v>
      </c>
      <c r="F467" s="57" t="s">
        <v>300</v>
      </c>
      <c r="G467" s="57" t="s">
        <v>530</v>
      </c>
      <c r="H467" s="140" t="s">
        <v>4093</v>
      </c>
      <c r="I467" s="57"/>
      <c r="J467" s="165">
        <f t="shared" si="33"/>
        <v>31.25</v>
      </c>
      <c r="K467" s="57">
        <v>96</v>
      </c>
      <c r="L467" s="164">
        <v>3000</v>
      </c>
    </row>
    <row r="468" spans="2:13" x14ac:dyDescent="0.3">
      <c r="B468" s="57">
        <f t="shared" si="31"/>
        <v>465</v>
      </c>
      <c r="C468" s="143">
        <v>46100</v>
      </c>
      <c r="D468" s="152" t="s">
        <v>435</v>
      </c>
      <c r="E468" s="57" t="s">
        <v>146</v>
      </c>
      <c r="F468" s="57" t="s">
        <v>350</v>
      </c>
      <c r="G468" s="57" t="s">
        <v>675</v>
      </c>
      <c r="H468" s="140" t="s">
        <v>4111</v>
      </c>
      <c r="I468" s="57"/>
      <c r="J468" s="165">
        <f t="shared" si="33"/>
        <v>20.833333333333332</v>
      </c>
      <c r="K468" s="57">
        <v>96</v>
      </c>
      <c r="L468" s="164">
        <v>2000</v>
      </c>
    </row>
    <row r="469" spans="2:13" x14ac:dyDescent="0.3">
      <c r="B469" s="57">
        <f t="shared" si="31"/>
        <v>466</v>
      </c>
      <c r="C469" s="143">
        <v>46100</v>
      </c>
      <c r="D469" s="152" t="s">
        <v>435</v>
      </c>
      <c r="E469" s="57" t="s">
        <v>986</v>
      </c>
      <c r="F469" s="57" t="s">
        <v>350</v>
      </c>
      <c r="G469" s="57" t="s">
        <v>675</v>
      </c>
      <c r="H469" s="140" t="s">
        <v>764</v>
      </c>
      <c r="I469" s="57" t="s">
        <v>986</v>
      </c>
      <c r="J469" s="57">
        <v>30</v>
      </c>
      <c r="L469" s="164">
        <v>4740</v>
      </c>
    </row>
    <row r="470" spans="2:13" x14ac:dyDescent="0.3">
      <c r="B470" s="57">
        <f t="shared" si="31"/>
        <v>467</v>
      </c>
      <c r="C470" s="143">
        <v>46100</v>
      </c>
      <c r="D470" s="152" t="s">
        <v>435</v>
      </c>
      <c r="E470" s="57" t="s">
        <v>4091</v>
      </c>
      <c r="F470" s="57" t="s">
        <v>300</v>
      </c>
      <c r="G470" s="57" t="s">
        <v>438</v>
      </c>
      <c r="H470" s="140" t="s">
        <v>4096</v>
      </c>
      <c r="I470" s="57"/>
      <c r="J470" s="57"/>
      <c r="L470" s="164">
        <v>2003</v>
      </c>
    </row>
    <row r="471" spans="2:13" x14ac:dyDescent="0.3">
      <c r="B471" s="57">
        <f t="shared" si="31"/>
        <v>468</v>
      </c>
      <c r="C471" s="143">
        <v>46100</v>
      </c>
      <c r="D471" s="152" t="s">
        <v>435</v>
      </c>
      <c r="E471" s="57" t="s">
        <v>434</v>
      </c>
      <c r="F471" s="57" t="s">
        <v>300</v>
      </c>
      <c r="G471" s="57" t="s">
        <v>585</v>
      </c>
      <c r="H471" s="140" t="s">
        <v>763</v>
      </c>
      <c r="I471" s="57"/>
      <c r="J471" s="57"/>
      <c r="L471" s="164">
        <v>1780</v>
      </c>
    </row>
    <row r="472" spans="2:13" x14ac:dyDescent="0.3">
      <c r="B472" s="57">
        <f t="shared" si="31"/>
        <v>469</v>
      </c>
      <c r="C472" s="143">
        <v>46100</v>
      </c>
      <c r="D472" s="152" t="s">
        <v>435</v>
      </c>
      <c r="E472" s="57" t="s">
        <v>782</v>
      </c>
      <c r="F472" s="57" t="s">
        <v>762</v>
      </c>
      <c r="G472" s="57" t="s">
        <v>761</v>
      </c>
      <c r="H472" s="140" t="s">
        <v>760</v>
      </c>
      <c r="I472" s="57"/>
      <c r="J472" s="57"/>
      <c r="L472" s="164">
        <v>5000</v>
      </c>
    </row>
    <row r="473" spans="2:13" x14ac:dyDescent="0.3">
      <c r="B473" s="57">
        <f t="shared" si="31"/>
        <v>470</v>
      </c>
      <c r="C473" s="143">
        <v>46100</v>
      </c>
      <c r="D473" s="152" t="s">
        <v>435</v>
      </c>
      <c r="E473" s="57" t="s">
        <v>146</v>
      </c>
      <c r="F473" s="57" t="s">
        <v>300</v>
      </c>
      <c r="G473" s="57" t="s">
        <v>530</v>
      </c>
      <c r="H473" s="140" t="s">
        <v>4088</v>
      </c>
      <c r="I473" s="57"/>
      <c r="J473" s="165">
        <f t="shared" ref="J473:J474" si="34">L473/K473</f>
        <v>10.416666666666666</v>
      </c>
      <c r="K473" s="57">
        <v>96</v>
      </c>
      <c r="L473" s="164">
        <v>1000</v>
      </c>
    </row>
    <row r="474" spans="2:13" x14ac:dyDescent="0.3">
      <c r="B474" s="57">
        <f t="shared" si="31"/>
        <v>471</v>
      </c>
      <c r="C474" s="143">
        <v>46100</v>
      </c>
      <c r="D474" s="152" t="s">
        <v>435</v>
      </c>
      <c r="E474" s="57" t="s">
        <v>450</v>
      </c>
      <c r="F474" s="57" t="s">
        <v>300</v>
      </c>
      <c r="G474" s="57" t="s">
        <v>438</v>
      </c>
      <c r="H474" s="140" t="s">
        <v>693</v>
      </c>
      <c r="I474" s="57"/>
      <c r="J474" s="165">
        <f t="shared" si="34"/>
        <v>20.833333333333332</v>
      </c>
      <c r="K474" s="57">
        <v>96</v>
      </c>
      <c r="L474" s="164">
        <v>2000</v>
      </c>
    </row>
    <row r="475" spans="2:13" x14ac:dyDescent="0.3">
      <c r="B475" s="57">
        <f t="shared" si="31"/>
        <v>472</v>
      </c>
      <c r="C475" s="143">
        <v>46100</v>
      </c>
      <c r="D475" s="152" t="s">
        <v>435</v>
      </c>
      <c r="E475" s="57" t="s">
        <v>958</v>
      </c>
      <c r="F475" s="57" t="s">
        <v>446</v>
      </c>
      <c r="G475" s="57" t="s">
        <v>352</v>
      </c>
      <c r="H475" s="140" t="s">
        <v>682</v>
      </c>
      <c r="I475" s="57"/>
      <c r="J475" s="57"/>
      <c r="L475" s="164">
        <v>1200</v>
      </c>
      <c r="M475" s="57" t="s">
        <v>759</v>
      </c>
    </row>
    <row r="476" spans="2:13" x14ac:dyDescent="0.3">
      <c r="B476" s="57">
        <f t="shared" si="31"/>
        <v>473</v>
      </c>
      <c r="C476" s="143">
        <v>46100</v>
      </c>
      <c r="D476" s="152" t="s">
        <v>435</v>
      </c>
      <c r="E476" s="57" t="s">
        <v>434</v>
      </c>
      <c r="F476" s="57" t="s">
        <v>433</v>
      </c>
      <c r="G476" s="57" t="s">
        <v>432</v>
      </c>
      <c r="H476" s="140" t="s">
        <v>758</v>
      </c>
      <c r="I476" s="57"/>
      <c r="J476" s="57"/>
      <c r="L476" s="164">
        <v>420</v>
      </c>
    </row>
    <row r="477" spans="2:13" x14ac:dyDescent="0.3">
      <c r="B477" s="57">
        <f t="shared" si="31"/>
        <v>474</v>
      </c>
      <c r="C477" s="143">
        <v>46100</v>
      </c>
      <c r="D477" s="57" t="s">
        <v>435</v>
      </c>
      <c r="E477" s="57" t="s">
        <v>146</v>
      </c>
      <c r="F477" s="57" t="s">
        <v>300</v>
      </c>
      <c r="G477" s="57" t="s">
        <v>498</v>
      </c>
      <c r="H477" s="140" t="s">
        <v>441</v>
      </c>
      <c r="I477" s="57"/>
      <c r="J477" s="165">
        <f t="shared" ref="J477:J479" si="35">L477/K477</f>
        <v>10.416666666666666</v>
      </c>
      <c r="K477" s="57">
        <v>96</v>
      </c>
      <c r="L477" s="164">
        <v>1000</v>
      </c>
    </row>
    <row r="478" spans="2:13" x14ac:dyDescent="0.3">
      <c r="B478" s="57">
        <f t="shared" si="31"/>
        <v>475</v>
      </c>
      <c r="C478" s="143">
        <v>46101</v>
      </c>
      <c r="D478" s="152" t="s">
        <v>435</v>
      </c>
      <c r="E478" s="57" t="s">
        <v>146</v>
      </c>
      <c r="F478" s="57" t="s">
        <v>300</v>
      </c>
      <c r="G478" s="57" t="s">
        <v>438</v>
      </c>
      <c r="H478" s="140" t="s">
        <v>4088</v>
      </c>
      <c r="I478" s="57"/>
      <c r="J478" s="165">
        <f t="shared" si="35"/>
        <v>56.269374999999997</v>
      </c>
      <c r="K478" s="57">
        <v>96</v>
      </c>
      <c r="L478" s="164">
        <v>5401.86</v>
      </c>
    </row>
    <row r="479" spans="2:13" x14ac:dyDescent="0.3">
      <c r="B479" s="57">
        <f t="shared" si="31"/>
        <v>476</v>
      </c>
      <c r="C479" s="143">
        <v>46101</v>
      </c>
      <c r="D479" s="152" t="s">
        <v>435</v>
      </c>
      <c r="E479" s="57" t="s">
        <v>146</v>
      </c>
      <c r="F479" s="57" t="s">
        <v>300</v>
      </c>
      <c r="G479" s="57" t="s">
        <v>438</v>
      </c>
      <c r="H479" s="140" t="s">
        <v>4092</v>
      </c>
      <c r="I479" s="57"/>
      <c r="J479" s="165">
        <f t="shared" si="35"/>
        <v>173.46875</v>
      </c>
      <c r="K479" s="57">
        <v>96</v>
      </c>
      <c r="L479" s="164">
        <v>16653</v>
      </c>
    </row>
    <row r="480" spans="2:13" x14ac:dyDescent="0.3">
      <c r="B480" s="57">
        <f t="shared" si="31"/>
        <v>477</v>
      </c>
      <c r="C480" s="143">
        <v>46101</v>
      </c>
      <c r="D480" s="152" t="s">
        <v>435</v>
      </c>
      <c r="E480" s="57" t="s">
        <v>434</v>
      </c>
      <c r="F480" s="57" t="s">
        <v>433</v>
      </c>
      <c r="G480" s="57" t="s">
        <v>432</v>
      </c>
      <c r="H480" s="140" t="s">
        <v>757</v>
      </c>
      <c r="I480" s="57"/>
      <c r="J480" s="57"/>
      <c r="L480" s="164">
        <v>6970</v>
      </c>
    </row>
    <row r="481" spans="2:13" x14ac:dyDescent="0.3">
      <c r="B481" s="57">
        <f t="shared" si="31"/>
        <v>478</v>
      </c>
      <c r="C481" s="143">
        <v>46101</v>
      </c>
      <c r="D481" s="152" t="s">
        <v>435</v>
      </c>
      <c r="E481" s="57" t="s">
        <v>434</v>
      </c>
      <c r="F481" s="57" t="s">
        <v>433</v>
      </c>
      <c r="G481" s="57" t="s">
        <v>432</v>
      </c>
      <c r="H481" s="140" t="s">
        <v>757</v>
      </c>
      <c r="I481" s="57"/>
      <c r="J481" s="57"/>
      <c r="L481" s="164">
        <v>2200</v>
      </c>
      <c r="M481" s="57" t="s">
        <v>756</v>
      </c>
    </row>
    <row r="482" spans="2:13" x14ac:dyDescent="0.3">
      <c r="B482" s="57">
        <f t="shared" si="31"/>
        <v>479</v>
      </c>
      <c r="C482" s="143">
        <v>46101</v>
      </c>
      <c r="D482" s="152" t="s">
        <v>435</v>
      </c>
      <c r="E482" s="57" t="s">
        <v>434</v>
      </c>
      <c r="F482" s="57" t="s">
        <v>433</v>
      </c>
      <c r="G482" s="57" t="s">
        <v>432</v>
      </c>
      <c r="H482" s="140" t="s">
        <v>755</v>
      </c>
      <c r="I482" s="57"/>
      <c r="J482" s="57"/>
      <c r="L482" s="164">
        <v>2400</v>
      </c>
    </row>
    <row r="483" spans="2:13" x14ac:dyDescent="0.3">
      <c r="B483" s="57">
        <f t="shared" si="31"/>
        <v>480</v>
      </c>
      <c r="C483" s="143">
        <v>46101</v>
      </c>
      <c r="D483" s="152" t="s">
        <v>435</v>
      </c>
      <c r="E483" s="57" t="s">
        <v>434</v>
      </c>
      <c r="F483" s="57" t="s">
        <v>433</v>
      </c>
      <c r="G483" s="57" t="s">
        <v>432</v>
      </c>
      <c r="H483" s="140" t="s">
        <v>725</v>
      </c>
      <c r="I483" s="57"/>
      <c r="J483" s="57"/>
      <c r="L483" s="164">
        <v>1218</v>
      </c>
    </row>
    <row r="484" spans="2:13" x14ac:dyDescent="0.3">
      <c r="B484" s="57">
        <f t="shared" si="31"/>
        <v>481</v>
      </c>
      <c r="C484" s="143">
        <v>46101</v>
      </c>
      <c r="D484" s="152" t="s">
        <v>435</v>
      </c>
      <c r="E484" s="57" t="s">
        <v>481</v>
      </c>
      <c r="F484" s="57" t="s">
        <v>433</v>
      </c>
      <c r="G484" s="57" t="s">
        <v>432</v>
      </c>
      <c r="H484" s="140" t="s">
        <v>754</v>
      </c>
      <c r="I484" s="57"/>
      <c r="J484" s="57"/>
      <c r="L484" s="164">
        <v>1250</v>
      </c>
    </row>
    <row r="485" spans="2:13" x14ac:dyDescent="0.3">
      <c r="B485" s="57">
        <f t="shared" si="31"/>
        <v>482</v>
      </c>
      <c r="C485" s="143">
        <v>46101</v>
      </c>
      <c r="D485" s="152" t="s">
        <v>435</v>
      </c>
      <c r="E485" s="57" t="s">
        <v>986</v>
      </c>
      <c r="F485" s="57" t="s">
        <v>446</v>
      </c>
      <c r="G485" s="57" t="s">
        <v>352</v>
      </c>
      <c r="H485" s="140" t="s">
        <v>753</v>
      </c>
      <c r="I485" s="57" t="s">
        <v>986</v>
      </c>
      <c r="J485" s="57">
        <v>50</v>
      </c>
      <c r="K485" s="167">
        <f>L485/J485</f>
        <v>78</v>
      </c>
      <c r="L485" s="164">
        <v>3900</v>
      </c>
    </row>
    <row r="486" spans="2:13" x14ac:dyDescent="0.3">
      <c r="B486" s="57">
        <f t="shared" si="31"/>
        <v>483</v>
      </c>
      <c r="C486" s="143">
        <v>46101</v>
      </c>
      <c r="D486" s="152" t="s">
        <v>435</v>
      </c>
      <c r="E486" s="57" t="s">
        <v>958</v>
      </c>
      <c r="F486" s="57" t="s">
        <v>350</v>
      </c>
      <c r="G486" s="57" t="s">
        <v>675</v>
      </c>
      <c r="H486" s="140" t="s">
        <v>752</v>
      </c>
      <c r="I486" s="57"/>
      <c r="J486" s="57"/>
      <c r="L486" s="164">
        <v>7500</v>
      </c>
    </row>
    <row r="487" spans="2:13" x14ac:dyDescent="0.3">
      <c r="B487" s="57">
        <f t="shared" si="31"/>
        <v>484</v>
      </c>
      <c r="C487" s="143">
        <v>46101</v>
      </c>
      <c r="D487" s="152" t="s">
        <v>435</v>
      </c>
      <c r="E487" s="57" t="s">
        <v>146</v>
      </c>
      <c r="F487" s="57" t="s">
        <v>502</v>
      </c>
      <c r="G487" s="57" t="s">
        <v>257</v>
      </c>
      <c r="H487" s="140" t="s">
        <v>4100</v>
      </c>
      <c r="I487" s="57"/>
      <c r="J487" s="165">
        <f>L487/K487</f>
        <v>10.416666666666666</v>
      </c>
      <c r="K487" s="57">
        <v>96</v>
      </c>
      <c r="L487" s="164">
        <v>1000</v>
      </c>
    </row>
    <row r="488" spans="2:13" x14ac:dyDescent="0.3">
      <c r="B488" s="57">
        <f t="shared" si="31"/>
        <v>485</v>
      </c>
      <c r="C488" s="143">
        <v>46101</v>
      </c>
      <c r="D488" s="152" t="s">
        <v>435</v>
      </c>
      <c r="E488" s="57" t="s">
        <v>477</v>
      </c>
      <c r="F488" s="57" t="s">
        <v>300</v>
      </c>
      <c r="G488" s="57" t="s">
        <v>438</v>
      </c>
      <c r="H488" s="140" t="s">
        <v>731</v>
      </c>
      <c r="I488" s="57"/>
      <c r="J488" s="57"/>
      <c r="L488" s="164">
        <v>5000</v>
      </c>
    </row>
    <row r="489" spans="2:13" x14ac:dyDescent="0.3">
      <c r="B489" s="57">
        <f t="shared" si="31"/>
        <v>486</v>
      </c>
      <c r="C489" s="143">
        <v>46101</v>
      </c>
      <c r="D489" s="152" t="s">
        <v>435</v>
      </c>
      <c r="E489" s="57" t="s">
        <v>434</v>
      </c>
      <c r="F489" s="57" t="s">
        <v>436</v>
      </c>
      <c r="G489" s="57" t="s">
        <v>480</v>
      </c>
      <c r="H489" s="140" t="s">
        <v>460</v>
      </c>
      <c r="I489" s="57"/>
      <c r="J489" s="57"/>
      <c r="L489" s="164">
        <v>1150</v>
      </c>
    </row>
    <row r="490" spans="2:13" x14ac:dyDescent="0.3">
      <c r="B490" s="57">
        <f t="shared" si="31"/>
        <v>487</v>
      </c>
      <c r="C490" s="143">
        <v>46102</v>
      </c>
      <c r="D490" s="152" t="s">
        <v>435</v>
      </c>
      <c r="E490" s="57" t="s">
        <v>986</v>
      </c>
      <c r="F490" s="57" t="s">
        <v>446</v>
      </c>
      <c r="G490" s="57" t="s">
        <v>359</v>
      </c>
      <c r="H490" s="140" t="s">
        <v>751</v>
      </c>
      <c r="I490" s="57" t="s">
        <v>986</v>
      </c>
      <c r="J490" s="57">
        <v>50</v>
      </c>
      <c r="L490" s="164">
        <v>4800</v>
      </c>
    </row>
    <row r="491" spans="2:13" x14ac:dyDescent="0.3">
      <c r="B491" s="57">
        <f t="shared" si="31"/>
        <v>488</v>
      </c>
      <c r="C491" s="143">
        <v>46102</v>
      </c>
      <c r="D491" s="152" t="s">
        <v>435</v>
      </c>
      <c r="E491" s="57" t="s">
        <v>397</v>
      </c>
      <c r="F491" s="57" t="s">
        <v>502</v>
      </c>
      <c r="G491" s="57" t="s">
        <v>257</v>
      </c>
      <c r="H491" s="140" t="s">
        <v>750</v>
      </c>
      <c r="I491" s="57"/>
      <c r="J491" s="57"/>
      <c r="L491" s="164">
        <v>50890</v>
      </c>
    </row>
    <row r="492" spans="2:13" x14ac:dyDescent="0.3">
      <c r="B492" s="57">
        <f t="shared" si="31"/>
        <v>489</v>
      </c>
      <c r="C492" s="143">
        <v>46102</v>
      </c>
      <c r="D492" s="152" t="s">
        <v>435</v>
      </c>
      <c r="E492" s="57" t="s">
        <v>481</v>
      </c>
      <c r="F492" s="57" t="s">
        <v>436</v>
      </c>
      <c r="G492" s="57" t="s">
        <v>480</v>
      </c>
      <c r="H492" s="140" t="s">
        <v>749</v>
      </c>
      <c r="I492" s="57"/>
      <c r="J492" s="57"/>
      <c r="L492" s="164">
        <v>500</v>
      </c>
    </row>
    <row r="493" spans="2:13" x14ac:dyDescent="0.3">
      <c r="B493" s="57">
        <f t="shared" si="31"/>
        <v>490</v>
      </c>
      <c r="C493" s="143">
        <v>46102</v>
      </c>
      <c r="D493" s="152" t="s">
        <v>435</v>
      </c>
      <c r="E493" s="57" t="s">
        <v>434</v>
      </c>
      <c r="F493" s="57" t="s">
        <v>436</v>
      </c>
      <c r="G493" s="57" t="s">
        <v>480</v>
      </c>
      <c r="H493" s="140" t="s">
        <v>748</v>
      </c>
      <c r="I493" s="57"/>
      <c r="J493" s="57"/>
      <c r="L493" s="164">
        <v>5120</v>
      </c>
    </row>
    <row r="494" spans="2:13" x14ac:dyDescent="0.3">
      <c r="B494" s="57">
        <f t="shared" si="31"/>
        <v>491</v>
      </c>
      <c r="C494" s="143">
        <v>46102</v>
      </c>
      <c r="D494" s="152" t="s">
        <v>435</v>
      </c>
      <c r="E494" s="57" t="s">
        <v>600</v>
      </c>
      <c r="F494" s="57" t="s">
        <v>300</v>
      </c>
      <c r="G494" s="57" t="s">
        <v>438</v>
      </c>
      <c r="H494" s="140" t="s">
        <v>747</v>
      </c>
      <c r="I494" s="57"/>
      <c r="J494" s="57"/>
      <c r="L494" s="164">
        <v>10000</v>
      </c>
    </row>
    <row r="495" spans="2:13" x14ac:dyDescent="0.3">
      <c r="B495" s="57">
        <f t="shared" si="31"/>
        <v>492</v>
      </c>
      <c r="C495" s="143">
        <v>46102</v>
      </c>
      <c r="D495" s="152" t="s">
        <v>435</v>
      </c>
      <c r="E495" s="57" t="s">
        <v>450</v>
      </c>
      <c r="F495" s="57" t="s">
        <v>300</v>
      </c>
      <c r="G495" s="57" t="s">
        <v>438</v>
      </c>
      <c r="H495" s="140" t="s">
        <v>4093</v>
      </c>
      <c r="I495" s="57"/>
      <c r="J495" s="165">
        <f>L495/K495</f>
        <v>31.25</v>
      </c>
      <c r="K495" s="57">
        <v>96</v>
      </c>
      <c r="L495" s="164">
        <v>3000</v>
      </c>
    </row>
    <row r="496" spans="2:13" x14ac:dyDescent="0.3">
      <c r="B496" s="57">
        <f t="shared" si="31"/>
        <v>493</v>
      </c>
      <c r="C496" s="143">
        <v>46102</v>
      </c>
      <c r="D496" s="152" t="s">
        <v>435</v>
      </c>
      <c r="E496" s="57" t="s">
        <v>459</v>
      </c>
      <c r="F496" s="57" t="s">
        <v>350</v>
      </c>
      <c r="G496" s="57" t="s">
        <v>452</v>
      </c>
      <c r="H496" s="140" t="s">
        <v>746</v>
      </c>
      <c r="I496" s="57"/>
      <c r="J496" s="57"/>
      <c r="L496" s="164">
        <v>200</v>
      </c>
    </row>
    <row r="497" spans="2:12" x14ac:dyDescent="0.3">
      <c r="B497" s="57">
        <f t="shared" si="31"/>
        <v>494</v>
      </c>
      <c r="C497" s="143">
        <v>46102</v>
      </c>
      <c r="D497" s="152" t="s">
        <v>435</v>
      </c>
      <c r="E497" s="57" t="s">
        <v>146</v>
      </c>
      <c r="F497" s="57" t="s">
        <v>300</v>
      </c>
      <c r="G497" s="57" t="s">
        <v>438</v>
      </c>
      <c r="H497" s="140" t="s">
        <v>894</v>
      </c>
      <c r="I497" s="57"/>
      <c r="J497" s="165">
        <f t="shared" ref="J497:J498" si="36">L497/K497</f>
        <v>40.319791666666667</v>
      </c>
      <c r="K497" s="57">
        <v>96</v>
      </c>
      <c r="L497" s="164">
        <v>3870.7</v>
      </c>
    </row>
    <row r="498" spans="2:12" x14ac:dyDescent="0.3">
      <c r="B498" s="57">
        <f t="shared" si="31"/>
        <v>495</v>
      </c>
      <c r="C498" s="143">
        <v>46102</v>
      </c>
      <c r="D498" s="152" t="s">
        <v>435</v>
      </c>
      <c r="E498" s="57" t="s">
        <v>146</v>
      </c>
      <c r="F498" s="57" t="s">
        <v>446</v>
      </c>
      <c r="G498" s="57" t="s">
        <v>316</v>
      </c>
      <c r="H498" s="140" t="s">
        <v>879</v>
      </c>
      <c r="I498" s="57"/>
      <c r="J498" s="165">
        <f t="shared" si="36"/>
        <v>34.422395833333333</v>
      </c>
      <c r="K498" s="57">
        <v>96</v>
      </c>
      <c r="L498" s="164">
        <v>3304.55</v>
      </c>
    </row>
    <row r="499" spans="2:12" x14ac:dyDescent="0.3">
      <c r="B499" s="57">
        <f t="shared" si="31"/>
        <v>496</v>
      </c>
      <c r="C499" s="143">
        <v>46102</v>
      </c>
      <c r="D499" s="152" t="s">
        <v>435</v>
      </c>
      <c r="E499" s="57" t="s">
        <v>434</v>
      </c>
      <c r="F499" s="57" t="s">
        <v>350</v>
      </c>
      <c r="G499" s="57" t="s">
        <v>675</v>
      </c>
      <c r="H499" s="140" t="s">
        <v>648</v>
      </c>
      <c r="I499" s="57"/>
      <c r="J499" s="57"/>
      <c r="L499" s="164">
        <v>500</v>
      </c>
    </row>
    <row r="500" spans="2:12" x14ac:dyDescent="0.3">
      <c r="B500" s="57">
        <f t="shared" si="31"/>
        <v>497</v>
      </c>
      <c r="C500" s="143">
        <v>46102</v>
      </c>
      <c r="D500" s="152" t="s">
        <v>435</v>
      </c>
      <c r="E500" s="57" t="s">
        <v>434</v>
      </c>
      <c r="F500" s="57" t="s">
        <v>446</v>
      </c>
      <c r="G500" s="57" t="s">
        <v>352</v>
      </c>
      <c r="H500" s="140" t="s">
        <v>745</v>
      </c>
      <c r="I500" s="57"/>
      <c r="J500" s="57"/>
      <c r="L500" s="164">
        <v>1505</v>
      </c>
    </row>
    <row r="501" spans="2:12" x14ac:dyDescent="0.3">
      <c r="B501" s="57">
        <f t="shared" si="31"/>
        <v>498</v>
      </c>
      <c r="C501" s="143">
        <v>46102</v>
      </c>
      <c r="D501" s="152" t="s">
        <v>435</v>
      </c>
      <c r="E501" s="57" t="s">
        <v>450</v>
      </c>
      <c r="F501" s="57" t="s">
        <v>300</v>
      </c>
      <c r="G501" s="57" t="s">
        <v>438</v>
      </c>
      <c r="H501" s="140" t="s">
        <v>693</v>
      </c>
      <c r="I501" s="57"/>
      <c r="J501" s="165">
        <f>L501/K501</f>
        <v>54.939583333333331</v>
      </c>
      <c r="K501" s="57">
        <v>96</v>
      </c>
      <c r="L501" s="164">
        <v>5274.2</v>
      </c>
    </row>
    <row r="502" spans="2:12" x14ac:dyDescent="0.3">
      <c r="B502" s="57">
        <f t="shared" si="31"/>
        <v>499</v>
      </c>
      <c r="C502" s="143">
        <v>46102</v>
      </c>
      <c r="D502" s="152" t="s">
        <v>435</v>
      </c>
      <c r="E502" s="57" t="s">
        <v>434</v>
      </c>
      <c r="F502" s="57" t="s">
        <v>300</v>
      </c>
      <c r="G502" s="57" t="s">
        <v>438</v>
      </c>
      <c r="H502" s="140" t="s">
        <v>744</v>
      </c>
      <c r="I502" s="57"/>
      <c r="J502" s="57"/>
      <c r="L502" s="164">
        <v>190</v>
      </c>
    </row>
    <row r="503" spans="2:12" x14ac:dyDescent="0.3">
      <c r="B503" s="57">
        <f t="shared" si="31"/>
        <v>500</v>
      </c>
      <c r="C503" s="143">
        <v>46102</v>
      </c>
      <c r="D503" s="152" t="s">
        <v>435</v>
      </c>
      <c r="E503" s="57" t="s">
        <v>590</v>
      </c>
      <c r="F503" s="57" t="s">
        <v>300</v>
      </c>
      <c r="G503" s="57" t="s">
        <v>438</v>
      </c>
      <c r="H503" s="140" t="s">
        <v>743</v>
      </c>
      <c r="I503" s="57"/>
      <c r="J503" s="57"/>
      <c r="L503" s="164">
        <v>6720</v>
      </c>
    </row>
    <row r="504" spans="2:12" x14ac:dyDescent="0.3">
      <c r="B504" s="57">
        <f t="shared" si="31"/>
        <v>501</v>
      </c>
      <c r="C504" s="143">
        <v>46102</v>
      </c>
      <c r="D504" s="152" t="s">
        <v>435</v>
      </c>
      <c r="E504" s="57" t="s">
        <v>2037</v>
      </c>
      <c r="F504" s="57" t="s">
        <v>433</v>
      </c>
      <c r="G504" s="57" t="s">
        <v>432</v>
      </c>
      <c r="H504" s="140" t="s">
        <v>742</v>
      </c>
      <c r="I504" s="57"/>
      <c r="J504" s="57"/>
      <c r="L504" s="164">
        <f>4*2300</f>
        <v>9200</v>
      </c>
    </row>
    <row r="505" spans="2:12" x14ac:dyDescent="0.3">
      <c r="B505" s="57">
        <f t="shared" si="31"/>
        <v>502</v>
      </c>
      <c r="C505" s="143">
        <v>46103</v>
      </c>
      <c r="D505" s="57" t="s">
        <v>435</v>
      </c>
      <c r="E505" s="57" t="s">
        <v>782</v>
      </c>
      <c r="F505" s="57" t="s">
        <v>300</v>
      </c>
      <c r="G505" s="57" t="s">
        <v>530</v>
      </c>
      <c r="H505" s="140" t="s">
        <v>974</v>
      </c>
      <c r="I505" s="57"/>
      <c r="J505" s="57"/>
      <c r="L505" s="164">
        <v>734420</v>
      </c>
    </row>
    <row r="506" spans="2:12" x14ac:dyDescent="0.3">
      <c r="B506" s="57">
        <f t="shared" si="31"/>
        <v>503</v>
      </c>
      <c r="C506" s="143">
        <v>46103</v>
      </c>
      <c r="D506" s="57" t="s">
        <v>435</v>
      </c>
      <c r="E506" s="57" t="s">
        <v>975</v>
      </c>
      <c r="F506" s="57" t="s">
        <v>300</v>
      </c>
      <c r="G506" s="57" t="s">
        <v>530</v>
      </c>
      <c r="H506" s="140" t="s">
        <v>976</v>
      </c>
      <c r="I506" s="57"/>
      <c r="J506" s="57"/>
      <c r="L506" s="164">
        <v>13000</v>
      </c>
    </row>
    <row r="507" spans="2:12" x14ac:dyDescent="0.3">
      <c r="B507" s="57">
        <f t="shared" si="31"/>
        <v>504</v>
      </c>
      <c r="C507" s="143">
        <v>46103</v>
      </c>
      <c r="D507" s="152" t="s">
        <v>435</v>
      </c>
      <c r="E507" s="57" t="s">
        <v>767</v>
      </c>
      <c r="F507" s="57" t="s">
        <v>300</v>
      </c>
      <c r="G507" s="57" t="s">
        <v>438</v>
      </c>
      <c r="H507" s="140" t="s">
        <v>741</v>
      </c>
      <c r="I507" s="57"/>
      <c r="J507" s="57"/>
      <c r="L507" s="164">
        <v>7000</v>
      </c>
    </row>
    <row r="508" spans="2:12" x14ac:dyDescent="0.3">
      <c r="B508" s="57">
        <f t="shared" si="31"/>
        <v>505</v>
      </c>
      <c r="C508" s="143">
        <v>46103</v>
      </c>
      <c r="D508" s="152" t="s">
        <v>435</v>
      </c>
      <c r="E508" s="57" t="s">
        <v>2022</v>
      </c>
      <c r="F508" s="57" t="s">
        <v>300</v>
      </c>
      <c r="G508" s="57" t="s">
        <v>585</v>
      </c>
      <c r="H508" s="140" t="s">
        <v>739</v>
      </c>
      <c r="I508" s="57"/>
      <c r="J508" s="57"/>
      <c r="L508" s="164">
        <v>3290</v>
      </c>
    </row>
    <row r="509" spans="2:12" x14ac:dyDescent="0.3">
      <c r="B509" s="57">
        <f t="shared" si="31"/>
        <v>506</v>
      </c>
      <c r="C509" s="143">
        <v>46103</v>
      </c>
      <c r="D509" s="152" t="s">
        <v>435</v>
      </c>
      <c r="E509" s="57" t="s">
        <v>767</v>
      </c>
      <c r="F509" s="57" t="s">
        <v>300</v>
      </c>
      <c r="G509" s="57" t="s">
        <v>526</v>
      </c>
      <c r="H509" s="140" t="s">
        <v>740</v>
      </c>
      <c r="I509" s="57"/>
      <c r="J509" s="57"/>
      <c r="L509" s="164">
        <v>1000</v>
      </c>
    </row>
    <row r="510" spans="2:12" x14ac:dyDescent="0.3">
      <c r="B510" s="57">
        <f t="shared" si="31"/>
        <v>507</v>
      </c>
      <c r="C510" s="143">
        <v>46103</v>
      </c>
      <c r="D510" s="152" t="s">
        <v>435</v>
      </c>
      <c r="E510" s="57" t="s">
        <v>146</v>
      </c>
      <c r="F510" s="57" t="s">
        <v>350</v>
      </c>
      <c r="G510" s="57" t="s">
        <v>452</v>
      </c>
      <c r="H510" s="140" t="s">
        <v>441</v>
      </c>
      <c r="I510" s="57"/>
      <c r="J510" s="165">
        <f>L510/K510</f>
        <v>20.833333333333332</v>
      </c>
      <c r="K510" s="57">
        <v>96</v>
      </c>
      <c r="L510" s="164">
        <v>2000</v>
      </c>
    </row>
    <row r="511" spans="2:12" x14ac:dyDescent="0.3">
      <c r="B511" s="57">
        <f t="shared" si="31"/>
        <v>508</v>
      </c>
      <c r="C511" s="143">
        <v>46103</v>
      </c>
      <c r="D511" s="152" t="s">
        <v>435</v>
      </c>
      <c r="E511" s="57" t="s">
        <v>477</v>
      </c>
      <c r="F511" s="57" t="s">
        <v>300</v>
      </c>
      <c r="G511" s="57" t="s">
        <v>438</v>
      </c>
      <c r="H511" s="140" t="s">
        <v>731</v>
      </c>
      <c r="I511" s="57"/>
      <c r="J511" s="57"/>
      <c r="L511" s="164">
        <v>30000</v>
      </c>
    </row>
    <row r="512" spans="2:12" x14ac:dyDescent="0.3">
      <c r="B512" s="57">
        <f t="shared" si="31"/>
        <v>509</v>
      </c>
      <c r="C512" s="143">
        <v>46103</v>
      </c>
      <c r="D512" s="152" t="s">
        <v>435</v>
      </c>
      <c r="E512" s="57" t="s">
        <v>4008</v>
      </c>
      <c r="F512" s="57" t="s">
        <v>300</v>
      </c>
      <c r="G512" s="57" t="s">
        <v>438</v>
      </c>
      <c r="H512" s="140" t="s">
        <v>730</v>
      </c>
      <c r="I512" s="57"/>
      <c r="J512" s="57"/>
      <c r="L512" s="164">
        <v>50000</v>
      </c>
    </row>
    <row r="513" spans="2:12" x14ac:dyDescent="0.3">
      <c r="B513" s="57">
        <f t="shared" si="31"/>
        <v>510</v>
      </c>
      <c r="C513" s="143">
        <v>46103</v>
      </c>
      <c r="D513" s="152" t="s">
        <v>435</v>
      </c>
      <c r="E513" s="57" t="s">
        <v>600</v>
      </c>
      <c r="F513" s="57" t="s">
        <v>433</v>
      </c>
      <c r="G513" s="57" t="s">
        <v>432</v>
      </c>
      <c r="H513" s="140" t="s">
        <v>729</v>
      </c>
      <c r="I513" s="57"/>
      <c r="J513" s="57"/>
      <c r="L513" s="164">
        <v>2000</v>
      </c>
    </row>
    <row r="514" spans="2:12" x14ac:dyDescent="0.3">
      <c r="B514" s="57">
        <f t="shared" si="31"/>
        <v>511</v>
      </c>
      <c r="C514" s="143">
        <v>46104</v>
      </c>
      <c r="D514" s="152" t="s">
        <v>435</v>
      </c>
      <c r="E514" s="57" t="s">
        <v>434</v>
      </c>
      <c r="F514" s="57" t="s">
        <v>446</v>
      </c>
      <c r="G514" s="57" t="s">
        <v>446</v>
      </c>
      <c r="H514" s="140" t="s">
        <v>728</v>
      </c>
      <c r="I514" s="57"/>
      <c r="J514" s="57"/>
      <c r="L514" s="164">
        <v>9800</v>
      </c>
    </row>
    <row r="515" spans="2:12" x14ac:dyDescent="0.3">
      <c r="B515" s="57">
        <f t="shared" si="31"/>
        <v>512</v>
      </c>
      <c r="C515" s="143">
        <v>46104</v>
      </c>
      <c r="D515" s="152" t="s">
        <v>435</v>
      </c>
      <c r="E515" s="57" t="s">
        <v>146</v>
      </c>
      <c r="F515" s="57" t="s">
        <v>300</v>
      </c>
      <c r="G515" s="57" t="s">
        <v>438</v>
      </c>
      <c r="H515" s="140" t="s">
        <v>441</v>
      </c>
      <c r="I515" s="57"/>
      <c r="J515" s="165">
        <f t="shared" ref="J515:J517" si="37">L515/K515</f>
        <v>41.666666666666664</v>
      </c>
      <c r="K515" s="57">
        <v>96</v>
      </c>
      <c r="L515" s="164">
        <v>4000</v>
      </c>
    </row>
    <row r="516" spans="2:12" x14ac:dyDescent="0.3">
      <c r="B516" s="57">
        <f t="shared" si="31"/>
        <v>513</v>
      </c>
      <c r="C516" s="143">
        <v>46104</v>
      </c>
      <c r="D516" s="152" t="s">
        <v>435</v>
      </c>
      <c r="E516" s="57" t="s">
        <v>146</v>
      </c>
      <c r="F516" s="57" t="s">
        <v>350</v>
      </c>
      <c r="G516" s="57" t="s">
        <v>675</v>
      </c>
      <c r="H516" s="140" t="s">
        <v>441</v>
      </c>
      <c r="I516" s="57"/>
      <c r="J516" s="165">
        <f t="shared" si="37"/>
        <v>20.833333333333332</v>
      </c>
      <c r="K516" s="57">
        <v>96</v>
      </c>
      <c r="L516" s="164">
        <v>2000</v>
      </c>
    </row>
    <row r="517" spans="2:12" x14ac:dyDescent="0.3">
      <c r="B517" s="57">
        <f t="shared" si="31"/>
        <v>514</v>
      </c>
      <c r="C517" s="143">
        <v>46104</v>
      </c>
      <c r="D517" s="152" t="s">
        <v>435</v>
      </c>
      <c r="E517" s="57" t="s">
        <v>146</v>
      </c>
      <c r="F517" s="57" t="s">
        <v>446</v>
      </c>
      <c r="G517" s="57" t="s">
        <v>352</v>
      </c>
      <c r="H517" s="140" t="s">
        <v>441</v>
      </c>
      <c r="I517" s="57"/>
      <c r="J517" s="165">
        <f t="shared" si="37"/>
        <v>20.833333333333332</v>
      </c>
      <c r="K517" s="57">
        <v>96</v>
      </c>
      <c r="L517" s="164">
        <v>2000</v>
      </c>
    </row>
    <row r="518" spans="2:12" x14ac:dyDescent="0.3">
      <c r="B518" s="57">
        <f t="shared" ref="B518:B581" si="38">+B517+1</f>
        <v>515</v>
      </c>
      <c r="C518" s="143">
        <v>46104</v>
      </c>
      <c r="D518" s="57" t="s">
        <v>435</v>
      </c>
      <c r="E518" s="57" t="s">
        <v>474</v>
      </c>
      <c r="F518" s="57" t="s">
        <v>433</v>
      </c>
      <c r="G518" s="57" t="s">
        <v>432</v>
      </c>
      <c r="H518" s="140" t="s">
        <v>506</v>
      </c>
      <c r="I518" s="57"/>
      <c r="J518" s="57"/>
      <c r="L518" s="164">
        <v>8000</v>
      </c>
    </row>
    <row r="519" spans="2:12" x14ac:dyDescent="0.3">
      <c r="B519" s="57">
        <f t="shared" si="38"/>
        <v>516</v>
      </c>
      <c r="C519" s="143">
        <v>46104</v>
      </c>
      <c r="D519" s="57" t="s">
        <v>435</v>
      </c>
      <c r="E519" s="57" t="s">
        <v>434</v>
      </c>
      <c r="F519" s="57" t="s">
        <v>433</v>
      </c>
      <c r="G519" s="57" t="s">
        <v>432</v>
      </c>
      <c r="H519" s="140" t="s">
        <v>505</v>
      </c>
      <c r="I519" s="57"/>
      <c r="J519" s="57"/>
      <c r="L519" s="164">
        <v>3000</v>
      </c>
    </row>
    <row r="520" spans="2:12" x14ac:dyDescent="0.3">
      <c r="B520" s="57">
        <f t="shared" si="38"/>
        <v>517</v>
      </c>
      <c r="C520" s="143">
        <v>46105</v>
      </c>
      <c r="D520" s="152" t="s">
        <v>435</v>
      </c>
      <c r="E520" s="57" t="s">
        <v>727</v>
      </c>
      <c r="F520" s="57" t="s">
        <v>350</v>
      </c>
      <c r="G520" s="57" t="s">
        <v>350</v>
      </c>
      <c r="H520" s="140" t="s">
        <v>726</v>
      </c>
      <c r="I520" s="57"/>
      <c r="J520" s="57"/>
      <c r="L520" s="164">
        <v>500</v>
      </c>
    </row>
    <row r="521" spans="2:12" x14ac:dyDescent="0.3">
      <c r="B521" s="57">
        <f t="shared" si="38"/>
        <v>518</v>
      </c>
      <c r="C521" s="143">
        <v>46105</v>
      </c>
      <c r="D521" s="152" t="s">
        <v>435</v>
      </c>
      <c r="E521" s="57" t="s">
        <v>146</v>
      </c>
      <c r="F521" s="57" t="s">
        <v>446</v>
      </c>
      <c r="G521" s="57" t="s">
        <v>352</v>
      </c>
      <c r="H521" s="140" t="s">
        <v>441</v>
      </c>
      <c r="I521" s="57"/>
      <c r="J521" s="165">
        <f t="shared" ref="J521:J522" si="39">L521/K521</f>
        <v>37.416666666666664</v>
      </c>
      <c r="K521" s="57">
        <v>96</v>
      </c>
      <c r="L521" s="164">
        <v>3592</v>
      </c>
    </row>
    <row r="522" spans="2:12" x14ac:dyDescent="0.3">
      <c r="B522" s="57">
        <f t="shared" si="38"/>
        <v>519</v>
      </c>
      <c r="C522" s="143">
        <v>46105</v>
      </c>
      <c r="D522" s="152" t="s">
        <v>435</v>
      </c>
      <c r="E522" s="57" t="s">
        <v>146</v>
      </c>
      <c r="F522" s="57" t="s">
        <v>502</v>
      </c>
      <c r="G522" s="57" t="s">
        <v>257</v>
      </c>
      <c r="H522" s="140" t="s">
        <v>441</v>
      </c>
      <c r="I522" s="57"/>
      <c r="J522" s="165">
        <f t="shared" si="39"/>
        <v>31.25</v>
      </c>
      <c r="K522" s="57">
        <v>96</v>
      </c>
      <c r="L522" s="164">
        <v>3000</v>
      </c>
    </row>
    <row r="523" spans="2:12" x14ac:dyDescent="0.3">
      <c r="B523" s="57">
        <f t="shared" si="38"/>
        <v>520</v>
      </c>
      <c r="C523" s="143">
        <v>46105</v>
      </c>
      <c r="D523" s="152" t="s">
        <v>435</v>
      </c>
      <c r="E523" s="57" t="s">
        <v>434</v>
      </c>
      <c r="F523" s="57" t="s">
        <v>446</v>
      </c>
      <c r="G523" s="57" t="s">
        <v>316</v>
      </c>
      <c r="H523" s="140" t="s">
        <v>725</v>
      </c>
      <c r="I523" s="57"/>
      <c r="J523" s="57"/>
      <c r="L523" s="164">
        <v>800</v>
      </c>
    </row>
    <row r="524" spans="2:12" x14ac:dyDescent="0.3">
      <c r="B524" s="57">
        <f t="shared" si="38"/>
        <v>521</v>
      </c>
      <c r="C524" s="143">
        <v>46105</v>
      </c>
      <c r="D524" s="152" t="s">
        <v>435</v>
      </c>
      <c r="E524" s="57" t="s">
        <v>450</v>
      </c>
      <c r="F524" s="57" t="s">
        <v>300</v>
      </c>
      <c r="G524" s="57" t="s">
        <v>438</v>
      </c>
      <c r="H524" s="140" t="s">
        <v>4093</v>
      </c>
      <c r="I524" s="57"/>
      <c r="J524" s="165">
        <f t="shared" ref="J524:J528" si="40">L524/K524</f>
        <v>20.833333333333332</v>
      </c>
      <c r="K524" s="57">
        <v>96</v>
      </c>
      <c r="L524" s="164">
        <v>2000</v>
      </c>
    </row>
    <row r="525" spans="2:12" x14ac:dyDescent="0.3">
      <c r="B525" s="57">
        <f t="shared" si="38"/>
        <v>522</v>
      </c>
      <c r="C525" s="143">
        <v>46105</v>
      </c>
      <c r="D525" s="152" t="s">
        <v>435</v>
      </c>
      <c r="E525" s="57" t="s">
        <v>146</v>
      </c>
      <c r="F525" s="57" t="s">
        <v>436</v>
      </c>
      <c r="G525" s="57" t="s">
        <v>270</v>
      </c>
      <c r="H525" s="140" t="s">
        <v>885</v>
      </c>
      <c r="I525" s="57"/>
      <c r="J525" s="165">
        <f t="shared" si="40"/>
        <v>20.833333333333332</v>
      </c>
      <c r="K525" s="57">
        <v>96</v>
      </c>
      <c r="L525" s="164">
        <v>2000</v>
      </c>
    </row>
    <row r="526" spans="2:12" x14ac:dyDescent="0.3">
      <c r="B526" s="57">
        <f t="shared" si="38"/>
        <v>523</v>
      </c>
      <c r="C526" s="143">
        <v>46105</v>
      </c>
      <c r="D526" s="152" t="s">
        <v>435</v>
      </c>
      <c r="E526" s="57" t="s">
        <v>146</v>
      </c>
      <c r="F526" s="57" t="s">
        <v>446</v>
      </c>
      <c r="G526" s="57" t="s">
        <v>316</v>
      </c>
      <c r="H526" s="140" t="s">
        <v>441</v>
      </c>
      <c r="I526" s="57"/>
      <c r="J526" s="165">
        <f t="shared" si="40"/>
        <v>20.833333333333332</v>
      </c>
      <c r="K526" s="57">
        <v>96</v>
      </c>
      <c r="L526" s="164">
        <v>2000</v>
      </c>
    </row>
    <row r="527" spans="2:12" x14ac:dyDescent="0.3">
      <c r="B527" s="57">
        <f t="shared" si="38"/>
        <v>524</v>
      </c>
      <c r="C527" s="143">
        <v>46106</v>
      </c>
      <c r="D527" s="152" t="s">
        <v>435</v>
      </c>
      <c r="E527" s="57" t="s">
        <v>450</v>
      </c>
      <c r="F527" s="57" t="s">
        <v>300</v>
      </c>
      <c r="G527" s="57" t="s">
        <v>438</v>
      </c>
      <c r="H527" s="140" t="s">
        <v>4093</v>
      </c>
      <c r="I527" s="57"/>
      <c r="J527" s="165">
        <f t="shared" si="40"/>
        <v>31.25</v>
      </c>
      <c r="K527" s="57">
        <v>96</v>
      </c>
      <c r="L527" s="164">
        <v>3000</v>
      </c>
    </row>
    <row r="528" spans="2:12" x14ac:dyDescent="0.3">
      <c r="B528" s="57">
        <f t="shared" si="38"/>
        <v>525</v>
      </c>
      <c r="C528" s="143">
        <v>46106</v>
      </c>
      <c r="D528" s="152" t="s">
        <v>435</v>
      </c>
      <c r="E528" s="57" t="s">
        <v>146</v>
      </c>
      <c r="F528" s="57" t="s">
        <v>350</v>
      </c>
      <c r="G528" s="57" t="s">
        <v>675</v>
      </c>
      <c r="H528" s="140" t="s">
        <v>441</v>
      </c>
      <c r="I528" s="57"/>
      <c r="J528" s="165">
        <f t="shared" si="40"/>
        <v>20.833333333333332</v>
      </c>
      <c r="K528" s="57">
        <v>96</v>
      </c>
      <c r="L528" s="164">
        <v>2000</v>
      </c>
    </row>
    <row r="529" spans="2:12" x14ac:dyDescent="0.3">
      <c r="B529" s="57">
        <f t="shared" si="38"/>
        <v>526</v>
      </c>
      <c r="C529" s="143">
        <v>46106</v>
      </c>
      <c r="D529" s="152" t="s">
        <v>435</v>
      </c>
      <c r="E529" s="57" t="s">
        <v>2427</v>
      </c>
      <c r="F529" s="57" t="s">
        <v>433</v>
      </c>
      <c r="G529" s="57" t="s">
        <v>432</v>
      </c>
      <c r="H529" s="140" t="s">
        <v>724</v>
      </c>
      <c r="I529" s="57" t="s">
        <v>4078</v>
      </c>
      <c r="J529" s="57">
        <v>735</v>
      </c>
      <c r="K529" s="167">
        <f>L529/J529</f>
        <v>60</v>
      </c>
      <c r="L529" s="164">
        <v>44100</v>
      </c>
    </row>
    <row r="530" spans="2:12" x14ac:dyDescent="0.3">
      <c r="B530" s="57">
        <f t="shared" si="38"/>
        <v>527</v>
      </c>
      <c r="C530" s="143">
        <v>46106</v>
      </c>
      <c r="D530" s="152" t="s">
        <v>435</v>
      </c>
      <c r="E530" s="57" t="s">
        <v>2427</v>
      </c>
      <c r="F530" s="57" t="s">
        <v>433</v>
      </c>
      <c r="G530" s="57" t="s">
        <v>432</v>
      </c>
      <c r="H530" s="140" t="s">
        <v>723</v>
      </c>
      <c r="I530" s="57" t="s">
        <v>3443</v>
      </c>
      <c r="J530" s="57">
        <v>504</v>
      </c>
      <c r="K530" s="167">
        <f>L530/J530</f>
        <v>61.5</v>
      </c>
      <c r="L530" s="164">
        <v>30996</v>
      </c>
    </row>
    <row r="531" spans="2:12" x14ac:dyDescent="0.3">
      <c r="B531" s="57">
        <f t="shared" si="38"/>
        <v>528</v>
      </c>
      <c r="C531" s="143">
        <v>46106</v>
      </c>
      <c r="D531" s="152" t="s">
        <v>435</v>
      </c>
      <c r="E531" s="57" t="s">
        <v>4128</v>
      </c>
      <c r="F531" s="57" t="s">
        <v>433</v>
      </c>
      <c r="G531" s="57" t="s">
        <v>432</v>
      </c>
      <c r="H531" s="140" t="s">
        <v>722</v>
      </c>
      <c r="I531" s="57"/>
      <c r="J531" s="57"/>
      <c r="L531" s="164">
        <v>310</v>
      </c>
    </row>
    <row r="532" spans="2:12" x14ac:dyDescent="0.3">
      <c r="B532" s="57">
        <f t="shared" si="38"/>
        <v>529</v>
      </c>
      <c r="C532" s="143">
        <v>46106</v>
      </c>
      <c r="D532" s="152" t="s">
        <v>435</v>
      </c>
      <c r="E532" s="57" t="s">
        <v>459</v>
      </c>
      <c r="F532" s="57" t="s">
        <v>300</v>
      </c>
      <c r="G532" s="57" t="s">
        <v>438</v>
      </c>
      <c r="H532" s="140" t="s">
        <v>721</v>
      </c>
      <c r="I532" s="57"/>
      <c r="J532" s="57"/>
      <c r="L532" s="164">
        <v>850</v>
      </c>
    </row>
    <row r="533" spans="2:12" x14ac:dyDescent="0.3">
      <c r="B533" s="57">
        <f t="shared" si="38"/>
        <v>530</v>
      </c>
      <c r="C533" s="143">
        <v>46106</v>
      </c>
      <c r="D533" s="152" t="s">
        <v>435</v>
      </c>
      <c r="E533" s="57" t="s">
        <v>958</v>
      </c>
      <c r="F533" s="57" t="s">
        <v>300</v>
      </c>
      <c r="G533" s="57" t="s">
        <v>438</v>
      </c>
      <c r="H533" s="140" t="s">
        <v>720</v>
      </c>
      <c r="I533" s="57"/>
      <c r="J533" s="57"/>
      <c r="L533" s="164">
        <v>5000</v>
      </c>
    </row>
    <row r="534" spans="2:12" x14ac:dyDescent="0.3">
      <c r="B534" s="57">
        <f t="shared" si="38"/>
        <v>531</v>
      </c>
      <c r="C534" s="143">
        <v>46106</v>
      </c>
      <c r="D534" s="152" t="s">
        <v>435</v>
      </c>
      <c r="E534" s="57" t="s">
        <v>986</v>
      </c>
      <c r="F534" s="57" t="s">
        <v>300</v>
      </c>
      <c r="G534" s="57" t="s">
        <v>438</v>
      </c>
      <c r="H534" s="140" t="s">
        <v>719</v>
      </c>
      <c r="I534" s="57" t="s">
        <v>986</v>
      </c>
      <c r="J534" s="57">
        <v>50</v>
      </c>
      <c r="K534" s="167">
        <f>L534/J534</f>
        <v>78</v>
      </c>
      <c r="L534" s="164">
        <v>3900</v>
      </c>
    </row>
    <row r="535" spans="2:12" x14ac:dyDescent="0.3">
      <c r="B535" s="57">
        <f t="shared" si="38"/>
        <v>532</v>
      </c>
      <c r="C535" s="143">
        <v>46106</v>
      </c>
      <c r="D535" s="152" t="s">
        <v>435</v>
      </c>
      <c r="E535" s="57" t="s">
        <v>450</v>
      </c>
      <c r="F535" s="57" t="s">
        <v>446</v>
      </c>
      <c r="G535" s="57" t="s">
        <v>352</v>
      </c>
      <c r="H535" s="140" t="s">
        <v>693</v>
      </c>
      <c r="I535" s="57"/>
      <c r="J535" s="165">
        <f>L535/K535</f>
        <v>31.25</v>
      </c>
      <c r="K535" s="57">
        <v>96</v>
      </c>
      <c r="L535" s="164">
        <v>3000</v>
      </c>
    </row>
    <row r="536" spans="2:12" x14ac:dyDescent="0.3">
      <c r="B536" s="57">
        <f t="shared" si="38"/>
        <v>533</v>
      </c>
      <c r="C536" s="143">
        <v>46106</v>
      </c>
      <c r="D536" s="152" t="s">
        <v>435</v>
      </c>
      <c r="E536" s="57" t="s">
        <v>560</v>
      </c>
      <c r="F536" s="57" t="s">
        <v>300</v>
      </c>
      <c r="G536" s="57" t="s">
        <v>438</v>
      </c>
      <c r="H536" s="140" t="s">
        <v>718</v>
      </c>
      <c r="I536" s="57"/>
      <c r="J536" s="57"/>
      <c r="L536" s="164">
        <v>20000</v>
      </c>
    </row>
    <row r="537" spans="2:12" x14ac:dyDescent="0.3">
      <c r="B537" s="57">
        <f t="shared" si="38"/>
        <v>534</v>
      </c>
      <c r="C537" s="143">
        <v>46106</v>
      </c>
      <c r="D537" s="152" t="s">
        <v>435</v>
      </c>
      <c r="E537" s="57" t="s">
        <v>434</v>
      </c>
      <c r="F537" s="57" t="s">
        <v>300</v>
      </c>
      <c r="G537" s="57" t="s">
        <v>438</v>
      </c>
      <c r="H537" s="140" t="s">
        <v>717</v>
      </c>
      <c r="I537" s="57"/>
      <c r="J537" s="57"/>
      <c r="L537" s="164">
        <v>18800</v>
      </c>
    </row>
    <row r="538" spans="2:12" x14ac:dyDescent="0.3">
      <c r="B538" s="57">
        <f t="shared" si="38"/>
        <v>535</v>
      </c>
      <c r="C538" s="143">
        <v>46107</v>
      </c>
      <c r="D538" s="152" t="s">
        <v>435</v>
      </c>
      <c r="E538" s="57" t="s">
        <v>434</v>
      </c>
      <c r="F538" s="57" t="s">
        <v>446</v>
      </c>
      <c r="G538" s="57" t="s">
        <v>352</v>
      </c>
      <c r="H538" s="140" t="s">
        <v>648</v>
      </c>
      <c r="I538" s="57"/>
      <c r="J538" s="57"/>
      <c r="L538" s="164">
        <v>625</v>
      </c>
    </row>
    <row r="539" spans="2:12" x14ac:dyDescent="0.3">
      <c r="B539" s="57">
        <f t="shared" si="38"/>
        <v>536</v>
      </c>
      <c r="C539" s="143">
        <v>46107</v>
      </c>
      <c r="D539" s="152" t="s">
        <v>435</v>
      </c>
      <c r="E539" s="57" t="s">
        <v>146</v>
      </c>
      <c r="F539" s="57" t="s">
        <v>300</v>
      </c>
      <c r="G539" s="57" t="s">
        <v>498</v>
      </c>
      <c r="H539" s="140" t="s">
        <v>441</v>
      </c>
      <c r="I539" s="57"/>
      <c r="J539" s="165">
        <f>L539/K539</f>
        <v>20.833333333333332</v>
      </c>
      <c r="K539" s="57">
        <v>96</v>
      </c>
      <c r="L539" s="164">
        <v>2000</v>
      </c>
    </row>
    <row r="540" spans="2:12" x14ac:dyDescent="0.3">
      <c r="B540" s="57">
        <f t="shared" si="38"/>
        <v>537</v>
      </c>
      <c r="C540" s="143">
        <v>46107</v>
      </c>
      <c r="D540" s="152" t="s">
        <v>435</v>
      </c>
      <c r="E540" s="57" t="s">
        <v>4128</v>
      </c>
      <c r="F540" s="57" t="s">
        <v>502</v>
      </c>
      <c r="G540" s="57" t="s">
        <v>257</v>
      </c>
      <c r="H540" s="140" t="s">
        <v>716</v>
      </c>
      <c r="I540" s="57"/>
      <c r="J540" s="57"/>
      <c r="L540" s="164">
        <v>2000</v>
      </c>
    </row>
    <row r="541" spans="2:12" x14ac:dyDescent="0.3">
      <c r="B541" s="57">
        <f t="shared" si="38"/>
        <v>538</v>
      </c>
      <c r="C541" s="143">
        <v>46107</v>
      </c>
      <c r="D541" s="152" t="s">
        <v>435</v>
      </c>
      <c r="E541" s="57" t="s">
        <v>459</v>
      </c>
      <c r="F541" s="57" t="s">
        <v>436</v>
      </c>
      <c r="G541" s="57" t="s">
        <v>480</v>
      </c>
      <c r="H541" s="140" t="s">
        <v>715</v>
      </c>
      <c r="I541" s="57"/>
      <c r="J541" s="57"/>
      <c r="L541" s="164">
        <v>600</v>
      </c>
    </row>
    <row r="542" spans="2:12" x14ac:dyDescent="0.3">
      <c r="B542" s="57">
        <f t="shared" si="38"/>
        <v>539</v>
      </c>
      <c r="C542" s="143">
        <v>46107</v>
      </c>
      <c r="D542" s="152" t="s">
        <v>435</v>
      </c>
      <c r="E542" s="57" t="s">
        <v>450</v>
      </c>
      <c r="F542" s="57" t="s">
        <v>300</v>
      </c>
      <c r="G542" s="57" t="s">
        <v>438</v>
      </c>
      <c r="H542" s="140" t="s">
        <v>4093</v>
      </c>
      <c r="I542" s="57"/>
      <c r="J542" s="165">
        <f>L542/K542</f>
        <v>31.25</v>
      </c>
      <c r="K542" s="57">
        <v>96</v>
      </c>
      <c r="L542" s="164">
        <v>3000</v>
      </c>
    </row>
    <row r="543" spans="2:12" x14ac:dyDescent="0.3">
      <c r="B543" s="57">
        <f t="shared" si="38"/>
        <v>540</v>
      </c>
      <c r="C543" s="143">
        <v>46107</v>
      </c>
      <c r="D543" s="152" t="s">
        <v>435</v>
      </c>
      <c r="E543" s="57" t="s">
        <v>600</v>
      </c>
      <c r="F543" s="57" t="s">
        <v>300</v>
      </c>
      <c r="G543" s="57" t="s">
        <v>438</v>
      </c>
      <c r="H543" s="140" t="s">
        <v>474</v>
      </c>
      <c r="I543" s="57"/>
      <c r="J543" s="57"/>
      <c r="L543" s="164">
        <v>10000</v>
      </c>
    </row>
    <row r="544" spans="2:12" x14ac:dyDescent="0.3">
      <c r="B544" s="57">
        <f t="shared" si="38"/>
        <v>541</v>
      </c>
      <c r="C544" s="143">
        <v>46107</v>
      </c>
      <c r="D544" s="152" t="s">
        <v>435</v>
      </c>
      <c r="E544" s="57" t="s">
        <v>146</v>
      </c>
      <c r="F544" s="57" t="s">
        <v>300</v>
      </c>
      <c r="G544" s="57" t="s">
        <v>438</v>
      </c>
      <c r="H544" s="140" t="s">
        <v>441</v>
      </c>
      <c r="I544" s="57"/>
      <c r="J544" s="165">
        <f t="shared" ref="J544:J545" si="41">L544/K544</f>
        <v>43.28125</v>
      </c>
      <c r="K544" s="57">
        <v>96</v>
      </c>
      <c r="L544" s="164">
        <v>4155</v>
      </c>
    </row>
    <row r="545" spans="2:12" x14ac:dyDescent="0.3">
      <c r="B545" s="57">
        <f t="shared" si="38"/>
        <v>542</v>
      </c>
      <c r="C545" s="143">
        <v>46107</v>
      </c>
      <c r="D545" s="152" t="s">
        <v>435</v>
      </c>
      <c r="E545" s="57" t="s">
        <v>146</v>
      </c>
      <c r="F545" s="57" t="s">
        <v>446</v>
      </c>
      <c r="G545" s="57" t="s">
        <v>316</v>
      </c>
      <c r="H545" s="140" t="s">
        <v>441</v>
      </c>
      <c r="I545" s="57"/>
      <c r="J545" s="165">
        <f t="shared" si="41"/>
        <v>20.833333333333332</v>
      </c>
      <c r="K545" s="57">
        <v>96</v>
      </c>
      <c r="L545" s="164">
        <v>2000</v>
      </c>
    </row>
    <row r="546" spans="2:12" x14ac:dyDescent="0.3">
      <c r="B546" s="57">
        <f t="shared" si="38"/>
        <v>543</v>
      </c>
      <c r="C546" s="143">
        <v>46107</v>
      </c>
      <c r="D546" s="152" t="s">
        <v>435</v>
      </c>
      <c r="E546" s="57" t="s">
        <v>2022</v>
      </c>
      <c r="F546" s="57" t="s">
        <v>350</v>
      </c>
      <c r="G546" s="57" t="s">
        <v>714</v>
      </c>
      <c r="H546" s="140" t="s">
        <v>713</v>
      </c>
      <c r="I546" s="57"/>
      <c r="J546" s="57"/>
      <c r="L546" s="164">
        <v>220</v>
      </c>
    </row>
    <row r="547" spans="2:12" x14ac:dyDescent="0.3">
      <c r="B547" s="57">
        <f t="shared" si="38"/>
        <v>544</v>
      </c>
      <c r="C547" s="143">
        <v>46107</v>
      </c>
      <c r="D547" s="152" t="s">
        <v>435</v>
      </c>
      <c r="E547" s="57" t="s">
        <v>600</v>
      </c>
      <c r="F547" s="57" t="s">
        <v>300</v>
      </c>
      <c r="G547" s="57" t="s">
        <v>438</v>
      </c>
      <c r="H547" s="140" t="s">
        <v>474</v>
      </c>
      <c r="I547" s="57"/>
      <c r="J547" s="57"/>
      <c r="L547" s="164">
        <v>10000</v>
      </c>
    </row>
    <row r="548" spans="2:12" x14ac:dyDescent="0.3">
      <c r="B548" s="57">
        <f t="shared" si="38"/>
        <v>545</v>
      </c>
      <c r="C548" s="143">
        <v>46107</v>
      </c>
      <c r="D548" s="57" t="s">
        <v>435</v>
      </c>
      <c r="E548" s="57" t="s">
        <v>767</v>
      </c>
      <c r="F548" s="57" t="s">
        <v>433</v>
      </c>
      <c r="G548" s="57" t="s">
        <v>432</v>
      </c>
      <c r="H548" s="140" t="s">
        <v>503</v>
      </c>
      <c r="I548" s="57"/>
      <c r="J548" s="57"/>
      <c r="L548" s="164">
        <v>800</v>
      </c>
    </row>
    <row r="549" spans="2:12" x14ac:dyDescent="0.3">
      <c r="B549" s="57">
        <f t="shared" si="38"/>
        <v>546</v>
      </c>
      <c r="C549" s="143">
        <v>46108</v>
      </c>
      <c r="D549" s="152" t="s">
        <v>435</v>
      </c>
      <c r="E549" s="57" t="s">
        <v>450</v>
      </c>
      <c r="F549" s="57" t="s">
        <v>300</v>
      </c>
      <c r="G549" s="57" t="s">
        <v>438</v>
      </c>
      <c r="H549" s="140" t="s">
        <v>4093</v>
      </c>
      <c r="I549" s="57"/>
      <c r="J549" s="165">
        <f t="shared" ref="J549:J550" si="42">L549/K549</f>
        <v>30.114583333333332</v>
      </c>
      <c r="K549" s="57">
        <v>96</v>
      </c>
      <c r="L549" s="164">
        <v>2891</v>
      </c>
    </row>
    <row r="550" spans="2:12" x14ac:dyDescent="0.3">
      <c r="B550" s="57">
        <f t="shared" si="38"/>
        <v>547</v>
      </c>
      <c r="C550" s="143">
        <v>46108</v>
      </c>
      <c r="D550" s="152" t="s">
        <v>435</v>
      </c>
      <c r="E550" s="57" t="s">
        <v>146</v>
      </c>
      <c r="F550" s="57" t="s">
        <v>300</v>
      </c>
      <c r="G550" s="57" t="s">
        <v>438</v>
      </c>
      <c r="H550" s="140" t="s">
        <v>441</v>
      </c>
      <c r="I550" s="57"/>
      <c r="J550" s="165">
        <f t="shared" si="42"/>
        <v>41.666666666666664</v>
      </c>
      <c r="K550" s="57">
        <v>96</v>
      </c>
      <c r="L550" s="164">
        <v>4000</v>
      </c>
    </row>
    <row r="551" spans="2:12" x14ac:dyDescent="0.3">
      <c r="B551" s="57">
        <f t="shared" si="38"/>
        <v>548</v>
      </c>
      <c r="C551" s="143">
        <v>46108</v>
      </c>
      <c r="D551" s="152" t="s">
        <v>435</v>
      </c>
      <c r="E551" s="57" t="s">
        <v>434</v>
      </c>
      <c r="F551" s="57" t="s">
        <v>446</v>
      </c>
      <c r="G551" s="57" t="s">
        <v>316</v>
      </c>
      <c r="H551" s="140" t="s">
        <v>712</v>
      </c>
      <c r="I551" s="57"/>
      <c r="J551" s="57"/>
      <c r="L551" s="164">
        <v>2441</v>
      </c>
    </row>
    <row r="552" spans="2:12" x14ac:dyDescent="0.3">
      <c r="B552" s="57">
        <f t="shared" si="38"/>
        <v>549</v>
      </c>
      <c r="C552" s="143">
        <v>46108</v>
      </c>
      <c r="D552" s="152" t="s">
        <v>435</v>
      </c>
      <c r="E552" s="57" t="s">
        <v>767</v>
      </c>
      <c r="F552" s="57" t="s">
        <v>446</v>
      </c>
      <c r="G552" s="57" t="s">
        <v>316</v>
      </c>
      <c r="H552" s="140" t="s">
        <v>643</v>
      </c>
      <c r="I552" s="57"/>
      <c r="J552" s="57"/>
      <c r="L552" s="164">
        <v>550</v>
      </c>
    </row>
    <row r="553" spans="2:12" x14ac:dyDescent="0.3">
      <c r="B553" s="57">
        <f t="shared" si="38"/>
        <v>550</v>
      </c>
      <c r="C553" s="143">
        <v>46108</v>
      </c>
      <c r="D553" s="152" t="s">
        <v>435</v>
      </c>
      <c r="E553" s="57" t="s">
        <v>560</v>
      </c>
      <c r="F553" s="57" t="s">
        <v>446</v>
      </c>
      <c r="G553" s="57" t="s">
        <v>316</v>
      </c>
      <c r="H553" s="140" t="s">
        <v>711</v>
      </c>
      <c r="I553" s="57"/>
      <c r="J553" s="57"/>
      <c r="L553" s="164">
        <v>300</v>
      </c>
    </row>
    <row r="554" spans="2:12" x14ac:dyDescent="0.3">
      <c r="B554" s="57">
        <f t="shared" si="38"/>
        <v>551</v>
      </c>
      <c r="C554" s="143">
        <v>46108</v>
      </c>
      <c r="D554" s="152" t="s">
        <v>435</v>
      </c>
      <c r="E554" s="57" t="s">
        <v>481</v>
      </c>
      <c r="F554" s="57" t="s">
        <v>446</v>
      </c>
      <c r="G554" s="57" t="s">
        <v>316</v>
      </c>
      <c r="H554" s="140" t="s">
        <v>710</v>
      </c>
      <c r="I554" s="57"/>
      <c r="J554" s="57"/>
      <c r="L554" s="164">
        <v>400</v>
      </c>
    </row>
    <row r="555" spans="2:12" x14ac:dyDescent="0.3">
      <c r="B555" s="57">
        <f t="shared" si="38"/>
        <v>552</v>
      </c>
      <c r="C555" s="143">
        <v>46108</v>
      </c>
      <c r="D555" s="152" t="s">
        <v>435</v>
      </c>
      <c r="E555" s="57" t="s">
        <v>146</v>
      </c>
      <c r="F555" s="57" t="s">
        <v>300</v>
      </c>
      <c r="G555" s="57" t="s">
        <v>438</v>
      </c>
      <c r="H555" s="140" t="s">
        <v>4092</v>
      </c>
      <c r="I555" s="57"/>
      <c r="J555" s="165">
        <f>L555/K555</f>
        <v>164.29166666666666</v>
      </c>
      <c r="K555" s="57">
        <v>96</v>
      </c>
      <c r="L555" s="164">
        <v>15772</v>
      </c>
    </row>
    <row r="556" spans="2:12" x14ac:dyDescent="0.3">
      <c r="B556" s="57">
        <f t="shared" si="38"/>
        <v>553</v>
      </c>
      <c r="C556" s="143">
        <v>46108</v>
      </c>
      <c r="D556" s="57" t="s">
        <v>435</v>
      </c>
      <c r="E556" s="57" t="s">
        <v>2037</v>
      </c>
      <c r="F556" s="57" t="s">
        <v>433</v>
      </c>
      <c r="G556" s="57" t="s">
        <v>432</v>
      </c>
      <c r="H556" s="140" t="s">
        <v>504</v>
      </c>
      <c r="I556" s="57"/>
      <c r="J556" s="57"/>
      <c r="L556" s="164">
        <v>6900</v>
      </c>
    </row>
    <row r="557" spans="2:12" x14ac:dyDescent="0.3">
      <c r="B557" s="57">
        <f t="shared" si="38"/>
        <v>554</v>
      </c>
      <c r="C557" s="143">
        <v>46108</v>
      </c>
      <c r="D557" s="57" t="s">
        <v>435</v>
      </c>
      <c r="E557" s="57" t="s">
        <v>782</v>
      </c>
      <c r="F557" s="57" t="s">
        <v>300</v>
      </c>
      <c r="G557" s="57" t="s">
        <v>438</v>
      </c>
      <c r="H557" s="140" t="s">
        <v>447</v>
      </c>
      <c r="I557" s="57"/>
      <c r="J557" s="57"/>
      <c r="L557" s="164">
        <v>40000</v>
      </c>
    </row>
    <row r="558" spans="2:12" x14ac:dyDescent="0.3">
      <c r="B558" s="57">
        <f t="shared" si="38"/>
        <v>555</v>
      </c>
      <c r="C558" s="143">
        <v>46108</v>
      </c>
      <c r="D558" s="57" t="s">
        <v>435</v>
      </c>
      <c r="E558" s="57" t="s">
        <v>146</v>
      </c>
      <c r="F558" s="57" t="s">
        <v>446</v>
      </c>
      <c r="G558" s="57" t="s">
        <v>352</v>
      </c>
      <c r="H558" s="140" t="s">
        <v>445</v>
      </c>
      <c r="I558" s="57"/>
      <c r="J558" s="165">
        <f>L558/K558</f>
        <v>31.25</v>
      </c>
      <c r="K558" s="57">
        <v>96</v>
      </c>
      <c r="L558" s="164">
        <v>3000</v>
      </c>
    </row>
    <row r="559" spans="2:12" x14ac:dyDescent="0.3">
      <c r="B559" s="57">
        <f t="shared" si="38"/>
        <v>556</v>
      </c>
      <c r="C559" s="143">
        <v>46108</v>
      </c>
      <c r="D559" s="57" t="s">
        <v>435</v>
      </c>
      <c r="E559" s="57" t="s">
        <v>590</v>
      </c>
      <c r="F559" s="57" t="s">
        <v>300</v>
      </c>
      <c r="G559" s="57" t="s">
        <v>443</v>
      </c>
      <c r="H559" s="140" t="s">
        <v>442</v>
      </c>
      <c r="I559" s="57"/>
      <c r="J559" s="57"/>
      <c r="L559" s="164">
        <v>550</v>
      </c>
    </row>
    <row r="560" spans="2:12" x14ac:dyDescent="0.3">
      <c r="B560" s="57">
        <f t="shared" si="38"/>
        <v>557</v>
      </c>
      <c r="C560" s="143">
        <v>46108</v>
      </c>
      <c r="D560" s="57" t="s">
        <v>435</v>
      </c>
      <c r="E560" s="57" t="s">
        <v>146</v>
      </c>
      <c r="F560" s="57" t="s">
        <v>300</v>
      </c>
      <c r="G560" s="57" t="s">
        <v>303</v>
      </c>
      <c r="H560" s="140" t="s">
        <v>441</v>
      </c>
      <c r="I560" s="57"/>
      <c r="J560" s="165">
        <f>L560/K560</f>
        <v>62.412395833333335</v>
      </c>
      <c r="K560" s="57">
        <v>96</v>
      </c>
      <c r="L560" s="164">
        <v>5991.59</v>
      </c>
    </row>
    <row r="561" spans="2:12" x14ac:dyDescent="0.3">
      <c r="B561" s="57">
        <f t="shared" si="38"/>
        <v>558</v>
      </c>
      <c r="C561" s="143">
        <v>46108</v>
      </c>
      <c r="D561" s="57" t="s">
        <v>435</v>
      </c>
      <c r="E561" s="57" t="s">
        <v>958</v>
      </c>
      <c r="F561" s="57" t="s">
        <v>300</v>
      </c>
      <c r="G561" s="57" t="s">
        <v>438</v>
      </c>
      <c r="H561" s="140" t="s">
        <v>439</v>
      </c>
      <c r="I561" s="57"/>
      <c r="J561" s="57"/>
      <c r="L561" s="164">
        <v>70000</v>
      </c>
    </row>
    <row r="562" spans="2:12" x14ac:dyDescent="0.3">
      <c r="B562" s="57">
        <f t="shared" si="38"/>
        <v>559</v>
      </c>
      <c r="C562" s="143">
        <v>46108</v>
      </c>
      <c r="D562" s="57" t="s">
        <v>435</v>
      </c>
      <c r="E562" s="57" t="s">
        <v>434</v>
      </c>
      <c r="F562" s="57" t="s">
        <v>300</v>
      </c>
      <c r="G562" s="57" t="s">
        <v>438</v>
      </c>
      <c r="H562" s="140" t="s">
        <v>437</v>
      </c>
      <c r="I562" s="57"/>
      <c r="J562" s="57"/>
      <c r="L562" s="164">
        <v>400</v>
      </c>
    </row>
    <row r="563" spans="2:12" x14ac:dyDescent="0.3">
      <c r="B563" s="57">
        <f t="shared" si="38"/>
        <v>560</v>
      </c>
      <c r="C563" s="143">
        <v>46108</v>
      </c>
      <c r="D563" s="57" t="s">
        <v>435</v>
      </c>
      <c r="E563" s="57" t="s">
        <v>146</v>
      </c>
      <c r="F563" s="57" t="s">
        <v>436</v>
      </c>
      <c r="G563" s="57" t="s">
        <v>270</v>
      </c>
      <c r="H563" s="140" t="s">
        <v>885</v>
      </c>
      <c r="I563" s="57"/>
      <c r="J563" s="165">
        <f>L563/K563</f>
        <v>20.833333333333332</v>
      </c>
      <c r="K563" s="57">
        <v>96</v>
      </c>
      <c r="L563" s="164">
        <v>2000</v>
      </c>
    </row>
    <row r="564" spans="2:12" x14ac:dyDescent="0.3">
      <c r="B564" s="57">
        <f t="shared" si="38"/>
        <v>561</v>
      </c>
      <c r="C564" s="143">
        <v>46108</v>
      </c>
      <c r="D564" s="57" t="s">
        <v>435</v>
      </c>
      <c r="E564" s="57" t="s">
        <v>434</v>
      </c>
      <c r="F564" s="57" t="s">
        <v>433</v>
      </c>
      <c r="G564" s="57" t="s">
        <v>432</v>
      </c>
      <c r="H564" s="140" t="s">
        <v>431</v>
      </c>
      <c r="I564" s="57"/>
      <c r="J564" s="57"/>
      <c r="L564" s="164">
        <v>420</v>
      </c>
    </row>
    <row r="565" spans="2:12" x14ac:dyDescent="0.3">
      <c r="B565" s="57">
        <f t="shared" si="38"/>
        <v>562</v>
      </c>
      <c r="C565" s="143">
        <v>46109</v>
      </c>
      <c r="D565" s="57" t="s">
        <v>435</v>
      </c>
      <c r="E565" s="57" t="s">
        <v>4009</v>
      </c>
      <c r="F565" s="57" t="s">
        <v>300</v>
      </c>
      <c r="G565" s="57" t="s">
        <v>438</v>
      </c>
      <c r="H565" s="140" t="s">
        <v>468</v>
      </c>
      <c r="I565" s="57"/>
      <c r="J565" s="57"/>
      <c r="L565" s="164">
        <v>1750</v>
      </c>
    </row>
    <row r="566" spans="2:12" x14ac:dyDescent="0.3">
      <c r="B566" s="57">
        <f t="shared" si="38"/>
        <v>563</v>
      </c>
      <c r="C566" s="143">
        <v>46109</v>
      </c>
      <c r="D566" s="57" t="s">
        <v>435</v>
      </c>
      <c r="E566" s="57" t="s">
        <v>958</v>
      </c>
      <c r="F566" s="57" t="s">
        <v>446</v>
      </c>
      <c r="G566" s="57" t="s">
        <v>446</v>
      </c>
      <c r="H566" s="140" t="s">
        <v>467</v>
      </c>
      <c r="I566" s="57"/>
      <c r="J566" s="57"/>
      <c r="L566" s="164">
        <v>2000</v>
      </c>
    </row>
    <row r="567" spans="2:12" x14ac:dyDescent="0.3">
      <c r="B567" s="57">
        <f t="shared" si="38"/>
        <v>564</v>
      </c>
      <c r="C567" s="143">
        <v>46109</v>
      </c>
      <c r="D567" s="57" t="s">
        <v>435</v>
      </c>
      <c r="E567" s="57" t="s">
        <v>986</v>
      </c>
      <c r="F567" s="57" t="s">
        <v>446</v>
      </c>
      <c r="G567" s="57" t="s">
        <v>316</v>
      </c>
      <c r="H567" s="140" t="s">
        <v>466</v>
      </c>
      <c r="I567" s="57" t="s">
        <v>986</v>
      </c>
      <c r="J567" s="57">
        <v>25</v>
      </c>
      <c r="K567" s="167">
        <f>L567/J567</f>
        <v>80</v>
      </c>
      <c r="L567" s="164">
        <v>2000</v>
      </c>
    </row>
    <row r="568" spans="2:12" x14ac:dyDescent="0.3">
      <c r="B568" s="57">
        <f t="shared" si="38"/>
        <v>565</v>
      </c>
      <c r="C568" s="143">
        <v>46109</v>
      </c>
      <c r="D568" s="57" t="s">
        <v>435</v>
      </c>
      <c r="E568" s="57" t="s">
        <v>4009</v>
      </c>
      <c r="F568" s="57" t="s">
        <v>300</v>
      </c>
      <c r="G568" s="57" t="s">
        <v>438</v>
      </c>
      <c r="H568" s="140" t="s">
        <v>465</v>
      </c>
      <c r="I568" s="57"/>
      <c r="J568" s="57"/>
      <c r="L568" s="164">
        <v>20500</v>
      </c>
    </row>
    <row r="569" spans="2:12" x14ac:dyDescent="0.3">
      <c r="B569" s="57">
        <f t="shared" si="38"/>
        <v>566</v>
      </c>
      <c r="C569" s="143">
        <v>46109</v>
      </c>
      <c r="D569" s="57" t="s">
        <v>435</v>
      </c>
      <c r="E569" s="57" t="s">
        <v>434</v>
      </c>
      <c r="F569" s="57" t="s">
        <v>300</v>
      </c>
      <c r="G569" s="57" t="s">
        <v>438</v>
      </c>
      <c r="H569" s="140" t="s">
        <v>464</v>
      </c>
      <c r="I569" s="57"/>
      <c r="J569" s="57"/>
      <c r="L569" s="164">
        <v>140</v>
      </c>
    </row>
    <row r="570" spans="2:12" x14ac:dyDescent="0.3">
      <c r="B570" s="57">
        <f t="shared" si="38"/>
        <v>567</v>
      </c>
      <c r="C570" s="143">
        <v>46109</v>
      </c>
      <c r="D570" s="57" t="s">
        <v>435</v>
      </c>
      <c r="E570" s="57" t="s">
        <v>4009</v>
      </c>
      <c r="F570" s="57" t="s">
        <v>300</v>
      </c>
      <c r="G570" s="57" t="s">
        <v>438</v>
      </c>
      <c r="H570" s="140" t="s">
        <v>463</v>
      </c>
      <c r="I570" s="57"/>
      <c r="J570" s="57"/>
      <c r="L570" s="164">
        <v>27000</v>
      </c>
    </row>
    <row r="571" spans="2:12" x14ac:dyDescent="0.3">
      <c r="B571" s="57">
        <f t="shared" si="38"/>
        <v>568</v>
      </c>
      <c r="C571" s="143">
        <v>46109</v>
      </c>
      <c r="D571" s="57" t="s">
        <v>435</v>
      </c>
      <c r="E571" s="57" t="s">
        <v>146</v>
      </c>
      <c r="F571" s="57" t="s">
        <v>300</v>
      </c>
      <c r="G571" s="57" t="s">
        <v>303</v>
      </c>
      <c r="H571" s="140" t="s">
        <v>441</v>
      </c>
      <c r="I571" s="57"/>
      <c r="J571" s="165">
        <f>L571/K571</f>
        <v>20.833333333333332</v>
      </c>
      <c r="K571" s="57">
        <v>96</v>
      </c>
      <c r="L571" s="164">
        <v>2000</v>
      </c>
    </row>
    <row r="572" spans="2:12" x14ac:dyDescent="0.3">
      <c r="B572" s="57">
        <f t="shared" si="38"/>
        <v>569</v>
      </c>
      <c r="C572" s="143">
        <v>46109</v>
      </c>
      <c r="D572" s="57" t="s">
        <v>435</v>
      </c>
      <c r="E572" s="57" t="s">
        <v>434</v>
      </c>
      <c r="F572" s="57" t="s">
        <v>446</v>
      </c>
      <c r="G572" s="57" t="s">
        <v>313</v>
      </c>
      <c r="H572" s="140" t="s">
        <v>462</v>
      </c>
      <c r="I572" s="57"/>
      <c r="J572" s="57"/>
      <c r="L572" s="164">
        <v>4900</v>
      </c>
    </row>
    <row r="573" spans="2:12" x14ac:dyDescent="0.3">
      <c r="B573" s="57">
        <f t="shared" si="38"/>
        <v>570</v>
      </c>
      <c r="C573" s="143">
        <v>46109</v>
      </c>
      <c r="D573" s="57" t="s">
        <v>435</v>
      </c>
      <c r="E573" s="57" t="s">
        <v>4008</v>
      </c>
      <c r="F573" s="57" t="s">
        <v>446</v>
      </c>
      <c r="G573" s="57" t="s">
        <v>352</v>
      </c>
      <c r="H573" s="140" t="s">
        <v>461</v>
      </c>
      <c r="I573" s="57"/>
      <c r="J573" s="57"/>
      <c r="L573" s="164">
        <v>1200</v>
      </c>
    </row>
    <row r="574" spans="2:12" x14ac:dyDescent="0.3">
      <c r="B574" s="57">
        <f t="shared" si="38"/>
        <v>571</v>
      </c>
      <c r="C574" s="143">
        <v>46109</v>
      </c>
      <c r="D574" s="57" t="s">
        <v>435</v>
      </c>
      <c r="E574" s="57" t="s">
        <v>4128</v>
      </c>
      <c r="F574" s="57" t="s">
        <v>446</v>
      </c>
      <c r="G574" s="57" t="s">
        <v>352</v>
      </c>
      <c r="H574" s="140" t="s">
        <v>835</v>
      </c>
      <c r="I574" s="57"/>
      <c r="J574" s="57"/>
      <c r="L574" s="164">
        <v>2300</v>
      </c>
    </row>
    <row r="575" spans="2:12" x14ac:dyDescent="0.3">
      <c r="B575" s="57">
        <f t="shared" si="38"/>
        <v>572</v>
      </c>
      <c r="C575" s="143">
        <v>46109</v>
      </c>
      <c r="D575" s="57" t="s">
        <v>435</v>
      </c>
      <c r="E575" s="57" t="s">
        <v>460</v>
      </c>
      <c r="F575" s="57" t="s">
        <v>433</v>
      </c>
      <c r="G575" s="57" t="s">
        <v>432</v>
      </c>
      <c r="H575" s="140" t="s">
        <v>459</v>
      </c>
      <c r="I575" s="57"/>
      <c r="J575" s="57"/>
      <c r="L575" s="164">
        <v>1800</v>
      </c>
    </row>
    <row r="576" spans="2:12" x14ac:dyDescent="0.3">
      <c r="B576" s="57">
        <f t="shared" si="38"/>
        <v>573</v>
      </c>
      <c r="C576" s="143">
        <v>46109</v>
      </c>
      <c r="D576" s="57" t="s">
        <v>435</v>
      </c>
      <c r="E576" s="57" t="s">
        <v>458</v>
      </c>
      <c r="F576" s="57" t="s">
        <v>436</v>
      </c>
      <c r="G576" s="57" t="s">
        <v>270</v>
      </c>
      <c r="H576" s="140" t="s">
        <v>457</v>
      </c>
      <c r="I576" s="57"/>
      <c r="J576" s="57"/>
      <c r="L576" s="164">
        <v>300</v>
      </c>
    </row>
    <row r="577" spans="2:12" x14ac:dyDescent="0.3">
      <c r="B577" s="57">
        <f t="shared" si="38"/>
        <v>574</v>
      </c>
      <c r="C577" s="143">
        <v>46109</v>
      </c>
      <c r="D577" s="57" t="s">
        <v>435</v>
      </c>
      <c r="E577" s="57" t="s">
        <v>958</v>
      </c>
      <c r="F577" s="57" t="s">
        <v>350</v>
      </c>
      <c r="G577" s="57" t="s">
        <v>456</v>
      </c>
      <c r="H577" s="140" t="s">
        <v>455</v>
      </c>
      <c r="I577" s="57"/>
      <c r="J577" s="57"/>
      <c r="L577" s="164">
        <v>3000</v>
      </c>
    </row>
    <row r="578" spans="2:12" x14ac:dyDescent="0.3">
      <c r="B578" s="57">
        <f t="shared" si="38"/>
        <v>575</v>
      </c>
      <c r="C578" s="143">
        <v>46109</v>
      </c>
      <c r="D578" s="57" t="s">
        <v>435</v>
      </c>
      <c r="E578" s="57" t="s">
        <v>4009</v>
      </c>
      <c r="F578" s="57" t="s">
        <v>446</v>
      </c>
      <c r="G578" s="57" t="s">
        <v>313</v>
      </c>
      <c r="H578" s="140" t="s">
        <v>454</v>
      </c>
      <c r="I578" s="57"/>
      <c r="J578" s="57"/>
      <c r="L578" s="164">
        <v>5030</v>
      </c>
    </row>
    <row r="579" spans="2:12" x14ac:dyDescent="0.3">
      <c r="B579" s="57">
        <f t="shared" si="38"/>
        <v>576</v>
      </c>
      <c r="C579" s="143">
        <v>46109</v>
      </c>
      <c r="D579" s="57" t="s">
        <v>435</v>
      </c>
      <c r="E579" s="57" t="s">
        <v>986</v>
      </c>
      <c r="F579" s="57" t="s">
        <v>300</v>
      </c>
      <c r="G579" s="57" t="s">
        <v>438</v>
      </c>
      <c r="H579" s="140" t="s">
        <v>453</v>
      </c>
      <c r="I579" s="57" t="s">
        <v>986</v>
      </c>
      <c r="J579" s="57">
        <v>50</v>
      </c>
      <c r="K579" s="167">
        <f>L579/J579</f>
        <v>78</v>
      </c>
      <c r="L579" s="164">
        <v>3900</v>
      </c>
    </row>
    <row r="580" spans="2:12" x14ac:dyDescent="0.3">
      <c r="B580" s="57">
        <f t="shared" si="38"/>
        <v>577</v>
      </c>
      <c r="C580" s="143">
        <v>46109</v>
      </c>
      <c r="D580" s="57" t="s">
        <v>435</v>
      </c>
      <c r="E580" s="57" t="s">
        <v>958</v>
      </c>
      <c r="F580" s="57" t="s">
        <v>350</v>
      </c>
      <c r="G580" s="57" t="s">
        <v>452</v>
      </c>
      <c r="H580" s="140" t="s">
        <v>451</v>
      </c>
      <c r="I580" s="57"/>
      <c r="J580" s="57"/>
      <c r="L580" s="164">
        <v>2500</v>
      </c>
    </row>
    <row r="581" spans="2:12" x14ac:dyDescent="0.3">
      <c r="B581" s="57">
        <f t="shared" si="38"/>
        <v>578</v>
      </c>
      <c r="C581" s="143">
        <v>46109</v>
      </c>
      <c r="D581" s="57" t="s">
        <v>435</v>
      </c>
      <c r="E581" s="57" t="s">
        <v>450</v>
      </c>
      <c r="F581" s="57" t="s">
        <v>300</v>
      </c>
      <c r="G581" s="57" t="s">
        <v>438</v>
      </c>
      <c r="H581" s="140" t="s">
        <v>449</v>
      </c>
      <c r="I581" s="57"/>
      <c r="J581" s="165">
        <f>L581/K581</f>
        <v>20.833333333333332</v>
      </c>
      <c r="K581" s="57">
        <v>96</v>
      </c>
      <c r="L581" s="164">
        <v>2000</v>
      </c>
    </row>
    <row r="582" spans="2:12" x14ac:dyDescent="0.3">
      <c r="B582" s="57">
        <f t="shared" ref="B582:B645" si="43">+B581+1</f>
        <v>579</v>
      </c>
      <c r="C582" s="143">
        <v>46109</v>
      </c>
      <c r="D582" s="57" t="s">
        <v>435</v>
      </c>
      <c r="E582" s="57" t="s">
        <v>958</v>
      </c>
      <c r="F582" s="57" t="s">
        <v>446</v>
      </c>
      <c r="G582" s="57" t="s">
        <v>446</v>
      </c>
      <c r="H582" s="140" t="s">
        <v>448</v>
      </c>
      <c r="I582" s="57"/>
      <c r="J582" s="57"/>
      <c r="L582" s="164">
        <v>11000</v>
      </c>
    </row>
    <row r="583" spans="2:12" x14ac:dyDescent="0.3">
      <c r="B583" s="57">
        <f t="shared" si="43"/>
        <v>580</v>
      </c>
      <c r="C583" s="143">
        <v>46103</v>
      </c>
      <c r="D583" s="152" t="s">
        <v>435</v>
      </c>
      <c r="E583" s="57" t="s">
        <v>767</v>
      </c>
      <c r="F583" s="57" t="s">
        <v>300</v>
      </c>
      <c r="G583" s="57" t="s">
        <v>438</v>
      </c>
      <c r="H583" s="140" t="s">
        <v>4133</v>
      </c>
      <c r="I583" s="57"/>
      <c r="J583" s="57">
        <v>6</v>
      </c>
      <c r="K583" s="57">
        <v>300</v>
      </c>
      <c r="L583" s="164">
        <f>K583*J583</f>
        <v>1800</v>
      </c>
    </row>
    <row r="584" spans="2:12" x14ac:dyDescent="0.3">
      <c r="B584" s="57">
        <f t="shared" si="43"/>
        <v>581</v>
      </c>
      <c r="C584" s="143">
        <v>46110</v>
      </c>
      <c r="D584" s="57" t="s">
        <v>435</v>
      </c>
      <c r="E584" s="57" t="s">
        <v>767</v>
      </c>
      <c r="F584" s="57" t="s">
        <v>300</v>
      </c>
      <c r="G584" s="57" t="s">
        <v>498</v>
      </c>
      <c r="H584" s="140" t="s">
        <v>499</v>
      </c>
      <c r="I584" s="57"/>
      <c r="J584" s="57"/>
      <c r="L584" s="164">
        <v>900</v>
      </c>
    </row>
    <row r="585" spans="2:12" x14ac:dyDescent="0.3">
      <c r="B585" s="57">
        <f t="shared" si="43"/>
        <v>582</v>
      </c>
      <c r="C585" s="143">
        <v>46110</v>
      </c>
      <c r="D585" s="57" t="s">
        <v>435</v>
      </c>
      <c r="E585" s="57" t="s">
        <v>477</v>
      </c>
      <c r="F585" s="57" t="s">
        <v>300</v>
      </c>
      <c r="G585" s="57" t="s">
        <v>438</v>
      </c>
      <c r="H585" s="140" t="s">
        <v>476</v>
      </c>
      <c r="I585" s="57"/>
      <c r="J585" s="57"/>
      <c r="L585" s="164">
        <v>20000</v>
      </c>
    </row>
    <row r="586" spans="2:12" x14ac:dyDescent="0.3">
      <c r="B586" s="57">
        <f t="shared" si="43"/>
        <v>583</v>
      </c>
      <c r="C586" s="143">
        <v>46110</v>
      </c>
      <c r="D586" s="57" t="s">
        <v>435</v>
      </c>
      <c r="E586" s="57" t="s">
        <v>146</v>
      </c>
      <c r="F586" s="57" t="s">
        <v>446</v>
      </c>
      <c r="G586" s="57" t="s">
        <v>313</v>
      </c>
      <c r="H586" s="140" t="s">
        <v>441</v>
      </c>
      <c r="I586" s="57"/>
      <c r="J586" s="165">
        <f t="shared" ref="J586:J587" si="44">L586/K586</f>
        <v>30.737083333333334</v>
      </c>
      <c r="K586" s="57">
        <v>96</v>
      </c>
      <c r="L586" s="164">
        <v>2950.76</v>
      </c>
    </row>
    <row r="587" spans="2:12" x14ac:dyDescent="0.3">
      <c r="B587" s="57">
        <f t="shared" si="43"/>
        <v>584</v>
      </c>
      <c r="C587" s="143">
        <v>46110</v>
      </c>
      <c r="D587" s="57" t="s">
        <v>435</v>
      </c>
      <c r="E587" s="57" t="s">
        <v>146</v>
      </c>
      <c r="F587" s="57" t="s">
        <v>446</v>
      </c>
      <c r="G587" s="57" t="s">
        <v>316</v>
      </c>
      <c r="H587" s="140" t="s">
        <v>441</v>
      </c>
      <c r="I587" s="57"/>
      <c r="J587" s="165">
        <f t="shared" si="44"/>
        <v>20.833333333333332</v>
      </c>
      <c r="K587" s="57">
        <v>96</v>
      </c>
      <c r="L587" s="164">
        <v>2000</v>
      </c>
    </row>
    <row r="588" spans="2:12" x14ac:dyDescent="0.3">
      <c r="B588" s="57">
        <f t="shared" si="43"/>
        <v>585</v>
      </c>
      <c r="C588" s="143">
        <v>46110</v>
      </c>
      <c r="D588" s="57" t="s">
        <v>435</v>
      </c>
      <c r="E588" s="57" t="s">
        <v>474</v>
      </c>
      <c r="F588" s="57" t="s">
        <v>446</v>
      </c>
      <c r="G588" s="57" t="s">
        <v>446</v>
      </c>
      <c r="H588" s="140" t="s">
        <v>475</v>
      </c>
      <c r="I588" s="57"/>
      <c r="J588" s="57"/>
      <c r="L588" s="164">
        <v>33000</v>
      </c>
    </row>
    <row r="589" spans="2:12" x14ac:dyDescent="0.3">
      <c r="B589" s="57">
        <f t="shared" si="43"/>
        <v>586</v>
      </c>
      <c r="C589" s="143">
        <v>46110</v>
      </c>
      <c r="D589" s="57" t="s">
        <v>435</v>
      </c>
      <c r="E589" s="57" t="s">
        <v>474</v>
      </c>
      <c r="F589" s="57" t="s">
        <v>300</v>
      </c>
      <c r="G589" s="57" t="s">
        <v>438</v>
      </c>
      <c r="H589" s="140" t="s">
        <v>474</v>
      </c>
      <c r="I589" s="57"/>
      <c r="J589" s="57"/>
      <c r="L589" s="164">
        <v>44000</v>
      </c>
    </row>
    <row r="590" spans="2:12" x14ac:dyDescent="0.3">
      <c r="B590" s="57">
        <f t="shared" si="43"/>
        <v>587</v>
      </c>
      <c r="C590" s="143">
        <v>46110</v>
      </c>
      <c r="D590" s="57" t="s">
        <v>435</v>
      </c>
      <c r="E590" s="57" t="s">
        <v>146</v>
      </c>
      <c r="F590" s="57" t="s">
        <v>350</v>
      </c>
      <c r="G590" s="57" t="s">
        <v>337</v>
      </c>
      <c r="H590" s="140" t="s">
        <v>441</v>
      </c>
      <c r="I590" s="57"/>
      <c r="J590" s="165">
        <f>L590/K590</f>
        <v>20.833333333333332</v>
      </c>
      <c r="K590" s="57">
        <v>96</v>
      </c>
      <c r="L590" s="164">
        <v>2000</v>
      </c>
    </row>
    <row r="591" spans="2:12" x14ac:dyDescent="0.3">
      <c r="B591" s="57">
        <f t="shared" si="43"/>
        <v>588</v>
      </c>
      <c r="C591" s="143">
        <v>46110</v>
      </c>
      <c r="D591" s="57" t="s">
        <v>435</v>
      </c>
      <c r="E591" s="57" t="s">
        <v>473</v>
      </c>
      <c r="F591" s="57" t="s">
        <v>300</v>
      </c>
      <c r="G591" s="57" t="s">
        <v>438</v>
      </c>
      <c r="H591" s="140" t="s">
        <v>472</v>
      </c>
      <c r="I591" s="57"/>
      <c r="J591" s="57"/>
      <c r="L591" s="164">
        <v>9181</v>
      </c>
    </row>
    <row r="592" spans="2:12" x14ac:dyDescent="0.3">
      <c r="B592" s="57">
        <f t="shared" si="43"/>
        <v>589</v>
      </c>
      <c r="C592" s="143">
        <v>46110</v>
      </c>
      <c r="D592" s="57" t="s">
        <v>435</v>
      </c>
      <c r="E592" s="57" t="s">
        <v>2427</v>
      </c>
      <c r="F592" s="57" t="s">
        <v>300</v>
      </c>
      <c r="G592" s="57" t="s">
        <v>438</v>
      </c>
      <c r="H592" s="140" t="s">
        <v>470</v>
      </c>
      <c r="I592" s="57" t="s">
        <v>4078</v>
      </c>
      <c r="J592" s="57">
        <v>3000</v>
      </c>
      <c r="K592" s="167">
        <f>L592/J592</f>
        <v>58.42</v>
      </c>
      <c r="L592" s="164">
        <v>175260</v>
      </c>
    </row>
    <row r="593" spans="2:12" x14ac:dyDescent="0.3">
      <c r="B593" s="57">
        <f t="shared" si="43"/>
        <v>590</v>
      </c>
      <c r="C593" s="143">
        <v>46110</v>
      </c>
      <c r="D593" s="57" t="s">
        <v>435</v>
      </c>
      <c r="E593" s="57" t="s">
        <v>958</v>
      </c>
      <c r="F593" s="57" t="s">
        <v>446</v>
      </c>
      <c r="G593" s="57" t="s">
        <v>446</v>
      </c>
      <c r="H593" s="140" t="s">
        <v>469</v>
      </c>
      <c r="I593" s="57"/>
      <c r="J593" s="57"/>
      <c r="L593" s="164">
        <v>26000</v>
      </c>
    </row>
    <row r="594" spans="2:12" x14ac:dyDescent="0.3">
      <c r="B594" s="57">
        <f t="shared" si="43"/>
        <v>591</v>
      </c>
      <c r="C594" s="143">
        <v>46111</v>
      </c>
      <c r="D594" s="57" t="s">
        <v>435</v>
      </c>
      <c r="E594" s="57" t="s">
        <v>958</v>
      </c>
      <c r="F594" s="57" t="s">
        <v>502</v>
      </c>
      <c r="G594" s="57" t="s">
        <v>257</v>
      </c>
      <c r="H594" s="140" t="s">
        <v>501</v>
      </c>
      <c r="I594" s="57"/>
      <c r="J594" s="57"/>
      <c r="L594" s="164">
        <v>15080</v>
      </c>
    </row>
    <row r="595" spans="2:12" x14ac:dyDescent="0.3">
      <c r="B595" s="57">
        <f t="shared" si="43"/>
        <v>592</v>
      </c>
      <c r="C595" s="143">
        <v>46111</v>
      </c>
      <c r="D595" s="57" t="s">
        <v>435</v>
      </c>
      <c r="E595" s="57" t="s">
        <v>481</v>
      </c>
      <c r="F595" s="57" t="s">
        <v>300</v>
      </c>
      <c r="G595" s="57" t="s">
        <v>498</v>
      </c>
      <c r="H595" s="140" t="s">
        <v>500</v>
      </c>
      <c r="I595" s="57"/>
      <c r="J595" s="57"/>
      <c r="L595" s="164">
        <v>250</v>
      </c>
    </row>
    <row r="596" spans="2:12" x14ac:dyDescent="0.3">
      <c r="B596" s="57">
        <f t="shared" si="43"/>
        <v>593</v>
      </c>
      <c r="C596" s="143">
        <v>46111</v>
      </c>
      <c r="D596" s="57" t="s">
        <v>435</v>
      </c>
      <c r="E596" s="57" t="s">
        <v>958</v>
      </c>
      <c r="F596" s="57" t="s">
        <v>350</v>
      </c>
      <c r="G596" s="57" t="s">
        <v>456</v>
      </c>
      <c r="H596" s="140" t="s">
        <v>497</v>
      </c>
      <c r="I596" s="57"/>
      <c r="J596" s="57"/>
      <c r="L596" s="164">
        <v>3000</v>
      </c>
    </row>
    <row r="597" spans="2:12" x14ac:dyDescent="0.3">
      <c r="B597" s="57">
        <f t="shared" si="43"/>
        <v>594</v>
      </c>
      <c r="C597" s="143">
        <v>46111</v>
      </c>
      <c r="D597" s="57" t="s">
        <v>435</v>
      </c>
      <c r="E597" s="57" t="s">
        <v>767</v>
      </c>
      <c r="F597" s="57" t="s">
        <v>350</v>
      </c>
      <c r="G597" s="57" t="s">
        <v>456</v>
      </c>
      <c r="H597" s="140" t="s">
        <v>494</v>
      </c>
      <c r="I597" s="57"/>
      <c r="J597" s="57"/>
      <c r="L597" s="164">
        <v>1100</v>
      </c>
    </row>
    <row r="598" spans="2:12" x14ac:dyDescent="0.3">
      <c r="B598" s="57">
        <f t="shared" si="43"/>
        <v>595</v>
      </c>
      <c r="C598" s="143">
        <v>46111</v>
      </c>
      <c r="D598" s="57" t="s">
        <v>435</v>
      </c>
      <c r="E598" s="57" t="s">
        <v>481</v>
      </c>
      <c r="F598" s="57" t="s">
        <v>350</v>
      </c>
      <c r="G598" s="57" t="s">
        <v>456</v>
      </c>
      <c r="H598" s="140" t="s">
        <v>490</v>
      </c>
      <c r="I598" s="57"/>
      <c r="J598" s="57"/>
      <c r="L598" s="164">
        <v>200</v>
      </c>
    </row>
    <row r="599" spans="2:12" x14ac:dyDescent="0.3">
      <c r="B599" s="57">
        <f t="shared" si="43"/>
        <v>596</v>
      </c>
      <c r="C599" s="143">
        <v>46111</v>
      </c>
      <c r="D599" s="57" t="s">
        <v>435</v>
      </c>
      <c r="E599" s="57" t="s">
        <v>767</v>
      </c>
      <c r="F599" s="57" t="s">
        <v>350</v>
      </c>
      <c r="G599" s="57" t="s">
        <v>496</v>
      </c>
      <c r="H599" s="140" t="s">
        <v>495</v>
      </c>
      <c r="I599" s="57"/>
      <c r="J599" s="57"/>
      <c r="L599" s="164">
        <v>1330</v>
      </c>
    </row>
    <row r="600" spans="2:12" x14ac:dyDescent="0.3">
      <c r="B600" s="57">
        <f t="shared" si="43"/>
        <v>597</v>
      </c>
      <c r="C600" s="143">
        <v>46111</v>
      </c>
      <c r="D600" s="57" t="s">
        <v>435</v>
      </c>
      <c r="E600" s="57" t="s">
        <v>767</v>
      </c>
      <c r="F600" s="57" t="s">
        <v>446</v>
      </c>
      <c r="G600" s="57" t="s">
        <v>316</v>
      </c>
      <c r="H600" s="140" t="s">
        <v>494</v>
      </c>
      <c r="I600" s="57"/>
      <c r="J600" s="57"/>
      <c r="L600" s="164">
        <v>600</v>
      </c>
    </row>
    <row r="601" spans="2:12" x14ac:dyDescent="0.3">
      <c r="B601" s="57">
        <f t="shared" si="43"/>
        <v>598</v>
      </c>
      <c r="C601" s="143">
        <v>46111</v>
      </c>
      <c r="D601" s="57" t="s">
        <v>435</v>
      </c>
      <c r="E601" s="57" t="s">
        <v>767</v>
      </c>
      <c r="F601" s="57" t="s">
        <v>446</v>
      </c>
      <c r="G601" s="57" t="s">
        <v>359</v>
      </c>
      <c r="H601" s="140" t="s">
        <v>492</v>
      </c>
      <c r="I601" s="57"/>
      <c r="J601" s="57"/>
      <c r="L601" s="164">
        <v>1310</v>
      </c>
    </row>
    <row r="602" spans="2:12" x14ac:dyDescent="0.3">
      <c r="B602" s="57">
        <f t="shared" si="43"/>
        <v>599</v>
      </c>
      <c r="C602" s="143">
        <v>46111</v>
      </c>
      <c r="D602" s="57" t="s">
        <v>435</v>
      </c>
      <c r="E602" s="57" t="s">
        <v>434</v>
      </c>
      <c r="F602" s="57" t="s">
        <v>446</v>
      </c>
      <c r="G602" s="57" t="s">
        <v>316</v>
      </c>
      <c r="H602" s="140" t="s">
        <v>489</v>
      </c>
      <c r="I602" s="57"/>
      <c r="J602" s="57"/>
      <c r="L602" s="164">
        <v>1580</v>
      </c>
    </row>
    <row r="603" spans="2:12" x14ac:dyDescent="0.3">
      <c r="B603" s="57">
        <f t="shared" si="43"/>
        <v>600</v>
      </c>
      <c r="C603" s="143">
        <v>46111</v>
      </c>
      <c r="D603" s="57" t="s">
        <v>435</v>
      </c>
      <c r="E603" s="57" t="s">
        <v>434</v>
      </c>
      <c r="F603" s="57" t="s">
        <v>446</v>
      </c>
      <c r="G603" s="57" t="s">
        <v>359</v>
      </c>
      <c r="H603" s="140" t="s">
        <v>489</v>
      </c>
      <c r="I603" s="57"/>
      <c r="J603" s="57"/>
      <c r="L603" s="164">
        <v>880</v>
      </c>
    </row>
    <row r="604" spans="2:12" x14ac:dyDescent="0.3">
      <c r="B604" s="57">
        <f t="shared" si="43"/>
        <v>601</v>
      </c>
      <c r="C604" s="143">
        <v>46111</v>
      </c>
      <c r="D604" s="57" t="s">
        <v>435</v>
      </c>
      <c r="E604" s="57" t="s">
        <v>434</v>
      </c>
      <c r="F604" s="57" t="s">
        <v>446</v>
      </c>
      <c r="G604" s="57" t="s">
        <v>359</v>
      </c>
      <c r="H604" s="140" t="s">
        <v>491</v>
      </c>
      <c r="I604" s="57"/>
      <c r="J604" s="57"/>
      <c r="L604" s="164">
        <v>300</v>
      </c>
    </row>
    <row r="605" spans="2:12" x14ac:dyDescent="0.3">
      <c r="B605" s="57">
        <f t="shared" si="43"/>
        <v>602</v>
      </c>
      <c r="C605" s="143">
        <v>46111</v>
      </c>
      <c r="D605" s="57" t="s">
        <v>435</v>
      </c>
      <c r="E605" s="57" t="s">
        <v>481</v>
      </c>
      <c r="F605" s="57" t="s">
        <v>446</v>
      </c>
      <c r="G605" s="57" t="s">
        <v>359</v>
      </c>
      <c r="H605" s="140" t="s">
        <v>490</v>
      </c>
      <c r="I605" s="57"/>
      <c r="J605" s="57"/>
      <c r="L605" s="164">
        <v>200</v>
      </c>
    </row>
    <row r="606" spans="2:12" x14ac:dyDescent="0.3">
      <c r="B606" s="57">
        <f t="shared" si="43"/>
        <v>603</v>
      </c>
      <c r="C606" s="143">
        <v>46111</v>
      </c>
      <c r="D606" s="57" t="s">
        <v>435</v>
      </c>
      <c r="E606" s="57" t="s">
        <v>434</v>
      </c>
      <c r="F606" s="57" t="s">
        <v>446</v>
      </c>
      <c r="G606" s="57" t="s">
        <v>313</v>
      </c>
      <c r="H606" s="140" t="s">
        <v>489</v>
      </c>
      <c r="I606" s="57"/>
      <c r="J606" s="57"/>
      <c r="L606" s="164">
        <v>1600</v>
      </c>
    </row>
    <row r="607" spans="2:12" x14ac:dyDescent="0.3">
      <c r="B607" s="57">
        <f t="shared" si="43"/>
        <v>604</v>
      </c>
      <c r="C607" s="143">
        <v>46111</v>
      </c>
      <c r="D607" s="57" t="s">
        <v>435</v>
      </c>
      <c r="E607" s="57" t="s">
        <v>481</v>
      </c>
      <c r="F607" s="57" t="s">
        <v>446</v>
      </c>
      <c r="G607" s="57" t="s">
        <v>313</v>
      </c>
      <c r="H607" s="140" t="s">
        <v>488</v>
      </c>
      <c r="I607" s="57"/>
      <c r="J607" s="57"/>
      <c r="L607" s="164">
        <v>500</v>
      </c>
    </row>
    <row r="608" spans="2:12" x14ac:dyDescent="0.3">
      <c r="B608" s="57">
        <f t="shared" si="43"/>
        <v>605</v>
      </c>
      <c r="C608" s="143">
        <v>46111</v>
      </c>
      <c r="D608" s="57" t="s">
        <v>435</v>
      </c>
      <c r="E608" s="57" t="s">
        <v>450</v>
      </c>
      <c r="F608" s="57" t="s">
        <v>446</v>
      </c>
      <c r="G608" s="57" t="s">
        <v>313</v>
      </c>
      <c r="H608" s="140" t="s">
        <v>449</v>
      </c>
      <c r="I608" s="57"/>
      <c r="J608" s="165">
        <f>L608/K608</f>
        <v>31.25</v>
      </c>
      <c r="K608" s="57">
        <v>96</v>
      </c>
      <c r="L608" s="164">
        <v>3000</v>
      </c>
    </row>
    <row r="609" spans="2:12" x14ac:dyDescent="0.3">
      <c r="B609" s="57">
        <f t="shared" si="43"/>
        <v>606</v>
      </c>
      <c r="C609" s="143">
        <v>46111</v>
      </c>
      <c r="D609" s="57" t="s">
        <v>435</v>
      </c>
      <c r="E609" s="57" t="s">
        <v>434</v>
      </c>
      <c r="F609" s="57" t="s">
        <v>446</v>
      </c>
      <c r="G609" s="57" t="s">
        <v>313</v>
      </c>
      <c r="H609" s="140" t="s">
        <v>487</v>
      </c>
      <c r="I609" s="57"/>
      <c r="J609" s="57"/>
      <c r="L609" s="164">
        <v>280</v>
      </c>
    </row>
    <row r="610" spans="2:12" x14ac:dyDescent="0.3">
      <c r="B610" s="57">
        <f t="shared" si="43"/>
        <v>607</v>
      </c>
      <c r="C610" s="143">
        <v>46111</v>
      </c>
      <c r="D610" s="57" t="s">
        <v>435</v>
      </c>
      <c r="E610" s="57" t="s">
        <v>434</v>
      </c>
      <c r="F610" s="57" t="s">
        <v>446</v>
      </c>
      <c r="G610" s="57" t="s">
        <v>313</v>
      </c>
      <c r="H610" s="140" t="s">
        <v>486</v>
      </c>
      <c r="I610" s="57"/>
      <c r="J610" s="57"/>
      <c r="L610" s="164">
        <v>235</v>
      </c>
    </row>
    <row r="611" spans="2:12" x14ac:dyDescent="0.3">
      <c r="B611" s="57">
        <f t="shared" si="43"/>
        <v>608</v>
      </c>
      <c r="C611" s="143">
        <v>46111</v>
      </c>
      <c r="D611" s="57" t="s">
        <v>435</v>
      </c>
      <c r="E611" s="57" t="s">
        <v>434</v>
      </c>
      <c r="F611" s="57" t="s">
        <v>446</v>
      </c>
      <c r="G611" s="57" t="s">
        <v>313</v>
      </c>
      <c r="H611" s="140" t="s">
        <v>485</v>
      </c>
      <c r="I611" s="57"/>
      <c r="J611" s="57"/>
      <c r="L611" s="164">
        <v>390</v>
      </c>
    </row>
    <row r="612" spans="2:12" x14ac:dyDescent="0.3">
      <c r="B612" s="57">
        <f t="shared" si="43"/>
        <v>609</v>
      </c>
      <c r="C612" s="143">
        <v>46111</v>
      </c>
      <c r="D612" s="57" t="s">
        <v>435</v>
      </c>
      <c r="E612" s="57" t="s">
        <v>146</v>
      </c>
      <c r="F612" s="57" t="s">
        <v>300</v>
      </c>
      <c r="G612" s="57" t="s">
        <v>530</v>
      </c>
      <c r="H612" s="140" t="s">
        <v>4115</v>
      </c>
      <c r="I612" s="57"/>
      <c r="J612" s="165">
        <f>L612/K612</f>
        <v>28.385416666666668</v>
      </c>
      <c r="K612" s="57">
        <v>96</v>
      </c>
      <c r="L612" s="164">
        <v>2725</v>
      </c>
    </row>
    <row r="613" spans="2:12" x14ac:dyDescent="0.3">
      <c r="B613" s="57">
        <f t="shared" si="43"/>
        <v>610</v>
      </c>
      <c r="C613" s="143">
        <v>46111</v>
      </c>
      <c r="D613" s="57" t="s">
        <v>435</v>
      </c>
      <c r="E613" s="57" t="s">
        <v>434</v>
      </c>
      <c r="F613" s="57" t="s">
        <v>300</v>
      </c>
      <c r="G613" s="57" t="s">
        <v>443</v>
      </c>
      <c r="H613" s="140" t="s">
        <v>484</v>
      </c>
      <c r="I613" s="57"/>
      <c r="J613" s="57"/>
      <c r="L613" s="164">
        <v>460</v>
      </c>
    </row>
    <row r="614" spans="2:12" x14ac:dyDescent="0.3">
      <c r="B614" s="57">
        <f t="shared" si="43"/>
        <v>611</v>
      </c>
      <c r="C614" s="143">
        <v>46111</v>
      </c>
      <c r="D614" s="57" t="s">
        <v>435</v>
      </c>
      <c r="E614" s="57" t="s">
        <v>434</v>
      </c>
      <c r="F614" s="57" t="s">
        <v>300</v>
      </c>
      <c r="G614" s="57" t="s">
        <v>443</v>
      </c>
      <c r="H614" s="140" t="s">
        <v>484</v>
      </c>
      <c r="I614" s="57"/>
      <c r="J614" s="57"/>
      <c r="L614" s="164">
        <v>1140</v>
      </c>
    </row>
    <row r="615" spans="2:12" x14ac:dyDescent="0.3">
      <c r="B615" s="57">
        <f t="shared" si="43"/>
        <v>612</v>
      </c>
      <c r="C615" s="143">
        <v>46111</v>
      </c>
      <c r="D615" s="57" t="s">
        <v>435</v>
      </c>
      <c r="E615" s="57" t="s">
        <v>434</v>
      </c>
      <c r="F615" s="57" t="s">
        <v>436</v>
      </c>
      <c r="G615" s="57" t="s">
        <v>480</v>
      </c>
      <c r="H615" s="140" t="s">
        <v>483</v>
      </c>
      <c r="I615" s="57"/>
      <c r="J615" s="57"/>
      <c r="L615" s="164">
        <v>1050</v>
      </c>
    </row>
    <row r="616" spans="2:12" x14ac:dyDescent="0.3">
      <c r="B616" s="57">
        <f t="shared" si="43"/>
        <v>613</v>
      </c>
      <c r="C616" s="143">
        <v>46111</v>
      </c>
      <c r="D616" s="57" t="s">
        <v>435</v>
      </c>
      <c r="E616" s="57" t="s">
        <v>434</v>
      </c>
      <c r="F616" s="57" t="s">
        <v>436</v>
      </c>
      <c r="G616" s="57" t="s">
        <v>480</v>
      </c>
      <c r="H616" s="140" t="s">
        <v>482</v>
      </c>
      <c r="I616" s="57"/>
      <c r="J616" s="57"/>
      <c r="L616" s="164">
        <v>200</v>
      </c>
    </row>
    <row r="617" spans="2:12" x14ac:dyDescent="0.3">
      <c r="B617" s="57">
        <f t="shared" si="43"/>
        <v>614</v>
      </c>
      <c r="C617" s="143">
        <v>46111</v>
      </c>
      <c r="D617" s="57" t="s">
        <v>435</v>
      </c>
      <c r="E617" s="57" t="s">
        <v>481</v>
      </c>
      <c r="F617" s="57" t="s">
        <v>436</v>
      </c>
      <c r="G617" s="57" t="s">
        <v>480</v>
      </c>
      <c r="H617" s="140" t="s">
        <v>479</v>
      </c>
      <c r="I617" s="57"/>
      <c r="J617" s="57"/>
      <c r="L617" s="164">
        <v>700</v>
      </c>
    </row>
    <row r="618" spans="2:12" x14ac:dyDescent="0.3">
      <c r="B618" s="57">
        <f t="shared" si="43"/>
        <v>615</v>
      </c>
      <c r="C618" s="143">
        <v>46111</v>
      </c>
      <c r="D618" s="57" t="s">
        <v>435</v>
      </c>
      <c r="E618" s="57" t="s">
        <v>146</v>
      </c>
      <c r="F618" s="57" t="s">
        <v>300</v>
      </c>
      <c r="G618" s="57" t="s">
        <v>438</v>
      </c>
      <c r="H618" s="140" t="s">
        <v>478</v>
      </c>
      <c r="I618" s="57"/>
      <c r="J618" s="165">
        <f>L618/K618</f>
        <v>93.464479166666663</v>
      </c>
      <c r="K618" s="57">
        <v>96</v>
      </c>
      <c r="L618" s="164">
        <v>8972.59</v>
      </c>
    </row>
    <row r="619" spans="2:12" x14ac:dyDescent="0.3">
      <c r="B619" s="57">
        <f t="shared" si="43"/>
        <v>616</v>
      </c>
      <c r="C619" s="143">
        <v>46112</v>
      </c>
      <c r="D619" s="57" t="s">
        <v>435</v>
      </c>
      <c r="E619" s="57" t="s">
        <v>2427</v>
      </c>
      <c r="F619" s="57" t="s">
        <v>436</v>
      </c>
      <c r="G619" s="57" t="s">
        <v>480</v>
      </c>
      <c r="H619" s="140" t="s">
        <v>515</v>
      </c>
      <c r="I619" s="57" t="s">
        <v>2914</v>
      </c>
      <c r="J619" s="165">
        <f>L619/K619</f>
        <v>303.44827586206895</v>
      </c>
      <c r="K619" s="57">
        <v>58</v>
      </c>
      <c r="L619" s="164">
        <v>17600</v>
      </c>
    </row>
    <row r="620" spans="2:12" x14ac:dyDescent="0.3">
      <c r="B620" s="57">
        <f t="shared" si="43"/>
        <v>617</v>
      </c>
      <c r="C620" s="143">
        <v>46112</v>
      </c>
      <c r="D620" s="57" t="s">
        <v>435</v>
      </c>
      <c r="E620" s="57" t="s">
        <v>986</v>
      </c>
      <c r="F620" s="57" t="s">
        <v>350</v>
      </c>
      <c r="G620" s="57" t="s">
        <v>337</v>
      </c>
      <c r="H620" s="140" t="s">
        <v>514</v>
      </c>
      <c r="I620" s="57" t="s">
        <v>986</v>
      </c>
      <c r="J620" s="57">
        <v>50</v>
      </c>
      <c r="K620" s="167">
        <f>L620/J620</f>
        <v>78</v>
      </c>
      <c r="L620" s="164">
        <v>3900</v>
      </c>
    </row>
    <row r="621" spans="2:12" x14ac:dyDescent="0.3">
      <c r="B621" s="57">
        <f t="shared" si="43"/>
        <v>618</v>
      </c>
      <c r="C621" s="143">
        <v>46112</v>
      </c>
      <c r="D621" s="57" t="s">
        <v>435</v>
      </c>
      <c r="E621" s="57" t="s">
        <v>460</v>
      </c>
      <c r="F621" s="57" t="s">
        <v>350</v>
      </c>
      <c r="G621" s="57" t="s">
        <v>337</v>
      </c>
      <c r="H621" s="140" t="s">
        <v>513</v>
      </c>
      <c r="I621" s="57"/>
      <c r="J621" s="57"/>
      <c r="L621" s="164">
        <v>1200</v>
      </c>
    </row>
    <row r="622" spans="2:12" x14ac:dyDescent="0.3">
      <c r="B622" s="57">
        <f t="shared" si="43"/>
        <v>619</v>
      </c>
      <c r="C622" s="143">
        <v>46112</v>
      </c>
      <c r="D622" s="57" t="s">
        <v>435</v>
      </c>
      <c r="E622" s="57" t="s">
        <v>460</v>
      </c>
      <c r="F622" s="57" t="s">
        <v>350</v>
      </c>
      <c r="G622" s="57" t="s">
        <v>337</v>
      </c>
      <c r="H622" s="140" t="s">
        <v>512</v>
      </c>
      <c r="I622" s="57"/>
      <c r="J622" s="57"/>
      <c r="L622" s="164">
        <v>800</v>
      </c>
    </row>
    <row r="623" spans="2:12" x14ac:dyDescent="0.3">
      <c r="B623" s="57">
        <f t="shared" si="43"/>
        <v>620</v>
      </c>
      <c r="C623" s="143">
        <v>46112</v>
      </c>
      <c r="D623" s="57" t="s">
        <v>435</v>
      </c>
      <c r="E623" s="57" t="s">
        <v>460</v>
      </c>
      <c r="F623" s="57" t="s">
        <v>350</v>
      </c>
      <c r="G623" s="57" t="s">
        <v>337</v>
      </c>
      <c r="H623" s="140" t="s">
        <v>511</v>
      </c>
      <c r="I623" s="57"/>
      <c r="J623" s="57"/>
      <c r="L623" s="164">
        <v>840</v>
      </c>
    </row>
    <row r="624" spans="2:12" x14ac:dyDescent="0.3">
      <c r="B624" s="57">
        <f t="shared" si="43"/>
        <v>621</v>
      </c>
      <c r="C624" s="143">
        <v>46112</v>
      </c>
      <c r="D624" s="57" t="s">
        <v>435</v>
      </c>
      <c r="E624" s="57" t="s">
        <v>434</v>
      </c>
      <c r="F624" s="57" t="s">
        <v>350</v>
      </c>
      <c r="G624" s="57" t="s">
        <v>337</v>
      </c>
      <c r="H624" s="140" t="s">
        <v>510</v>
      </c>
      <c r="I624" s="57"/>
      <c r="J624" s="57"/>
      <c r="L624" s="164">
        <v>1600</v>
      </c>
    </row>
    <row r="625" spans="2:12" x14ac:dyDescent="0.3">
      <c r="B625" s="57">
        <f t="shared" si="43"/>
        <v>622</v>
      </c>
      <c r="C625" s="143">
        <v>46112</v>
      </c>
      <c r="D625" s="57" t="s">
        <v>435</v>
      </c>
      <c r="E625" s="57" t="s">
        <v>767</v>
      </c>
      <c r="F625" s="57" t="s">
        <v>436</v>
      </c>
      <c r="G625" s="57" t="s">
        <v>270</v>
      </c>
      <c r="H625" s="140" t="s">
        <v>493</v>
      </c>
      <c r="I625" s="57"/>
      <c r="J625" s="57"/>
      <c r="L625" s="164">
        <v>1400</v>
      </c>
    </row>
    <row r="626" spans="2:12" x14ac:dyDescent="0.3">
      <c r="B626" s="57">
        <f t="shared" si="43"/>
        <v>623</v>
      </c>
      <c r="C626" s="143">
        <v>46112</v>
      </c>
      <c r="D626" s="57" t="s">
        <v>435</v>
      </c>
      <c r="E626" s="57" t="s">
        <v>450</v>
      </c>
      <c r="F626" s="57" t="s">
        <v>300</v>
      </c>
      <c r="G626" s="57" t="s">
        <v>438</v>
      </c>
      <c r="H626" s="140" t="s">
        <v>509</v>
      </c>
      <c r="I626" s="57"/>
      <c r="J626" s="165">
        <f>L626/K626</f>
        <v>30.537187500000002</v>
      </c>
      <c r="K626" s="57">
        <v>96</v>
      </c>
      <c r="L626" s="164">
        <v>2931.57</v>
      </c>
    </row>
    <row r="627" spans="2:12" x14ac:dyDescent="0.3">
      <c r="B627" s="57">
        <f t="shared" si="43"/>
        <v>624</v>
      </c>
      <c r="C627" s="143">
        <v>46112</v>
      </c>
      <c r="D627" s="57" t="s">
        <v>435</v>
      </c>
      <c r="E627" s="57" t="s">
        <v>767</v>
      </c>
      <c r="F627" s="57" t="s">
        <v>300</v>
      </c>
      <c r="G627" s="57" t="s">
        <v>438</v>
      </c>
      <c r="H627" s="140" t="s">
        <v>494</v>
      </c>
      <c r="I627" s="57"/>
      <c r="J627" s="57"/>
      <c r="L627" s="164">
        <v>1525</v>
      </c>
    </row>
    <row r="628" spans="2:12" x14ac:dyDescent="0.3">
      <c r="B628" s="57">
        <f t="shared" si="43"/>
        <v>625</v>
      </c>
      <c r="C628" s="143">
        <v>46112</v>
      </c>
      <c r="D628" s="57" t="s">
        <v>435</v>
      </c>
      <c r="E628" s="57" t="s">
        <v>146</v>
      </c>
      <c r="F628" s="57" t="s">
        <v>300</v>
      </c>
      <c r="G628" s="57" t="s">
        <v>438</v>
      </c>
      <c r="H628" s="140" t="s">
        <v>4092</v>
      </c>
      <c r="I628" s="57"/>
      <c r="J628" s="165">
        <f>L628/K628</f>
        <v>140.625</v>
      </c>
      <c r="K628" s="57">
        <v>96</v>
      </c>
      <c r="L628" s="164">
        <v>13500</v>
      </c>
    </row>
    <row r="629" spans="2:12" x14ac:dyDescent="0.3">
      <c r="B629" s="57">
        <f t="shared" si="43"/>
        <v>626</v>
      </c>
      <c r="C629" s="143">
        <v>46112</v>
      </c>
      <c r="D629" s="57" t="s">
        <v>435</v>
      </c>
      <c r="E629" s="57" t="s">
        <v>434</v>
      </c>
      <c r="F629" s="57" t="s">
        <v>436</v>
      </c>
      <c r="G629" s="57" t="s">
        <v>480</v>
      </c>
      <c r="H629" s="140" t="s">
        <v>508</v>
      </c>
      <c r="I629" s="57"/>
      <c r="J629" s="57"/>
      <c r="L629" s="164">
        <v>1320</v>
      </c>
    </row>
    <row r="630" spans="2:12" x14ac:dyDescent="0.3">
      <c r="B630" s="57">
        <f t="shared" si="43"/>
        <v>627</v>
      </c>
      <c r="C630" s="143">
        <v>46112</v>
      </c>
      <c r="D630" s="57" t="s">
        <v>435</v>
      </c>
      <c r="E630" s="57" t="s">
        <v>450</v>
      </c>
      <c r="F630" s="57" t="s">
        <v>300</v>
      </c>
      <c r="G630" s="57" t="s">
        <v>438</v>
      </c>
      <c r="H630" s="140" t="s">
        <v>507</v>
      </c>
      <c r="I630" s="57"/>
      <c r="J630" s="165">
        <f>L630/K630</f>
        <v>20.833333333333332</v>
      </c>
      <c r="K630" s="57">
        <v>96</v>
      </c>
      <c r="L630" s="164">
        <v>2000</v>
      </c>
    </row>
    <row r="631" spans="2:12" x14ac:dyDescent="0.3">
      <c r="B631" s="57">
        <f t="shared" si="43"/>
        <v>628</v>
      </c>
      <c r="C631" s="143">
        <v>46113</v>
      </c>
      <c r="D631" s="57" t="s">
        <v>435</v>
      </c>
      <c r="E631" s="57" t="s">
        <v>986</v>
      </c>
      <c r="F631" s="57" t="s">
        <v>446</v>
      </c>
      <c r="G631" s="57" t="s">
        <v>352</v>
      </c>
      <c r="H631" s="140" t="s">
        <v>518</v>
      </c>
      <c r="I631" s="57" t="s">
        <v>986</v>
      </c>
      <c r="J631" s="57">
        <v>50</v>
      </c>
      <c r="L631" s="164">
        <v>5140</v>
      </c>
    </row>
    <row r="632" spans="2:12" x14ac:dyDescent="0.3">
      <c r="B632" s="57">
        <f t="shared" si="43"/>
        <v>629</v>
      </c>
      <c r="C632" s="143">
        <v>46113</v>
      </c>
      <c r="D632" s="57" t="s">
        <v>435</v>
      </c>
      <c r="E632" s="57" t="s">
        <v>146</v>
      </c>
      <c r="F632" s="57" t="s">
        <v>446</v>
      </c>
      <c r="G632" s="57" t="s">
        <v>352</v>
      </c>
      <c r="H632" s="140" t="s">
        <v>441</v>
      </c>
      <c r="I632" s="57"/>
      <c r="J632" s="165">
        <f t="shared" ref="J632:J634" si="45">L632/K632</f>
        <v>31.25</v>
      </c>
      <c r="K632" s="57">
        <v>96</v>
      </c>
      <c r="L632" s="164">
        <v>3000</v>
      </c>
    </row>
    <row r="633" spans="2:12" x14ac:dyDescent="0.3">
      <c r="B633" s="57">
        <f t="shared" si="43"/>
        <v>630</v>
      </c>
      <c r="C633" s="143">
        <v>46113</v>
      </c>
      <c r="D633" s="57" t="s">
        <v>435</v>
      </c>
      <c r="E633" s="57" t="s">
        <v>450</v>
      </c>
      <c r="F633" s="57" t="s">
        <v>300</v>
      </c>
      <c r="G633" s="57" t="s">
        <v>438</v>
      </c>
      <c r="H633" s="140" t="s">
        <v>517</v>
      </c>
      <c r="I633" s="57"/>
      <c r="J633" s="165">
        <f t="shared" si="45"/>
        <v>53.125416666666666</v>
      </c>
      <c r="K633" s="57">
        <v>96</v>
      </c>
      <c r="L633" s="164">
        <v>5100.04</v>
      </c>
    </row>
    <row r="634" spans="2:12" x14ac:dyDescent="0.3">
      <c r="B634" s="57">
        <f t="shared" si="43"/>
        <v>631</v>
      </c>
      <c r="C634" s="143">
        <v>46113</v>
      </c>
      <c r="D634" s="57" t="s">
        <v>435</v>
      </c>
      <c r="E634" s="57" t="s">
        <v>146</v>
      </c>
      <c r="F634" s="57" t="s">
        <v>300</v>
      </c>
      <c r="G634" s="57" t="s">
        <v>438</v>
      </c>
      <c r="H634" s="140" t="s">
        <v>4110</v>
      </c>
      <c r="I634" s="57"/>
      <c r="J634" s="165">
        <f t="shared" si="45"/>
        <v>21.220416666666669</v>
      </c>
      <c r="K634" s="57">
        <v>96</v>
      </c>
      <c r="L634" s="164">
        <v>2037.16</v>
      </c>
    </row>
    <row r="635" spans="2:12" x14ac:dyDescent="0.3">
      <c r="B635" s="57">
        <f t="shared" si="43"/>
        <v>632</v>
      </c>
      <c r="C635" s="143">
        <v>46113</v>
      </c>
      <c r="D635" s="57" t="s">
        <v>435</v>
      </c>
      <c r="E635" s="57" t="s">
        <v>4091</v>
      </c>
      <c r="F635" s="57" t="s">
        <v>300</v>
      </c>
      <c r="G635" s="57" t="s">
        <v>438</v>
      </c>
      <c r="H635" s="140" t="s">
        <v>4096</v>
      </c>
      <c r="I635" s="57"/>
      <c r="J635" s="57"/>
      <c r="L635" s="164">
        <v>1003</v>
      </c>
    </row>
    <row r="636" spans="2:12" x14ac:dyDescent="0.3">
      <c r="B636" s="57">
        <f t="shared" si="43"/>
        <v>633</v>
      </c>
      <c r="C636" s="143">
        <v>46113</v>
      </c>
      <c r="D636" s="57" t="s">
        <v>435</v>
      </c>
      <c r="E636" s="57" t="s">
        <v>450</v>
      </c>
      <c r="F636" s="57" t="s">
        <v>300</v>
      </c>
      <c r="G636" s="57" t="s">
        <v>438</v>
      </c>
      <c r="H636" s="140" t="s">
        <v>449</v>
      </c>
      <c r="I636" s="57"/>
      <c r="J636" s="165">
        <f>L636/K636</f>
        <v>20.833333333333332</v>
      </c>
      <c r="K636" s="57">
        <v>96</v>
      </c>
      <c r="L636" s="164">
        <v>2000</v>
      </c>
    </row>
    <row r="637" spans="2:12" x14ac:dyDescent="0.3">
      <c r="B637" s="57">
        <f t="shared" si="43"/>
        <v>634</v>
      </c>
      <c r="C637" s="146">
        <v>46113</v>
      </c>
      <c r="D637" s="152" t="s">
        <v>435</v>
      </c>
      <c r="E637" s="57" t="s">
        <v>782</v>
      </c>
      <c r="F637" s="57" t="s">
        <v>300</v>
      </c>
      <c r="G637" s="57" t="s">
        <v>530</v>
      </c>
      <c r="H637" s="140" t="s">
        <v>983</v>
      </c>
      <c r="I637" s="57"/>
      <c r="J637" s="57"/>
      <c r="L637" s="164">
        <v>1384024</v>
      </c>
    </row>
    <row r="638" spans="2:12" x14ac:dyDescent="0.3">
      <c r="B638" s="57">
        <f t="shared" si="43"/>
        <v>635</v>
      </c>
      <c r="C638" s="146">
        <v>46113</v>
      </c>
      <c r="D638" s="152" t="s">
        <v>435</v>
      </c>
      <c r="E638" s="57" t="s">
        <v>4008</v>
      </c>
      <c r="F638" s="57" t="s">
        <v>300</v>
      </c>
      <c r="G638" s="57" t="s">
        <v>530</v>
      </c>
      <c r="H638" s="140" t="s">
        <v>984</v>
      </c>
      <c r="I638" s="57"/>
      <c r="J638" s="57"/>
      <c r="L638" s="164">
        <v>473000</v>
      </c>
    </row>
    <row r="639" spans="2:12" x14ac:dyDescent="0.3">
      <c r="B639" s="57">
        <f t="shared" si="43"/>
        <v>636</v>
      </c>
      <c r="C639" s="141">
        <v>46113</v>
      </c>
      <c r="D639" s="57" t="s">
        <v>30</v>
      </c>
      <c r="E639" s="57" t="s">
        <v>2022</v>
      </c>
      <c r="F639" s="57" t="s">
        <v>436</v>
      </c>
      <c r="G639" s="57" t="s">
        <v>987</v>
      </c>
      <c r="H639" s="140" t="s">
        <v>2065</v>
      </c>
      <c r="I639" s="57"/>
      <c r="J639" s="57"/>
      <c r="L639" s="164">
        <v>300</v>
      </c>
    </row>
    <row r="640" spans="2:12" x14ac:dyDescent="0.3">
      <c r="B640" s="57">
        <f t="shared" si="43"/>
        <v>637</v>
      </c>
      <c r="C640" s="141">
        <v>46113</v>
      </c>
      <c r="D640" s="57" t="s">
        <v>30</v>
      </c>
      <c r="E640" s="57" t="s">
        <v>522</v>
      </c>
      <c r="F640" s="57" t="s">
        <v>502</v>
      </c>
      <c r="G640" s="57" t="s">
        <v>257</v>
      </c>
      <c r="H640" s="140" t="s">
        <v>2126</v>
      </c>
      <c r="I640" s="57"/>
      <c r="J640" s="57"/>
      <c r="L640" s="164">
        <v>400</v>
      </c>
    </row>
    <row r="641" spans="2:12" x14ac:dyDescent="0.3">
      <c r="B641" s="57">
        <f t="shared" si="43"/>
        <v>638</v>
      </c>
      <c r="C641" s="141">
        <v>46113</v>
      </c>
      <c r="D641" s="57" t="s">
        <v>30</v>
      </c>
      <c r="E641" s="57" t="s">
        <v>958</v>
      </c>
      <c r="F641" s="57" t="s">
        <v>436</v>
      </c>
      <c r="G641" s="57" t="s">
        <v>987</v>
      </c>
      <c r="H641" s="140" t="s">
        <v>958</v>
      </c>
      <c r="I641" s="57"/>
      <c r="J641" s="57"/>
      <c r="L641" s="164">
        <v>4400</v>
      </c>
    </row>
    <row r="642" spans="2:12" x14ac:dyDescent="0.3">
      <c r="B642" s="57">
        <f t="shared" si="43"/>
        <v>639</v>
      </c>
      <c r="C642" s="141">
        <v>46113</v>
      </c>
      <c r="D642" s="57" t="s">
        <v>30</v>
      </c>
      <c r="E642" s="57" t="s">
        <v>434</v>
      </c>
      <c r="F642" s="57" t="s">
        <v>436</v>
      </c>
      <c r="G642" s="57" t="s">
        <v>987</v>
      </c>
      <c r="H642" s="140" t="s">
        <v>2083</v>
      </c>
      <c r="I642" s="57"/>
      <c r="J642" s="57"/>
      <c r="L642" s="164">
        <v>180</v>
      </c>
    </row>
    <row r="643" spans="2:12" x14ac:dyDescent="0.3">
      <c r="B643" s="57">
        <f t="shared" si="43"/>
        <v>640</v>
      </c>
      <c r="C643" s="143">
        <v>46114</v>
      </c>
      <c r="D643" s="57" t="s">
        <v>435</v>
      </c>
      <c r="E643" s="57" t="s">
        <v>146</v>
      </c>
      <c r="F643" s="57" t="s">
        <v>436</v>
      </c>
      <c r="G643" s="57" t="s">
        <v>270</v>
      </c>
      <c r="H643" s="140" t="s">
        <v>885</v>
      </c>
      <c r="I643" s="57"/>
      <c r="J643" s="165">
        <f>L643/K643</f>
        <v>20.833333333333332</v>
      </c>
      <c r="K643" s="57">
        <v>96</v>
      </c>
      <c r="L643" s="164">
        <v>2000</v>
      </c>
    </row>
    <row r="644" spans="2:12" x14ac:dyDescent="0.3">
      <c r="B644" s="57">
        <f t="shared" si="43"/>
        <v>641</v>
      </c>
      <c r="C644" s="143">
        <v>46114</v>
      </c>
      <c r="D644" s="57" t="s">
        <v>435</v>
      </c>
      <c r="E644" s="57" t="s">
        <v>524</v>
      </c>
      <c r="F644" s="57" t="s">
        <v>350</v>
      </c>
      <c r="G644" s="57" t="s">
        <v>350</v>
      </c>
      <c r="H644" s="140" t="s">
        <v>523</v>
      </c>
      <c r="I644" s="57"/>
      <c r="J644" s="57"/>
      <c r="L644" s="164">
        <v>500</v>
      </c>
    </row>
    <row r="645" spans="2:12" x14ac:dyDescent="0.3">
      <c r="B645" s="57">
        <f t="shared" si="43"/>
        <v>642</v>
      </c>
      <c r="C645" s="143">
        <v>46114</v>
      </c>
      <c r="D645" s="57" t="s">
        <v>435</v>
      </c>
      <c r="E645" s="57" t="s">
        <v>522</v>
      </c>
      <c r="F645" s="57" t="s">
        <v>300</v>
      </c>
      <c r="G645" s="57" t="s">
        <v>438</v>
      </c>
      <c r="H645" s="140" t="s">
        <v>521</v>
      </c>
      <c r="I645" s="57"/>
      <c r="J645" s="57"/>
      <c r="L645" s="164">
        <v>2800</v>
      </c>
    </row>
    <row r="646" spans="2:12" x14ac:dyDescent="0.3">
      <c r="B646" s="57">
        <f t="shared" ref="B646:B709" si="46">+B645+1</f>
        <v>643</v>
      </c>
      <c r="C646" s="143">
        <v>46114</v>
      </c>
      <c r="D646" s="57" t="s">
        <v>435</v>
      </c>
      <c r="E646" s="57" t="s">
        <v>434</v>
      </c>
      <c r="F646" s="57" t="s">
        <v>446</v>
      </c>
      <c r="G646" s="57" t="s">
        <v>313</v>
      </c>
      <c r="H646" s="140" t="s">
        <v>520</v>
      </c>
      <c r="I646" s="57"/>
      <c r="J646" s="57"/>
      <c r="L646" s="164">
        <v>2300</v>
      </c>
    </row>
    <row r="647" spans="2:12" x14ac:dyDescent="0.3">
      <c r="B647" s="57">
        <f t="shared" si="46"/>
        <v>644</v>
      </c>
      <c r="C647" s="143">
        <v>46114</v>
      </c>
      <c r="D647" s="57" t="s">
        <v>435</v>
      </c>
      <c r="E647" s="57" t="s">
        <v>146</v>
      </c>
      <c r="F647" s="57" t="s">
        <v>300</v>
      </c>
      <c r="G647" s="57" t="s">
        <v>438</v>
      </c>
      <c r="H647" s="140" t="s">
        <v>894</v>
      </c>
      <c r="I647" s="57"/>
      <c r="J647" s="165">
        <f>L647/K647</f>
        <v>31.25</v>
      </c>
      <c r="K647" s="57">
        <v>96</v>
      </c>
      <c r="L647" s="164">
        <v>3000</v>
      </c>
    </row>
    <row r="648" spans="2:12" x14ac:dyDescent="0.3">
      <c r="B648" s="57">
        <f t="shared" si="46"/>
        <v>645</v>
      </c>
      <c r="C648" s="143">
        <v>46114</v>
      </c>
      <c r="D648" s="57" t="s">
        <v>435</v>
      </c>
      <c r="E648" s="57" t="s">
        <v>460</v>
      </c>
      <c r="F648" s="57" t="s">
        <v>446</v>
      </c>
      <c r="G648" s="57" t="s">
        <v>313</v>
      </c>
      <c r="H648" s="140" t="s">
        <v>519</v>
      </c>
      <c r="I648" s="57"/>
      <c r="J648" s="57"/>
      <c r="L648" s="164">
        <v>1290</v>
      </c>
    </row>
    <row r="649" spans="2:12" x14ac:dyDescent="0.3">
      <c r="B649" s="57">
        <f t="shared" si="46"/>
        <v>646</v>
      </c>
      <c r="C649" s="143">
        <v>46114</v>
      </c>
      <c r="D649" s="57" t="s">
        <v>435</v>
      </c>
      <c r="E649" s="57" t="s">
        <v>146</v>
      </c>
      <c r="F649" s="57" t="s">
        <v>350</v>
      </c>
      <c r="G649" s="57" t="s">
        <v>337</v>
      </c>
      <c r="H649" s="140" t="s">
        <v>4111</v>
      </c>
      <c r="I649" s="57"/>
      <c r="J649" s="165">
        <f>L649/K649</f>
        <v>20.833333333333332</v>
      </c>
      <c r="K649" s="57">
        <v>96</v>
      </c>
      <c r="L649" s="164">
        <v>2000</v>
      </c>
    </row>
    <row r="650" spans="2:12" x14ac:dyDescent="0.3">
      <c r="B650" s="57">
        <f t="shared" si="46"/>
        <v>647</v>
      </c>
      <c r="C650" s="141">
        <v>46114</v>
      </c>
      <c r="D650" s="57" t="s">
        <v>2021</v>
      </c>
      <c r="E650" s="57" t="s">
        <v>434</v>
      </c>
      <c r="F650" s="57" t="s">
        <v>300</v>
      </c>
      <c r="G650" s="57" t="s">
        <v>530</v>
      </c>
      <c r="H650" s="140" t="s">
        <v>2244</v>
      </c>
      <c r="I650" s="57"/>
      <c r="J650" s="57"/>
      <c r="L650" s="164">
        <v>5050</v>
      </c>
    </row>
    <row r="651" spans="2:12" x14ac:dyDescent="0.3">
      <c r="B651" s="57">
        <f t="shared" si="46"/>
        <v>648</v>
      </c>
      <c r="C651" s="141">
        <v>46114</v>
      </c>
      <c r="D651" s="57" t="s">
        <v>2021</v>
      </c>
      <c r="E651" s="57" t="s">
        <v>2022</v>
      </c>
      <c r="F651" s="57" t="s">
        <v>300</v>
      </c>
      <c r="G651" s="57" t="s">
        <v>530</v>
      </c>
      <c r="H651" s="140" t="s">
        <v>2245</v>
      </c>
      <c r="I651" s="57"/>
      <c r="J651" s="57"/>
      <c r="L651" s="164">
        <v>1500</v>
      </c>
    </row>
    <row r="652" spans="2:12" x14ac:dyDescent="0.3">
      <c r="B652" s="57">
        <f t="shared" si="46"/>
        <v>649</v>
      </c>
      <c r="C652" s="141">
        <v>46114</v>
      </c>
      <c r="D652" s="57" t="s">
        <v>2021</v>
      </c>
      <c r="E652" s="57" t="s">
        <v>522</v>
      </c>
      <c r="F652" s="57" t="s">
        <v>300</v>
      </c>
      <c r="G652" s="57" t="s">
        <v>530</v>
      </c>
      <c r="H652" s="140" t="s">
        <v>2246</v>
      </c>
      <c r="I652" s="57"/>
      <c r="J652" s="57"/>
      <c r="L652" s="164">
        <v>5000</v>
      </c>
    </row>
    <row r="653" spans="2:12" x14ac:dyDescent="0.3">
      <c r="B653" s="57">
        <f t="shared" si="46"/>
        <v>650</v>
      </c>
      <c r="C653" s="141">
        <v>46114</v>
      </c>
      <c r="D653" s="57" t="s">
        <v>2021</v>
      </c>
      <c r="E653" s="57" t="s">
        <v>146</v>
      </c>
      <c r="F653" s="57" t="s">
        <v>300</v>
      </c>
      <c r="G653" s="57" t="s">
        <v>530</v>
      </c>
      <c r="H653" s="140" t="s">
        <v>4112</v>
      </c>
      <c r="I653" s="57" t="s">
        <v>146</v>
      </c>
      <c r="J653" s="165">
        <f>L653/K653</f>
        <v>41.375</v>
      </c>
      <c r="K653" s="57">
        <v>96</v>
      </c>
      <c r="L653" s="164">
        <v>3972</v>
      </c>
    </row>
    <row r="654" spans="2:12" x14ac:dyDescent="0.3">
      <c r="B654" s="57">
        <f t="shared" si="46"/>
        <v>651</v>
      </c>
      <c r="C654" s="141">
        <v>46114</v>
      </c>
      <c r="D654" s="57" t="s">
        <v>2021</v>
      </c>
      <c r="E654" s="57" t="s">
        <v>532</v>
      </c>
      <c r="F654" s="57" t="s">
        <v>300</v>
      </c>
      <c r="G654" s="57" t="s">
        <v>530</v>
      </c>
      <c r="H654" s="140" t="s">
        <v>2206</v>
      </c>
      <c r="I654" s="57"/>
      <c r="J654" s="57">
        <v>20</v>
      </c>
      <c r="K654" s="57">
        <v>300</v>
      </c>
      <c r="L654" s="164">
        <v>6500</v>
      </c>
    </row>
    <row r="655" spans="2:12" x14ac:dyDescent="0.3">
      <c r="B655" s="57">
        <f t="shared" si="46"/>
        <v>652</v>
      </c>
      <c r="C655" s="143">
        <v>46115</v>
      </c>
      <c r="D655" s="57" t="s">
        <v>435</v>
      </c>
      <c r="E655" s="57" t="s">
        <v>958</v>
      </c>
      <c r="F655" s="57" t="s">
        <v>300</v>
      </c>
      <c r="G655" s="57" t="s">
        <v>530</v>
      </c>
      <c r="H655" s="140" t="s">
        <v>535</v>
      </c>
      <c r="I655" s="57"/>
      <c r="J655" s="57"/>
      <c r="L655" s="164">
        <v>6000</v>
      </c>
    </row>
    <row r="656" spans="2:12" x14ac:dyDescent="0.3">
      <c r="B656" s="57">
        <f t="shared" si="46"/>
        <v>653</v>
      </c>
      <c r="C656" s="143">
        <v>46115</v>
      </c>
      <c r="D656" s="57" t="s">
        <v>435</v>
      </c>
      <c r="E656" s="57" t="s">
        <v>986</v>
      </c>
      <c r="F656" s="57" t="s">
        <v>446</v>
      </c>
      <c r="G656" s="57" t="s">
        <v>359</v>
      </c>
      <c r="H656" s="140" t="s">
        <v>534</v>
      </c>
      <c r="I656" s="57" t="s">
        <v>986</v>
      </c>
      <c r="J656" s="57">
        <v>25</v>
      </c>
      <c r="K656" s="167">
        <f>L656/J656</f>
        <v>96</v>
      </c>
      <c r="L656" s="164">
        <v>2400</v>
      </c>
    </row>
    <row r="657" spans="2:12" x14ac:dyDescent="0.3">
      <c r="B657" s="57">
        <f t="shared" si="46"/>
        <v>654</v>
      </c>
      <c r="C657" s="143">
        <v>46115</v>
      </c>
      <c r="D657" s="57" t="s">
        <v>435</v>
      </c>
      <c r="E657" s="57" t="s">
        <v>767</v>
      </c>
      <c r="F657" s="57" t="s">
        <v>446</v>
      </c>
      <c r="G657" s="57" t="s">
        <v>359</v>
      </c>
      <c r="H657" s="140" t="s">
        <v>533</v>
      </c>
      <c r="I657" s="57"/>
      <c r="J657" s="57"/>
      <c r="L657" s="164">
        <v>1065</v>
      </c>
    </row>
    <row r="658" spans="2:12" x14ac:dyDescent="0.3">
      <c r="B658" s="57">
        <f t="shared" si="46"/>
        <v>655</v>
      </c>
      <c r="C658" s="143">
        <v>46115</v>
      </c>
      <c r="D658" s="57" t="s">
        <v>435</v>
      </c>
      <c r="E658" s="57" t="s">
        <v>532</v>
      </c>
      <c r="F658" s="57" t="s">
        <v>446</v>
      </c>
      <c r="G658" s="57" t="s">
        <v>352</v>
      </c>
      <c r="H658" s="140" t="s">
        <v>531</v>
      </c>
      <c r="I658" s="57" t="s">
        <v>532</v>
      </c>
      <c r="J658" s="57">
        <v>80</v>
      </c>
      <c r="K658" s="167">
        <f>L658/J658</f>
        <v>255</v>
      </c>
      <c r="L658" s="164">
        <v>20400</v>
      </c>
    </row>
    <row r="659" spans="2:12" x14ac:dyDescent="0.3">
      <c r="B659" s="57">
        <f t="shared" si="46"/>
        <v>656</v>
      </c>
      <c r="C659" s="143">
        <v>46115</v>
      </c>
      <c r="D659" s="57" t="s">
        <v>435</v>
      </c>
      <c r="E659" s="57" t="s">
        <v>474</v>
      </c>
      <c r="F659" s="57" t="s">
        <v>300</v>
      </c>
      <c r="G659" s="57" t="s">
        <v>530</v>
      </c>
      <c r="H659" s="140" t="s">
        <v>407</v>
      </c>
      <c r="I659" s="57"/>
      <c r="J659" s="57"/>
      <c r="L659" s="164">
        <v>87675</v>
      </c>
    </row>
    <row r="660" spans="2:12" x14ac:dyDescent="0.3">
      <c r="B660" s="57">
        <f t="shared" si="46"/>
        <v>657</v>
      </c>
      <c r="C660" s="143">
        <v>46115</v>
      </c>
      <c r="D660" s="57" t="s">
        <v>435</v>
      </c>
      <c r="E660" s="57" t="s">
        <v>529</v>
      </c>
      <c r="F660" s="57" t="s">
        <v>300</v>
      </c>
      <c r="G660" s="57" t="s">
        <v>438</v>
      </c>
      <c r="H660" s="140" t="s">
        <v>528</v>
      </c>
      <c r="I660" s="57"/>
      <c r="J660" s="57"/>
      <c r="L660" s="164">
        <v>450</v>
      </c>
    </row>
    <row r="661" spans="2:12" x14ac:dyDescent="0.3">
      <c r="B661" s="57">
        <f t="shared" si="46"/>
        <v>658</v>
      </c>
      <c r="C661" s="143">
        <v>46115</v>
      </c>
      <c r="D661" s="57" t="s">
        <v>435</v>
      </c>
      <c r="E661" s="57" t="s">
        <v>434</v>
      </c>
      <c r="F661" s="57" t="s">
        <v>502</v>
      </c>
      <c r="G661" s="57" t="s">
        <v>257</v>
      </c>
      <c r="H661" s="140" t="s">
        <v>527</v>
      </c>
      <c r="I661" s="57"/>
      <c r="J661" s="57"/>
      <c r="L661" s="164">
        <v>1050</v>
      </c>
    </row>
    <row r="662" spans="2:12" x14ac:dyDescent="0.3">
      <c r="B662" s="57">
        <f t="shared" si="46"/>
        <v>659</v>
      </c>
      <c r="C662" s="143">
        <v>46115</v>
      </c>
      <c r="D662" s="57" t="s">
        <v>435</v>
      </c>
      <c r="E662" s="57" t="s">
        <v>146</v>
      </c>
      <c r="F662" s="57" t="s">
        <v>300</v>
      </c>
      <c r="G662" s="57" t="s">
        <v>526</v>
      </c>
      <c r="H662" s="140" t="s">
        <v>1051</v>
      </c>
      <c r="I662" s="57"/>
      <c r="J662" s="165">
        <f>L662/K662</f>
        <v>20.833333333333332</v>
      </c>
      <c r="K662" s="57">
        <v>96</v>
      </c>
      <c r="L662" s="164">
        <v>2000</v>
      </c>
    </row>
    <row r="663" spans="2:12" x14ac:dyDescent="0.3">
      <c r="B663" s="57">
        <f t="shared" si="46"/>
        <v>660</v>
      </c>
      <c r="C663" s="143">
        <v>46115</v>
      </c>
      <c r="D663" s="57" t="s">
        <v>435</v>
      </c>
      <c r="E663" s="57" t="s">
        <v>434</v>
      </c>
      <c r="F663" s="57" t="s">
        <v>446</v>
      </c>
      <c r="G663" s="57" t="s">
        <v>352</v>
      </c>
      <c r="H663" s="140" t="s">
        <v>510</v>
      </c>
      <c r="I663" s="57"/>
      <c r="J663" s="57"/>
      <c r="L663" s="164">
        <v>180</v>
      </c>
    </row>
    <row r="664" spans="2:12" x14ac:dyDescent="0.3">
      <c r="B664" s="57">
        <f t="shared" si="46"/>
        <v>661</v>
      </c>
      <c r="C664" s="143">
        <v>46115</v>
      </c>
      <c r="D664" s="57" t="s">
        <v>435</v>
      </c>
      <c r="E664" s="57" t="s">
        <v>434</v>
      </c>
      <c r="F664" s="57" t="s">
        <v>350</v>
      </c>
      <c r="G664" s="57" t="s">
        <v>337</v>
      </c>
      <c r="H664" s="140" t="s">
        <v>525</v>
      </c>
      <c r="I664" s="57"/>
      <c r="J664" s="57"/>
      <c r="L664" s="164">
        <v>330</v>
      </c>
    </row>
    <row r="665" spans="2:12" x14ac:dyDescent="0.3">
      <c r="B665" s="57">
        <f t="shared" si="46"/>
        <v>662</v>
      </c>
      <c r="C665" s="143">
        <v>46115</v>
      </c>
      <c r="D665" s="57" t="s">
        <v>435</v>
      </c>
      <c r="E665" s="57" t="s">
        <v>434</v>
      </c>
      <c r="F665" s="57" t="s">
        <v>446</v>
      </c>
      <c r="G665" s="57" t="s">
        <v>316</v>
      </c>
      <c r="H665" s="140" t="s">
        <v>510</v>
      </c>
      <c r="I665" s="57"/>
      <c r="J665" s="57"/>
      <c r="L665" s="164">
        <v>1320</v>
      </c>
    </row>
    <row r="666" spans="2:12" x14ac:dyDescent="0.3">
      <c r="B666" s="57">
        <f t="shared" si="46"/>
        <v>663</v>
      </c>
      <c r="C666" s="143">
        <v>46115</v>
      </c>
      <c r="D666" s="57" t="s">
        <v>435</v>
      </c>
      <c r="E666" s="57" t="s">
        <v>146</v>
      </c>
      <c r="F666" s="57" t="s">
        <v>300</v>
      </c>
      <c r="G666" s="57" t="s">
        <v>438</v>
      </c>
      <c r="H666" s="140" t="s">
        <v>441</v>
      </c>
      <c r="I666" s="57"/>
      <c r="J666" s="165">
        <f t="shared" ref="J666:J669" si="47">L666/K666</f>
        <v>20.833333333333332</v>
      </c>
      <c r="K666" s="57">
        <v>96</v>
      </c>
      <c r="L666" s="164">
        <v>2000</v>
      </c>
    </row>
    <row r="667" spans="2:12" x14ac:dyDescent="0.3">
      <c r="B667" s="57">
        <f t="shared" si="46"/>
        <v>664</v>
      </c>
      <c r="C667" s="143">
        <v>46115</v>
      </c>
      <c r="D667" s="57" t="s">
        <v>435</v>
      </c>
      <c r="E667" s="57" t="s">
        <v>146</v>
      </c>
      <c r="F667" s="57" t="s">
        <v>446</v>
      </c>
      <c r="G667" s="57" t="s">
        <v>316</v>
      </c>
      <c r="H667" s="140" t="s">
        <v>441</v>
      </c>
      <c r="I667" s="57"/>
      <c r="J667" s="165">
        <f t="shared" si="47"/>
        <v>20.833333333333332</v>
      </c>
      <c r="K667" s="57">
        <v>96</v>
      </c>
      <c r="L667" s="164">
        <v>2000</v>
      </c>
    </row>
    <row r="668" spans="2:12" x14ac:dyDescent="0.3">
      <c r="B668" s="57">
        <f t="shared" si="46"/>
        <v>665</v>
      </c>
      <c r="C668" s="143">
        <v>46115</v>
      </c>
      <c r="D668" s="57" t="s">
        <v>435</v>
      </c>
      <c r="E668" s="57" t="s">
        <v>146</v>
      </c>
      <c r="F668" s="57" t="s">
        <v>300</v>
      </c>
      <c r="G668" s="57" t="s">
        <v>438</v>
      </c>
      <c r="H668" s="140" t="s">
        <v>4088</v>
      </c>
      <c r="I668" s="57"/>
      <c r="J668" s="165">
        <f t="shared" si="47"/>
        <v>44.799791666666664</v>
      </c>
      <c r="K668" s="57">
        <v>96</v>
      </c>
      <c r="L668" s="164">
        <v>4300.78</v>
      </c>
    </row>
    <row r="669" spans="2:12" x14ac:dyDescent="0.3">
      <c r="B669" s="57">
        <f t="shared" si="46"/>
        <v>666</v>
      </c>
      <c r="C669" s="143">
        <v>46116</v>
      </c>
      <c r="D669" s="57" t="s">
        <v>435</v>
      </c>
      <c r="E669" s="57" t="s">
        <v>146</v>
      </c>
      <c r="F669" s="57" t="s">
        <v>446</v>
      </c>
      <c r="G669" s="57" t="s">
        <v>316</v>
      </c>
      <c r="H669" s="140" t="s">
        <v>441</v>
      </c>
      <c r="I669" s="57"/>
      <c r="J669" s="165">
        <f t="shared" si="47"/>
        <v>31.25</v>
      </c>
      <c r="K669" s="57">
        <v>96</v>
      </c>
      <c r="L669" s="164">
        <v>3000</v>
      </c>
    </row>
    <row r="670" spans="2:12" x14ac:dyDescent="0.3">
      <c r="B670" s="57">
        <f t="shared" si="46"/>
        <v>667</v>
      </c>
      <c r="C670" s="143">
        <v>46116</v>
      </c>
      <c r="D670" s="57" t="s">
        <v>435</v>
      </c>
      <c r="E670" s="57" t="s">
        <v>532</v>
      </c>
      <c r="F670" s="57" t="s">
        <v>446</v>
      </c>
      <c r="G670" s="57" t="s">
        <v>316</v>
      </c>
      <c r="H670" s="140" t="s">
        <v>541</v>
      </c>
      <c r="I670" s="57" t="s">
        <v>532</v>
      </c>
      <c r="J670" s="57">
        <v>2</v>
      </c>
      <c r="K670" s="57">
        <v>300</v>
      </c>
      <c r="L670" s="164">
        <v>600</v>
      </c>
    </row>
    <row r="671" spans="2:12" x14ac:dyDescent="0.3">
      <c r="B671" s="57">
        <f t="shared" si="46"/>
        <v>668</v>
      </c>
      <c r="C671" s="143">
        <v>46116</v>
      </c>
      <c r="D671" s="57" t="s">
        <v>435</v>
      </c>
      <c r="E671" s="57" t="s">
        <v>767</v>
      </c>
      <c r="F671" s="57" t="s">
        <v>446</v>
      </c>
      <c r="G671" s="57" t="s">
        <v>316</v>
      </c>
      <c r="H671" s="140" t="s">
        <v>540</v>
      </c>
      <c r="I671" s="57"/>
      <c r="J671" s="57"/>
      <c r="L671" s="164">
        <f>4500-L670-L669</f>
        <v>900</v>
      </c>
    </row>
    <row r="672" spans="2:12" x14ac:dyDescent="0.3">
      <c r="B672" s="57">
        <f t="shared" si="46"/>
        <v>669</v>
      </c>
      <c r="C672" s="143">
        <v>46116</v>
      </c>
      <c r="D672" s="57" t="s">
        <v>435</v>
      </c>
      <c r="E672" s="57" t="s">
        <v>460</v>
      </c>
      <c r="F672" s="57" t="s">
        <v>436</v>
      </c>
      <c r="G672" s="57" t="s">
        <v>480</v>
      </c>
      <c r="H672" s="140" t="s">
        <v>539</v>
      </c>
      <c r="I672" s="57"/>
      <c r="J672" s="57"/>
      <c r="L672" s="164">
        <v>180</v>
      </c>
    </row>
    <row r="673" spans="2:12" x14ac:dyDescent="0.3">
      <c r="B673" s="57">
        <f t="shared" si="46"/>
        <v>670</v>
      </c>
      <c r="C673" s="143">
        <v>46116</v>
      </c>
      <c r="D673" s="57" t="s">
        <v>435</v>
      </c>
      <c r="E673" s="57" t="s">
        <v>146</v>
      </c>
      <c r="F673" s="57" t="s">
        <v>446</v>
      </c>
      <c r="G673" s="57" t="s">
        <v>316</v>
      </c>
      <c r="H673" s="140" t="s">
        <v>441</v>
      </c>
      <c r="I673" s="57"/>
      <c r="J673" s="165">
        <f t="shared" ref="J673:J674" si="48">L673/K673</f>
        <v>20.833333333333332</v>
      </c>
      <c r="K673" s="57">
        <v>96</v>
      </c>
      <c r="L673" s="164">
        <v>2000</v>
      </c>
    </row>
    <row r="674" spans="2:12" x14ac:dyDescent="0.3">
      <c r="B674" s="57">
        <f t="shared" si="46"/>
        <v>671</v>
      </c>
      <c r="C674" s="143">
        <v>46116</v>
      </c>
      <c r="D674" s="57" t="s">
        <v>435</v>
      </c>
      <c r="E674" s="57" t="s">
        <v>146</v>
      </c>
      <c r="F674" s="57" t="s">
        <v>502</v>
      </c>
      <c r="G674" s="57" t="s">
        <v>257</v>
      </c>
      <c r="H674" s="140" t="s">
        <v>441</v>
      </c>
      <c r="I674" s="57"/>
      <c r="J674" s="165">
        <f t="shared" si="48"/>
        <v>20.833333333333332</v>
      </c>
      <c r="K674" s="57">
        <v>96</v>
      </c>
      <c r="L674" s="164">
        <v>2000</v>
      </c>
    </row>
    <row r="675" spans="2:12" x14ac:dyDescent="0.3">
      <c r="B675" s="57">
        <f t="shared" si="46"/>
        <v>672</v>
      </c>
      <c r="C675" s="143">
        <v>46116</v>
      </c>
      <c r="D675" s="57" t="s">
        <v>435</v>
      </c>
      <c r="E675" s="57" t="s">
        <v>986</v>
      </c>
      <c r="F675" s="57" t="s">
        <v>446</v>
      </c>
      <c r="G675" s="57" t="s">
        <v>313</v>
      </c>
      <c r="H675" s="140" t="s">
        <v>538</v>
      </c>
      <c r="I675" s="57" t="s">
        <v>986</v>
      </c>
      <c r="J675" s="57">
        <v>50</v>
      </c>
      <c r="L675" s="164">
        <v>6600</v>
      </c>
    </row>
    <row r="676" spans="2:12" x14ac:dyDescent="0.3">
      <c r="B676" s="57">
        <f t="shared" si="46"/>
        <v>673</v>
      </c>
      <c r="C676" s="143">
        <v>46116</v>
      </c>
      <c r="D676" s="57" t="s">
        <v>435</v>
      </c>
      <c r="E676" s="57" t="s">
        <v>462</v>
      </c>
      <c r="F676" s="57" t="s">
        <v>446</v>
      </c>
      <c r="G676" s="57" t="s">
        <v>313</v>
      </c>
      <c r="H676" s="140" t="s">
        <v>537</v>
      </c>
      <c r="I676" s="57"/>
      <c r="J676" s="57"/>
      <c r="L676" s="164">
        <v>7700</v>
      </c>
    </row>
    <row r="677" spans="2:12" x14ac:dyDescent="0.3">
      <c r="B677" s="57">
        <f t="shared" si="46"/>
        <v>674</v>
      </c>
      <c r="C677" s="143">
        <v>46116</v>
      </c>
      <c r="D677" s="57" t="s">
        <v>435</v>
      </c>
      <c r="E677" s="57" t="s">
        <v>450</v>
      </c>
      <c r="F677" s="57" t="s">
        <v>300</v>
      </c>
      <c r="G677" s="57" t="s">
        <v>530</v>
      </c>
      <c r="H677" s="140" t="s">
        <v>4093</v>
      </c>
      <c r="I677" s="57"/>
      <c r="J677" s="165">
        <f>L677/K677</f>
        <v>53.760416666666664</v>
      </c>
      <c r="K677" s="57">
        <v>96</v>
      </c>
      <c r="L677" s="164">
        <v>5161</v>
      </c>
    </row>
    <row r="678" spans="2:12" x14ac:dyDescent="0.3">
      <c r="B678" s="57">
        <f t="shared" si="46"/>
        <v>675</v>
      </c>
      <c r="C678" s="143">
        <v>46116</v>
      </c>
      <c r="D678" s="57" t="s">
        <v>435</v>
      </c>
      <c r="E678" s="57" t="s">
        <v>460</v>
      </c>
      <c r="F678" s="57" t="s">
        <v>446</v>
      </c>
      <c r="G678" s="57" t="s">
        <v>316</v>
      </c>
      <c r="H678" s="140" t="s">
        <v>536</v>
      </c>
      <c r="I678" s="57"/>
      <c r="J678" s="57"/>
      <c r="L678" s="164">
        <v>460</v>
      </c>
    </row>
    <row r="679" spans="2:12" x14ac:dyDescent="0.3">
      <c r="B679" s="57">
        <f t="shared" si="46"/>
        <v>676</v>
      </c>
      <c r="C679" s="143">
        <v>46117</v>
      </c>
      <c r="D679" s="57" t="s">
        <v>435</v>
      </c>
      <c r="E679" s="57" t="s">
        <v>529</v>
      </c>
      <c r="F679" s="57" t="s">
        <v>350</v>
      </c>
      <c r="G679" s="57" t="s">
        <v>350</v>
      </c>
      <c r="H679" s="140" t="s">
        <v>542</v>
      </c>
      <c r="I679" s="57"/>
      <c r="J679" s="57"/>
      <c r="L679" s="164">
        <v>3000</v>
      </c>
    </row>
    <row r="680" spans="2:12" x14ac:dyDescent="0.3">
      <c r="B680" s="57">
        <f t="shared" si="46"/>
        <v>677</v>
      </c>
      <c r="C680" s="147">
        <v>46117</v>
      </c>
      <c r="D680" s="57" t="s">
        <v>968</v>
      </c>
      <c r="E680" s="57" t="s">
        <v>146</v>
      </c>
      <c r="F680" s="57" t="s">
        <v>300</v>
      </c>
      <c r="G680" s="57" t="s">
        <v>530</v>
      </c>
      <c r="H680" s="140" t="s">
        <v>1006</v>
      </c>
      <c r="I680" s="57"/>
      <c r="J680" s="165">
        <f t="shared" ref="J680:J682" si="49">L680/K680</f>
        <v>26.041666666666668</v>
      </c>
      <c r="K680" s="57">
        <v>96</v>
      </c>
      <c r="L680" s="164">
        <v>2500</v>
      </c>
    </row>
    <row r="681" spans="2:12" x14ac:dyDescent="0.3">
      <c r="B681" s="57">
        <f t="shared" si="46"/>
        <v>678</v>
      </c>
      <c r="C681" s="147">
        <v>46117</v>
      </c>
      <c r="D681" s="57" t="s">
        <v>968</v>
      </c>
      <c r="E681" s="57" t="s">
        <v>146</v>
      </c>
      <c r="F681" s="57" t="s">
        <v>300</v>
      </c>
      <c r="G681" s="57" t="s">
        <v>530</v>
      </c>
      <c r="H681" s="140" t="s">
        <v>1007</v>
      </c>
      <c r="I681" s="57"/>
      <c r="J681" s="165">
        <f t="shared" si="49"/>
        <v>20.833333333333332</v>
      </c>
      <c r="K681" s="57">
        <v>96</v>
      </c>
      <c r="L681" s="164">
        <v>2000</v>
      </c>
    </row>
    <row r="682" spans="2:12" x14ac:dyDescent="0.3">
      <c r="B682" s="57">
        <f t="shared" si="46"/>
        <v>679</v>
      </c>
      <c r="C682" s="147">
        <v>46117</v>
      </c>
      <c r="D682" s="57" t="s">
        <v>968</v>
      </c>
      <c r="E682" s="57" t="s">
        <v>146</v>
      </c>
      <c r="F682" s="57" t="s">
        <v>300</v>
      </c>
      <c r="G682" s="57" t="s">
        <v>530</v>
      </c>
      <c r="H682" s="140" t="s">
        <v>1008</v>
      </c>
      <c r="I682" s="57"/>
      <c r="J682" s="165">
        <f t="shared" si="49"/>
        <v>22.760416666666668</v>
      </c>
      <c r="K682" s="57">
        <v>96</v>
      </c>
      <c r="L682" s="164">
        <v>2185</v>
      </c>
    </row>
    <row r="683" spans="2:12" x14ac:dyDescent="0.3">
      <c r="B683" s="57">
        <f t="shared" si="46"/>
        <v>680</v>
      </c>
      <c r="C683" s="147">
        <v>46117</v>
      </c>
      <c r="D683" s="57" t="s">
        <v>968</v>
      </c>
      <c r="E683" s="57" t="s">
        <v>522</v>
      </c>
      <c r="F683" s="57" t="s">
        <v>433</v>
      </c>
      <c r="G683" s="57" t="s">
        <v>432</v>
      </c>
      <c r="H683" s="140" t="s">
        <v>1009</v>
      </c>
      <c r="I683" s="57"/>
      <c r="J683" s="57"/>
      <c r="L683" s="164">
        <v>15000</v>
      </c>
    </row>
    <row r="684" spans="2:12" x14ac:dyDescent="0.3">
      <c r="B684" s="57">
        <f t="shared" si="46"/>
        <v>681</v>
      </c>
      <c r="C684" s="147">
        <v>46117</v>
      </c>
      <c r="D684" s="57" t="s">
        <v>968</v>
      </c>
      <c r="E684" s="57" t="s">
        <v>146</v>
      </c>
      <c r="F684" s="57" t="s">
        <v>300</v>
      </c>
      <c r="G684" s="57" t="s">
        <v>530</v>
      </c>
      <c r="H684" s="140" t="s">
        <v>4113</v>
      </c>
      <c r="I684" s="57" t="s">
        <v>146</v>
      </c>
      <c r="J684" s="165">
        <f>L684/K684</f>
        <v>61.989583333333336</v>
      </c>
      <c r="K684" s="57">
        <v>96</v>
      </c>
      <c r="L684" s="164">
        <v>5951</v>
      </c>
    </row>
    <row r="685" spans="2:12" x14ac:dyDescent="0.3">
      <c r="B685" s="57">
        <f t="shared" si="46"/>
        <v>682</v>
      </c>
      <c r="C685" s="147">
        <v>46117</v>
      </c>
      <c r="D685" s="57" t="s">
        <v>968</v>
      </c>
      <c r="E685" s="57" t="s">
        <v>460</v>
      </c>
      <c r="F685" s="57" t="s">
        <v>300</v>
      </c>
      <c r="G685" s="57" t="s">
        <v>438</v>
      </c>
      <c r="H685" s="140" t="s">
        <v>1010</v>
      </c>
      <c r="I685" s="57"/>
      <c r="J685" s="57"/>
      <c r="L685" s="164">
        <v>1500</v>
      </c>
    </row>
    <row r="686" spans="2:12" x14ac:dyDescent="0.3">
      <c r="B686" s="57">
        <f t="shared" si="46"/>
        <v>683</v>
      </c>
      <c r="C686" s="147">
        <v>46117</v>
      </c>
      <c r="D686" s="57" t="s">
        <v>968</v>
      </c>
      <c r="E686" s="57" t="s">
        <v>460</v>
      </c>
      <c r="F686" s="57" t="s">
        <v>300</v>
      </c>
      <c r="G686" s="57" t="s">
        <v>438</v>
      </c>
      <c r="H686" s="140" t="s">
        <v>1011</v>
      </c>
      <c r="I686" s="57"/>
      <c r="J686" s="57"/>
      <c r="L686" s="164">
        <v>80</v>
      </c>
    </row>
    <row r="687" spans="2:12" x14ac:dyDescent="0.3">
      <c r="B687" s="57">
        <f t="shared" si="46"/>
        <v>684</v>
      </c>
      <c r="C687" s="143">
        <v>46118</v>
      </c>
      <c r="D687" s="57" t="s">
        <v>435</v>
      </c>
      <c r="E687" s="57" t="s">
        <v>551</v>
      </c>
      <c r="F687" s="57" t="s">
        <v>446</v>
      </c>
      <c r="G687" s="57" t="s">
        <v>352</v>
      </c>
      <c r="H687" s="140" t="s">
        <v>550</v>
      </c>
      <c r="I687" s="57"/>
      <c r="J687" s="57"/>
      <c r="L687" s="164">
        <v>700</v>
      </c>
    </row>
    <row r="688" spans="2:12" x14ac:dyDescent="0.3">
      <c r="B688" s="57">
        <f t="shared" si="46"/>
        <v>685</v>
      </c>
      <c r="C688" s="143">
        <v>46118</v>
      </c>
      <c r="D688" s="57" t="s">
        <v>435</v>
      </c>
      <c r="E688" s="57" t="s">
        <v>146</v>
      </c>
      <c r="F688" s="57" t="s">
        <v>300</v>
      </c>
      <c r="G688" s="57" t="s">
        <v>530</v>
      </c>
      <c r="H688" s="140" t="s">
        <v>4115</v>
      </c>
      <c r="I688" s="57"/>
      <c r="J688" s="165">
        <f>L688/K688</f>
        <v>20.833333333333332</v>
      </c>
      <c r="K688" s="57">
        <v>96</v>
      </c>
      <c r="L688" s="164">
        <v>2000</v>
      </c>
    </row>
    <row r="689" spans="2:13" x14ac:dyDescent="0.3">
      <c r="B689" s="57">
        <f t="shared" si="46"/>
        <v>686</v>
      </c>
      <c r="C689" s="143">
        <v>46118</v>
      </c>
      <c r="D689" s="57" t="s">
        <v>435</v>
      </c>
      <c r="E689" s="57" t="s">
        <v>549</v>
      </c>
      <c r="F689" s="57" t="s">
        <v>446</v>
      </c>
      <c r="G689" s="57" t="s">
        <v>352</v>
      </c>
      <c r="H689" s="140" t="s">
        <v>548</v>
      </c>
      <c r="I689" s="57"/>
      <c r="J689" s="57"/>
      <c r="L689" s="164">
        <v>1500</v>
      </c>
    </row>
    <row r="690" spans="2:13" x14ac:dyDescent="0.3">
      <c r="B690" s="57">
        <f t="shared" si="46"/>
        <v>687</v>
      </c>
      <c r="C690" s="143">
        <v>46118</v>
      </c>
      <c r="D690" s="57" t="s">
        <v>435</v>
      </c>
      <c r="E690" s="57" t="s">
        <v>4128</v>
      </c>
      <c r="F690" s="57" t="s">
        <v>446</v>
      </c>
      <c r="G690" s="57" t="s">
        <v>352</v>
      </c>
      <c r="H690" s="140" t="s">
        <v>547</v>
      </c>
      <c r="I690" s="57"/>
      <c r="J690" s="57"/>
      <c r="L690" s="164">
        <v>2826</v>
      </c>
    </row>
    <row r="691" spans="2:13" x14ac:dyDescent="0.3">
      <c r="B691" s="57">
        <f t="shared" si="46"/>
        <v>688</v>
      </c>
      <c r="C691" s="143">
        <v>46118</v>
      </c>
      <c r="D691" s="57" t="s">
        <v>435</v>
      </c>
      <c r="E691" s="57" t="s">
        <v>146</v>
      </c>
      <c r="F691" s="57" t="s">
        <v>300</v>
      </c>
      <c r="G691" s="57" t="s">
        <v>526</v>
      </c>
      <c r="H691" s="140" t="s">
        <v>1051</v>
      </c>
      <c r="I691" s="57"/>
      <c r="J691" s="165">
        <f>L691/K691</f>
        <v>31.25</v>
      </c>
      <c r="K691" s="57">
        <v>96</v>
      </c>
      <c r="L691" s="164">
        <v>3000</v>
      </c>
    </row>
    <row r="692" spans="2:13" s="169" customFormat="1" x14ac:dyDescent="0.3">
      <c r="B692" s="57">
        <f t="shared" si="46"/>
        <v>689</v>
      </c>
      <c r="C692" s="143">
        <v>46118</v>
      </c>
      <c r="D692" s="57" t="s">
        <v>435</v>
      </c>
      <c r="E692" s="57" t="s">
        <v>4128</v>
      </c>
      <c r="F692" s="57" t="s">
        <v>546</v>
      </c>
      <c r="G692" s="57" t="s">
        <v>545</v>
      </c>
      <c r="H692" s="140" t="s">
        <v>544</v>
      </c>
      <c r="I692" s="57"/>
      <c r="J692" s="57"/>
      <c r="K692" s="57"/>
      <c r="L692" s="164">
        <v>3000</v>
      </c>
      <c r="M692" s="57"/>
    </row>
    <row r="693" spans="2:13" x14ac:dyDescent="0.3">
      <c r="B693" s="57">
        <f t="shared" si="46"/>
        <v>690</v>
      </c>
      <c r="C693" s="143">
        <v>46118</v>
      </c>
      <c r="D693" s="57" t="s">
        <v>435</v>
      </c>
      <c r="E693" s="57" t="s">
        <v>986</v>
      </c>
      <c r="F693" s="57" t="s">
        <v>300</v>
      </c>
      <c r="G693" s="57" t="s">
        <v>438</v>
      </c>
      <c r="H693" s="140" t="s">
        <v>543</v>
      </c>
      <c r="I693" s="57" t="s">
        <v>986</v>
      </c>
      <c r="J693" s="57">
        <v>50</v>
      </c>
      <c r="L693" s="164">
        <v>9500</v>
      </c>
    </row>
    <row r="694" spans="2:13" x14ac:dyDescent="0.3">
      <c r="B694" s="57">
        <f t="shared" si="46"/>
        <v>691</v>
      </c>
      <c r="C694" s="143">
        <v>46118</v>
      </c>
      <c r="D694" s="57" t="s">
        <v>435</v>
      </c>
      <c r="E694" s="57" t="s">
        <v>146</v>
      </c>
      <c r="F694" s="57" t="s">
        <v>300</v>
      </c>
      <c r="G694" s="57" t="s">
        <v>438</v>
      </c>
      <c r="H694" s="140" t="s">
        <v>894</v>
      </c>
      <c r="I694" s="57"/>
      <c r="J694" s="165">
        <f t="shared" ref="J694:J695" si="50">L694/K694</f>
        <v>34.135416666666664</v>
      </c>
      <c r="K694" s="57">
        <v>96</v>
      </c>
      <c r="L694" s="164">
        <v>3277</v>
      </c>
    </row>
    <row r="695" spans="2:13" x14ac:dyDescent="0.3">
      <c r="B695" s="57">
        <f t="shared" si="46"/>
        <v>692</v>
      </c>
      <c r="C695" s="147">
        <v>46118</v>
      </c>
      <c r="D695" s="57" t="s">
        <v>968</v>
      </c>
      <c r="E695" s="57" t="s">
        <v>146</v>
      </c>
      <c r="F695" s="57" t="s">
        <v>446</v>
      </c>
      <c r="G695" s="57" t="s">
        <v>990</v>
      </c>
      <c r="H695" s="140" t="s">
        <v>1012</v>
      </c>
      <c r="I695" s="57"/>
      <c r="J695" s="165">
        <f t="shared" si="50"/>
        <v>31.25</v>
      </c>
      <c r="K695" s="57">
        <v>96</v>
      </c>
      <c r="L695" s="164">
        <v>3000</v>
      </c>
    </row>
    <row r="696" spans="2:13" x14ac:dyDescent="0.3">
      <c r="B696" s="57">
        <f t="shared" si="46"/>
        <v>693</v>
      </c>
      <c r="C696" s="147">
        <v>46118</v>
      </c>
      <c r="D696" s="57" t="s">
        <v>968</v>
      </c>
      <c r="E696" s="57" t="s">
        <v>460</v>
      </c>
      <c r="F696" s="57" t="s">
        <v>350</v>
      </c>
      <c r="G696" s="57" t="s">
        <v>337</v>
      </c>
      <c r="H696" s="140" t="s">
        <v>1013</v>
      </c>
      <c r="I696" s="57"/>
      <c r="J696" s="57"/>
      <c r="L696" s="164">
        <v>1400</v>
      </c>
    </row>
    <row r="697" spans="2:13" x14ac:dyDescent="0.3">
      <c r="B697" s="57">
        <f t="shared" si="46"/>
        <v>694</v>
      </c>
      <c r="C697" s="143">
        <v>46119</v>
      </c>
      <c r="D697" s="57" t="s">
        <v>435</v>
      </c>
      <c r="E697" s="57" t="s">
        <v>146</v>
      </c>
      <c r="F697" s="57" t="s">
        <v>436</v>
      </c>
      <c r="G697" s="57" t="s">
        <v>270</v>
      </c>
      <c r="H697" s="140" t="s">
        <v>441</v>
      </c>
      <c r="I697" s="57"/>
      <c r="J697" s="165">
        <f>L697/K697</f>
        <v>20.833333333333332</v>
      </c>
      <c r="K697" s="57">
        <v>96</v>
      </c>
      <c r="L697" s="164">
        <v>2000</v>
      </c>
    </row>
    <row r="698" spans="2:13" x14ac:dyDescent="0.3">
      <c r="B698" s="57">
        <f t="shared" si="46"/>
        <v>695</v>
      </c>
      <c r="C698" s="143">
        <v>46119</v>
      </c>
      <c r="D698" s="57" t="s">
        <v>435</v>
      </c>
      <c r="E698" s="57" t="s">
        <v>529</v>
      </c>
      <c r="F698" s="57" t="s">
        <v>300</v>
      </c>
      <c r="G698" s="57" t="s">
        <v>438</v>
      </c>
      <c r="H698" s="140" t="s">
        <v>553</v>
      </c>
      <c r="I698" s="57"/>
      <c r="J698" s="57"/>
      <c r="L698" s="164">
        <v>1260</v>
      </c>
    </row>
    <row r="699" spans="2:13" x14ac:dyDescent="0.3">
      <c r="B699" s="57">
        <f t="shared" si="46"/>
        <v>696</v>
      </c>
      <c r="C699" s="143">
        <v>46119</v>
      </c>
      <c r="D699" s="57" t="s">
        <v>435</v>
      </c>
      <c r="E699" s="57" t="s">
        <v>551</v>
      </c>
      <c r="F699" s="57" t="s">
        <v>446</v>
      </c>
      <c r="G699" s="57" t="s">
        <v>352</v>
      </c>
      <c r="H699" s="140" t="s">
        <v>552</v>
      </c>
      <c r="I699" s="57"/>
      <c r="J699" s="57"/>
      <c r="L699" s="164">
        <v>700</v>
      </c>
    </row>
    <row r="700" spans="2:13" x14ac:dyDescent="0.3">
      <c r="B700" s="57">
        <f t="shared" si="46"/>
        <v>697</v>
      </c>
      <c r="C700" s="143">
        <v>46119</v>
      </c>
      <c r="D700" s="57" t="s">
        <v>435</v>
      </c>
      <c r="E700" s="57" t="s">
        <v>434</v>
      </c>
      <c r="F700" s="57" t="s">
        <v>300</v>
      </c>
      <c r="G700" s="57" t="s">
        <v>443</v>
      </c>
      <c r="H700" s="140" t="s">
        <v>487</v>
      </c>
      <c r="I700" s="57"/>
      <c r="J700" s="57"/>
      <c r="L700" s="164">
        <v>265</v>
      </c>
    </row>
    <row r="701" spans="2:13" x14ac:dyDescent="0.3">
      <c r="B701" s="57">
        <f t="shared" si="46"/>
        <v>698</v>
      </c>
      <c r="C701" s="143">
        <v>46119</v>
      </c>
      <c r="D701" s="57" t="s">
        <v>435</v>
      </c>
      <c r="E701" s="57" t="s">
        <v>146</v>
      </c>
      <c r="F701" s="57" t="s">
        <v>446</v>
      </c>
      <c r="G701" s="57" t="s">
        <v>316</v>
      </c>
      <c r="H701" s="140" t="s">
        <v>441</v>
      </c>
      <c r="I701" s="57"/>
      <c r="J701" s="165">
        <f>L701/K701</f>
        <v>20.833333333333332</v>
      </c>
      <c r="K701" s="57">
        <v>96</v>
      </c>
      <c r="L701" s="164">
        <v>2000</v>
      </c>
    </row>
    <row r="702" spans="2:13" x14ac:dyDescent="0.3">
      <c r="B702" s="57">
        <f t="shared" si="46"/>
        <v>699</v>
      </c>
      <c r="C702" s="143">
        <v>46119</v>
      </c>
      <c r="D702" s="57" t="s">
        <v>435</v>
      </c>
      <c r="E702" s="57" t="s">
        <v>986</v>
      </c>
      <c r="F702" s="57" t="s">
        <v>446</v>
      </c>
      <c r="G702" s="57" t="s">
        <v>316</v>
      </c>
      <c r="H702" s="140" t="s">
        <v>518</v>
      </c>
      <c r="I702" s="57" t="s">
        <v>986</v>
      </c>
      <c r="J702" s="57">
        <v>25</v>
      </c>
      <c r="L702" s="164">
        <v>2790</v>
      </c>
    </row>
    <row r="703" spans="2:13" x14ac:dyDescent="0.3">
      <c r="B703" s="57">
        <f t="shared" si="46"/>
        <v>700</v>
      </c>
      <c r="C703" s="143">
        <v>46119</v>
      </c>
      <c r="D703" s="57" t="s">
        <v>435</v>
      </c>
      <c r="E703" s="57" t="s">
        <v>146</v>
      </c>
      <c r="F703" s="57" t="s">
        <v>350</v>
      </c>
      <c r="G703" s="57" t="s">
        <v>337</v>
      </c>
      <c r="H703" s="140" t="s">
        <v>4111</v>
      </c>
      <c r="I703" s="57"/>
      <c r="J703" s="165">
        <f>L703/K703</f>
        <v>20.833333333333332</v>
      </c>
      <c r="K703" s="57">
        <v>96</v>
      </c>
      <c r="L703" s="164">
        <v>2000</v>
      </c>
    </row>
    <row r="704" spans="2:13" x14ac:dyDescent="0.3">
      <c r="B704" s="57">
        <f t="shared" si="46"/>
        <v>701</v>
      </c>
      <c r="C704" s="143">
        <v>46119</v>
      </c>
      <c r="D704" s="57" t="s">
        <v>435</v>
      </c>
      <c r="E704" s="57" t="s">
        <v>524</v>
      </c>
      <c r="F704" s="57" t="s">
        <v>350</v>
      </c>
      <c r="G704" s="57" t="s">
        <v>350</v>
      </c>
      <c r="H704" s="140" t="s">
        <v>523</v>
      </c>
      <c r="I704" s="57"/>
      <c r="J704" s="57"/>
      <c r="L704" s="164">
        <v>600</v>
      </c>
    </row>
    <row r="705" spans="2:12" x14ac:dyDescent="0.3">
      <c r="B705" s="57">
        <f t="shared" si="46"/>
        <v>702</v>
      </c>
      <c r="C705" s="143">
        <v>46120</v>
      </c>
      <c r="D705" s="57" t="s">
        <v>435</v>
      </c>
      <c r="E705" s="57" t="s">
        <v>767</v>
      </c>
      <c r="F705" s="57" t="s">
        <v>300</v>
      </c>
      <c r="G705" s="57" t="s">
        <v>438</v>
      </c>
      <c r="H705" s="140" t="s">
        <v>632</v>
      </c>
      <c r="I705" s="57"/>
      <c r="J705" s="57"/>
      <c r="L705" s="164">
        <v>3200</v>
      </c>
    </row>
    <row r="706" spans="2:12" x14ac:dyDescent="0.3">
      <c r="B706" s="57">
        <f t="shared" si="46"/>
        <v>703</v>
      </c>
      <c r="C706" s="143">
        <v>46120</v>
      </c>
      <c r="D706" s="57" t="s">
        <v>435</v>
      </c>
      <c r="E706" s="57" t="s">
        <v>767</v>
      </c>
      <c r="F706" s="57" t="s">
        <v>300</v>
      </c>
      <c r="G706" s="57" t="s">
        <v>438</v>
      </c>
      <c r="H706" s="140" t="s">
        <v>631</v>
      </c>
      <c r="I706" s="57"/>
      <c r="J706" s="57"/>
      <c r="L706" s="164">
        <v>3900</v>
      </c>
    </row>
    <row r="707" spans="2:12" x14ac:dyDescent="0.3">
      <c r="B707" s="57">
        <f t="shared" si="46"/>
        <v>704</v>
      </c>
      <c r="C707" s="143">
        <v>46120</v>
      </c>
      <c r="D707" s="57" t="s">
        <v>435</v>
      </c>
      <c r="E707" s="57" t="s">
        <v>767</v>
      </c>
      <c r="F707" s="57" t="s">
        <v>300</v>
      </c>
      <c r="G707" s="57" t="s">
        <v>438</v>
      </c>
      <c r="H707" s="140" t="s">
        <v>630</v>
      </c>
      <c r="I707" s="57"/>
      <c r="J707" s="57"/>
      <c r="L707" s="164">
        <v>2050</v>
      </c>
    </row>
    <row r="708" spans="2:12" x14ac:dyDescent="0.3">
      <c r="B708" s="57">
        <f t="shared" si="46"/>
        <v>705</v>
      </c>
      <c r="C708" s="147">
        <v>46120</v>
      </c>
      <c r="D708" s="57" t="s">
        <v>968</v>
      </c>
      <c r="E708" s="57" t="s">
        <v>146</v>
      </c>
      <c r="F708" s="57" t="s">
        <v>300</v>
      </c>
      <c r="G708" s="57" t="s">
        <v>438</v>
      </c>
      <c r="H708" s="140" t="s">
        <v>1014</v>
      </c>
      <c r="I708" s="57"/>
      <c r="J708" s="165">
        <f>L708/K708</f>
        <v>45.052083333333336</v>
      </c>
      <c r="K708" s="57">
        <v>96</v>
      </c>
      <c r="L708" s="164">
        <v>4325</v>
      </c>
    </row>
    <row r="709" spans="2:12" x14ac:dyDescent="0.3">
      <c r="B709" s="57">
        <f t="shared" si="46"/>
        <v>706</v>
      </c>
      <c r="C709" s="147">
        <v>46120</v>
      </c>
      <c r="D709" s="57" t="s">
        <v>968</v>
      </c>
      <c r="E709" s="57" t="s">
        <v>522</v>
      </c>
      <c r="F709" s="57" t="s">
        <v>446</v>
      </c>
      <c r="G709" s="57" t="s">
        <v>352</v>
      </c>
      <c r="H709" s="140" t="s">
        <v>1015</v>
      </c>
      <c r="I709" s="57"/>
      <c r="J709" s="57"/>
      <c r="L709" s="164">
        <v>700</v>
      </c>
    </row>
    <row r="710" spans="2:12" x14ac:dyDescent="0.3">
      <c r="B710" s="57">
        <f t="shared" ref="B710:B773" si="51">+B709+1</f>
        <v>707</v>
      </c>
      <c r="C710" s="147">
        <v>46120</v>
      </c>
      <c r="D710" s="57" t="s">
        <v>968</v>
      </c>
      <c r="E710" s="57" t="s">
        <v>434</v>
      </c>
      <c r="F710" s="57" t="s">
        <v>300</v>
      </c>
      <c r="G710" s="57" t="s">
        <v>2327</v>
      </c>
      <c r="H710" s="140" t="s">
        <v>1016</v>
      </c>
      <c r="I710" s="57"/>
      <c r="J710" s="57"/>
      <c r="L710" s="164">
        <v>14500</v>
      </c>
    </row>
    <row r="711" spans="2:12" x14ac:dyDescent="0.3">
      <c r="B711" s="57">
        <f t="shared" si="51"/>
        <v>708</v>
      </c>
      <c r="C711" s="147">
        <v>46120</v>
      </c>
      <c r="D711" s="57" t="s">
        <v>968</v>
      </c>
      <c r="E711" s="57" t="s">
        <v>4008</v>
      </c>
      <c r="F711" s="57" t="s">
        <v>300</v>
      </c>
      <c r="G711" s="57" t="s">
        <v>530</v>
      </c>
      <c r="H711" s="140" t="s">
        <v>1017</v>
      </c>
      <c r="I711" s="57"/>
      <c r="J711" s="57"/>
      <c r="L711" s="164">
        <v>2200</v>
      </c>
    </row>
    <row r="712" spans="2:12" x14ac:dyDescent="0.3">
      <c r="B712" s="57">
        <f t="shared" si="51"/>
        <v>709</v>
      </c>
      <c r="C712" s="147">
        <v>46120</v>
      </c>
      <c r="D712" s="57" t="s">
        <v>968</v>
      </c>
      <c r="E712" s="57" t="s">
        <v>460</v>
      </c>
      <c r="F712" s="57" t="s">
        <v>436</v>
      </c>
      <c r="G712" s="57" t="s">
        <v>987</v>
      </c>
      <c r="H712" s="140" t="s">
        <v>1018</v>
      </c>
      <c r="I712" s="57"/>
      <c r="J712" s="57"/>
      <c r="L712" s="164">
        <v>500</v>
      </c>
    </row>
    <row r="713" spans="2:12" x14ac:dyDescent="0.3">
      <c r="B713" s="57">
        <f t="shared" si="51"/>
        <v>710</v>
      </c>
      <c r="C713" s="147">
        <v>46120</v>
      </c>
      <c r="D713" s="57" t="s">
        <v>968</v>
      </c>
      <c r="E713" s="57" t="s">
        <v>560</v>
      </c>
      <c r="F713" s="57" t="s">
        <v>446</v>
      </c>
      <c r="G713" s="57" t="s">
        <v>352</v>
      </c>
      <c r="H713" s="140" t="s">
        <v>1019</v>
      </c>
      <c r="I713" s="57"/>
      <c r="J713" s="57"/>
      <c r="L713" s="164">
        <v>1200</v>
      </c>
    </row>
    <row r="714" spans="2:12" x14ac:dyDescent="0.3">
      <c r="B714" s="57">
        <f t="shared" si="51"/>
        <v>711</v>
      </c>
      <c r="C714" s="147">
        <v>46120</v>
      </c>
      <c r="D714" s="57" t="s">
        <v>968</v>
      </c>
      <c r="E714" s="57" t="s">
        <v>460</v>
      </c>
      <c r="F714" s="57" t="s">
        <v>436</v>
      </c>
      <c r="G714" s="57" t="s">
        <v>987</v>
      </c>
      <c r="H714" s="140" t="s">
        <v>1020</v>
      </c>
      <c r="I714" s="57"/>
      <c r="J714" s="57"/>
      <c r="L714" s="164">
        <v>650</v>
      </c>
    </row>
    <row r="715" spans="2:12" x14ac:dyDescent="0.3">
      <c r="B715" s="57">
        <f t="shared" si="51"/>
        <v>712</v>
      </c>
      <c r="C715" s="147">
        <v>46120</v>
      </c>
      <c r="D715" s="57" t="s">
        <v>968</v>
      </c>
      <c r="E715" s="57" t="s">
        <v>146</v>
      </c>
      <c r="F715" s="57" t="s">
        <v>300</v>
      </c>
      <c r="G715" s="57" t="s">
        <v>530</v>
      </c>
      <c r="H715" s="140" t="s">
        <v>4095</v>
      </c>
      <c r="I715" s="57"/>
      <c r="J715" s="165">
        <f t="shared" ref="J715:J718" si="52">L715/K715</f>
        <v>40.428750000000001</v>
      </c>
      <c r="K715" s="57">
        <v>96</v>
      </c>
      <c r="L715" s="164">
        <v>3881.16</v>
      </c>
    </row>
    <row r="716" spans="2:12" x14ac:dyDescent="0.3">
      <c r="B716" s="57">
        <f t="shared" si="51"/>
        <v>713</v>
      </c>
      <c r="C716" s="147">
        <v>46120</v>
      </c>
      <c r="D716" s="57" t="s">
        <v>968</v>
      </c>
      <c r="E716" s="57" t="s">
        <v>146</v>
      </c>
      <c r="F716" s="57" t="s">
        <v>300</v>
      </c>
      <c r="G716" s="57" t="s">
        <v>530</v>
      </c>
      <c r="H716" s="140" t="s">
        <v>894</v>
      </c>
      <c r="I716" s="57"/>
      <c r="J716" s="165">
        <f t="shared" si="52"/>
        <v>18.147812500000001</v>
      </c>
      <c r="K716" s="57">
        <v>96</v>
      </c>
      <c r="L716" s="164">
        <v>1742.19</v>
      </c>
    </row>
    <row r="717" spans="2:12" x14ac:dyDescent="0.3">
      <c r="B717" s="57">
        <f t="shared" si="51"/>
        <v>714</v>
      </c>
      <c r="C717" s="147">
        <v>46120</v>
      </c>
      <c r="D717" s="57" t="s">
        <v>968</v>
      </c>
      <c r="E717" s="57" t="s">
        <v>146</v>
      </c>
      <c r="F717" s="57" t="s">
        <v>300</v>
      </c>
      <c r="G717" s="57" t="s">
        <v>530</v>
      </c>
      <c r="H717" s="140" t="s">
        <v>4115</v>
      </c>
      <c r="I717" s="57"/>
      <c r="J717" s="165">
        <f t="shared" si="52"/>
        <v>28.971145833333335</v>
      </c>
      <c r="K717" s="57">
        <v>96</v>
      </c>
      <c r="L717" s="164">
        <v>2781.23</v>
      </c>
    </row>
    <row r="718" spans="2:12" x14ac:dyDescent="0.3">
      <c r="B718" s="57">
        <f t="shared" si="51"/>
        <v>715</v>
      </c>
      <c r="C718" s="147">
        <v>46121</v>
      </c>
      <c r="D718" s="57" t="s">
        <v>968</v>
      </c>
      <c r="E718" s="57" t="s">
        <v>146</v>
      </c>
      <c r="F718" s="57" t="s">
        <v>350</v>
      </c>
      <c r="G718" s="57" t="s">
        <v>337</v>
      </c>
      <c r="H718" s="140" t="s">
        <v>4111</v>
      </c>
      <c r="I718" s="57"/>
      <c r="J718" s="165">
        <f t="shared" si="52"/>
        <v>20.833333333333332</v>
      </c>
      <c r="K718" s="57">
        <v>96</v>
      </c>
      <c r="L718" s="164">
        <v>2000</v>
      </c>
    </row>
    <row r="719" spans="2:12" x14ac:dyDescent="0.3">
      <c r="B719" s="57">
        <f t="shared" si="51"/>
        <v>716</v>
      </c>
      <c r="C719" s="147">
        <v>46121</v>
      </c>
      <c r="D719" s="57" t="s">
        <v>968</v>
      </c>
      <c r="E719" s="57" t="s">
        <v>727</v>
      </c>
      <c r="F719" s="57" t="s">
        <v>446</v>
      </c>
      <c r="G719" s="57" t="s">
        <v>352</v>
      </c>
      <c r="H719" s="140" t="s">
        <v>1021</v>
      </c>
      <c r="I719" s="57"/>
      <c r="J719" s="57"/>
      <c r="L719" s="164">
        <v>250</v>
      </c>
    </row>
    <row r="720" spans="2:12" x14ac:dyDescent="0.3">
      <c r="B720" s="57">
        <f t="shared" si="51"/>
        <v>717</v>
      </c>
      <c r="C720" s="147">
        <v>46121</v>
      </c>
      <c r="D720" s="57" t="s">
        <v>968</v>
      </c>
      <c r="E720" s="57" t="s">
        <v>767</v>
      </c>
      <c r="F720" s="57" t="s">
        <v>350</v>
      </c>
      <c r="G720" s="57" t="s">
        <v>337</v>
      </c>
      <c r="H720" s="140" t="s">
        <v>1022</v>
      </c>
      <c r="I720" s="57"/>
      <c r="J720" s="57"/>
      <c r="L720" s="164">
        <v>1700</v>
      </c>
    </row>
    <row r="721" spans="2:12" x14ac:dyDescent="0.3">
      <c r="B721" s="57">
        <f t="shared" si="51"/>
        <v>718</v>
      </c>
      <c r="C721" s="147">
        <v>46121</v>
      </c>
      <c r="D721" s="57" t="s">
        <v>968</v>
      </c>
      <c r="E721" s="57" t="s">
        <v>460</v>
      </c>
      <c r="F721" s="57" t="s">
        <v>300</v>
      </c>
      <c r="G721" s="57" t="s">
        <v>530</v>
      </c>
      <c r="H721" s="140" t="s">
        <v>1023</v>
      </c>
      <c r="I721" s="57"/>
      <c r="J721" s="57"/>
      <c r="L721" s="164">
        <v>7000</v>
      </c>
    </row>
    <row r="722" spans="2:12" x14ac:dyDescent="0.3">
      <c r="B722" s="57">
        <f t="shared" si="51"/>
        <v>719</v>
      </c>
      <c r="C722" s="147">
        <v>46121</v>
      </c>
      <c r="D722" s="57" t="s">
        <v>968</v>
      </c>
      <c r="E722" s="57" t="s">
        <v>908</v>
      </c>
      <c r="F722" s="57" t="s">
        <v>446</v>
      </c>
      <c r="G722" s="57" t="s">
        <v>352</v>
      </c>
      <c r="H722" s="140" t="s">
        <v>1024</v>
      </c>
      <c r="I722" s="57"/>
      <c r="J722" s="57"/>
      <c r="L722" s="164">
        <v>2500</v>
      </c>
    </row>
    <row r="723" spans="2:12" x14ac:dyDescent="0.3">
      <c r="B723" s="57">
        <f t="shared" si="51"/>
        <v>720</v>
      </c>
      <c r="C723" s="143">
        <v>46122</v>
      </c>
      <c r="D723" s="57" t="s">
        <v>435</v>
      </c>
      <c r="E723" s="57" t="s">
        <v>146</v>
      </c>
      <c r="F723" s="57" t="s">
        <v>446</v>
      </c>
      <c r="G723" s="57" t="s">
        <v>316</v>
      </c>
      <c r="H723" s="140" t="s">
        <v>441</v>
      </c>
      <c r="I723" s="57"/>
      <c r="J723" s="165">
        <f>L723/K723</f>
        <v>20.833333333333332</v>
      </c>
      <c r="K723" s="57">
        <v>96</v>
      </c>
      <c r="L723" s="164">
        <v>2000</v>
      </c>
    </row>
    <row r="724" spans="2:12" x14ac:dyDescent="0.3">
      <c r="B724" s="57">
        <f t="shared" si="51"/>
        <v>721</v>
      </c>
      <c r="C724" s="143">
        <v>46122</v>
      </c>
      <c r="D724" s="57" t="s">
        <v>435</v>
      </c>
      <c r="E724" s="57" t="s">
        <v>481</v>
      </c>
      <c r="F724" s="57" t="s">
        <v>446</v>
      </c>
      <c r="G724" s="57" t="s">
        <v>316</v>
      </c>
      <c r="H724" s="140" t="s">
        <v>637</v>
      </c>
      <c r="I724" s="57"/>
      <c r="J724" s="57"/>
      <c r="L724" s="164">
        <v>1020</v>
      </c>
    </row>
    <row r="725" spans="2:12" x14ac:dyDescent="0.3">
      <c r="B725" s="57">
        <f t="shared" si="51"/>
        <v>722</v>
      </c>
      <c r="C725" s="143">
        <v>46122</v>
      </c>
      <c r="D725" s="57" t="s">
        <v>435</v>
      </c>
      <c r="E725" s="57" t="s">
        <v>516</v>
      </c>
      <c r="F725" s="57" t="s">
        <v>300</v>
      </c>
      <c r="G725" s="57" t="s">
        <v>438</v>
      </c>
      <c r="H725" s="140" t="s">
        <v>556</v>
      </c>
      <c r="I725" s="57"/>
      <c r="J725" s="57"/>
      <c r="L725" s="164">
        <v>1003</v>
      </c>
    </row>
    <row r="726" spans="2:12" x14ac:dyDescent="0.3">
      <c r="B726" s="57">
        <f t="shared" si="51"/>
        <v>723</v>
      </c>
      <c r="C726" s="143">
        <v>46122</v>
      </c>
      <c r="D726" s="57" t="s">
        <v>435</v>
      </c>
      <c r="E726" s="57" t="s">
        <v>146</v>
      </c>
      <c r="F726" s="57" t="s">
        <v>446</v>
      </c>
      <c r="G726" s="57" t="s">
        <v>352</v>
      </c>
      <c r="H726" s="140" t="s">
        <v>555</v>
      </c>
      <c r="I726" s="57"/>
      <c r="J726" s="165">
        <f>L726/K726</f>
        <v>25.286458333333332</v>
      </c>
      <c r="K726" s="57">
        <v>96</v>
      </c>
      <c r="L726" s="164">
        <v>2427.5</v>
      </c>
    </row>
    <row r="727" spans="2:12" x14ac:dyDescent="0.3">
      <c r="B727" s="57">
        <f t="shared" si="51"/>
        <v>724</v>
      </c>
      <c r="C727" s="143">
        <v>46122</v>
      </c>
      <c r="D727" s="57" t="s">
        <v>435</v>
      </c>
      <c r="E727" s="57" t="s">
        <v>958</v>
      </c>
      <c r="F727" s="57" t="s">
        <v>300</v>
      </c>
      <c r="G727" s="57" t="s">
        <v>438</v>
      </c>
      <c r="H727" s="140" t="s">
        <v>554</v>
      </c>
      <c r="I727" s="57"/>
      <c r="J727" s="57"/>
      <c r="L727" s="164">
        <v>18000</v>
      </c>
    </row>
    <row r="728" spans="2:12" x14ac:dyDescent="0.3">
      <c r="B728" s="57">
        <f t="shared" si="51"/>
        <v>725</v>
      </c>
      <c r="C728" s="147">
        <v>46122</v>
      </c>
      <c r="D728" s="57" t="s">
        <v>968</v>
      </c>
      <c r="E728" s="57" t="s">
        <v>146</v>
      </c>
      <c r="F728" s="57" t="s">
        <v>300</v>
      </c>
      <c r="G728" s="57" t="s">
        <v>530</v>
      </c>
      <c r="H728" s="140" t="s">
        <v>4092</v>
      </c>
      <c r="I728" s="57"/>
      <c r="J728" s="165">
        <f t="shared" ref="J728:J729" si="53">L728/K728</f>
        <v>108.33218749999999</v>
      </c>
      <c r="K728" s="57">
        <v>96</v>
      </c>
      <c r="L728" s="164">
        <v>10399.89</v>
      </c>
    </row>
    <row r="729" spans="2:12" x14ac:dyDescent="0.3">
      <c r="B729" s="57">
        <f t="shared" si="51"/>
        <v>726</v>
      </c>
      <c r="C729" s="147">
        <v>46122</v>
      </c>
      <c r="D729" s="57" t="s">
        <v>968</v>
      </c>
      <c r="E729" s="57" t="s">
        <v>146</v>
      </c>
      <c r="F729" s="57" t="s">
        <v>350</v>
      </c>
      <c r="G729" s="57" t="s">
        <v>337</v>
      </c>
      <c r="H729" s="140" t="s">
        <v>1025</v>
      </c>
      <c r="I729" s="57"/>
      <c r="J729" s="165">
        <f t="shared" si="53"/>
        <v>34.322916666666664</v>
      </c>
      <c r="K729" s="57">
        <v>96</v>
      </c>
      <c r="L729" s="164">
        <v>3295</v>
      </c>
    </row>
    <row r="730" spans="2:12" x14ac:dyDescent="0.3">
      <c r="B730" s="57">
        <f t="shared" si="51"/>
        <v>727</v>
      </c>
      <c r="C730" s="147">
        <v>46122</v>
      </c>
      <c r="D730" s="57" t="s">
        <v>968</v>
      </c>
      <c r="E730" s="57" t="s">
        <v>434</v>
      </c>
      <c r="F730" s="57" t="s">
        <v>300</v>
      </c>
      <c r="G730" s="57" t="s">
        <v>2327</v>
      </c>
      <c r="H730" s="140" t="s">
        <v>1026</v>
      </c>
      <c r="I730" s="57"/>
      <c r="J730" s="57"/>
      <c r="L730" s="164">
        <v>1100</v>
      </c>
    </row>
    <row r="731" spans="2:12" x14ac:dyDescent="0.3">
      <c r="B731" s="57">
        <f t="shared" si="51"/>
        <v>728</v>
      </c>
      <c r="C731" s="147">
        <v>46122</v>
      </c>
      <c r="D731" s="57" t="s">
        <v>968</v>
      </c>
      <c r="E731" s="57" t="s">
        <v>460</v>
      </c>
      <c r="F731" s="57" t="s">
        <v>350</v>
      </c>
      <c r="G731" s="57" t="s">
        <v>337</v>
      </c>
      <c r="H731" s="140" t="s">
        <v>1027</v>
      </c>
      <c r="I731" s="57"/>
      <c r="J731" s="57"/>
      <c r="L731" s="164">
        <v>1000</v>
      </c>
    </row>
    <row r="732" spans="2:12" x14ac:dyDescent="0.3">
      <c r="B732" s="57">
        <f t="shared" si="51"/>
        <v>729</v>
      </c>
      <c r="C732" s="147">
        <v>46122</v>
      </c>
      <c r="D732" s="57" t="s">
        <v>968</v>
      </c>
      <c r="E732" s="57" t="s">
        <v>434</v>
      </c>
      <c r="F732" s="57" t="s">
        <v>300</v>
      </c>
      <c r="G732" s="57" t="s">
        <v>2327</v>
      </c>
      <c r="H732" s="140" t="s">
        <v>1028</v>
      </c>
      <c r="I732" s="57"/>
      <c r="J732" s="57"/>
      <c r="L732" s="164">
        <v>5190</v>
      </c>
    </row>
    <row r="733" spans="2:12" x14ac:dyDescent="0.3">
      <c r="B733" s="57">
        <f t="shared" si="51"/>
        <v>730</v>
      </c>
      <c r="C733" s="147">
        <v>46122</v>
      </c>
      <c r="D733" s="57" t="s">
        <v>968</v>
      </c>
      <c r="E733" s="57" t="s">
        <v>460</v>
      </c>
      <c r="F733" s="57" t="s">
        <v>350</v>
      </c>
      <c r="G733" s="57" t="s">
        <v>337</v>
      </c>
      <c r="H733" s="140" t="s">
        <v>1027</v>
      </c>
      <c r="I733" s="57"/>
      <c r="J733" s="57"/>
      <c r="L733" s="164">
        <v>4250</v>
      </c>
    </row>
    <row r="734" spans="2:12" x14ac:dyDescent="0.3">
      <c r="B734" s="57">
        <f t="shared" si="51"/>
        <v>731</v>
      </c>
      <c r="C734" s="147">
        <v>46122</v>
      </c>
      <c r="D734" s="57" t="s">
        <v>968</v>
      </c>
      <c r="E734" s="57" t="s">
        <v>146</v>
      </c>
      <c r="F734" s="57" t="s">
        <v>300</v>
      </c>
      <c r="G734" s="57" t="s">
        <v>530</v>
      </c>
      <c r="H734" s="140" t="s">
        <v>1029</v>
      </c>
      <c r="I734" s="57"/>
      <c r="J734" s="165">
        <f>L734/K734</f>
        <v>36.46875</v>
      </c>
      <c r="K734" s="57">
        <v>96</v>
      </c>
      <c r="L734" s="164">
        <v>3501</v>
      </c>
    </row>
    <row r="735" spans="2:12" x14ac:dyDescent="0.3">
      <c r="B735" s="57">
        <f t="shared" si="51"/>
        <v>732</v>
      </c>
      <c r="C735" s="147">
        <v>46122</v>
      </c>
      <c r="D735" s="57" t="s">
        <v>968</v>
      </c>
      <c r="E735" s="57" t="s">
        <v>460</v>
      </c>
      <c r="F735" s="57" t="s">
        <v>300</v>
      </c>
      <c r="G735" s="57" t="s">
        <v>530</v>
      </c>
      <c r="H735" s="140" t="s">
        <v>1030</v>
      </c>
      <c r="I735" s="57"/>
      <c r="J735" s="57"/>
      <c r="L735" s="164">
        <v>9000</v>
      </c>
    </row>
    <row r="736" spans="2:12" x14ac:dyDescent="0.3">
      <c r="B736" s="57">
        <f t="shared" si="51"/>
        <v>733</v>
      </c>
      <c r="C736" s="147">
        <v>46122</v>
      </c>
      <c r="D736" s="57" t="s">
        <v>968</v>
      </c>
      <c r="E736" s="57" t="s">
        <v>146</v>
      </c>
      <c r="F736" s="57" t="s">
        <v>446</v>
      </c>
      <c r="G736" s="57" t="s">
        <v>352</v>
      </c>
      <c r="H736" s="140" t="s">
        <v>1031</v>
      </c>
      <c r="I736" s="57"/>
      <c r="J736" s="165">
        <f t="shared" ref="J736:J737" si="54">L736/K736</f>
        <v>25.286458333333332</v>
      </c>
      <c r="K736" s="57">
        <v>96</v>
      </c>
      <c r="L736" s="164">
        <v>2427.5</v>
      </c>
    </row>
    <row r="737" spans="2:12" x14ac:dyDescent="0.3">
      <c r="B737" s="57">
        <f t="shared" si="51"/>
        <v>734</v>
      </c>
      <c r="C737" s="147">
        <v>46122</v>
      </c>
      <c r="D737" s="57" t="s">
        <v>968</v>
      </c>
      <c r="E737" s="57" t="s">
        <v>146</v>
      </c>
      <c r="F737" s="57" t="s">
        <v>300</v>
      </c>
      <c r="G737" s="57" t="s">
        <v>303</v>
      </c>
      <c r="H737" s="140" t="s">
        <v>4116</v>
      </c>
      <c r="I737" s="57"/>
      <c r="J737" s="165">
        <f t="shared" si="54"/>
        <v>10.416666666666666</v>
      </c>
      <c r="K737" s="57">
        <v>96</v>
      </c>
      <c r="L737" s="164">
        <v>1000</v>
      </c>
    </row>
    <row r="738" spans="2:12" x14ac:dyDescent="0.3">
      <c r="B738" s="57">
        <f t="shared" si="51"/>
        <v>735</v>
      </c>
      <c r="C738" s="147">
        <v>46122</v>
      </c>
      <c r="D738" s="57" t="s">
        <v>968</v>
      </c>
      <c r="E738" s="57" t="s">
        <v>434</v>
      </c>
      <c r="F738" s="57" t="s">
        <v>300</v>
      </c>
      <c r="G738" s="57" t="s">
        <v>2327</v>
      </c>
      <c r="H738" s="140" t="s">
        <v>1032</v>
      </c>
      <c r="I738" s="57"/>
      <c r="J738" s="57"/>
      <c r="L738" s="164">
        <v>80</v>
      </c>
    </row>
    <row r="739" spans="2:12" x14ac:dyDescent="0.3">
      <c r="B739" s="57">
        <f t="shared" si="51"/>
        <v>736</v>
      </c>
      <c r="C739" s="147">
        <v>46122</v>
      </c>
      <c r="D739" s="57" t="s">
        <v>968</v>
      </c>
      <c r="E739" s="57" t="s">
        <v>434</v>
      </c>
      <c r="F739" s="57" t="s">
        <v>300</v>
      </c>
      <c r="G739" s="57" t="s">
        <v>2327</v>
      </c>
      <c r="H739" s="140" t="s">
        <v>1033</v>
      </c>
      <c r="I739" s="57"/>
      <c r="J739" s="57"/>
      <c r="L739" s="164">
        <v>120</v>
      </c>
    </row>
    <row r="740" spans="2:12" x14ac:dyDescent="0.3">
      <c r="B740" s="57">
        <f t="shared" si="51"/>
        <v>737</v>
      </c>
      <c r="C740" s="147">
        <v>46122</v>
      </c>
      <c r="D740" s="57" t="s">
        <v>968</v>
      </c>
      <c r="E740" s="57" t="s">
        <v>957</v>
      </c>
      <c r="F740" s="57" t="s">
        <v>300</v>
      </c>
      <c r="G740" s="57" t="s">
        <v>530</v>
      </c>
      <c r="H740" s="140" t="s">
        <v>1034</v>
      </c>
      <c r="I740" s="57"/>
      <c r="J740" s="57"/>
      <c r="L740" s="164">
        <v>1700</v>
      </c>
    </row>
    <row r="741" spans="2:12" x14ac:dyDescent="0.3">
      <c r="B741" s="57">
        <f t="shared" si="51"/>
        <v>738</v>
      </c>
      <c r="C741" s="147">
        <v>46122</v>
      </c>
      <c r="D741" s="57" t="s">
        <v>968</v>
      </c>
      <c r="E741" s="57" t="s">
        <v>767</v>
      </c>
      <c r="F741" s="57" t="s">
        <v>446</v>
      </c>
      <c r="G741" s="57" t="s">
        <v>359</v>
      </c>
      <c r="H741" s="140" t="s">
        <v>1035</v>
      </c>
      <c r="I741" s="57"/>
      <c r="J741" s="57"/>
      <c r="L741" s="164">
        <v>500</v>
      </c>
    </row>
    <row r="742" spans="2:12" x14ac:dyDescent="0.3">
      <c r="B742" s="57">
        <f t="shared" si="51"/>
        <v>739</v>
      </c>
      <c r="C742" s="147">
        <v>46122</v>
      </c>
      <c r="D742" s="57" t="s">
        <v>968</v>
      </c>
      <c r="E742" s="57" t="s">
        <v>146</v>
      </c>
      <c r="F742" s="57" t="s">
        <v>436</v>
      </c>
      <c r="G742" s="57" t="s">
        <v>270</v>
      </c>
      <c r="H742" s="140" t="s">
        <v>885</v>
      </c>
      <c r="I742" s="57"/>
      <c r="J742" s="165">
        <f>L742/K742</f>
        <v>20.833333333333332</v>
      </c>
      <c r="K742" s="57">
        <v>96</v>
      </c>
      <c r="L742" s="164">
        <v>2000</v>
      </c>
    </row>
    <row r="743" spans="2:12" x14ac:dyDescent="0.3">
      <c r="B743" s="57">
        <f t="shared" si="51"/>
        <v>740</v>
      </c>
      <c r="C743" s="147">
        <v>46122</v>
      </c>
      <c r="D743" s="57" t="s">
        <v>968</v>
      </c>
      <c r="E743" s="57" t="s">
        <v>957</v>
      </c>
      <c r="F743" s="57" t="s">
        <v>300</v>
      </c>
      <c r="G743" s="57" t="s">
        <v>530</v>
      </c>
      <c r="H743" s="140" t="s">
        <v>1036</v>
      </c>
      <c r="I743" s="57"/>
      <c r="J743" s="57"/>
      <c r="L743" s="164">
        <v>700</v>
      </c>
    </row>
    <row r="744" spans="2:12" x14ac:dyDescent="0.3">
      <c r="B744" s="57">
        <f t="shared" si="51"/>
        <v>741</v>
      </c>
      <c r="C744" s="147">
        <v>46122</v>
      </c>
      <c r="D744" s="57" t="s">
        <v>968</v>
      </c>
      <c r="E744" s="57" t="s">
        <v>146</v>
      </c>
      <c r="F744" s="57" t="s">
        <v>446</v>
      </c>
      <c r="G744" s="57" t="s">
        <v>352</v>
      </c>
      <c r="H744" s="140" t="s">
        <v>1037</v>
      </c>
      <c r="I744" s="57"/>
      <c r="J744" s="165">
        <f>L744/K744</f>
        <v>32.529687500000001</v>
      </c>
      <c r="K744" s="57">
        <v>96</v>
      </c>
      <c r="L744" s="164">
        <v>3122.85</v>
      </c>
    </row>
    <row r="745" spans="2:12" x14ac:dyDescent="0.3">
      <c r="B745" s="57">
        <f t="shared" si="51"/>
        <v>742</v>
      </c>
      <c r="C745" s="147">
        <v>46122</v>
      </c>
      <c r="D745" s="57" t="s">
        <v>968</v>
      </c>
      <c r="E745" s="57" t="s">
        <v>4008</v>
      </c>
      <c r="F745" s="57" t="s">
        <v>300</v>
      </c>
      <c r="G745" s="57" t="s">
        <v>303</v>
      </c>
      <c r="H745" s="140" t="s">
        <v>1038</v>
      </c>
      <c r="I745" s="57"/>
      <c r="J745" s="57"/>
      <c r="L745" s="164">
        <v>2000</v>
      </c>
    </row>
    <row r="746" spans="2:12" x14ac:dyDescent="0.3">
      <c r="B746" s="57">
        <f t="shared" si="51"/>
        <v>743</v>
      </c>
      <c r="C746" s="143">
        <v>46123</v>
      </c>
      <c r="D746" s="57" t="s">
        <v>435</v>
      </c>
      <c r="E746" s="57" t="s">
        <v>767</v>
      </c>
      <c r="F746" s="57" t="s">
        <v>446</v>
      </c>
      <c r="G746" s="57" t="s">
        <v>352</v>
      </c>
      <c r="H746" s="140" t="s">
        <v>561</v>
      </c>
      <c r="I746" s="57"/>
      <c r="J746" s="57"/>
      <c r="L746" s="164">
        <v>200</v>
      </c>
    </row>
    <row r="747" spans="2:12" x14ac:dyDescent="0.3">
      <c r="B747" s="57">
        <f t="shared" si="51"/>
        <v>744</v>
      </c>
      <c r="C747" s="143">
        <v>46123</v>
      </c>
      <c r="D747" s="57" t="s">
        <v>435</v>
      </c>
      <c r="E747" s="57" t="s">
        <v>958</v>
      </c>
      <c r="F747" s="57" t="s">
        <v>350</v>
      </c>
      <c r="G747" s="57" t="s">
        <v>350</v>
      </c>
      <c r="H747" s="140" t="s">
        <v>440</v>
      </c>
      <c r="I747" s="57"/>
      <c r="J747" s="57"/>
      <c r="L747" s="164">
        <v>10000</v>
      </c>
    </row>
    <row r="748" spans="2:12" x14ac:dyDescent="0.3">
      <c r="B748" s="57">
        <f t="shared" si="51"/>
        <v>745</v>
      </c>
      <c r="C748" s="143">
        <v>46123</v>
      </c>
      <c r="D748" s="57" t="s">
        <v>435</v>
      </c>
      <c r="E748" s="57" t="s">
        <v>560</v>
      </c>
      <c r="F748" s="57" t="s">
        <v>300</v>
      </c>
      <c r="G748" s="57" t="s">
        <v>438</v>
      </c>
      <c r="H748" s="140" t="s">
        <v>559</v>
      </c>
      <c r="I748" s="57"/>
      <c r="J748" s="57"/>
      <c r="L748" s="164">
        <v>3000</v>
      </c>
    </row>
    <row r="749" spans="2:12" x14ac:dyDescent="0.3">
      <c r="B749" s="57">
        <f t="shared" si="51"/>
        <v>746</v>
      </c>
      <c r="C749" s="143">
        <v>46123</v>
      </c>
      <c r="D749" s="57" t="s">
        <v>435</v>
      </c>
      <c r="E749" s="57" t="s">
        <v>450</v>
      </c>
      <c r="F749" s="57" t="s">
        <v>446</v>
      </c>
      <c r="G749" s="57" t="s">
        <v>558</v>
      </c>
      <c r="H749" s="140" t="s">
        <v>557</v>
      </c>
      <c r="I749" s="57"/>
      <c r="J749" s="165">
        <f t="shared" ref="J749:J750" si="55">L749/K749</f>
        <v>31.25</v>
      </c>
      <c r="K749" s="57">
        <v>96</v>
      </c>
      <c r="L749" s="164">
        <v>3000</v>
      </c>
    </row>
    <row r="750" spans="2:12" x14ac:dyDescent="0.3">
      <c r="B750" s="57">
        <f t="shared" si="51"/>
        <v>747</v>
      </c>
      <c r="C750" s="143">
        <v>46123</v>
      </c>
      <c r="D750" s="57" t="s">
        <v>435</v>
      </c>
      <c r="E750" s="57" t="s">
        <v>146</v>
      </c>
      <c r="F750" s="57" t="s">
        <v>446</v>
      </c>
      <c r="G750" s="57" t="s">
        <v>352</v>
      </c>
      <c r="H750" s="140" t="s">
        <v>555</v>
      </c>
      <c r="I750" s="57"/>
      <c r="J750" s="165">
        <f t="shared" si="55"/>
        <v>25.286458333333332</v>
      </c>
      <c r="K750" s="57">
        <v>96</v>
      </c>
      <c r="L750" s="164">
        <v>2427.5</v>
      </c>
    </row>
    <row r="751" spans="2:12" x14ac:dyDescent="0.3">
      <c r="B751" s="57">
        <f t="shared" si="51"/>
        <v>748</v>
      </c>
      <c r="C751" s="147">
        <v>46123</v>
      </c>
      <c r="D751" s="57" t="s">
        <v>968</v>
      </c>
      <c r="E751" s="57" t="s">
        <v>434</v>
      </c>
      <c r="F751" s="57" t="s">
        <v>300</v>
      </c>
      <c r="G751" s="57" t="s">
        <v>530</v>
      </c>
      <c r="H751" s="140" t="s">
        <v>1039</v>
      </c>
      <c r="I751" s="57"/>
      <c r="J751" s="57"/>
      <c r="L751" s="164">
        <v>20000</v>
      </c>
    </row>
    <row r="752" spans="2:12" x14ac:dyDescent="0.3">
      <c r="B752" s="57">
        <f t="shared" si="51"/>
        <v>749</v>
      </c>
      <c r="C752" s="147">
        <v>46123</v>
      </c>
      <c r="D752" s="57" t="s">
        <v>968</v>
      </c>
      <c r="E752" s="57" t="s">
        <v>434</v>
      </c>
      <c r="F752" s="57" t="s">
        <v>300</v>
      </c>
      <c r="G752" s="57" t="s">
        <v>530</v>
      </c>
      <c r="H752" s="140" t="s">
        <v>1039</v>
      </c>
      <c r="I752" s="57"/>
      <c r="J752" s="57"/>
      <c r="L752" s="164">
        <v>1300</v>
      </c>
    </row>
    <row r="753" spans="2:12" x14ac:dyDescent="0.3">
      <c r="B753" s="57">
        <f t="shared" si="51"/>
        <v>750</v>
      </c>
      <c r="C753" s="147">
        <v>46123</v>
      </c>
      <c r="D753" s="57" t="s">
        <v>968</v>
      </c>
      <c r="E753" s="57" t="s">
        <v>522</v>
      </c>
      <c r="F753" s="57" t="s">
        <v>300</v>
      </c>
      <c r="G753" s="57" t="s">
        <v>530</v>
      </c>
      <c r="H753" s="140" t="s">
        <v>1040</v>
      </c>
      <c r="I753" s="57"/>
      <c r="J753" s="57"/>
      <c r="L753" s="164">
        <v>1200</v>
      </c>
    </row>
    <row r="754" spans="2:12" x14ac:dyDescent="0.3">
      <c r="B754" s="57">
        <f t="shared" si="51"/>
        <v>751</v>
      </c>
      <c r="C754" s="147">
        <v>46123</v>
      </c>
      <c r="D754" s="57" t="s">
        <v>968</v>
      </c>
      <c r="E754" s="57" t="s">
        <v>434</v>
      </c>
      <c r="F754" s="57" t="s">
        <v>300</v>
      </c>
      <c r="G754" s="57" t="s">
        <v>530</v>
      </c>
      <c r="H754" s="140" t="s">
        <v>1041</v>
      </c>
      <c r="I754" s="57"/>
      <c r="J754" s="57"/>
      <c r="L754" s="164">
        <v>5000</v>
      </c>
    </row>
    <row r="755" spans="2:12" x14ac:dyDescent="0.3">
      <c r="B755" s="57">
        <f t="shared" si="51"/>
        <v>752</v>
      </c>
      <c r="C755" s="147">
        <v>46123</v>
      </c>
      <c r="D755" s="57" t="s">
        <v>968</v>
      </c>
      <c r="E755" s="57" t="s">
        <v>434</v>
      </c>
      <c r="F755" s="57" t="s">
        <v>300</v>
      </c>
      <c r="G755" s="57" t="s">
        <v>530</v>
      </c>
      <c r="H755" s="140" t="s">
        <v>1042</v>
      </c>
      <c r="I755" s="57"/>
      <c r="J755" s="57"/>
      <c r="L755" s="164">
        <v>1080</v>
      </c>
    </row>
    <row r="756" spans="2:12" x14ac:dyDescent="0.3">
      <c r="B756" s="57">
        <f t="shared" si="51"/>
        <v>753</v>
      </c>
      <c r="C756" s="143">
        <v>46124</v>
      </c>
      <c r="D756" s="57" t="s">
        <v>435</v>
      </c>
      <c r="E756" s="57" t="s">
        <v>146</v>
      </c>
      <c r="F756" s="57" t="s">
        <v>446</v>
      </c>
      <c r="G756" s="57" t="s">
        <v>316</v>
      </c>
      <c r="H756" s="140" t="s">
        <v>441</v>
      </c>
      <c r="I756" s="57"/>
      <c r="J756" s="165">
        <f>L756/K756</f>
        <v>20.833333333333332</v>
      </c>
      <c r="K756" s="57">
        <v>96</v>
      </c>
      <c r="L756" s="164">
        <v>2000</v>
      </c>
    </row>
    <row r="757" spans="2:12" x14ac:dyDescent="0.3">
      <c r="B757" s="57">
        <f t="shared" si="51"/>
        <v>754</v>
      </c>
      <c r="C757" s="143">
        <v>46124</v>
      </c>
      <c r="D757" s="57" t="s">
        <v>435</v>
      </c>
      <c r="E757" s="57" t="s">
        <v>767</v>
      </c>
      <c r="F757" s="57" t="s">
        <v>436</v>
      </c>
      <c r="G757" s="57" t="s">
        <v>270</v>
      </c>
      <c r="H757" s="140" t="s">
        <v>564</v>
      </c>
      <c r="I757" s="57"/>
      <c r="J757" s="57"/>
      <c r="L757" s="164">
        <v>1750</v>
      </c>
    </row>
    <row r="758" spans="2:12" x14ac:dyDescent="0.3">
      <c r="B758" s="57">
        <f t="shared" si="51"/>
        <v>755</v>
      </c>
      <c r="C758" s="143">
        <v>46124</v>
      </c>
      <c r="D758" s="57" t="s">
        <v>435</v>
      </c>
      <c r="E758" s="57" t="s">
        <v>146</v>
      </c>
      <c r="F758" s="57" t="s">
        <v>446</v>
      </c>
      <c r="G758" s="57" t="s">
        <v>352</v>
      </c>
      <c r="H758" s="140" t="s">
        <v>555</v>
      </c>
      <c r="I758" s="57"/>
      <c r="J758" s="165">
        <f>L758/K758</f>
        <v>25.291666666666668</v>
      </c>
      <c r="K758" s="57">
        <v>96</v>
      </c>
      <c r="L758" s="164">
        <v>2428</v>
      </c>
    </row>
    <row r="759" spans="2:12" x14ac:dyDescent="0.3">
      <c r="B759" s="57">
        <f t="shared" si="51"/>
        <v>756</v>
      </c>
      <c r="C759" s="143">
        <v>46124</v>
      </c>
      <c r="D759" s="57" t="s">
        <v>435</v>
      </c>
      <c r="E759" s="57" t="s">
        <v>2022</v>
      </c>
      <c r="F759" s="57" t="s">
        <v>446</v>
      </c>
      <c r="G759" s="57" t="s">
        <v>313</v>
      </c>
      <c r="H759" s="140" t="s">
        <v>563</v>
      </c>
      <c r="I759" s="57"/>
      <c r="J759" s="57"/>
      <c r="L759" s="164">
        <v>200</v>
      </c>
    </row>
    <row r="760" spans="2:12" x14ac:dyDescent="0.3">
      <c r="B760" s="57">
        <f t="shared" si="51"/>
        <v>757</v>
      </c>
      <c r="C760" s="143">
        <v>46124</v>
      </c>
      <c r="D760" s="57" t="s">
        <v>435</v>
      </c>
      <c r="E760" s="57" t="s">
        <v>2022</v>
      </c>
      <c r="F760" s="57" t="s">
        <v>446</v>
      </c>
      <c r="G760" s="57" t="s">
        <v>352</v>
      </c>
      <c r="H760" s="140" t="s">
        <v>555</v>
      </c>
      <c r="I760" s="57"/>
      <c r="J760" s="57"/>
      <c r="L760" s="164">
        <v>2428</v>
      </c>
    </row>
    <row r="761" spans="2:12" x14ac:dyDescent="0.3">
      <c r="B761" s="57">
        <f t="shared" si="51"/>
        <v>758</v>
      </c>
      <c r="C761" s="143">
        <v>46124</v>
      </c>
      <c r="D761" s="57" t="s">
        <v>435</v>
      </c>
      <c r="E761" s="57" t="s">
        <v>958</v>
      </c>
      <c r="F761" s="57" t="s">
        <v>350</v>
      </c>
      <c r="G761" s="57" t="s">
        <v>350</v>
      </c>
      <c r="H761" s="140" t="s">
        <v>562</v>
      </c>
      <c r="I761" s="57"/>
      <c r="J761" s="57"/>
      <c r="L761" s="164">
        <v>2000</v>
      </c>
    </row>
    <row r="762" spans="2:12" x14ac:dyDescent="0.3">
      <c r="B762" s="57">
        <f t="shared" si="51"/>
        <v>759</v>
      </c>
      <c r="C762" s="147">
        <v>46124</v>
      </c>
      <c r="D762" s="57" t="s">
        <v>968</v>
      </c>
      <c r="E762" s="57" t="s">
        <v>590</v>
      </c>
      <c r="F762" s="57" t="s">
        <v>300</v>
      </c>
      <c r="G762" s="57" t="s">
        <v>530</v>
      </c>
      <c r="H762" s="140" t="s">
        <v>1043</v>
      </c>
      <c r="I762" s="57"/>
      <c r="J762" s="57"/>
      <c r="L762" s="164">
        <v>3000</v>
      </c>
    </row>
    <row r="763" spans="2:12" x14ac:dyDescent="0.3">
      <c r="B763" s="57">
        <f t="shared" si="51"/>
        <v>760</v>
      </c>
      <c r="C763" s="147">
        <v>46124</v>
      </c>
      <c r="D763" s="57" t="s">
        <v>968</v>
      </c>
      <c r="E763" s="57" t="s">
        <v>146</v>
      </c>
      <c r="F763" s="57" t="s">
        <v>300</v>
      </c>
      <c r="G763" s="57" t="s">
        <v>530</v>
      </c>
      <c r="H763" s="140" t="s">
        <v>1044</v>
      </c>
      <c r="I763" s="57"/>
      <c r="J763" s="165">
        <f>L763/K763</f>
        <v>20.833333333333332</v>
      </c>
      <c r="K763" s="57">
        <v>96</v>
      </c>
      <c r="L763" s="164">
        <v>2000</v>
      </c>
    </row>
    <row r="764" spans="2:12" x14ac:dyDescent="0.3">
      <c r="B764" s="57">
        <f t="shared" si="51"/>
        <v>761</v>
      </c>
      <c r="C764" s="147">
        <v>46124</v>
      </c>
      <c r="D764" s="57" t="s">
        <v>968</v>
      </c>
      <c r="E764" s="57" t="s">
        <v>434</v>
      </c>
      <c r="F764" s="57" t="s">
        <v>300</v>
      </c>
      <c r="G764" s="57" t="s">
        <v>530</v>
      </c>
      <c r="H764" s="140" t="s">
        <v>1045</v>
      </c>
      <c r="I764" s="57"/>
      <c r="J764" s="57"/>
      <c r="L764" s="164">
        <v>1160</v>
      </c>
    </row>
    <row r="765" spans="2:12" x14ac:dyDescent="0.3">
      <c r="B765" s="57">
        <f t="shared" si="51"/>
        <v>762</v>
      </c>
      <c r="C765" s="147">
        <v>46124</v>
      </c>
      <c r="D765" s="57" t="s">
        <v>968</v>
      </c>
      <c r="E765" s="57" t="s">
        <v>767</v>
      </c>
      <c r="F765" s="57" t="s">
        <v>300</v>
      </c>
      <c r="G765" s="57" t="s">
        <v>530</v>
      </c>
      <c r="H765" s="140" t="s">
        <v>1046</v>
      </c>
      <c r="I765" s="57"/>
      <c r="J765" s="57"/>
      <c r="L765" s="164">
        <v>2500</v>
      </c>
    </row>
    <row r="766" spans="2:12" x14ac:dyDescent="0.3">
      <c r="B766" s="57">
        <f t="shared" si="51"/>
        <v>763</v>
      </c>
      <c r="C766" s="147">
        <v>46124</v>
      </c>
      <c r="D766" s="57" t="s">
        <v>968</v>
      </c>
      <c r="E766" s="57" t="s">
        <v>146</v>
      </c>
      <c r="F766" s="57" t="s">
        <v>300</v>
      </c>
      <c r="G766" s="57" t="s">
        <v>438</v>
      </c>
      <c r="H766" s="140" t="s">
        <v>4110</v>
      </c>
      <c r="I766" s="57"/>
      <c r="J766" s="165">
        <f>L766/K766</f>
        <v>31.25</v>
      </c>
      <c r="K766" s="57">
        <v>96</v>
      </c>
      <c r="L766" s="164">
        <v>3000</v>
      </c>
    </row>
    <row r="767" spans="2:12" x14ac:dyDescent="0.3">
      <c r="B767" s="57">
        <f t="shared" si="51"/>
        <v>764</v>
      </c>
      <c r="C767" s="143">
        <v>46125</v>
      </c>
      <c r="D767" s="57" t="s">
        <v>435</v>
      </c>
      <c r="E767" s="57" t="s">
        <v>477</v>
      </c>
      <c r="F767" s="57" t="s">
        <v>300</v>
      </c>
      <c r="G767" s="57" t="s">
        <v>438</v>
      </c>
      <c r="H767" s="140" t="s">
        <v>476</v>
      </c>
      <c r="I767" s="57"/>
      <c r="J767" s="57"/>
      <c r="L767" s="164">
        <v>30000</v>
      </c>
    </row>
    <row r="768" spans="2:12" x14ac:dyDescent="0.3">
      <c r="B768" s="57">
        <f t="shared" si="51"/>
        <v>765</v>
      </c>
      <c r="C768" s="143">
        <v>46125</v>
      </c>
      <c r="D768" s="57" t="s">
        <v>435</v>
      </c>
      <c r="E768" s="57" t="s">
        <v>434</v>
      </c>
      <c r="F768" s="57" t="s">
        <v>446</v>
      </c>
      <c r="G768" s="57" t="s">
        <v>352</v>
      </c>
      <c r="H768" s="140" t="s">
        <v>565</v>
      </c>
      <c r="I768" s="57"/>
      <c r="J768" s="57"/>
      <c r="L768" s="164">
        <v>530</v>
      </c>
    </row>
    <row r="769" spans="2:12" x14ac:dyDescent="0.3">
      <c r="B769" s="57">
        <f t="shared" si="51"/>
        <v>766</v>
      </c>
      <c r="C769" s="143">
        <v>46125</v>
      </c>
      <c r="D769" s="57" t="s">
        <v>435</v>
      </c>
      <c r="E769" s="57" t="s">
        <v>450</v>
      </c>
      <c r="F769" s="57" t="s">
        <v>446</v>
      </c>
      <c r="G769" s="57" t="s">
        <v>558</v>
      </c>
      <c r="H769" s="140" t="s">
        <v>557</v>
      </c>
      <c r="I769" s="57"/>
      <c r="J769" s="165">
        <f>L769/K769</f>
        <v>31.25</v>
      </c>
      <c r="K769" s="57">
        <v>96</v>
      </c>
      <c r="L769" s="164">
        <v>3000</v>
      </c>
    </row>
    <row r="770" spans="2:12" x14ac:dyDescent="0.3">
      <c r="B770" s="57">
        <f t="shared" si="51"/>
        <v>767</v>
      </c>
      <c r="C770" s="147">
        <v>46125</v>
      </c>
      <c r="D770" s="57" t="s">
        <v>968</v>
      </c>
      <c r="E770" s="57" t="s">
        <v>986</v>
      </c>
      <c r="F770" s="57" t="s">
        <v>300</v>
      </c>
      <c r="G770" s="57" t="s">
        <v>530</v>
      </c>
      <c r="H770" s="140" t="s">
        <v>1047</v>
      </c>
      <c r="I770" s="57" t="s">
        <v>986</v>
      </c>
      <c r="J770" s="57">
        <v>40</v>
      </c>
      <c r="K770" s="168">
        <f>L770/J770</f>
        <v>97.5</v>
      </c>
      <c r="L770" s="164">
        <v>3900</v>
      </c>
    </row>
    <row r="771" spans="2:12" x14ac:dyDescent="0.3">
      <c r="B771" s="57">
        <f t="shared" si="51"/>
        <v>768</v>
      </c>
      <c r="C771" s="143">
        <v>46126</v>
      </c>
      <c r="D771" s="57" t="s">
        <v>435</v>
      </c>
      <c r="E771" s="57" t="s">
        <v>532</v>
      </c>
      <c r="F771" s="57" t="s">
        <v>300</v>
      </c>
      <c r="G771" s="57" t="s">
        <v>443</v>
      </c>
      <c r="H771" s="140" t="s">
        <v>541</v>
      </c>
      <c r="I771" s="57" t="s">
        <v>532</v>
      </c>
      <c r="J771" s="57">
        <v>3</v>
      </c>
      <c r="K771" s="57">
        <v>310</v>
      </c>
      <c r="L771" s="164">
        <v>930</v>
      </c>
    </row>
    <row r="772" spans="2:12" x14ac:dyDescent="0.3">
      <c r="B772" s="57">
        <f t="shared" si="51"/>
        <v>769</v>
      </c>
      <c r="C772" s="143">
        <v>46126</v>
      </c>
      <c r="D772" s="57" t="s">
        <v>435</v>
      </c>
      <c r="E772" s="57" t="s">
        <v>532</v>
      </c>
      <c r="F772" s="57" t="s">
        <v>300</v>
      </c>
      <c r="G772" s="57" t="s">
        <v>530</v>
      </c>
      <c r="H772" s="140" t="s">
        <v>566</v>
      </c>
      <c r="I772" s="57" t="s">
        <v>532</v>
      </c>
      <c r="J772" s="57">
        <v>1</v>
      </c>
      <c r="K772" s="57">
        <v>300</v>
      </c>
      <c r="L772" s="164">
        <v>300</v>
      </c>
    </row>
    <row r="773" spans="2:12" x14ac:dyDescent="0.3">
      <c r="B773" s="57">
        <f t="shared" si="51"/>
        <v>770</v>
      </c>
      <c r="C773" s="143">
        <v>46126</v>
      </c>
      <c r="D773" s="57" t="s">
        <v>435</v>
      </c>
      <c r="E773" s="57" t="s">
        <v>146</v>
      </c>
      <c r="F773" s="57" t="s">
        <v>446</v>
      </c>
      <c r="G773" s="57" t="s">
        <v>352</v>
      </c>
      <c r="H773" s="140" t="s">
        <v>885</v>
      </c>
      <c r="I773" s="57"/>
      <c r="J773" s="165">
        <f t="shared" ref="J773:J777" si="56">L773/K773</f>
        <v>20.833333333333332</v>
      </c>
      <c r="K773" s="57">
        <v>96</v>
      </c>
      <c r="L773" s="164">
        <v>2000</v>
      </c>
    </row>
    <row r="774" spans="2:12" x14ac:dyDescent="0.3">
      <c r="B774" s="57">
        <f t="shared" ref="B774:B837" si="57">+B773+1</f>
        <v>771</v>
      </c>
      <c r="C774" s="147">
        <v>46126</v>
      </c>
      <c r="D774" s="57" t="s">
        <v>968</v>
      </c>
      <c r="E774" s="57" t="s">
        <v>146</v>
      </c>
      <c r="F774" s="57" t="s">
        <v>300</v>
      </c>
      <c r="G774" s="57" t="s">
        <v>530</v>
      </c>
      <c r="H774" s="140" t="s">
        <v>1048</v>
      </c>
      <c r="I774" s="57"/>
      <c r="J774" s="165">
        <f t="shared" si="56"/>
        <v>20.833333333333332</v>
      </c>
      <c r="K774" s="57">
        <v>96</v>
      </c>
      <c r="L774" s="164">
        <v>2000</v>
      </c>
    </row>
    <row r="775" spans="2:12" x14ac:dyDescent="0.3">
      <c r="B775" s="57">
        <f t="shared" si="57"/>
        <v>772</v>
      </c>
      <c r="C775" s="147">
        <v>46126</v>
      </c>
      <c r="D775" s="57" t="s">
        <v>968</v>
      </c>
      <c r="E775" s="57" t="s">
        <v>146</v>
      </c>
      <c r="F775" s="57" t="s">
        <v>446</v>
      </c>
      <c r="G775" s="57" t="s">
        <v>352</v>
      </c>
      <c r="H775" s="140" t="s">
        <v>1049</v>
      </c>
      <c r="I775" s="57"/>
      <c r="J775" s="165">
        <f t="shared" si="56"/>
        <v>10.416666666666666</v>
      </c>
      <c r="K775" s="57">
        <v>96</v>
      </c>
      <c r="L775" s="164">
        <v>1000</v>
      </c>
    </row>
    <row r="776" spans="2:12" x14ac:dyDescent="0.3">
      <c r="B776" s="57">
        <f t="shared" si="57"/>
        <v>773</v>
      </c>
      <c r="C776" s="147">
        <v>46126</v>
      </c>
      <c r="D776" s="57" t="s">
        <v>968</v>
      </c>
      <c r="E776" s="57" t="s">
        <v>146</v>
      </c>
      <c r="F776" s="57" t="s">
        <v>446</v>
      </c>
      <c r="G776" s="57" t="s">
        <v>352</v>
      </c>
      <c r="H776" s="140" t="s">
        <v>1050</v>
      </c>
      <c r="I776" s="57"/>
      <c r="J776" s="165">
        <f t="shared" si="56"/>
        <v>26.041666666666668</v>
      </c>
      <c r="K776" s="57">
        <v>96</v>
      </c>
      <c r="L776" s="164">
        <v>2500</v>
      </c>
    </row>
    <row r="777" spans="2:12" x14ac:dyDescent="0.3">
      <c r="B777" s="57">
        <f t="shared" si="57"/>
        <v>774</v>
      </c>
      <c r="C777" s="147">
        <v>46126</v>
      </c>
      <c r="D777" s="57" t="s">
        <v>968</v>
      </c>
      <c r="E777" s="57" t="s">
        <v>146</v>
      </c>
      <c r="F777" s="57" t="s">
        <v>300</v>
      </c>
      <c r="G777" s="57" t="s">
        <v>526</v>
      </c>
      <c r="H777" s="140" t="s">
        <v>1051</v>
      </c>
      <c r="I777" s="57"/>
      <c r="J777" s="165">
        <f t="shared" si="56"/>
        <v>20.833333333333332</v>
      </c>
      <c r="K777" s="57">
        <v>96</v>
      </c>
      <c r="L777" s="164">
        <v>2000</v>
      </c>
    </row>
    <row r="778" spans="2:12" x14ac:dyDescent="0.3">
      <c r="B778" s="57">
        <f t="shared" si="57"/>
        <v>775</v>
      </c>
      <c r="C778" s="147">
        <v>46126</v>
      </c>
      <c r="D778" s="57" t="s">
        <v>968</v>
      </c>
      <c r="E778" s="57" t="s">
        <v>560</v>
      </c>
      <c r="F778" s="57" t="s">
        <v>446</v>
      </c>
      <c r="G778" s="57" t="s">
        <v>352</v>
      </c>
      <c r="H778" s="140" t="s">
        <v>1052</v>
      </c>
      <c r="I778" s="57"/>
      <c r="J778" s="57"/>
      <c r="L778" s="164">
        <v>400</v>
      </c>
    </row>
    <row r="779" spans="2:12" x14ac:dyDescent="0.3">
      <c r="B779" s="57">
        <f t="shared" si="57"/>
        <v>776</v>
      </c>
      <c r="C779" s="147">
        <v>46126</v>
      </c>
      <c r="D779" s="57" t="s">
        <v>968</v>
      </c>
      <c r="E779" s="57" t="s">
        <v>146</v>
      </c>
      <c r="F779" s="57" t="s">
        <v>446</v>
      </c>
      <c r="G779" s="57" t="s">
        <v>316</v>
      </c>
      <c r="H779" s="140" t="s">
        <v>1053</v>
      </c>
      <c r="I779" s="57"/>
      <c r="J779" s="165">
        <f>L779/K779</f>
        <v>20.833333333333332</v>
      </c>
      <c r="K779" s="57">
        <v>96</v>
      </c>
      <c r="L779" s="164">
        <v>2000</v>
      </c>
    </row>
    <row r="780" spans="2:12" x14ac:dyDescent="0.3">
      <c r="B780" s="57">
        <f t="shared" si="57"/>
        <v>777</v>
      </c>
      <c r="C780" s="147">
        <v>46126</v>
      </c>
      <c r="D780" s="57" t="s">
        <v>968</v>
      </c>
      <c r="E780" s="57" t="s">
        <v>767</v>
      </c>
      <c r="F780" s="57" t="s">
        <v>300</v>
      </c>
      <c r="G780" s="57" t="s">
        <v>530</v>
      </c>
      <c r="H780" s="140" t="s">
        <v>1054</v>
      </c>
      <c r="I780" s="57"/>
      <c r="J780" s="57"/>
      <c r="L780" s="164">
        <v>1000</v>
      </c>
    </row>
    <row r="781" spans="2:12" x14ac:dyDescent="0.3">
      <c r="B781" s="57">
        <f t="shared" si="57"/>
        <v>778</v>
      </c>
      <c r="C781" s="143">
        <v>46127</v>
      </c>
      <c r="D781" s="57" t="s">
        <v>435</v>
      </c>
      <c r="E781" s="57" t="s">
        <v>434</v>
      </c>
      <c r="F781" s="57" t="s">
        <v>300</v>
      </c>
      <c r="G781" s="57" t="s">
        <v>438</v>
      </c>
      <c r="H781" s="140" t="s">
        <v>569</v>
      </c>
      <c r="I781" s="57"/>
      <c r="J781" s="57"/>
      <c r="L781" s="164">
        <v>4020</v>
      </c>
    </row>
    <row r="782" spans="2:12" x14ac:dyDescent="0.3">
      <c r="B782" s="57">
        <f t="shared" si="57"/>
        <v>779</v>
      </c>
      <c r="C782" s="143">
        <v>46127</v>
      </c>
      <c r="D782" s="57" t="s">
        <v>435</v>
      </c>
      <c r="E782" s="57" t="s">
        <v>146</v>
      </c>
      <c r="F782" s="57" t="s">
        <v>300</v>
      </c>
      <c r="G782" s="57" t="s">
        <v>443</v>
      </c>
      <c r="H782" s="140" t="s">
        <v>4088</v>
      </c>
      <c r="I782" s="57"/>
      <c r="J782" s="165">
        <f t="shared" ref="J782:J784" si="58">L782/K782</f>
        <v>20.833333333333332</v>
      </c>
      <c r="K782" s="57">
        <v>96</v>
      </c>
      <c r="L782" s="164">
        <v>2000</v>
      </c>
    </row>
    <row r="783" spans="2:12" x14ac:dyDescent="0.3">
      <c r="B783" s="57">
        <f t="shared" si="57"/>
        <v>780</v>
      </c>
      <c r="C783" s="143">
        <v>46127</v>
      </c>
      <c r="D783" s="57" t="s">
        <v>435</v>
      </c>
      <c r="E783" s="57" t="s">
        <v>146</v>
      </c>
      <c r="F783" s="57" t="s">
        <v>300</v>
      </c>
      <c r="G783" s="57" t="s">
        <v>438</v>
      </c>
      <c r="H783" s="140" t="s">
        <v>4092</v>
      </c>
      <c r="I783" s="57"/>
      <c r="J783" s="165">
        <f t="shared" si="58"/>
        <v>143</v>
      </c>
      <c r="K783" s="57">
        <v>96</v>
      </c>
      <c r="L783" s="164">
        <v>13728</v>
      </c>
    </row>
    <row r="784" spans="2:12" x14ac:dyDescent="0.3">
      <c r="B784" s="57">
        <f t="shared" si="57"/>
        <v>781</v>
      </c>
      <c r="C784" s="143">
        <v>46127</v>
      </c>
      <c r="D784" s="57" t="s">
        <v>435</v>
      </c>
      <c r="E784" s="57" t="s">
        <v>146</v>
      </c>
      <c r="F784" s="57" t="s">
        <v>446</v>
      </c>
      <c r="G784" s="57" t="s">
        <v>352</v>
      </c>
      <c r="H784" s="140" t="s">
        <v>555</v>
      </c>
      <c r="I784" s="57"/>
      <c r="J784" s="165">
        <f t="shared" si="58"/>
        <v>50.567708333333336</v>
      </c>
      <c r="K784" s="57">
        <v>96</v>
      </c>
      <c r="L784" s="164">
        <v>4854.5</v>
      </c>
    </row>
    <row r="785" spans="2:12" x14ac:dyDescent="0.3">
      <c r="B785" s="57">
        <f t="shared" si="57"/>
        <v>782</v>
      </c>
      <c r="C785" s="143">
        <v>46127</v>
      </c>
      <c r="D785" s="57" t="s">
        <v>435</v>
      </c>
      <c r="E785" s="57" t="s">
        <v>434</v>
      </c>
      <c r="F785" s="57" t="s">
        <v>446</v>
      </c>
      <c r="G785" s="57" t="s">
        <v>352</v>
      </c>
      <c r="H785" s="140" t="s">
        <v>568</v>
      </c>
      <c r="I785" s="57"/>
      <c r="J785" s="57"/>
      <c r="L785" s="164">
        <v>300</v>
      </c>
    </row>
    <row r="786" spans="2:12" x14ac:dyDescent="0.3">
      <c r="B786" s="57">
        <f t="shared" si="57"/>
        <v>783</v>
      </c>
      <c r="C786" s="143">
        <v>46127</v>
      </c>
      <c r="D786" s="57" t="s">
        <v>435</v>
      </c>
      <c r="E786" s="57" t="s">
        <v>4128</v>
      </c>
      <c r="F786" s="57" t="s">
        <v>446</v>
      </c>
      <c r="G786" s="57" t="s">
        <v>352</v>
      </c>
      <c r="H786" s="140" t="s">
        <v>567</v>
      </c>
      <c r="I786" s="57"/>
      <c r="J786" s="57"/>
      <c r="L786" s="164">
        <v>3200</v>
      </c>
    </row>
    <row r="787" spans="2:12" x14ac:dyDescent="0.3">
      <c r="B787" s="57">
        <f t="shared" si="57"/>
        <v>784</v>
      </c>
      <c r="C787" s="143">
        <v>46127</v>
      </c>
      <c r="D787" s="57" t="s">
        <v>435</v>
      </c>
      <c r="E787" s="57" t="s">
        <v>146</v>
      </c>
      <c r="F787" s="57" t="s">
        <v>350</v>
      </c>
      <c r="G787" s="57" t="s">
        <v>337</v>
      </c>
      <c r="H787" s="140" t="s">
        <v>4111</v>
      </c>
      <c r="I787" s="57"/>
      <c r="J787" s="165">
        <f t="shared" ref="J787:J788" si="59">L787/K787</f>
        <v>20.833333333333332</v>
      </c>
      <c r="K787" s="57">
        <v>96</v>
      </c>
      <c r="L787" s="164">
        <v>2000</v>
      </c>
    </row>
    <row r="788" spans="2:12" x14ac:dyDescent="0.3">
      <c r="B788" s="57">
        <f t="shared" si="57"/>
        <v>785</v>
      </c>
      <c r="C788" s="143">
        <v>46127</v>
      </c>
      <c r="D788" s="57" t="s">
        <v>435</v>
      </c>
      <c r="E788" s="57" t="s">
        <v>146</v>
      </c>
      <c r="F788" s="57" t="s">
        <v>300</v>
      </c>
      <c r="G788" s="57" t="s">
        <v>530</v>
      </c>
      <c r="H788" s="140" t="s">
        <v>4115</v>
      </c>
      <c r="I788" s="57"/>
      <c r="J788" s="165">
        <f t="shared" si="59"/>
        <v>20.833333333333332</v>
      </c>
      <c r="K788" s="57">
        <v>96</v>
      </c>
      <c r="L788" s="164">
        <v>2000</v>
      </c>
    </row>
    <row r="789" spans="2:12" x14ac:dyDescent="0.3">
      <c r="B789" s="57">
        <f t="shared" si="57"/>
        <v>786</v>
      </c>
      <c r="C789" s="143">
        <v>46128</v>
      </c>
      <c r="D789" s="57" t="s">
        <v>435</v>
      </c>
      <c r="E789" s="57" t="s">
        <v>590</v>
      </c>
      <c r="F789" s="57" t="s">
        <v>546</v>
      </c>
      <c r="G789" s="57" t="s">
        <v>545</v>
      </c>
      <c r="H789" s="140" t="s">
        <v>577</v>
      </c>
      <c r="I789" s="57"/>
      <c r="J789" s="57"/>
      <c r="L789" s="164">
        <v>3200</v>
      </c>
    </row>
    <row r="790" spans="2:12" x14ac:dyDescent="0.3">
      <c r="B790" s="57">
        <f t="shared" si="57"/>
        <v>787</v>
      </c>
      <c r="C790" s="143">
        <v>46128</v>
      </c>
      <c r="D790" s="57" t="s">
        <v>435</v>
      </c>
      <c r="E790" s="57" t="s">
        <v>146</v>
      </c>
      <c r="F790" s="57" t="s">
        <v>546</v>
      </c>
      <c r="G790" s="57" t="s">
        <v>545</v>
      </c>
      <c r="H790" s="140" t="s">
        <v>576</v>
      </c>
      <c r="I790" s="57"/>
      <c r="J790" s="165">
        <f>L790/K790</f>
        <v>20.833333333333332</v>
      </c>
      <c r="K790" s="57">
        <v>96</v>
      </c>
      <c r="L790" s="164">
        <v>2000</v>
      </c>
    </row>
    <row r="791" spans="2:12" x14ac:dyDescent="0.3">
      <c r="B791" s="57">
        <f t="shared" si="57"/>
        <v>788</v>
      </c>
      <c r="C791" s="143">
        <v>46128</v>
      </c>
      <c r="D791" s="57" t="s">
        <v>435</v>
      </c>
      <c r="E791" s="57" t="s">
        <v>4008</v>
      </c>
      <c r="F791" s="57" t="s">
        <v>546</v>
      </c>
      <c r="G791" s="57" t="s">
        <v>545</v>
      </c>
      <c r="H791" s="140" t="s">
        <v>575</v>
      </c>
      <c r="I791" s="57"/>
      <c r="J791" s="57"/>
      <c r="L791" s="164">
        <v>2000</v>
      </c>
    </row>
    <row r="792" spans="2:12" x14ac:dyDescent="0.3">
      <c r="B792" s="57">
        <f t="shared" si="57"/>
        <v>789</v>
      </c>
      <c r="C792" s="143">
        <v>46128</v>
      </c>
      <c r="D792" s="57" t="s">
        <v>435</v>
      </c>
      <c r="E792" s="57" t="s">
        <v>574</v>
      </c>
      <c r="F792" s="57" t="s">
        <v>436</v>
      </c>
      <c r="G792" s="57" t="s">
        <v>480</v>
      </c>
      <c r="H792" s="140" t="s">
        <v>573</v>
      </c>
      <c r="I792" s="140" t="s">
        <v>4081</v>
      </c>
      <c r="J792" s="57">
        <v>4</v>
      </c>
      <c r="K792" s="167">
        <f>L792/J792</f>
        <v>450</v>
      </c>
      <c r="L792" s="164">
        <v>1800</v>
      </c>
    </row>
    <row r="793" spans="2:12" x14ac:dyDescent="0.3">
      <c r="B793" s="57">
        <f t="shared" si="57"/>
        <v>790</v>
      </c>
      <c r="C793" s="143">
        <v>46128</v>
      </c>
      <c r="D793" s="57" t="s">
        <v>435</v>
      </c>
      <c r="E793" s="57" t="s">
        <v>146</v>
      </c>
      <c r="F793" s="57" t="s">
        <v>446</v>
      </c>
      <c r="G793" s="57" t="s">
        <v>572</v>
      </c>
      <c r="H793" s="140" t="s">
        <v>441</v>
      </c>
      <c r="I793" s="57"/>
      <c r="J793" s="165">
        <f t="shared" ref="J793:J794" si="60">L793/K793</f>
        <v>20.833333333333332</v>
      </c>
      <c r="K793" s="57">
        <v>96</v>
      </c>
      <c r="L793" s="164">
        <v>2000</v>
      </c>
    </row>
    <row r="794" spans="2:12" x14ac:dyDescent="0.3">
      <c r="B794" s="57">
        <f t="shared" si="57"/>
        <v>791</v>
      </c>
      <c r="C794" s="143">
        <v>46128</v>
      </c>
      <c r="D794" s="57" t="s">
        <v>435</v>
      </c>
      <c r="E794" s="57" t="s">
        <v>450</v>
      </c>
      <c r="F794" s="57" t="s">
        <v>300</v>
      </c>
      <c r="G794" s="57" t="s">
        <v>438</v>
      </c>
      <c r="H794" s="140" t="s">
        <v>517</v>
      </c>
      <c r="I794" s="57"/>
      <c r="J794" s="165">
        <f t="shared" si="60"/>
        <v>31.25</v>
      </c>
      <c r="K794" s="57">
        <v>96</v>
      </c>
      <c r="L794" s="164">
        <v>3000</v>
      </c>
    </row>
    <row r="795" spans="2:12" x14ac:dyDescent="0.3">
      <c r="B795" s="57">
        <f t="shared" si="57"/>
        <v>792</v>
      </c>
      <c r="C795" s="143">
        <v>46128</v>
      </c>
      <c r="D795" s="57" t="s">
        <v>435</v>
      </c>
      <c r="E795" s="57" t="s">
        <v>460</v>
      </c>
      <c r="F795" s="57" t="s">
        <v>446</v>
      </c>
      <c r="G795" s="57" t="s">
        <v>572</v>
      </c>
      <c r="H795" s="140" t="s">
        <v>571</v>
      </c>
      <c r="I795" s="57"/>
      <c r="J795" s="57"/>
      <c r="L795" s="164">
        <v>400</v>
      </c>
    </row>
    <row r="796" spans="2:12" x14ac:dyDescent="0.3">
      <c r="B796" s="57">
        <f t="shared" si="57"/>
        <v>793</v>
      </c>
      <c r="C796" s="143">
        <v>46128</v>
      </c>
      <c r="D796" s="57" t="s">
        <v>435</v>
      </c>
      <c r="E796" s="57" t="s">
        <v>146</v>
      </c>
      <c r="F796" s="57" t="s">
        <v>300</v>
      </c>
      <c r="G796" s="57" t="s">
        <v>438</v>
      </c>
      <c r="H796" s="140" t="s">
        <v>4109</v>
      </c>
      <c r="I796" s="57"/>
      <c r="J796" s="165">
        <f t="shared" ref="J796:J797" si="61">L796/K796</f>
        <v>36.458333333333336</v>
      </c>
      <c r="K796" s="57">
        <v>96</v>
      </c>
      <c r="L796" s="164">
        <v>3500</v>
      </c>
    </row>
    <row r="797" spans="2:12" x14ac:dyDescent="0.3">
      <c r="B797" s="57">
        <f t="shared" si="57"/>
        <v>794</v>
      </c>
      <c r="C797" s="143">
        <v>46128</v>
      </c>
      <c r="D797" s="57" t="s">
        <v>435</v>
      </c>
      <c r="E797" s="57" t="s">
        <v>146</v>
      </c>
      <c r="F797" s="57" t="s">
        <v>300</v>
      </c>
      <c r="G797" s="57" t="s">
        <v>438</v>
      </c>
      <c r="H797" s="140" t="s">
        <v>570</v>
      </c>
      <c r="I797" s="57"/>
      <c r="J797" s="165">
        <f t="shared" si="61"/>
        <v>42.510208333333331</v>
      </c>
      <c r="K797" s="57">
        <v>96</v>
      </c>
      <c r="L797" s="164">
        <v>4080.98</v>
      </c>
    </row>
    <row r="798" spans="2:12" x14ac:dyDescent="0.3">
      <c r="B798" s="57">
        <f t="shared" si="57"/>
        <v>795</v>
      </c>
      <c r="C798" s="143">
        <v>46128</v>
      </c>
      <c r="D798" s="57" t="s">
        <v>435</v>
      </c>
      <c r="E798" s="57" t="s">
        <v>958</v>
      </c>
      <c r="F798" s="57" t="s">
        <v>546</v>
      </c>
      <c r="G798" s="57" t="s">
        <v>545</v>
      </c>
      <c r="H798" s="140" t="s">
        <v>455</v>
      </c>
      <c r="I798" s="57"/>
      <c r="J798" s="57"/>
      <c r="L798" s="164">
        <v>5000</v>
      </c>
    </row>
    <row r="799" spans="2:12" x14ac:dyDescent="0.3">
      <c r="B799" s="57">
        <f t="shared" si="57"/>
        <v>796</v>
      </c>
      <c r="C799" s="143">
        <v>46129</v>
      </c>
      <c r="D799" s="57" t="s">
        <v>435</v>
      </c>
      <c r="E799" s="57" t="s">
        <v>551</v>
      </c>
      <c r="F799" s="57" t="s">
        <v>446</v>
      </c>
      <c r="G799" s="57" t="s">
        <v>354</v>
      </c>
      <c r="H799" s="140" t="s">
        <v>579</v>
      </c>
      <c r="I799" s="57"/>
      <c r="J799" s="57"/>
      <c r="L799" s="164">
        <v>1200</v>
      </c>
    </row>
    <row r="800" spans="2:12" x14ac:dyDescent="0.3">
      <c r="B800" s="57">
        <f t="shared" si="57"/>
        <v>797</v>
      </c>
      <c r="C800" s="143">
        <v>46129</v>
      </c>
      <c r="D800" s="57" t="s">
        <v>435</v>
      </c>
      <c r="E800" s="57" t="s">
        <v>986</v>
      </c>
      <c r="F800" s="57" t="s">
        <v>300</v>
      </c>
      <c r="G800" s="57" t="s">
        <v>443</v>
      </c>
      <c r="H800" s="140" t="s">
        <v>578</v>
      </c>
      <c r="I800" s="57" t="s">
        <v>986</v>
      </c>
      <c r="J800" s="57">
        <v>25</v>
      </c>
      <c r="K800" s="167">
        <f>L800/J800</f>
        <v>80</v>
      </c>
      <c r="L800" s="164">
        <v>2000</v>
      </c>
    </row>
    <row r="801" spans="2:12" x14ac:dyDescent="0.3">
      <c r="B801" s="57">
        <f t="shared" si="57"/>
        <v>798</v>
      </c>
      <c r="C801" s="143">
        <v>46129</v>
      </c>
      <c r="D801" s="57" t="s">
        <v>435</v>
      </c>
      <c r="E801" s="57" t="s">
        <v>450</v>
      </c>
      <c r="F801" s="57" t="s">
        <v>446</v>
      </c>
      <c r="G801" s="57" t="s">
        <v>558</v>
      </c>
      <c r="H801" s="140" t="s">
        <v>557</v>
      </c>
      <c r="I801" s="57"/>
      <c r="J801" s="165">
        <f>L801/K801</f>
        <v>31.25</v>
      </c>
      <c r="K801" s="57">
        <v>96</v>
      </c>
      <c r="L801" s="164">
        <v>3000</v>
      </c>
    </row>
    <row r="802" spans="2:12" x14ac:dyDescent="0.3">
      <c r="B802" s="57">
        <f t="shared" si="57"/>
        <v>799</v>
      </c>
      <c r="C802" s="147">
        <v>46129</v>
      </c>
      <c r="D802" s="57" t="s">
        <v>968</v>
      </c>
      <c r="E802" s="57" t="s">
        <v>481</v>
      </c>
      <c r="F802" s="57" t="s">
        <v>300</v>
      </c>
      <c r="G802" s="57" t="s">
        <v>530</v>
      </c>
      <c r="H802" s="140" t="s">
        <v>1055</v>
      </c>
      <c r="I802" s="57"/>
      <c r="J802" s="57"/>
      <c r="L802" s="164">
        <v>400</v>
      </c>
    </row>
    <row r="803" spans="2:12" x14ac:dyDescent="0.3">
      <c r="B803" s="57">
        <f t="shared" si="57"/>
        <v>800</v>
      </c>
      <c r="C803" s="147">
        <v>46129</v>
      </c>
      <c r="D803" s="57" t="s">
        <v>968</v>
      </c>
      <c r="E803" s="57" t="s">
        <v>986</v>
      </c>
      <c r="F803" s="57" t="s">
        <v>300</v>
      </c>
      <c r="G803" s="57" t="s">
        <v>530</v>
      </c>
      <c r="H803" s="140" t="s">
        <v>1056</v>
      </c>
      <c r="I803" s="57" t="s">
        <v>986</v>
      </c>
      <c r="J803" s="57">
        <v>50</v>
      </c>
      <c r="K803" s="168">
        <f>L803/J803</f>
        <v>78.8</v>
      </c>
      <c r="L803" s="164">
        <v>3940</v>
      </c>
    </row>
    <row r="804" spans="2:12" x14ac:dyDescent="0.3">
      <c r="B804" s="57">
        <f t="shared" si="57"/>
        <v>801</v>
      </c>
      <c r="C804" s="143">
        <v>46130</v>
      </c>
      <c r="D804" s="57" t="s">
        <v>435</v>
      </c>
      <c r="E804" s="57" t="s">
        <v>434</v>
      </c>
      <c r="F804" s="57" t="s">
        <v>502</v>
      </c>
      <c r="G804" s="57" t="s">
        <v>257</v>
      </c>
      <c r="H804" s="140" t="s">
        <v>587</v>
      </c>
      <c r="I804" s="57"/>
      <c r="J804" s="57"/>
      <c r="L804" s="164">
        <v>1455</v>
      </c>
    </row>
    <row r="805" spans="2:12" x14ac:dyDescent="0.3">
      <c r="B805" s="57">
        <f t="shared" si="57"/>
        <v>802</v>
      </c>
      <c r="C805" s="143">
        <v>46130</v>
      </c>
      <c r="D805" s="57" t="s">
        <v>435</v>
      </c>
      <c r="E805" s="57" t="s">
        <v>574</v>
      </c>
      <c r="F805" s="57" t="s">
        <v>436</v>
      </c>
      <c r="G805" s="57" t="s">
        <v>480</v>
      </c>
      <c r="H805" s="140" t="s">
        <v>586</v>
      </c>
      <c r="I805" s="140" t="s">
        <v>4081</v>
      </c>
      <c r="J805" s="57">
        <v>4</v>
      </c>
      <c r="K805" s="167">
        <f>L805/J805</f>
        <v>450</v>
      </c>
      <c r="L805" s="164">
        <v>1800</v>
      </c>
    </row>
    <row r="806" spans="2:12" x14ac:dyDescent="0.3">
      <c r="B806" s="57">
        <f t="shared" si="57"/>
        <v>803</v>
      </c>
      <c r="C806" s="143">
        <v>46130</v>
      </c>
      <c r="D806" s="57" t="s">
        <v>435</v>
      </c>
      <c r="E806" s="57" t="s">
        <v>146</v>
      </c>
      <c r="F806" s="57" t="s">
        <v>300</v>
      </c>
      <c r="G806" s="57" t="s">
        <v>438</v>
      </c>
      <c r="H806" s="140" t="s">
        <v>4110</v>
      </c>
      <c r="I806" s="57"/>
      <c r="J806" s="165">
        <f>L806/K806</f>
        <v>26.177083333333332</v>
      </c>
      <c r="K806" s="57">
        <v>96</v>
      </c>
      <c r="L806" s="164">
        <v>2513</v>
      </c>
    </row>
    <row r="807" spans="2:12" x14ac:dyDescent="0.3">
      <c r="B807" s="57">
        <f t="shared" si="57"/>
        <v>804</v>
      </c>
      <c r="C807" s="143">
        <v>46130</v>
      </c>
      <c r="D807" s="57" t="s">
        <v>435</v>
      </c>
      <c r="E807" s="57" t="s">
        <v>532</v>
      </c>
      <c r="F807" s="57" t="s">
        <v>300</v>
      </c>
      <c r="G807" s="57" t="s">
        <v>585</v>
      </c>
      <c r="H807" s="140" t="s">
        <v>584</v>
      </c>
      <c r="I807" s="57" t="s">
        <v>532</v>
      </c>
      <c r="J807" s="57">
        <v>10</v>
      </c>
      <c r="K807" s="57">
        <v>290</v>
      </c>
      <c r="L807" s="164">
        <f>10*290</f>
        <v>2900</v>
      </c>
    </row>
    <row r="808" spans="2:12" x14ac:dyDescent="0.3">
      <c r="B808" s="57">
        <f t="shared" si="57"/>
        <v>805</v>
      </c>
      <c r="C808" s="143">
        <v>46130</v>
      </c>
      <c r="D808" s="57" t="s">
        <v>435</v>
      </c>
      <c r="E808" s="57" t="s">
        <v>481</v>
      </c>
      <c r="F808" s="57" t="s">
        <v>446</v>
      </c>
      <c r="G808" s="57" t="s">
        <v>313</v>
      </c>
      <c r="H808" s="140" t="s">
        <v>583</v>
      </c>
      <c r="I808" s="57"/>
      <c r="J808" s="57"/>
      <c r="L808" s="164">
        <v>360</v>
      </c>
    </row>
    <row r="809" spans="2:12" x14ac:dyDescent="0.3">
      <c r="B809" s="57">
        <f t="shared" si="57"/>
        <v>806</v>
      </c>
      <c r="C809" s="143">
        <v>46130</v>
      </c>
      <c r="D809" s="57" t="s">
        <v>435</v>
      </c>
      <c r="E809" s="57" t="s">
        <v>532</v>
      </c>
      <c r="F809" s="57" t="s">
        <v>446</v>
      </c>
      <c r="G809" s="57" t="s">
        <v>313</v>
      </c>
      <c r="H809" s="140" t="s">
        <v>582</v>
      </c>
      <c r="I809" s="57" t="s">
        <v>532</v>
      </c>
      <c r="J809" s="57">
        <v>1</v>
      </c>
      <c r="K809" s="57">
        <v>280</v>
      </c>
      <c r="L809" s="164">
        <v>280</v>
      </c>
    </row>
    <row r="810" spans="2:12" x14ac:dyDescent="0.3">
      <c r="B810" s="57">
        <f t="shared" si="57"/>
        <v>807</v>
      </c>
      <c r="C810" s="143">
        <v>46130</v>
      </c>
      <c r="D810" s="57" t="s">
        <v>435</v>
      </c>
      <c r="E810" s="57" t="s">
        <v>4128</v>
      </c>
      <c r="F810" s="57" t="s">
        <v>446</v>
      </c>
      <c r="G810" s="57" t="s">
        <v>313</v>
      </c>
      <c r="H810" s="140" t="s">
        <v>581</v>
      </c>
      <c r="I810" s="57"/>
      <c r="J810" s="57"/>
      <c r="L810" s="164">
        <v>500</v>
      </c>
    </row>
    <row r="811" spans="2:12" x14ac:dyDescent="0.3">
      <c r="B811" s="57">
        <f t="shared" si="57"/>
        <v>808</v>
      </c>
      <c r="C811" s="143">
        <v>46130</v>
      </c>
      <c r="D811" s="57" t="s">
        <v>435</v>
      </c>
      <c r="E811" s="57" t="s">
        <v>146</v>
      </c>
      <c r="F811" s="57" t="s">
        <v>436</v>
      </c>
      <c r="G811" s="57" t="s">
        <v>480</v>
      </c>
      <c r="H811" s="140" t="s">
        <v>580</v>
      </c>
      <c r="I811" s="57"/>
      <c r="J811" s="165">
        <f t="shared" ref="J811:J813" si="62">L811/K811</f>
        <v>20.833333333333332</v>
      </c>
      <c r="K811" s="57">
        <v>96</v>
      </c>
      <c r="L811" s="164">
        <v>2000</v>
      </c>
    </row>
    <row r="812" spans="2:12" x14ac:dyDescent="0.3">
      <c r="B812" s="57">
        <f t="shared" si="57"/>
        <v>809</v>
      </c>
      <c r="C812" s="143">
        <v>46130</v>
      </c>
      <c r="D812" s="57" t="s">
        <v>435</v>
      </c>
      <c r="E812" s="57" t="s">
        <v>146</v>
      </c>
      <c r="F812" s="57" t="s">
        <v>300</v>
      </c>
      <c r="G812" s="57" t="s">
        <v>526</v>
      </c>
      <c r="H812" s="140" t="s">
        <v>441</v>
      </c>
      <c r="I812" s="57"/>
      <c r="J812" s="165">
        <f t="shared" si="62"/>
        <v>20.833333333333332</v>
      </c>
      <c r="K812" s="57">
        <v>96</v>
      </c>
      <c r="L812" s="164">
        <v>2000</v>
      </c>
    </row>
    <row r="813" spans="2:12" x14ac:dyDescent="0.3">
      <c r="B813" s="57">
        <f t="shared" si="57"/>
        <v>810</v>
      </c>
      <c r="C813" s="143">
        <v>46130</v>
      </c>
      <c r="D813" s="57" t="s">
        <v>435</v>
      </c>
      <c r="E813" s="57" t="s">
        <v>146</v>
      </c>
      <c r="F813" s="57" t="s">
        <v>350</v>
      </c>
      <c r="G813" s="57" t="s">
        <v>337</v>
      </c>
      <c r="H813" s="140" t="s">
        <v>4111</v>
      </c>
      <c r="I813" s="57"/>
      <c r="J813" s="165">
        <f t="shared" si="62"/>
        <v>20.833333333333332</v>
      </c>
      <c r="K813" s="57">
        <v>96</v>
      </c>
      <c r="L813" s="164">
        <v>2000</v>
      </c>
    </row>
    <row r="814" spans="2:12" x14ac:dyDescent="0.3">
      <c r="B814" s="57">
        <f t="shared" si="57"/>
        <v>811</v>
      </c>
      <c r="C814" s="143">
        <v>46130</v>
      </c>
      <c r="D814" s="57" t="s">
        <v>435</v>
      </c>
      <c r="E814" s="57" t="s">
        <v>460</v>
      </c>
      <c r="F814" s="57" t="s">
        <v>446</v>
      </c>
      <c r="G814" s="57" t="s">
        <v>572</v>
      </c>
      <c r="H814" s="140" t="s">
        <v>460</v>
      </c>
      <c r="I814" s="57"/>
      <c r="J814" s="57"/>
      <c r="L814" s="164">
        <v>850</v>
      </c>
    </row>
    <row r="815" spans="2:12" x14ac:dyDescent="0.3">
      <c r="B815" s="57">
        <f t="shared" si="57"/>
        <v>812</v>
      </c>
      <c r="C815" s="143">
        <v>46130</v>
      </c>
      <c r="D815" s="57" t="s">
        <v>435</v>
      </c>
      <c r="E815" s="57" t="s">
        <v>450</v>
      </c>
      <c r="F815" s="57" t="s">
        <v>300</v>
      </c>
      <c r="G815" s="57" t="s">
        <v>438</v>
      </c>
      <c r="H815" s="140" t="s">
        <v>4093</v>
      </c>
      <c r="I815" s="57"/>
      <c r="J815" s="165">
        <f t="shared" ref="J815:J816" si="63">L815/K815</f>
        <v>31.25</v>
      </c>
      <c r="K815" s="57">
        <v>96</v>
      </c>
      <c r="L815" s="164">
        <v>3000</v>
      </c>
    </row>
    <row r="816" spans="2:12" x14ac:dyDescent="0.3">
      <c r="B816" s="57">
        <f t="shared" si="57"/>
        <v>813</v>
      </c>
      <c r="C816" s="147">
        <v>46130</v>
      </c>
      <c r="D816" s="57" t="s">
        <v>968</v>
      </c>
      <c r="E816" s="57" t="s">
        <v>146</v>
      </c>
      <c r="F816" s="57" t="s">
        <v>446</v>
      </c>
      <c r="G816" s="57" t="s">
        <v>313</v>
      </c>
      <c r="H816" s="140" t="s">
        <v>1057</v>
      </c>
      <c r="I816" s="57"/>
      <c r="J816" s="165">
        <f t="shared" si="63"/>
        <v>31.25</v>
      </c>
      <c r="K816" s="57">
        <v>96</v>
      </c>
      <c r="L816" s="164">
        <v>3000</v>
      </c>
    </row>
    <row r="817" spans="2:12" x14ac:dyDescent="0.3">
      <c r="B817" s="57">
        <f t="shared" si="57"/>
        <v>814</v>
      </c>
      <c r="C817" s="147">
        <v>46130</v>
      </c>
      <c r="D817" s="57" t="s">
        <v>968</v>
      </c>
      <c r="E817" s="57" t="s">
        <v>434</v>
      </c>
      <c r="F817" s="57" t="s">
        <v>300</v>
      </c>
      <c r="G817" s="57" t="s">
        <v>530</v>
      </c>
      <c r="H817" s="140" t="s">
        <v>1058</v>
      </c>
      <c r="I817" s="57"/>
      <c r="J817" s="57"/>
      <c r="L817" s="164">
        <v>940</v>
      </c>
    </row>
    <row r="818" spans="2:12" x14ac:dyDescent="0.3">
      <c r="B818" s="57">
        <f t="shared" si="57"/>
        <v>815</v>
      </c>
      <c r="C818" s="147">
        <v>46130</v>
      </c>
      <c r="D818" s="57" t="s">
        <v>968</v>
      </c>
      <c r="E818" s="57" t="s">
        <v>434</v>
      </c>
      <c r="F818" s="57" t="s">
        <v>300</v>
      </c>
      <c r="G818" s="57" t="s">
        <v>526</v>
      </c>
      <c r="H818" s="140" t="s">
        <v>1059</v>
      </c>
      <c r="I818" s="57"/>
      <c r="J818" s="57"/>
      <c r="L818" s="164">
        <v>280</v>
      </c>
    </row>
    <row r="819" spans="2:12" x14ac:dyDescent="0.3">
      <c r="B819" s="57">
        <f t="shared" si="57"/>
        <v>816</v>
      </c>
      <c r="C819" s="147">
        <v>46130</v>
      </c>
      <c r="D819" s="57" t="s">
        <v>968</v>
      </c>
      <c r="E819" s="57" t="s">
        <v>146</v>
      </c>
      <c r="F819" s="57" t="s">
        <v>300</v>
      </c>
      <c r="G819" s="57" t="s">
        <v>530</v>
      </c>
      <c r="H819" s="140" t="s">
        <v>4115</v>
      </c>
      <c r="I819" s="57"/>
      <c r="J819" s="165">
        <f>L819/K819</f>
        <v>20.833333333333332</v>
      </c>
      <c r="K819" s="57">
        <v>96</v>
      </c>
      <c r="L819" s="164">
        <v>2000</v>
      </c>
    </row>
    <row r="820" spans="2:12" x14ac:dyDescent="0.3">
      <c r="B820" s="57">
        <f t="shared" si="57"/>
        <v>817</v>
      </c>
      <c r="C820" s="143">
        <v>46131</v>
      </c>
      <c r="D820" s="57" t="s">
        <v>435</v>
      </c>
      <c r="E820" s="57" t="s">
        <v>477</v>
      </c>
      <c r="F820" s="57" t="s">
        <v>300</v>
      </c>
      <c r="G820" s="57" t="s">
        <v>438</v>
      </c>
      <c r="H820" s="140" t="s">
        <v>476</v>
      </c>
      <c r="I820" s="57"/>
      <c r="J820" s="57"/>
      <c r="L820" s="164">
        <v>25000</v>
      </c>
    </row>
    <row r="821" spans="2:12" x14ac:dyDescent="0.3">
      <c r="B821" s="57">
        <f t="shared" si="57"/>
        <v>818</v>
      </c>
      <c r="C821" s="143">
        <v>46131</v>
      </c>
      <c r="D821" s="57" t="s">
        <v>435</v>
      </c>
      <c r="E821" s="57" t="s">
        <v>477</v>
      </c>
      <c r="F821" s="57" t="s">
        <v>300</v>
      </c>
      <c r="G821" s="57" t="s">
        <v>438</v>
      </c>
      <c r="H821" s="140" t="s">
        <v>476</v>
      </c>
      <c r="I821" s="57"/>
      <c r="J821" s="57"/>
      <c r="L821" s="164">
        <v>25000</v>
      </c>
    </row>
    <row r="822" spans="2:12" x14ac:dyDescent="0.3">
      <c r="B822" s="57">
        <f t="shared" si="57"/>
        <v>819</v>
      </c>
      <c r="C822" s="143">
        <v>46131</v>
      </c>
      <c r="D822" s="57" t="s">
        <v>435</v>
      </c>
      <c r="E822" s="57" t="s">
        <v>2022</v>
      </c>
      <c r="F822" s="57" t="s">
        <v>446</v>
      </c>
      <c r="G822" s="57" t="s">
        <v>352</v>
      </c>
      <c r="H822" s="140" t="s">
        <v>597</v>
      </c>
      <c r="I822" s="57"/>
      <c r="J822" s="57"/>
      <c r="L822" s="164">
        <v>2250</v>
      </c>
    </row>
    <row r="823" spans="2:12" x14ac:dyDescent="0.3">
      <c r="B823" s="57">
        <f t="shared" si="57"/>
        <v>820</v>
      </c>
      <c r="C823" s="143">
        <v>46131</v>
      </c>
      <c r="D823" s="57" t="s">
        <v>435</v>
      </c>
      <c r="E823" s="57" t="s">
        <v>146</v>
      </c>
      <c r="F823" s="57" t="s">
        <v>300</v>
      </c>
      <c r="G823" s="57" t="s">
        <v>443</v>
      </c>
      <c r="H823" s="140" t="s">
        <v>4088</v>
      </c>
      <c r="I823" s="57"/>
      <c r="J823" s="165">
        <f>L823/K823</f>
        <v>20.833333333333332</v>
      </c>
      <c r="K823" s="57">
        <v>96</v>
      </c>
      <c r="L823" s="164">
        <v>2000</v>
      </c>
    </row>
    <row r="824" spans="2:12" x14ac:dyDescent="0.3">
      <c r="B824" s="57">
        <f t="shared" si="57"/>
        <v>821</v>
      </c>
      <c r="C824" s="143">
        <v>46131</v>
      </c>
      <c r="D824" s="57" t="s">
        <v>435</v>
      </c>
      <c r="E824" s="57" t="s">
        <v>595</v>
      </c>
      <c r="F824" s="57" t="s">
        <v>300</v>
      </c>
      <c r="G824" s="57" t="s">
        <v>594</v>
      </c>
      <c r="H824" s="140" t="s">
        <v>596</v>
      </c>
      <c r="I824" s="57"/>
      <c r="J824" s="57"/>
      <c r="L824" s="164">
        <v>5050</v>
      </c>
    </row>
    <row r="825" spans="2:12" x14ac:dyDescent="0.3">
      <c r="B825" s="57">
        <f t="shared" si="57"/>
        <v>822</v>
      </c>
      <c r="C825" s="143">
        <v>46131</v>
      </c>
      <c r="D825" s="57" t="s">
        <v>435</v>
      </c>
      <c r="E825" s="57" t="s">
        <v>595</v>
      </c>
      <c r="F825" s="57" t="s">
        <v>300</v>
      </c>
      <c r="G825" s="57" t="s">
        <v>594</v>
      </c>
      <c r="H825" s="140" t="s">
        <v>593</v>
      </c>
      <c r="I825" s="57"/>
      <c r="J825" s="57">
        <v>10</v>
      </c>
      <c r="K825" s="57">
        <v>296</v>
      </c>
      <c r="L825" s="164">
        <v>2960</v>
      </c>
    </row>
    <row r="826" spans="2:12" x14ac:dyDescent="0.3">
      <c r="B826" s="57">
        <f t="shared" si="57"/>
        <v>823</v>
      </c>
      <c r="C826" s="143">
        <v>46131</v>
      </c>
      <c r="D826" s="57" t="s">
        <v>435</v>
      </c>
      <c r="E826" s="57" t="s">
        <v>574</v>
      </c>
      <c r="F826" s="57" t="s">
        <v>502</v>
      </c>
      <c r="G826" s="57" t="s">
        <v>257</v>
      </c>
      <c r="H826" s="140" t="s">
        <v>592</v>
      </c>
      <c r="I826" s="140" t="s">
        <v>4081</v>
      </c>
      <c r="J826" s="57">
        <v>4</v>
      </c>
      <c r="K826" s="167">
        <f>L826/J826</f>
        <v>687.5</v>
      </c>
      <c r="L826" s="164">
        <v>2750</v>
      </c>
    </row>
    <row r="827" spans="2:12" x14ac:dyDescent="0.3">
      <c r="B827" s="57">
        <f t="shared" si="57"/>
        <v>824</v>
      </c>
      <c r="C827" s="143">
        <v>46131</v>
      </c>
      <c r="D827" s="57" t="s">
        <v>435</v>
      </c>
      <c r="E827" s="57" t="s">
        <v>986</v>
      </c>
      <c r="F827" s="57" t="s">
        <v>446</v>
      </c>
      <c r="G827" s="57" t="s">
        <v>354</v>
      </c>
      <c r="H827" s="140" t="s">
        <v>2679</v>
      </c>
      <c r="I827" s="57" t="s">
        <v>986</v>
      </c>
      <c r="J827" s="57">
        <v>50</v>
      </c>
      <c r="K827" s="167">
        <f>L827/J827</f>
        <v>80</v>
      </c>
      <c r="L827" s="164">
        <v>4000</v>
      </c>
    </row>
    <row r="828" spans="2:12" x14ac:dyDescent="0.3">
      <c r="B828" s="57">
        <f t="shared" si="57"/>
        <v>825</v>
      </c>
      <c r="C828" s="143">
        <v>46131</v>
      </c>
      <c r="D828" s="57" t="s">
        <v>435</v>
      </c>
      <c r="E828" s="57" t="s">
        <v>2427</v>
      </c>
      <c r="F828" s="57" t="s">
        <v>446</v>
      </c>
      <c r="G828" s="57" t="s">
        <v>354</v>
      </c>
      <c r="H828" s="140" t="s">
        <v>591</v>
      </c>
      <c r="I828" s="57"/>
      <c r="J828" s="57"/>
      <c r="L828" s="164">
        <v>99000</v>
      </c>
    </row>
    <row r="829" spans="2:12" x14ac:dyDescent="0.3">
      <c r="B829" s="57">
        <f t="shared" si="57"/>
        <v>826</v>
      </c>
      <c r="C829" s="143">
        <v>46131</v>
      </c>
      <c r="D829" s="57" t="s">
        <v>435</v>
      </c>
      <c r="E829" s="57" t="s">
        <v>146</v>
      </c>
      <c r="F829" s="57" t="s">
        <v>300</v>
      </c>
      <c r="G829" s="57" t="s">
        <v>438</v>
      </c>
      <c r="H829" s="140" t="s">
        <v>4109</v>
      </c>
      <c r="I829" s="57"/>
      <c r="J829" s="165">
        <f t="shared" ref="J829:J830" si="64">L829/K829</f>
        <v>34.645833333333336</v>
      </c>
      <c r="K829" s="57">
        <v>96</v>
      </c>
      <c r="L829" s="164">
        <v>3326</v>
      </c>
    </row>
    <row r="830" spans="2:12" x14ac:dyDescent="0.3">
      <c r="B830" s="57">
        <f t="shared" si="57"/>
        <v>827</v>
      </c>
      <c r="C830" s="143">
        <v>46131</v>
      </c>
      <c r="D830" s="57" t="s">
        <v>435</v>
      </c>
      <c r="E830" s="57" t="s">
        <v>146</v>
      </c>
      <c r="F830" s="57" t="s">
        <v>502</v>
      </c>
      <c r="G830" s="57" t="s">
        <v>257</v>
      </c>
      <c r="H830" s="140" t="s">
        <v>441</v>
      </c>
      <c r="I830" s="57"/>
      <c r="J830" s="165">
        <f t="shared" si="64"/>
        <v>31.25</v>
      </c>
      <c r="K830" s="57">
        <v>96</v>
      </c>
      <c r="L830" s="164">
        <v>3000</v>
      </c>
    </row>
    <row r="831" spans="2:12" x14ac:dyDescent="0.3">
      <c r="B831" s="57">
        <f t="shared" si="57"/>
        <v>828</v>
      </c>
      <c r="C831" s="143">
        <v>46131</v>
      </c>
      <c r="D831" s="57" t="s">
        <v>435</v>
      </c>
      <c r="E831" s="57" t="s">
        <v>590</v>
      </c>
      <c r="F831" s="57" t="s">
        <v>300</v>
      </c>
      <c r="G831" s="57" t="s">
        <v>438</v>
      </c>
      <c r="H831" s="140" t="s">
        <v>589</v>
      </c>
      <c r="I831" s="57"/>
      <c r="J831" s="57"/>
      <c r="L831" s="164">
        <v>2700</v>
      </c>
    </row>
    <row r="832" spans="2:12" x14ac:dyDescent="0.3">
      <c r="B832" s="57">
        <f t="shared" si="57"/>
        <v>829</v>
      </c>
      <c r="C832" s="143">
        <v>46131</v>
      </c>
      <c r="D832" s="57" t="s">
        <v>435</v>
      </c>
      <c r="E832" s="57" t="s">
        <v>146</v>
      </c>
      <c r="F832" s="57" t="s">
        <v>446</v>
      </c>
      <c r="G832" s="57" t="s">
        <v>572</v>
      </c>
      <c r="H832" s="140" t="s">
        <v>441</v>
      </c>
      <c r="I832" s="57"/>
      <c r="J832" s="165">
        <f t="shared" ref="J832:J833" si="65">L832/K832</f>
        <v>20.833333333333332</v>
      </c>
      <c r="K832" s="57">
        <v>96</v>
      </c>
      <c r="L832" s="164">
        <v>2000</v>
      </c>
    </row>
    <row r="833" spans="2:12" x14ac:dyDescent="0.3">
      <c r="B833" s="57">
        <f t="shared" si="57"/>
        <v>830</v>
      </c>
      <c r="C833" s="143">
        <v>46131</v>
      </c>
      <c r="D833" s="57" t="s">
        <v>435</v>
      </c>
      <c r="E833" s="57" t="s">
        <v>146</v>
      </c>
      <c r="F833" s="57" t="s">
        <v>300</v>
      </c>
      <c r="G833" s="57" t="s">
        <v>438</v>
      </c>
      <c r="H833" s="140" t="s">
        <v>441</v>
      </c>
      <c r="I833" s="57"/>
      <c r="J833" s="165">
        <f t="shared" si="65"/>
        <v>31.322916666666668</v>
      </c>
      <c r="K833" s="57">
        <v>96</v>
      </c>
      <c r="L833" s="164">
        <v>3007</v>
      </c>
    </row>
    <row r="834" spans="2:12" x14ac:dyDescent="0.3">
      <c r="B834" s="57">
        <f t="shared" si="57"/>
        <v>831</v>
      </c>
      <c r="C834" s="143">
        <v>46131</v>
      </c>
      <c r="D834" s="57" t="s">
        <v>435</v>
      </c>
      <c r="E834" s="57" t="s">
        <v>986</v>
      </c>
      <c r="F834" s="57" t="s">
        <v>446</v>
      </c>
      <c r="G834" s="57" t="s">
        <v>572</v>
      </c>
      <c r="H834" s="140" t="s">
        <v>588</v>
      </c>
      <c r="I834" s="57" t="s">
        <v>986</v>
      </c>
      <c r="J834" s="57">
        <v>25</v>
      </c>
      <c r="L834" s="164">
        <v>2905</v>
      </c>
    </row>
    <row r="835" spans="2:12" x14ac:dyDescent="0.3">
      <c r="B835" s="57">
        <f t="shared" si="57"/>
        <v>832</v>
      </c>
      <c r="C835" s="147">
        <v>46131</v>
      </c>
      <c r="D835" s="57" t="s">
        <v>968</v>
      </c>
      <c r="E835" s="57" t="s">
        <v>146</v>
      </c>
      <c r="F835" s="57" t="s">
        <v>446</v>
      </c>
      <c r="G835" s="57" t="s">
        <v>352</v>
      </c>
      <c r="H835" s="140" t="s">
        <v>1060</v>
      </c>
      <c r="I835" s="57"/>
      <c r="J835" s="165">
        <f t="shared" ref="J835:J836" si="66">L835/K835</f>
        <v>20.833333333333332</v>
      </c>
      <c r="K835" s="57">
        <v>96</v>
      </c>
      <c r="L835" s="164">
        <v>2000</v>
      </c>
    </row>
    <row r="836" spans="2:12" x14ac:dyDescent="0.3">
      <c r="B836" s="57">
        <f t="shared" si="57"/>
        <v>833</v>
      </c>
      <c r="C836" s="147">
        <v>46131</v>
      </c>
      <c r="D836" s="57" t="s">
        <v>968</v>
      </c>
      <c r="E836" s="57" t="s">
        <v>146</v>
      </c>
      <c r="F836" s="57" t="s">
        <v>300</v>
      </c>
      <c r="G836" s="57" t="s">
        <v>530</v>
      </c>
      <c r="H836" s="140" t="s">
        <v>1061</v>
      </c>
      <c r="I836" s="57"/>
      <c r="J836" s="165">
        <f t="shared" si="66"/>
        <v>51.145833333333336</v>
      </c>
      <c r="K836" s="57">
        <v>96</v>
      </c>
      <c r="L836" s="164">
        <v>4910</v>
      </c>
    </row>
    <row r="837" spans="2:12" x14ac:dyDescent="0.3">
      <c r="B837" s="57">
        <f t="shared" si="57"/>
        <v>834</v>
      </c>
      <c r="C837" s="147">
        <v>46131</v>
      </c>
      <c r="D837" s="57" t="s">
        <v>968</v>
      </c>
      <c r="E837" s="57" t="s">
        <v>532</v>
      </c>
      <c r="F837" s="57" t="s">
        <v>300</v>
      </c>
      <c r="G837" s="57" t="s">
        <v>2327</v>
      </c>
      <c r="H837" s="140" t="s">
        <v>1062</v>
      </c>
      <c r="I837" s="57" t="s">
        <v>532</v>
      </c>
      <c r="J837" s="57">
        <v>10</v>
      </c>
      <c r="K837" s="57">
        <v>290</v>
      </c>
      <c r="L837" s="164">
        <v>2900</v>
      </c>
    </row>
    <row r="838" spans="2:12" x14ac:dyDescent="0.3">
      <c r="B838" s="57">
        <f t="shared" ref="B838:B901" si="67">+B837+1</f>
        <v>835</v>
      </c>
      <c r="C838" s="147">
        <v>46131</v>
      </c>
      <c r="D838" s="57" t="s">
        <v>968</v>
      </c>
      <c r="E838" s="57" t="s">
        <v>146</v>
      </c>
      <c r="F838" s="57" t="s">
        <v>446</v>
      </c>
      <c r="G838" s="57" t="s">
        <v>352</v>
      </c>
      <c r="H838" s="140" t="s">
        <v>1063</v>
      </c>
      <c r="I838" s="57"/>
      <c r="J838" s="165">
        <f t="shared" ref="J838:J840" si="68">L838/K838</f>
        <v>20.833333333333332</v>
      </c>
      <c r="K838" s="57">
        <v>96</v>
      </c>
      <c r="L838" s="164">
        <v>2000</v>
      </c>
    </row>
    <row r="839" spans="2:12" x14ac:dyDescent="0.3">
      <c r="B839" s="57">
        <f t="shared" si="67"/>
        <v>836</v>
      </c>
      <c r="C839" s="147">
        <v>46131</v>
      </c>
      <c r="D839" s="57" t="s">
        <v>968</v>
      </c>
      <c r="E839" s="57" t="s">
        <v>146</v>
      </c>
      <c r="F839" s="57" t="s">
        <v>300</v>
      </c>
      <c r="G839" s="57" t="s">
        <v>530</v>
      </c>
      <c r="H839" s="140" t="s">
        <v>4093</v>
      </c>
      <c r="I839" s="57"/>
      <c r="J839" s="165">
        <f t="shared" si="68"/>
        <v>10.416666666666666</v>
      </c>
      <c r="K839" s="57">
        <v>96</v>
      </c>
      <c r="L839" s="164">
        <v>1000</v>
      </c>
    </row>
    <row r="840" spans="2:12" x14ac:dyDescent="0.3">
      <c r="B840" s="57">
        <f t="shared" si="67"/>
        <v>837</v>
      </c>
      <c r="C840" s="147">
        <v>46131</v>
      </c>
      <c r="D840" s="57" t="s">
        <v>968</v>
      </c>
      <c r="E840" s="57" t="s">
        <v>146</v>
      </c>
      <c r="F840" s="57" t="s">
        <v>436</v>
      </c>
      <c r="G840" s="57" t="s">
        <v>987</v>
      </c>
      <c r="H840" s="140" t="s">
        <v>1064</v>
      </c>
      <c r="I840" s="57"/>
      <c r="J840" s="165">
        <f t="shared" si="68"/>
        <v>20.833333333333332</v>
      </c>
      <c r="K840" s="57">
        <v>96</v>
      </c>
      <c r="L840" s="164">
        <v>2000</v>
      </c>
    </row>
    <row r="841" spans="2:12" x14ac:dyDescent="0.3">
      <c r="B841" s="57">
        <f t="shared" si="67"/>
        <v>838</v>
      </c>
      <c r="C841" s="147">
        <v>46131</v>
      </c>
      <c r="D841" s="57" t="s">
        <v>968</v>
      </c>
      <c r="E841" s="57" t="s">
        <v>782</v>
      </c>
      <c r="F841" s="57" t="s">
        <v>300</v>
      </c>
      <c r="G841" s="57" t="s">
        <v>530</v>
      </c>
      <c r="H841" s="140" t="s">
        <v>1065</v>
      </c>
      <c r="I841" s="57"/>
      <c r="J841" s="57"/>
      <c r="L841" s="164">
        <v>1000</v>
      </c>
    </row>
    <row r="842" spans="2:12" x14ac:dyDescent="0.3">
      <c r="B842" s="57">
        <f t="shared" si="67"/>
        <v>839</v>
      </c>
      <c r="C842" s="147">
        <v>46131</v>
      </c>
      <c r="D842" s="57" t="s">
        <v>968</v>
      </c>
      <c r="E842" s="57" t="s">
        <v>146</v>
      </c>
      <c r="F842" s="57" t="s">
        <v>300</v>
      </c>
      <c r="G842" s="57" t="s">
        <v>530</v>
      </c>
      <c r="H842" s="140" t="s">
        <v>1066</v>
      </c>
      <c r="I842" s="57"/>
      <c r="J842" s="165">
        <f t="shared" ref="J842:J843" si="69">L842/K842</f>
        <v>10.416666666666666</v>
      </c>
      <c r="K842" s="57">
        <v>96</v>
      </c>
      <c r="L842" s="164">
        <v>1000</v>
      </c>
    </row>
    <row r="843" spans="2:12" x14ac:dyDescent="0.3">
      <c r="B843" s="57">
        <f t="shared" si="67"/>
        <v>840</v>
      </c>
      <c r="C843" s="147">
        <v>46131</v>
      </c>
      <c r="D843" s="57" t="s">
        <v>968</v>
      </c>
      <c r="E843" s="57" t="s">
        <v>146</v>
      </c>
      <c r="F843" s="57" t="s">
        <v>300</v>
      </c>
      <c r="G843" s="57" t="s">
        <v>530</v>
      </c>
      <c r="H843" s="140" t="s">
        <v>1066</v>
      </c>
      <c r="I843" s="57"/>
      <c r="J843" s="165">
        <f t="shared" si="69"/>
        <v>10.416666666666666</v>
      </c>
      <c r="K843" s="57">
        <v>96</v>
      </c>
      <c r="L843" s="164">
        <v>1000</v>
      </c>
    </row>
    <row r="844" spans="2:12" x14ac:dyDescent="0.3">
      <c r="B844" s="57">
        <f t="shared" si="67"/>
        <v>841</v>
      </c>
      <c r="C844" s="143">
        <v>46132</v>
      </c>
      <c r="D844" s="57" t="s">
        <v>435</v>
      </c>
      <c r="E844" s="57" t="s">
        <v>474</v>
      </c>
      <c r="F844" s="57" t="s">
        <v>300</v>
      </c>
      <c r="G844" s="57" t="s">
        <v>438</v>
      </c>
      <c r="H844" s="140" t="s">
        <v>407</v>
      </c>
      <c r="I844" s="57"/>
      <c r="J844" s="57"/>
      <c r="L844" s="164">
        <v>68000</v>
      </c>
    </row>
    <row r="845" spans="2:12" x14ac:dyDescent="0.3">
      <c r="B845" s="57">
        <f t="shared" si="67"/>
        <v>842</v>
      </c>
      <c r="C845" s="143">
        <v>46132</v>
      </c>
      <c r="D845" s="57" t="s">
        <v>435</v>
      </c>
      <c r="E845" s="57" t="s">
        <v>146</v>
      </c>
      <c r="F845" s="57" t="s">
        <v>446</v>
      </c>
      <c r="G845" s="57" t="s">
        <v>354</v>
      </c>
      <c r="H845" s="140" t="s">
        <v>441</v>
      </c>
      <c r="I845" s="57"/>
      <c r="J845" s="165">
        <f>L845/K845</f>
        <v>20.833333333333332</v>
      </c>
      <c r="K845" s="57">
        <v>96</v>
      </c>
      <c r="L845" s="164">
        <v>2000</v>
      </c>
    </row>
    <row r="846" spans="2:12" x14ac:dyDescent="0.3">
      <c r="B846" s="57">
        <f t="shared" si="67"/>
        <v>843</v>
      </c>
      <c r="C846" s="143">
        <v>46132</v>
      </c>
      <c r="D846" s="57" t="s">
        <v>435</v>
      </c>
      <c r="E846" s="57" t="s">
        <v>551</v>
      </c>
      <c r="F846" s="57" t="s">
        <v>446</v>
      </c>
      <c r="G846" s="57" t="s">
        <v>354</v>
      </c>
      <c r="H846" s="140" t="s">
        <v>599</v>
      </c>
      <c r="I846" s="57"/>
      <c r="J846" s="57"/>
      <c r="L846" s="164">
        <v>16500</v>
      </c>
    </row>
    <row r="847" spans="2:12" x14ac:dyDescent="0.3">
      <c r="B847" s="57">
        <f t="shared" si="67"/>
        <v>844</v>
      </c>
      <c r="C847" s="143">
        <v>46132</v>
      </c>
      <c r="D847" s="57" t="s">
        <v>435</v>
      </c>
      <c r="E847" s="57" t="s">
        <v>460</v>
      </c>
      <c r="F847" s="57" t="s">
        <v>446</v>
      </c>
      <c r="G847" s="57" t="s">
        <v>572</v>
      </c>
      <c r="H847" s="140" t="s">
        <v>598</v>
      </c>
      <c r="I847" s="57"/>
      <c r="J847" s="57"/>
      <c r="L847" s="164">
        <v>850</v>
      </c>
    </row>
    <row r="848" spans="2:12" x14ac:dyDescent="0.3">
      <c r="B848" s="57">
        <f t="shared" si="67"/>
        <v>845</v>
      </c>
      <c r="C848" s="143">
        <v>46132</v>
      </c>
      <c r="D848" s="57" t="s">
        <v>435</v>
      </c>
      <c r="E848" s="57" t="s">
        <v>450</v>
      </c>
      <c r="F848" s="57" t="s">
        <v>300</v>
      </c>
      <c r="G848" s="57" t="s">
        <v>530</v>
      </c>
      <c r="H848" s="140" t="s">
        <v>4093</v>
      </c>
      <c r="I848" s="57"/>
      <c r="J848" s="165">
        <f t="shared" ref="J848:J850" si="70">L848/K848</f>
        <v>31.25</v>
      </c>
      <c r="K848" s="57">
        <v>96</v>
      </c>
      <c r="L848" s="164">
        <v>3000</v>
      </c>
    </row>
    <row r="849" spans="2:12" x14ac:dyDescent="0.3">
      <c r="B849" s="57">
        <f t="shared" si="67"/>
        <v>846</v>
      </c>
      <c r="C849" s="147">
        <v>46132</v>
      </c>
      <c r="D849" s="57" t="s">
        <v>968</v>
      </c>
      <c r="E849" s="57" t="s">
        <v>146</v>
      </c>
      <c r="F849" s="57" t="s">
        <v>446</v>
      </c>
      <c r="G849" s="57" t="s">
        <v>354</v>
      </c>
      <c r="H849" s="140" t="s">
        <v>1067</v>
      </c>
      <c r="I849" s="57"/>
      <c r="J849" s="165">
        <f t="shared" si="70"/>
        <v>50.0625</v>
      </c>
      <c r="K849" s="57">
        <v>96</v>
      </c>
      <c r="L849" s="164">
        <v>4806</v>
      </c>
    </row>
    <row r="850" spans="2:12" x14ac:dyDescent="0.3">
      <c r="B850" s="57">
        <f t="shared" si="67"/>
        <v>847</v>
      </c>
      <c r="C850" s="147">
        <v>46132</v>
      </c>
      <c r="D850" s="57" t="s">
        <v>968</v>
      </c>
      <c r="E850" s="57" t="s">
        <v>146</v>
      </c>
      <c r="F850" s="57" t="s">
        <v>300</v>
      </c>
      <c r="G850" s="57" t="s">
        <v>2327</v>
      </c>
      <c r="H850" s="140" t="s">
        <v>1051</v>
      </c>
      <c r="I850" s="57"/>
      <c r="J850" s="165">
        <f t="shared" si="70"/>
        <v>20.833333333333332</v>
      </c>
      <c r="K850" s="57">
        <v>96</v>
      </c>
      <c r="L850" s="164">
        <v>2000</v>
      </c>
    </row>
    <row r="851" spans="2:12" x14ac:dyDescent="0.3">
      <c r="B851" s="57">
        <f t="shared" si="67"/>
        <v>848</v>
      </c>
      <c r="C851" s="147">
        <v>46132</v>
      </c>
      <c r="D851" s="57" t="s">
        <v>968</v>
      </c>
      <c r="E851" s="57" t="s">
        <v>767</v>
      </c>
      <c r="F851" s="57" t="s">
        <v>300</v>
      </c>
      <c r="G851" s="57" t="s">
        <v>530</v>
      </c>
      <c r="H851" s="140" t="s">
        <v>1068</v>
      </c>
      <c r="I851" s="57"/>
      <c r="J851" s="57"/>
      <c r="L851" s="164">
        <v>1300</v>
      </c>
    </row>
    <row r="852" spans="2:12" x14ac:dyDescent="0.3">
      <c r="B852" s="57">
        <f t="shared" si="67"/>
        <v>849</v>
      </c>
      <c r="C852" s="147">
        <v>46132</v>
      </c>
      <c r="D852" s="57" t="s">
        <v>968</v>
      </c>
      <c r="E852" s="57" t="s">
        <v>146</v>
      </c>
      <c r="F852" s="57" t="s">
        <v>300</v>
      </c>
      <c r="G852" s="57" t="s">
        <v>530</v>
      </c>
      <c r="H852" s="140" t="s">
        <v>4109</v>
      </c>
      <c r="I852" s="57"/>
      <c r="J852" s="165">
        <f>L852/K852</f>
        <v>5.208333333333333</v>
      </c>
      <c r="K852" s="57">
        <v>96</v>
      </c>
      <c r="L852" s="164">
        <v>500</v>
      </c>
    </row>
    <row r="853" spans="2:12" x14ac:dyDescent="0.3">
      <c r="B853" s="57">
        <f t="shared" si="67"/>
        <v>850</v>
      </c>
      <c r="C853" s="147">
        <v>46132</v>
      </c>
      <c r="D853" s="57" t="s">
        <v>968</v>
      </c>
      <c r="E853" s="57" t="s">
        <v>434</v>
      </c>
      <c r="F853" s="57" t="s">
        <v>300</v>
      </c>
      <c r="G853" s="57" t="s">
        <v>530</v>
      </c>
      <c r="H853" s="140" t="s">
        <v>1069</v>
      </c>
      <c r="I853" s="57"/>
      <c r="J853" s="57"/>
      <c r="L853" s="164">
        <v>1400</v>
      </c>
    </row>
    <row r="854" spans="2:12" x14ac:dyDescent="0.3">
      <c r="B854" s="57">
        <f t="shared" si="67"/>
        <v>851</v>
      </c>
      <c r="C854" s="147">
        <v>46132</v>
      </c>
      <c r="D854" s="57" t="s">
        <v>968</v>
      </c>
      <c r="E854" s="57" t="s">
        <v>522</v>
      </c>
      <c r="F854" s="57" t="s">
        <v>446</v>
      </c>
      <c r="G854" s="57" t="s">
        <v>988</v>
      </c>
      <c r="H854" s="140" t="s">
        <v>1070</v>
      </c>
      <c r="I854" s="57"/>
      <c r="J854" s="57"/>
      <c r="L854" s="164">
        <v>3000</v>
      </c>
    </row>
    <row r="855" spans="2:12" x14ac:dyDescent="0.3">
      <c r="B855" s="57">
        <f t="shared" si="67"/>
        <v>852</v>
      </c>
      <c r="C855" s="147">
        <v>46132</v>
      </c>
      <c r="D855" s="57" t="s">
        <v>968</v>
      </c>
      <c r="E855" s="57" t="s">
        <v>767</v>
      </c>
      <c r="F855" s="57" t="s">
        <v>446</v>
      </c>
      <c r="G855" s="57" t="s">
        <v>649</v>
      </c>
      <c r="H855" s="140" t="s">
        <v>2930</v>
      </c>
      <c r="I855" s="57"/>
      <c r="J855" s="57"/>
      <c r="L855" s="164">
        <v>1950</v>
      </c>
    </row>
    <row r="856" spans="2:12" x14ac:dyDescent="0.3">
      <c r="B856" s="57">
        <f t="shared" si="67"/>
        <v>853</v>
      </c>
      <c r="C856" s="147">
        <v>46132</v>
      </c>
      <c r="D856" s="57" t="s">
        <v>968</v>
      </c>
      <c r="E856" s="57" t="s">
        <v>590</v>
      </c>
      <c r="F856" s="57" t="s">
        <v>621</v>
      </c>
      <c r="G856" s="57" t="s">
        <v>345</v>
      </c>
      <c r="H856" s="140" t="s">
        <v>1071</v>
      </c>
      <c r="I856" s="57"/>
      <c r="J856" s="57"/>
      <c r="L856" s="164">
        <v>5400</v>
      </c>
    </row>
    <row r="857" spans="2:12" x14ac:dyDescent="0.3">
      <c r="B857" s="57">
        <f t="shared" si="67"/>
        <v>854</v>
      </c>
      <c r="C857" s="147">
        <v>46132</v>
      </c>
      <c r="D857" s="57" t="s">
        <v>968</v>
      </c>
      <c r="E857" s="57" t="s">
        <v>477</v>
      </c>
      <c r="F857" s="57" t="s">
        <v>300</v>
      </c>
      <c r="G857" s="57" t="s">
        <v>530</v>
      </c>
      <c r="H857" s="140" t="s">
        <v>1072</v>
      </c>
      <c r="I857" s="57"/>
      <c r="J857" s="57"/>
      <c r="L857" s="164">
        <v>2400</v>
      </c>
    </row>
    <row r="858" spans="2:12" x14ac:dyDescent="0.3">
      <c r="B858" s="57">
        <f t="shared" si="67"/>
        <v>855</v>
      </c>
      <c r="C858" s="143">
        <v>46133</v>
      </c>
      <c r="D858" s="57" t="s">
        <v>435</v>
      </c>
      <c r="E858" s="57" t="s">
        <v>4128</v>
      </c>
      <c r="F858" s="57" t="s">
        <v>300</v>
      </c>
      <c r="G858" s="57" t="s">
        <v>438</v>
      </c>
      <c r="H858" s="140" t="s">
        <v>604</v>
      </c>
      <c r="I858" s="57"/>
      <c r="J858" s="57"/>
      <c r="L858" s="164">
        <v>3500</v>
      </c>
    </row>
    <row r="859" spans="2:12" x14ac:dyDescent="0.3">
      <c r="B859" s="57">
        <f t="shared" si="67"/>
        <v>856</v>
      </c>
      <c r="C859" s="143">
        <v>46133</v>
      </c>
      <c r="D859" s="57" t="s">
        <v>435</v>
      </c>
      <c r="E859" s="57" t="s">
        <v>460</v>
      </c>
      <c r="F859" s="57" t="s">
        <v>446</v>
      </c>
      <c r="G859" s="57" t="s">
        <v>354</v>
      </c>
      <c r="H859" s="140" t="s">
        <v>603</v>
      </c>
      <c r="I859" s="57"/>
      <c r="J859" s="57"/>
      <c r="L859" s="164">
        <v>920</v>
      </c>
    </row>
    <row r="860" spans="2:12" x14ac:dyDescent="0.3">
      <c r="B860" s="57">
        <f t="shared" si="67"/>
        <v>857</v>
      </c>
      <c r="C860" s="143">
        <v>46133</v>
      </c>
      <c r="D860" s="57" t="s">
        <v>435</v>
      </c>
      <c r="E860" s="57" t="s">
        <v>590</v>
      </c>
      <c r="F860" s="57" t="s">
        <v>446</v>
      </c>
      <c r="G860" s="57" t="s">
        <v>572</v>
      </c>
      <c r="H860" s="140" t="s">
        <v>602</v>
      </c>
      <c r="I860" s="57"/>
      <c r="J860" s="57"/>
      <c r="L860" s="164">
        <v>370</v>
      </c>
    </row>
    <row r="861" spans="2:12" x14ac:dyDescent="0.3">
      <c r="B861" s="57">
        <f t="shared" si="67"/>
        <v>858</v>
      </c>
      <c r="C861" s="143">
        <v>46133</v>
      </c>
      <c r="D861" s="57" t="s">
        <v>435</v>
      </c>
      <c r="E861" s="57" t="s">
        <v>434</v>
      </c>
      <c r="F861" s="57" t="s">
        <v>300</v>
      </c>
      <c r="G861" s="57" t="s">
        <v>438</v>
      </c>
      <c r="H861" s="140" t="s">
        <v>601</v>
      </c>
      <c r="I861" s="57"/>
      <c r="J861" s="57"/>
      <c r="L861" s="164">
        <v>13800</v>
      </c>
    </row>
    <row r="862" spans="2:12" x14ac:dyDescent="0.3">
      <c r="B862" s="57">
        <f t="shared" si="67"/>
        <v>859</v>
      </c>
      <c r="C862" s="143">
        <v>46133</v>
      </c>
      <c r="D862" s="57" t="s">
        <v>435</v>
      </c>
      <c r="E862" s="57" t="s">
        <v>146</v>
      </c>
      <c r="F862" s="57" t="s">
        <v>446</v>
      </c>
      <c r="G862" s="57" t="s">
        <v>352</v>
      </c>
      <c r="H862" s="140" t="s">
        <v>555</v>
      </c>
      <c r="I862" s="57"/>
      <c r="J862" s="165">
        <f>L862/K862</f>
        <v>31.25</v>
      </c>
      <c r="K862" s="57">
        <v>96</v>
      </c>
      <c r="L862" s="164">
        <v>3000</v>
      </c>
    </row>
    <row r="863" spans="2:12" x14ac:dyDescent="0.3">
      <c r="B863" s="57">
        <f t="shared" si="67"/>
        <v>860</v>
      </c>
      <c r="C863" s="143">
        <v>46133</v>
      </c>
      <c r="D863" s="57" t="s">
        <v>435</v>
      </c>
      <c r="E863" s="57" t="s">
        <v>551</v>
      </c>
      <c r="F863" s="57" t="s">
        <v>446</v>
      </c>
      <c r="G863" s="57" t="s">
        <v>354</v>
      </c>
      <c r="H863" s="140" t="s">
        <v>599</v>
      </c>
      <c r="I863" s="57"/>
      <c r="J863" s="57"/>
      <c r="L863" s="164">
        <v>15000</v>
      </c>
    </row>
    <row r="864" spans="2:12" x14ac:dyDescent="0.3">
      <c r="B864" s="57">
        <f t="shared" si="67"/>
        <v>861</v>
      </c>
      <c r="C864" s="143">
        <v>46133</v>
      </c>
      <c r="D864" s="57" t="s">
        <v>435</v>
      </c>
      <c r="E864" s="57" t="s">
        <v>146</v>
      </c>
      <c r="F864" s="57" t="s">
        <v>446</v>
      </c>
      <c r="G864" s="57" t="s">
        <v>572</v>
      </c>
      <c r="H864" s="140" t="s">
        <v>441</v>
      </c>
      <c r="I864" s="57"/>
      <c r="J864" s="165">
        <f t="shared" ref="J864:J866" si="71">L864/K864</f>
        <v>20.833333333333332</v>
      </c>
      <c r="K864" s="57">
        <v>96</v>
      </c>
      <c r="L864" s="164">
        <v>2000</v>
      </c>
    </row>
    <row r="865" spans="2:12" x14ac:dyDescent="0.3">
      <c r="B865" s="57">
        <f t="shared" si="67"/>
        <v>862</v>
      </c>
      <c r="C865" s="143">
        <v>46133</v>
      </c>
      <c r="D865" s="57" t="s">
        <v>435</v>
      </c>
      <c r="E865" s="57" t="s">
        <v>146</v>
      </c>
      <c r="F865" s="57" t="s">
        <v>546</v>
      </c>
      <c r="G865" s="57" t="s">
        <v>545</v>
      </c>
      <c r="H865" s="140" t="s">
        <v>441</v>
      </c>
      <c r="I865" s="57"/>
      <c r="J865" s="165">
        <f t="shared" si="71"/>
        <v>20.833333333333332</v>
      </c>
      <c r="K865" s="57">
        <v>96</v>
      </c>
      <c r="L865" s="164">
        <v>2000</v>
      </c>
    </row>
    <row r="866" spans="2:12" x14ac:dyDescent="0.3">
      <c r="B866" s="57">
        <f t="shared" si="67"/>
        <v>863</v>
      </c>
      <c r="C866" s="143">
        <v>46133</v>
      </c>
      <c r="D866" s="57" t="s">
        <v>435</v>
      </c>
      <c r="E866" s="57" t="s">
        <v>146</v>
      </c>
      <c r="F866" s="57" t="s">
        <v>300</v>
      </c>
      <c r="G866" s="57" t="s">
        <v>530</v>
      </c>
      <c r="H866" s="140" t="s">
        <v>4115</v>
      </c>
      <c r="I866" s="57"/>
      <c r="J866" s="165">
        <f t="shared" si="71"/>
        <v>31.25</v>
      </c>
      <c r="K866" s="57">
        <v>96</v>
      </c>
      <c r="L866" s="164">
        <v>3000</v>
      </c>
    </row>
    <row r="867" spans="2:12" x14ac:dyDescent="0.3">
      <c r="B867" s="57">
        <f t="shared" si="67"/>
        <v>864</v>
      </c>
      <c r="C867" s="143">
        <v>46133</v>
      </c>
      <c r="D867" s="57" t="s">
        <v>435</v>
      </c>
      <c r="E867" s="57" t="s">
        <v>600</v>
      </c>
      <c r="F867" s="57" t="s">
        <v>300</v>
      </c>
      <c r="G867" s="57" t="s">
        <v>438</v>
      </c>
      <c r="I867" s="57"/>
      <c r="J867" s="57"/>
      <c r="L867" s="164">
        <v>10000</v>
      </c>
    </row>
    <row r="868" spans="2:12" x14ac:dyDescent="0.3">
      <c r="B868" s="57">
        <f t="shared" si="67"/>
        <v>865</v>
      </c>
      <c r="C868" s="143">
        <v>46134</v>
      </c>
      <c r="D868" s="57" t="s">
        <v>435</v>
      </c>
      <c r="E868" s="57" t="s">
        <v>986</v>
      </c>
      <c r="F868" s="57" t="s">
        <v>446</v>
      </c>
      <c r="G868" s="57" t="s">
        <v>316</v>
      </c>
      <c r="H868" s="140" t="s">
        <v>641</v>
      </c>
      <c r="I868" s="57" t="s">
        <v>986</v>
      </c>
      <c r="J868" s="57">
        <v>25</v>
      </c>
      <c r="L868" s="164">
        <v>2980</v>
      </c>
    </row>
    <row r="869" spans="2:12" x14ac:dyDescent="0.3">
      <c r="B869" s="57">
        <f t="shared" si="67"/>
        <v>866</v>
      </c>
      <c r="C869" s="143">
        <v>46134</v>
      </c>
      <c r="D869" s="57" t="s">
        <v>435</v>
      </c>
      <c r="E869" s="57" t="s">
        <v>532</v>
      </c>
      <c r="F869" s="57" t="s">
        <v>446</v>
      </c>
      <c r="G869" s="57" t="s">
        <v>316</v>
      </c>
      <c r="H869" s="140" t="s">
        <v>640</v>
      </c>
      <c r="I869" s="57" t="s">
        <v>532</v>
      </c>
      <c r="J869" s="57">
        <v>4</v>
      </c>
      <c r="K869" s="57">
        <v>250</v>
      </c>
      <c r="L869" s="164">
        <v>1000</v>
      </c>
    </row>
    <row r="870" spans="2:12" x14ac:dyDescent="0.3">
      <c r="B870" s="57">
        <f t="shared" si="67"/>
        <v>867</v>
      </c>
      <c r="C870" s="143">
        <v>46134</v>
      </c>
      <c r="D870" s="57" t="s">
        <v>435</v>
      </c>
      <c r="E870" s="57" t="s">
        <v>529</v>
      </c>
      <c r="F870" s="57" t="s">
        <v>446</v>
      </c>
      <c r="G870" s="57" t="s">
        <v>316</v>
      </c>
      <c r="H870" s="140" t="s">
        <v>639</v>
      </c>
      <c r="I870" s="57"/>
      <c r="J870" s="57"/>
      <c r="L870" s="164">
        <v>1200</v>
      </c>
    </row>
    <row r="871" spans="2:12" x14ac:dyDescent="0.3">
      <c r="B871" s="57">
        <f t="shared" si="67"/>
        <v>868</v>
      </c>
      <c r="C871" s="143">
        <v>46134</v>
      </c>
      <c r="D871" s="57" t="s">
        <v>435</v>
      </c>
      <c r="E871" s="57" t="s">
        <v>958</v>
      </c>
      <c r="F871" s="57" t="s">
        <v>446</v>
      </c>
      <c r="G871" s="57" t="s">
        <v>316</v>
      </c>
      <c r="H871" s="140" t="s">
        <v>455</v>
      </c>
      <c r="I871" s="57"/>
      <c r="J871" s="57"/>
      <c r="L871" s="164">
        <v>5000</v>
      </c>
    </row>
    <row r="872" spans="2:12" x14ac:dyDescent="0.3">
      <c r="B872" s="57">
        <f t="shared" si="67"/>
        <v>869</v>
      </c>
      <c r="C872" s="143">
        <v>46134</v>
      </c>
      <c r="D872" s="57" t="s">
        <v>435</v>
      </c>
      <c r="E872" s="57" t="s">
        <v>4128</v>
      </c>
      <c r="F872" s="57" t="s">
        <v>446</v>
      </c>
      <c r="G872" s="57" t="s">
        <v>316</v>
      </c>
      <c r="H872" s="140" t="s">
        <v>638</v>
      </c>
      <c r="I872" s="57"/>
      <c r="J872" s="57"/>
      <c r="L872" s="164">
        <v>3000</v>
      </c>
    </row>
    <row r="873" spans="2:12" x14ac:dyDescent="0.3">
      <c r="B873" s="57">
        <f t="shared" si="67"/>
        <v>870</v>
      </c>
      <c r="C873" s="143">
        <v>46134</v>
      </c>
      <c r="D873" s="57" t="s">
        <v>435</v>
      </c>
      <c r="E873" s="57" t="s">
        <v>522</v>
      </c>
      <c r="F873" s="57" t="s">
        <v>300</v>
      </c>
      <c r="G873" s="57" t="s">
        <v>438</v>
      </c>
      <c r="H873" s="140" t="s">
        <v>617</v>
      </c>
      <c r="I873" s="57"/>
      <c r="J873" s="57"/>
      <c r="L873" s="164">
        <v>1500</v>
      </c>
    </row>
    <row r="874" spans="2:12" x14ac:dyDescent="0.3">
      <c r="B874" s="57">
        <f t="shared" si="67"/>
        <v>871</v>
      </c>
      <c r="C874" s="143">
        <v>46134</v>
      </c>
      <c r="D874" s="57" t="s">
        <v>435</v>
      </c>
      <c r="E874" s="57" t="s">
        <v>146</v>
      </c>
      <c r="F874" s="57" t="s">
        <v>446</v>
      </c>
      <c r="G874" s="57" t="s">
        <v>354</v>
      </c>
      <c r="H874" s="140" t="s">
        <v>555</v>
      </c>
      <c r="I874" s="57"/>
      <c r="J874" s="165">
        <f>L874/K874</f>
        <v>26.041666666666668</v>
      </c>
      <c r="K874" s="57">
        <v>96</v>
      </c>
      <c r="L874" s="164">
        <v>2500</v>
      </c>
    </row>
    <row r="875" spans="2:12" x14ac:dyDescent="0.3">
      <c r="B875" s="57">
        <f t="shared" si="67"/>
        <v>872</v>
      </c>
      <c r="C875" s="143">
        <v>46134</v>
      </c>
      <c r="D875" s="57" t="s">
        <v>435</v>
      </c>
      <c r="E875" s="57" t="s">
        <v>595</v>
      </c>
      <c r="F875" s="57" t="s">
        <v>300</v>
      </c>
      <c r="G875" s="57" t="s">
        <v>616</v>
      </c>
      <c r="H875" s="140" t="s">
        <v>615</v>
      </c>
      <c r="I875" s="57"/>
      <c r="J875" s="57"/>
      <c r="L875" s="164">
        <v>3000</v>
      </c>
    </row>
    <row r="876" spans="2:12" x14ac:dyDescent="0.3">
      <c r="B876" s="57">
        <f t="shared" si="67"/>
        <v>873</v>
      </c>
      <c r="C876" s="143">
        <v>46134</v>
      </c>
      <c r="D876" s="57" t="s">
        <v>435</v>
      </c>
      <c r="E876" s="57" t="s">
        <v>551</v>
      </c>
      <c r="F876" s="57" t="s">
        <v>446</v>
      </c>
      <c r="G876" s="57" t="s">
        <v>354</v>
      </c>
      <c r="H876" s="140" t="s">
        <v>614</v>
      </c>
      <c r="I876" s="57"/>
      <c r="J876" s="57"/>
      <c r="L876" s="164">
        <v>12000</v>
      </c>
    </row>
    <row r="877" spans="2:12" x14ac:dyDescent="0.3">
      <c r="B877" s="57">
        <f t="shared" si="67"/>
        <v>874</v>
      </c>
      <c r="C877" s="143">
        <v>46134</v>
      </c>
      <c r="D877" s="57" t="s">
        <v>435</v>
      </c>
      <c r="E877" s="57" t="s">
        <v>560</v>
      </c>
      <c r="F877" s="57" t="s">
        <v>446</v>
      </c>
      <c r="G877" s="57" t="s">
        <v>354</v>
      </c>
      <c r="H877" s="140" t="s">
        <v>613</v>
      </c>
      <c r="I877" s="57"/>
      <c r="J877" s="57"/>
      <c r="L877" s="164">
        <v>1250</v>
      </c>
    </row>
    <row r="878" spans="2:12" x14ac:dyDescent="0.3">
      <c r="B878" s="57">
        <f t="shared" si="67"/>
        <v>875</v>
      </c>
      <c r="C878" s="143">
        <v>46134</v>
      </c>
      <c r="D878" s="57" t="s">
        <v>435</v>
      </c>
      <c r="E878" s="57" t="s">
        <v>612</v>
      </c>
      <c r="F878" s="57" t="s">
        <v>446</v>
      </c>
      <c r="G878" s="57" t="s">
        <v>354</v>
      </c>
      <c r="H878" s="140" t="s">
        <v>611</v>
      </c>
      <c r="I878" s="57"/>
      <c r="J878" s="57"/>
      <c r="L878" s="164">
        <v>3000</v>
      </c>
    </row>
    <row r="879" spans="2:12" x14ac:dyDescent="0.3">
      <c r="B879" s="57">
        <f t="shared" si="67"/>
        <v>876</v>
      </c>
      <c r="C879" s="143">
        <v>46134</v>
      </c>
      <c r="D879" s="57" t="s">
        <v>435</v>
      </c>
      <c r="E879" s="57" t="s">
        <v>532</v>
      </c>
      <c r="F879" s="57" t="s">
        <v>300</v>
      </c>
      <c r="G879" s="57" t="s">
        <v>526</v>
      </c>
      <c r="H879" s="140" t="s">
        <v>610</v>
      </c>
      <c r="I879" s="57" t="s">
        <v>532</v>
      </c>
      <c r="J879" s="57">
        <v>50</v>
      </c>
      <c r="K879" s="57">
        <v>260</v>
      </c>
      <c r="L879" s="164">
        <v>13000</v>
      </c>
    </row>
    <row r="880" spans="2:12" x14ac:dyDescent="0.3">
      <c r="B880" s="57">
        <f t="shared" si="67"/>
        <v>877</v>
      </c>
      <c r="C880" s="143">
        <v>46134</v>
      </c>
      <c r="D880" s="57" t="s">
        <v>435</v>
      </c>
      <c r="E880" s="57" t="s">
        <v>146</v>
      </c>
      <c r="F880" s="57" t="s">
        <v>300</v>
      </c>
      <c r="G880" s="57" t="s">
        <v>438</v>
      </c>
      <c r="H880" s="140" t="s">
        <v>4109</v>
      </c>
      <c r="I880" s="57"/>
      <c r="J880" s="165">
        <f>L880/K880</f>
        <v>30.208333333333332</v>
      </c>
      <c r="K880" s="57">
        <v>96</v>
      </c>
      <c r="L880" s="164">
        <v>2900</v>
      </c>
    </row>
    <row r="881" spans="2:12" x14ac:dyDescent="0.3">
      <c r="B881" s="57">
        <f t="shared" si="67"/>
        <v>878</v>
      </c>
      <c r="C881" s="143">
        <v>46134</v>
      </c>
      <c r="D881" s="57" t="s">
        <v>435</v>
      </c>
      <c r="E881" s="57" t="s">
        <v>595</v>
      </c>
      <c r="F881" s="57" t="s">
        <v>261</v>
      </c>
      <c r="G881" s="57" t="s">
        <v>606</v>
      </c>
      <c r="H881" s="140" t="s">
        <v>609</v>
      </c>
      <c r="I881" s="57"/>
      <c r="J881" s="57"/>
      <c r="L881" s="164">
        <v>6000</v>
      </c>
    </row>
    <row r="882" spans="2:12" x14ac:dyDescent="0.3">
      <c r="B882" s="57">
        <f t="shared" si="67"/>
        <v>879</v>
      </c>
      <c r="C882" s="143">
        <v>46134</v>
      </c>
      <c r="D882" s="57" t="s">
        <v>435</v>
      </c>
      <c r="E882" s="57" t="s">
        <v>477</v>
      </c>
      <c r="F882" s="57" t="s">
        <v>300</v>
      </c>
      <c r="G882" s="57" t="s">
        <v>438</v>
      </c>
      <c r="H882" s="140" t="s">
        <v>608</v>
      </c>
      <c r="I882" s="57"/>
      <c r="J882" s="57"/>
      <c r="L882" s="164">
        <v>38000</v>
      </c>
    </row>
    <row r="883" spans="2:12" x14ac:dyDescent="0.3">
      <c r="B883" s="57">
        <f t="shared" si="67"/>
        <v>880</v>
      </c>
      <c r="C883" s="143">
        <v>46134</v>
      </c>
      <c r="D883" s="57" t="s">
        <v>435</v>
      </c>
      <c r="E883" s="57" t="s">
        <v>434</v>
      </c>
      <c r="F883" s="57" t="s">
        <v>300</v>
      </c>
      <c r="G883" s="57" t="s">
        <v>438</v>
      </c>
      <c r="H883" s="140" t="s">
        <v>601</v>
      </c>
      <c r="I883" s="57"/>
      <c r="J883" s="57"/>
      <c r="L883" s="164">
        <v>20000</v>
      </c>
    </row>
    <row r="884" spans="2:12" x14ac:dyDescent="0.3">
      <c r="B884" s="57">
        <f t="shared" si="67"/>
        <v>881</v>
      </c>
      <c r="C884" s="143">
        <v>46134</v>
      </c>
      <c r="D884" s="57" t="s">
        <v>435</v>
      </c>
      <c r="E884" s="57" t="s">
        <v>595</v>
      </c>
      <c r="F884" s="57" t="s">
        <v>261</v>
      </c>
      <c r="G884" s="57" t="s">
        <v>606</v>
      </c>
      <c r="H884" s="140" t="s">
        <v>607</v>
      </c>
      <c r="I884" s="57"/>
      <c r="J884" s="57"/>
      <c r="L884" s="164">
        <v>2400</v>
      </c>
    </row>
    <row r="885" spans="2:12" x14ac:dyDescent="0.3">
      <c r="B885" s="57">
        <f t="shared" si="67"/>
        <v>882</v>
      </c>
      <c r="C885" s="143">
        <v>46134</v>
      </c>
      <c r="D885" s="57" t="s">
        <v>435</v>
      </c>
      <c r="E885" s="57" t="s">
        <v>595</v>
      </c>
      <c r="F885" s="57" t="s">
        <v>261</v>
      </c>
      <c r="G885" s="57" t="s">
        <v>606</v>
      </c>
      <c r="H885" s="140" t="s">
        <v>605</v>
      </c>
      <c r="I885" s="57"/>
      <c r="J885" s="57"/>
      <c r="L885" s="164">
        <v>3400</v>
      </c>
    </row>
    <row r="886" spans="2:12" x14ac:dyDescent="0.3">
      <c r="B886" s="57">
        <f t="shared" si="67"/>
        <v>883</v>
      </c>
      <c r="C886" s="143">
        <v>46134</v>
      </c>
      <c r="D886" s="57" t="s">
        <v>435</v>
      </c>
      <c r="E886" s="57" t="s">
        <v>450</v>
      </c>
      <c r="F886" s="57" t="s">
        <v>300</v>
      </c>
      <c r="G886" s="57" t="s">
        <v>438</v>
      </c>
      <c r="H886" s="140" t="s">
        <v>4093</v>
      </c>
      <c r="I886" s="57"/>
      <c r="J886" s="165">
        <f>L886/K886</f>
        <v>25.333333333333332</v>
      </c>
      <c r="K886" s="57">
        <v>96</v>
      </c>
      <c r="L886" s="164">
        <v>2432</v>
      </c>
    </row>
    <row r="887" spans="2:12" x14ac:dyDescent="0.3">
      <c r="B887" s="57">
        <f t="shared" si="67"/>
        <v>884</v>
      </c>
      <c r="C887" s="147">
        <v>46134</v>
      </c>
      <c r="D887" s="57" t="s">
        <v>968</v>
      </c>
      <c r="E887" s="57" t="s">
        <v>574</v>
      </c>
      <c r="F887" s="57" t="s">
        <v>300</v>
      </c>
      <c r="G887" s="57" t="s">
        <v>2327</v>
      </c>
      <c r="H887" s="140" t="s">
        <v>4141</v>
      </c>
      <c r="I887" s="140" t="s">
        <v>2635</v>
      </c>
      <c r="J887" s="57">
        <v>6</v>
      </c>
      <c r="K887" s="168">
        <f>L887/J887</f>
        <v>866.66666666666663</v>
      </c>
      <c r="L887" s="164">
        <v>5200</v>
      </c>
    </row>
    <row r="888" spans="2:12" x14ac:dyDescent="0.3">
      <c r="B888" s="57">
        <f t="shared" si="67"/>
        <v>885</v>
      </c>
      <c r="C888" s="147">
        <v>46134</v>
      </c>
      <c r="D888" s="57" t="s">
        <v>968</v>
      </c>
      <c r="E888" s="57" t="s">
        <v>146</v>
      </c>
      <c r="F888" s="57" t="s">
        <v>446</v>
      </c>
      <c r="G888" s="57" t="s">
        <v>649</v>
      </c>
      <c r="H888" s="140" t="s">
        <v>1073</v>
      </c>
      <c r="I888" s="57"/>
      <c r="J888" s="165">
        <f>L888/K888</f>
        <v>52.40625</v>
      </c>
      <c r="K888" s="57">
        <v>96</v>
      </c>
      <c r="L888" s="164">
        <v>5031</v>
      </c>
    </row>
    <row r="889" spans="2:12" x14ac:dyDescent="0.3">
      <c r="B889" s="57">
        <f t="shared" si="67"/>
        <v>886</v>
      </c>
      <c r="C889" s="143">
        <v>46135</v>
      </c>
      <c r="D889" s="57" t="s">
        <v>435</v>
      </c>
      <c r="E889" s="57" t="s">
        <v>958</v>
      </c>
      <c r="F889" s="57" t="s">
        <v>446</v>
      </c>
      <c r="G889" s="57" t="s">
        <v>316</v>
      </c>
      <c r="H889" s="140" t="s">
        <v>622</v>
      </c>
      <c r="I889" s="57"/>
      <c r="J889" s="57"/>
      <c r="L889" s="164">
        <v>5000</v>
      </c>
    </row>
    <row r="890" spans="2:12" x14ac:dyDescent="0.3">
      <c r="B890" s="57">
        <f t="shared" si="67"/>
        <v>887</v>
      </c>
      <c r="C890" s="143">
        <v>46135</v>
      </c>
      <c r="D890" s="57" t="s">
        <v>435</v>
      </c>
      <c r="E890" s="57" t="s">
        <v>551</v>
      </c>
      <c r="F890" s="57" t="s">
        <v>446</v>
      </c>
      <c r="G890" s="57" t="s">
        <v>354</v>
      </c>
      <c r="H890" s="140" t="s">
        <v>599</v>
      </c>
      <c r="I890" s="57"/>
      <c r="J890" s="57"/>
      <c r="L890" s="164">
        <v>17000</v>
      </c>
    </row>
    <row r="891" spans="2:12" x14ac:dyDescent="0.3">
      <c r="B891" s="57">
        <f t="shared" si="67"/>
        <v>888</v>
      </c>
      <c r="C891" s="143">
        <v>46135</v>
      </c>
      <c r="D891" s="57" t="s">
        <v>435</v>
      </c>
      <c r="E891" s="57" t="s">
        <v>146</v>
      </c>
      <c r="F891" s="57" t="s">
        <v>300</v>
      </c>
      <c r="G891" s="57" t="s">
        <v>438</v>
      </c>
      <c r="H891" s="140" t="s">
        <v>4092</v>
      </c>
      <c r="I891" s="57"/>
      <c r="J891" s="165">
        <f>L891/K891</f>
        <v>140.625</v>
      </c>
      <c r="K891" s="57">
        <v>96</v>
      </c>
      <c r="L891" s="164">
        <v>13500</v>
      </c>
    </row>
    <row r="892" spans="2:12" x14ac:dyDescent="0.3">
      <c r="B892" s="57">
        <f t="shared" si="67"/>
        <v>889</v>
      </c>
      <c r="C892" s="143">
        <v>46135</v>
      </c>
      <c r="D892" s="57" t="s">
        <v>435</v>
      </c>
      <c r="E892" s="57" t="s">
        <v>434</v>
      </c>
      <c r="F892" s="57" t="s">
        <v>621</v>
      </c>
      <c r="G892" s="57" t="s">
        <v>345</v>
      </c>
      <c r="H892" s="140" t="s">
        <v>620</v>
      </c>
      <c r="I892" s="57"/>
      <c r="J892" s="57"/>
      <c r="L892" s="164">
        <v>25000</v>
      </c>
    </row>
    <row r="893" spans="2:12" x14ac:dyDescent="0.3">
      <c r="B893" s="57">
        <f t="shared" si="67"/>
        <v>890</v>
      </c>
      <c r="C893" s="143">
        <v>46135</v>
      </c>
      <c r="D893" s="57" t="s">
        <v>435</v>
      </c>
      <c r="E893" s="57" t="s">
        <v>524</v>
      </c>
      <c r="F893" s="57" t="s">
        <v>300</v>
      </c>
      <c r="G893" s="57" t="s">
        <v>438</v>
      </c>
      <c r="H893" s="140" t="s">
        <v>619</v>
      </c>
      <c r="I893" s="57"/>
      <c r="J893" s="57"/>
      <c r="L893" s="164">
        <v>300</v>
      </c>
    </row>
    <row r="894" spans="2:12" x14ac:dyDescent="0.3">
      <c r="B894" s="57">
        <f t="shared" si="67"/>
        <v>891</v>
      </c>
      <c r="C894" s="143">
        <v>46135</v>
      </c>
      <c r="D894" s="57" t="s">
        <v>435</v>
      </c>
      <c r="E894" s="57" t="s">
        <v>595</v>
      </c>
      <c r="F894" s="57" t="s">
        <v>300</v>
      </c>
      <c r="G894" s="57" t="s">
        <v>438</v>
      </c>
      <c r="H894" s="140" t="s">
        <v>4134</v>
      </c>
      <c r="I894" s="57"/>
      <c r="J894" s="57">
        <v>8</v>
      </c>
      <c r="K894" s="57">
        <v>300</v>
      </c>
      <c r="L894" s="164">
        <f>J894*K894</f>
        <v>2400</v>
      </c>
    </row>
    <row r="895" spans="2:12" x14ac:dyDescent="0.3">
      <c r="B895" s="57">
        <f t="shared" si="67"/>
        <v>892</v>
      </c>
      <c r="C895" s="143">
        <v>46135</v>
      </c>
      <c r="D895" s="57" t="s">
        <v>435</v>
      </c>
      <c r="E895" s="57" t="s">
        <v>595</v>
      </c>
      <c r="F895" s="57" t="s">
        <v>300</v>
      </c>
      <c r="G895" s="57" t="s">
        <v>438</v>
      </c>
      <c r="H895" s="140" t="s">
        <v>618</v>
      </c>
      <c r="I895" s="57"/>
      <c r="J895" s="57"/>
      <c r="L895" s="164">
        <v>6000</v>
      </c>
    </row>
    <row r="896" spans="2:12" x14ac:dyDescent="0.3">
      <c r="B896" s="57">
        <f t="shared" si="67"/>
        <v>893</v>
      </c>
      <c r="C896" s="143">
        <v>46135</v>
      </c>
      <c r="D896" s="57" t="s">
        <v>435</v>
      </c>
      <c r="E896" s="57" t="s">
        <v>146</v>
      </c>
      <c r="F896" s="57" t="s">
        <v>436</v>
      </c>
      <c r="G896" s="57" t="s">
        <v>480</v>
      </c>
      <c r="H896" s="140" t="s">
        <v>580</v>
      </c>
      <c r="I896" s="57"/>
      <c r="J896" s="165">
        <f t="shared" ref="J896:J898" si="72">L896/K896</f>
        <v>20.833333333333332</v>
      </c>
      <c r="K896" s="57">
        <v>96</v>
      </c>
      <c r="L896" s="164">
        <v>2000</v>
      </c>
    </row>
    <row r="897" spans="2:12" x14ac:dyDescent="0.3">
      <c r="B897" s="57">
        <f t="shared" si="67"/>
        <v>894</v>
      </c>
      <c r="C897" s="143">
        <v>46135</v>
      </c>
      <c r="D897" s="57" t="s">
        <v>435</v>
      </c>
      <c r="E897" s="57" t="s">
        <v>146</v>
      </c>
      <c r="F897" s="57" t="s">
        <v>300</v>
      </c>
      <c r="G897" s="57" t="s">
        <v>438</v>
      </c>
      <c r="H897" s="140" t="s">
        <v>4095</v>
      </c>
      <c r="I897" s="57"/>
      <c r="J897" s="165">
        <f t="shared" si="72"/>
        <v>34.458333333333336</v>
      </c>
      <c r="K897" s="57">
        <v>96</v>
      </c>
      <c r="L897" s="164">
        <v>3308</v>
      </c>
    </row>
    <row r="898" spans="2:12" x14ac:dyDescent="0.3">
      <c r="B898" s="57">
        <f t="shared" si="67"/>
        <v>895</v>
      </c>
      <c r="C898" s="143">
        <v>46135</v>
      </c>
      <c r="D898" s="57" t="s">
        <v>435</v>
      </c>
      <c r="E898" s="57" t="s">
        <v>146</v>
      </c>
      <c r="F898" s="57" t="s">
        <v>300</v>
      </c>
      <c r="G898" s="57" t="s">
        <v>438</v>
      </c>
      <c r="H898" s="140" t="s">
        <v>894</v>
      </c>
      <c r="I898" s="57"/>
      <c r="J898" s="165">
        <f t="shared" si="72"/>
        <v>31.25</v>
      </c>
      <c r="K898" s="57">
        <v>96</v>
      </c>
      <c r="L898" s="164">
        <v>3000</v>
      </c>
    </row>
    <row r="899" spans="2:12" x14ac:dyDescent="0.3">
      <c r="B899" s="57">
        <f t="shared" si="67"/>
        <v>896</v>
      </c>
      <c r="C899" s="147">
        <v>46135</v>
      </c>
      <c r="D899" s="57" t="s">
        <v>968</v>
      </c>
      <c r="E899" s="57" t="s">
        <v>958</v>
      </c>
      <c r="F899" s="57" t="s">
        <v>436</v>
      </c>
      <c r="G899" s="57" t="s">
        <v>270</v>
      </c>
      <c r="H899" s="140" t="s">
        <v>1074</v>
      </c>
      <c r="I899" s="57"/>
      <c r="J899" s="57"/>
      <c r="L899" s="164">
        <v>1000</v>
      </c>
    </row>
    <row r="900" spans="2:12" x14ac:dyDescent="0.3">
      <c r="B900" s="57">
        <f t="shared" si="67"/>
        <v>897</v>
      </c>
      <c r="C900" s="147">
        <v>46135</v>
      </c>
      <c r="D900" s="57" t="s">
        <v>968</v>
      </c>
      <c r="E900" s="57" t="s">
        <v>957</v>
      </c>
      <c r="F900" s="57" t="s">
        <v>446</v>
      </c>
      <c r="G900" s="57" t="s">
        <v>354</v>
      </c>
      <c r="H900" s="140" t="s">
        <v>1075</v>
      </c>
      <c r="I900" s="57"/>
      <c r="J900" s="57"/>
      <c r="L900" s="164">
        <v>2500</v>
      </c>
    </row>
    <row r="901" spans="2:12" x14ac:dyDescent="0.3">
      <c r="B901" s="57">
        <f t="shared" si="67"/>
        <v>898</v>
      </c>
      <c r="C901" s="147">
        <v>46135</v>
      </c>
      <c r="D901" s="57" t="s">
        <v>968</v>
      </c>
      <c r="E901" s="57" t="s">
        <v>146</v>
      </c>
      <c r="F901" s="57" t="s">
        <v>446</v>
      </c>
      <c r="G901" s="57" t="s">
        <v>2329</v>
      </c>
      <c r="H901" s="140" t="s">
        <v>1076</v>
      </c>
      <c r="I901" s="57"/>
      <c r="J901" s="165">
        <f>L901/K901</f>
        <v>41.666666666666664</v>
      </c>
      <c r="K901" s="57">
        <v>96</v>
      </c>
      <c r="L901" s="164">
        <v>4000</v>
      </c>
    </row>
    <row r="902" spans="2:12" x14ac:dyDescent="0.3">
      <c r="B902" s="57">
        <f t="shared" ref="B902:B965" si="73">+B901+1</f>
        <v>899</v>
      </c>
      <c r="C902" s="147">
        <v>46135</v>
      </c>
      <c r="D902" s="57" t="s">
        <v>968</v>
      </c>
      <c r="E902" s="57" t="s">
        <v>434</v>
      </c>
      <c r="F902" s="57" t="s">
        <v>300</v>
      </c>
      <c r="G902" s="57" t="s">
        <v>530</v>
      </c>
      <c r="H902" s="140" t="s">
        <v>1077</v>
      </c>
      <c r="I902" s="57"/>
      <c r="J902" s="57"/>
      <c r="L902" s="164">
        <v>700</v>
      </c>
    </row>
    <row r="903" spans="2:12" x14ac:dyDescent="0.3">
      <c r="B903" s="57">
        <f t="shared" si="73"/>
        <v>900</v>
      </c>
      <c r="C903" s="147">
        <v>46135</v>
      </c>
      <c r="D903" s="57" t="s">
        <v>968</v>
      </c>
      <c r="E903" s="57" t="s">
        <v>146</v>
      </c>
      <c r="F903" s="57" t="s">
        <v>300</v>
      </c>
      <c r="G903" s="57" t="s">
        <v>303</v>
      </c>
      <c r="H903" s="140" t="s">
        <v>4116</v>
      </c>
      <c r="I903" s="57"/>
      <c r="J903" s="165">
        <f>L903/K903</f>
        <v>20.833333333333332</v>
      </c>
      <c r="K903" s="57">
        <v>96</v>
      </c>
      <c r="L903" s="164">
        <v>2000</v>
      </c>
    </row>
    <row r="904" spans="2:12" x14ac:dyDescent="0.3">
      <c r="B904" s="57">
        <f t="shared" si="73"/>
        <v>901</v>
      </c>
      <c r="C904" s="147">
        <v>46135</v>
      </c>
      <c r="D904" s="57" t="s">
        <v>968</v>
      </c>
      <c r="E904" s="57" t="s">
        <v>434</v>
      </c>
      <c r="F904" s="57" t="s">
        <v>300</v>
      </c>
      <c r="G904" s="57" t="s">
        <v>2327</v>
      </c>
      <c r="H904" s="140" t="s">
        <v>1078</v>
      </c>
      <c r="I904" s="57"/>
      <c r="J904" s="57"/>
      <c r="L904" s="164">
        <v>1360</v>
      </c>
    </row>
    <row r="905" spans="2:12" x14ac:dyDescent="0.3">
      <c r="B905" s="57">
        <f t="shared" si="73"/>
        <v>902</v>
      </c>
      <c r="C905" s="147">
        <v>46135</v>
      </c>
      <c r="D905" s="57" t="s">
        <v>968</v>
      </c>
      <c r="E905" s="57" t="s">
        <v>146</v>
      </c>
      <c r="F905" s="57" t="s">
        <v>446</v>
      </c>
      <c r="G905" s="57" t="s">
        <v>354</v>
      </c>
      <c r="H905" s="140" t="s">
        <v>1079</v>
      </c>
      <c r="I905" s="57"/>
      <c r="J905" s="165">
        <f>L905/K905</f>
        <v>20.229166666666668</v>
      </c>
      <c r="K905" s="57">
        <v>96</v>
      </c>
      <c r="L905" s="164">
        <v>1942</v>
      </c>
    </row>
    <row r="906" spans="2:12" x14ac:dyDescent="0.3">
      <c r="B906" s="57">
        <f t="shared" si="73"/>
        <v>903</v>
      </c>
      <c r="C906" s="147">
        <v>46135</v>
      </c>
      <c r="D906" s="57" t="s">
        <v>968</v>
      </c>
      <c r="E906" s="57" t="s">
        <v>767</v>
      </c>
      <c r="F906" s="57" t="s">
        <v>446</v>
      </c>
      <c r="G906" s="57" t="s">
        <v>2329</v>
      </c>
      <c r="H906" s="140" t="s">
        <v>1080</v>
      </c>
      <c r="I906" s="57"/>
      <c r="J906" s="57"/>
      <c r="L906" s="164">
        <v>300</v>
      </c>
    </row>
    <row r="907" spans="2:12" x14ac:dyDescent="0.3">
      <c r="B907" s="57">
        <f t="shared" si="73"/>
        <v>904</v>
      </c>
      <c r="C907" s="147">
        <v>46135</v>
      </c>
      <c r="D907" s="57" t="s">
        <v>968</v>
      </c>
      <c r="E907" s="57" t="s">
        <v>522</v>
      </c>
      <c r="F907" s="57" t="s">
        <v>621</v>
      </c>
      <c r="G907" s="57" t="s">
        <v>345</v>
      </c>
      <c r="H907" s="140" t="s">
        <v>1081</v>
      </c>
      <c r="I907" s="57"/>
      <c r="J907" s="57"/>
      <c r="L907" s="164">
        <v>2600</v>
      </c>
    </row>
    <row r="908" spans="2:12" x14ac:dyDescent="0.3">
      <c r="B908" s="57">
        <f t="shared" si="73"/>
        <v>905</v>
      </c>
      <c r="C908" s="147">
        <v>46135</v>
      </c>
      <c r="D908" s="57" t="s">
        <v>968</v>
      </c>
      <c r="E908" s="57" t="s">
        <v>958</v>
      </c>
      <c r="F908" s="57" t="s">
        <v>502</v>
      </c>
      <c r="G908" s="57" t="s">
        <v>257</v>
      </c>
      <c r="H908" s="140" t="s">
        <v>1082</v>
      </c>
      <c r="I908" s="57"/>
      <c r="J908" s="57"/>
      <c r="L908" s="164">
        <v>5000</v>
      </c>
    </row>
    <row r="909" spans="2:12" x14ac:dyDescent="0.3">
      <c r="B909" s="57">
        <f t="shared" si="73"/>
        <v>906</v>
      </c>
      <c r="C909" s="147">
        <v>46135</v>
      </c>
      <c r="D909" s="57" t="s">
        <v>968</v>
      </c>
      <c r="E909" s="57" t="s">
        <v>146</v>
      </c>
      <c r="F909" s="57" t="s">
        <v>300</v>
      </c>
      <c r="G909" s="57" t="s">
        <v>438</v>
      </c>
      <c r="H909" s="140" t="s">
        <v>4103</v>
      </c>
      <c r="I909" s="57"/>
      <c r="J909" s="165">
        <f>L909/K909</f>
        <v>52.083333333333336</v>
      </c>
      <c r="K909" s="57">
        <v>96</v>
      </c>
      <c r="L909" s="164">
        <v>5000</v>
      </c>
    </row>
    <row r="910" spans="2:12" x14ac:dyDescent="0.3">
      <c r="B910" s="57">
        <f t="shared" si="73"/>
        <v>907</v>
      </c>
      <c r="C910" s="147">
        <v>46135</v>
      </c>
      <c r="D910" s="57" t="s">
        <v>968</v>
      </c>
      <c r="E910" s="57" t="s">
        <v>146</v>
      </c>
      <c r="F910" s="57" t="s">
        <v>300</v>
      </c>
      <c r="G910" s="57" t="s">
        <v>438</v>
      </c>
      <c r="H910" s="140" t="s">
        <v>4103</v>
      </c>
      <c r="I910" s="57"/>
      <c r="J910" s="165">
        <f>L910/K910</f>
        <v>52.083333333333336</v>
      </c>
      <c r="K910" s="57">
        <v>96</v>
      </c>
      <c r="L910" s="164">
        <v>5000</v>
      </c>
    </row>
    <row r="911" spans="2:12" x14ac:dyDescent="0.3">
      <c r="B911" s="57">
        <f t="shared" si="73"/>
        <v>908</v>
      </c>
      <c r="C911" s="147">
        <v>46135</v>
      </c>
      <c r="D911" s="57" t="s">
        <v>968</v>
      </c>
      <c r="E911" s="57" t="s">
        <v>146</v>
      </c>
      <c r="F911" s="57" t="s">
        <v>300</v>
      </c>
      <c r="G911" s="57" t="s">
        <v>438</v>
      </c>
      <c r="H911" s="140" t="s">
        <v>4104</v>
      </c>
      <c r="I911" s="57"/>
      <c r="J911" s="165">
        <f>L911/K911</f>
        <v>52.083333333333336</v>
      </c>
      <c r="K911" s="57">
        <v>96</v>
      </c>
      <c r="L911" s="164">
        <v>5000</v>
      </c>
    </row>
    <row r="912" spans="2:12" x14ac:dyDescent="0.3">
      <c r="B912" s="57">
        <f t="shared" si="73"/>
        <v>909</v>
      </c>
      <c r="C912" s="147">
        <v>46135</v>
      </c>
      <c r="D912" s="57" t="s">
        <v>968</v>
      </c>
      <c r="E912" s="57" t="s">
        <v>460</v>
      </c>
      <c r="F912" s="57" t="s">
        <v>446</v>
      </c>
      <c r="G912" s="57" t="s">
        <v>2329</v>
      </c>
      <c r="H912" s="140" t="s">
        <v>1083</v>
      </c>
      <c r="I912" s="57"/>
      <c r="J912" s="57"/>
      <c r="L912" s="164">
        <v>800</v>
      </c>
    </row>
    <row r="913" spans="2:12" x14ac:dyDescent="0.3">
      <c r="B913" s="57">
        <f t="shared" si="73"/>
        <v>910</v>
      </c>
      <c r="C913" s="147">
        <v>46135</v>
      </c>
      <c r="D913" s="57" t="s">
        <v>968</v>
      </c>
      <c r="E913" s="57" t="s">
        <v>595</v>
      </c>
      <c r="F913" s="57" t="s">
        <v>300</v>
      </c>
      <c r="G913" s="57" t="s">
        <v>616</v>
      </c>
      <c r="H913" s="140" t="s">
        <v>1084</v>
      </c>
      <c r="I913" s="57"/>
      <c r="J913" s="57"/>
      <c r="L913" s="164">
        <v>6982</v>
      </c>
    </row>
    <row r="914" spans="2:12" x14ac:dyDescent="0.3">
      <c r="B914" s="57">
        <f t="shared" si="73"/>
        <v>911</v>
      </c>
      <c r="C914" s="143">
        <v>46136</v>
      </c>
      <c r="D914" s="57" t="s">
        <v>435</v>
      </c>
      <c r="E914" s="57" t="s">
        <v>4128</v>
      </c>
      <c r="F914" s="57" t="s">
        <v>300</v>
      </c>
      <c r="G914" s="57" t="s">
        <v>438</v>
      </c>
      <c r="H914" s="140" t="s">
        <v>623</v>
      </c>
      <c r="I914" s="57"/>
      <c r="J914" s="57"/>
      <c r="L914" s="164">
        <v>5000</v>
      </c>
    </row>
    <row r="915" spans="2:12" x14ac:dyDescent="0.3">
      <c r="B915" s="57">
        <f t="shared" si="73"/>
        <v>912</v>
      </c>
      <c r="C915" s="147">
        <v>46136</v>
      </c>
      <c r="D915" s="57" t="s">
        <v>968</v>
      </c>
      <c r="E915" s="57" t="s">
        <v>146</v>
      </c>
      <c r="F915" s="57" t="s">
        <v>300</v>
      </c>
      <c r="G915" s="57" t="s">
        <v>438</v>
      </c>
      <c r="H915" s="140" t="s">
        <v>4104</v>
      </c>
      <c r="I915" s="57"/>
      <c r="J915" s="165">
        <f>L915/K915</f>
        <v>52.083333333333336</v>
      </c>
      <c r="K915" s="57">
        <v>96</v>
      </c>
      <c r="L915" s="164">
        <v>5000</v>
      </c>
    </row>
    <row r="916" spans="2:12" x14ac:dyDescent="0.3">
      <c r="B916" s="57">
        <f t="shared" si="73"/>
        <v>913</v>
      </c>
      <c r="C916" s="147">
        <v>46136</v>
      </c>
      <c r="D916" s="57" t="s">
        <v>968</v>
      </c>
      <c r="E916" s="57" t="s">
        <v>460</v>
      </c>
      <c r="F916" s="57" t="s">
        <v>446</v>
      </c>
      <c r="G916" s="57" t="s">
        <v>2329</v>
      </c>
      <c r="H916" s="140" t="s">
        <v>1083</v>
      </c>
      <c r="I916" s="57"/>
      <c r="J916" s="57"/>
      <c r="L916" s="164">
        <v>800</v>
      </c>
    </row>
    <row r="917" spans="2:12" x14ac:dyDescent="0.3">
      <c r="B917" s="57">
        <f t="shared" si="73"/>
        <v>914</v>
      </c>
      <c r="C917" s="147">
        <v>46136</v>
      </c>
      <c r="D917" s="57" t="s">
        <v>968</v>
      </c>
      <c r="E917" s="57" t="s">
        <v>595</v>
      </c>
      <c r="F917" s="57" t="s">
        <v>300</v>
      </c>
      <c r="G917" s="57" t="s">
        <v>616</v>
      </c>
      <c r="H917" s="140" t="s">
        <v>1084</v>
      </c>
      <c r="I917" s="57"/>
      <c r="J917" s="57"/>
      <c r="L917" s="164">
        <v>6982</v>
      </c>
    </row>
    <row r="918" spans="2:12" x14ac:dyDescent="0.3">
      <c r="B918" s="57">
        <f t="shared" si="73"/>
        <v>915</v>
      </c>
      <c r="C918" s="147">
        <v>46136</v>
      </c>
      <c r="D918" s="57" t="s">
        <v>968</v>
      </c>
      <c r="E918" s="57" t="s">
        <v>532</v>
      </c>
      <c r="F918" s="57" t="s">
        <v>300</v>
      </c>
      <c r="G918" s="57" t="s">
        <v>530</v>
      </c>
      <c r="H918" s="140" t="s">
        <v>1085</v>
      </c>
      <c r="I918" s="57" t="s">
        <v>532</v>
      </c>
      <c r="J918" s="57">
        <v>50</v>
      </c>
      <c r="K918" s="57">
        <v>260</v>
      </c>
      <c r="L918" s="164">
        <v>13000</v>
      </c>
    </row>
    <row r="919" spans="2:12" x14ac:dyDescent="0.3">
      <c r="B919" s="57">
        <f t="shared" si="73"/>
        <v>916</v>
      </c>
      <c r="C919" s="147">
        <v>46136</v>
      </c>
      <c r="D919" s="57" t="s">
        <v>968</v>
      </c>
      <c r="E919" s="57" t="s">
        <v>481</v>
      </c>
      <c r="F919" s="57" t="s">
        <v>446</v>
      </c>
      <c r="G919" s="57" t="s">
        <v>2329</v>
      </c>
      <c r="H919" s="140" t="s">
        <v>1086</v>
      </c>
      <c r="I919" s="57"/>
      <c r="J919" s="57"/>
      <c r="L919" s="164">
        <v>600</v>
      </c>
    </row>
    <row r="920" spans="2:12" x14ac:dyDescent="0.3">
      <c r="B920" s="57">
        <f t="shared" si="73"/>
        <v>917</v>
      </c>
      <c r="C920" s="147">
        <v>46136</v>
      </c>
      <c r="D920" s="57" t="s">
        <v>968</v>
      </c>
      <c r="E920" s="57" t="s">
        <v>958</v>
      </c>
      <c r="F920" s="57" t="s">
        <v>436</v>
      </c>
      <c r="G920" s="57" t="s">
        <v>270</v>
      </c>
      <c r="H920" s="140" t="s">
        <v>1087</v>
      </c>
      <c r="I920" s="57"/>
      <c r="J920" s="57"/>
      <c r="L920" s="164">
        <v>2500</v>
      </c>
    </row>
    <row r="921" spans="2:12" x14ac:dyDescent="0.3">
      <c r="B921" s="57">
        <f t="shared" si="73"/>
        <v>918</v>
      </c>
      <c r="C921" s="147">
        <v>46136</v>
      </c>
      <c r="D921" s="57" t="s">
        <v>968</v>
      </c>
      <c r="E921" s="57" t="s">
        <v>481</v>
      </c>
      <c r="F921" s="57" t="s">
        <v>436</v>
      </c>
      <c r="G921" s="57" t="s">
        <v>987</v>
      </c>
      <c r="H921" s="140" t="s">
        <v>1088</v>
      </c>
      <c r="I921" s="57"/>
      <c r="J921" s="57"/>
      <c r="L921" s="164">
        <v>1500</v>
      </c>
    </row>
    <row r="922" spans="2:12" x14ac:dyDescent="0.3">
      <c r="B922" s="57">
        <f t="shared" si="73"/>
        <v>919</v>
      </c>
      <c r="C922" s="147">
        <v>46136</v>
      </c>
      <c r="D922" s="57" t="s">
        <v>968</v>
      </c>
      <c r="E922" s="57" t="s">
        <v>434</v>
      </c>
      <c r="F922" s="57" t="s">
        <v>300</v>
      </c>
      <c r="G922" s="57" t="s">
        <v>530</v>
      </c>
      <c r="H922" s="140" t="s">
        <v>1089</v>
      </c>
      <c r="I922" s="57"/>
      <c r="J922" s="57"/>
      <c r="L922" s="164">
        <v>700</v>
      </c>
    </row>
    <row r="923" spans="2:12" x14ac:dyDescent="0.3">
      <c r="B923" s="57">
        <f t="shared" si="73"/>
        <v>920</v>
      </c>
      <c r="C923" s="147">
        <v>46136</v>
      </c>
      <c r="D923" s="57" t="s">
        <v>968</v>
      </c>
      <c r="E923" s="57" t="s">
        <v>146</v>
      </c>
      <c r="F923" s="57" t="s">
        <v>446</v>
      </c>
      <c r="G923" s="57" t="s">
        <v>354</v>
      </c>
      <c r="H923" s="140" t="s">
        <v>885</v>
      </c>
      <c r="I923" s="57"/>
      <c r="J923" s="165">
        <f t="shared" ref="J923:J925" si="74">L923/K923</f>
        <v>20.833333333333332</v>
      </c>
      <c r="K923" s="57">
        <v>96</v>
      </c>
      <c r="L923" s="164">
        <v>2000</v>
      </c>
    </row>
    <row r="924" spans="2:12" x14ac:dyDescent="0.3">
      <c r="B924" s="57">
        <f t="shared" si="73"/>
        <v>921</v>
      </c>
      <c r="C924" s="147">
        <v>46136</v>
      </c>
      <c r="D924" s="57" t="s">
        <v>968</v>
      </c>
      <c r="E924" s="57" t="s">
        <v>146</v>
      </c>
      <c r="F924" s="57" t="s">
        <v>446</v>
      </c>
      <c r="G924" s="57" t="s">
        <v>2329</v>
      </c>
      <c r="H924" s="140" t="s">
        <v>1090</v>
      </c>
      <c r="I924" s="57"/>
      <c r="J924" s="165">
        <f t="shared" si="74"/>
        <v>20.833333333333332</v>
      </c>
      <c r="K924" s="57">
        <v>96</v>
      </c>
      <c r="L924" s="164">
        <v>2000</v>
      </c>
    </row>
    <row r="925" spans="2:12" x14ac:dyDescent="0.3">
      <c r="B925" s="57">
        <f t="shared" si="73"/>
        <v>922</v>
      </c>
      <c r="C925" s="147">
        <v>46136</v>
      </c>
      <c r="D925" s="57" t="s">
        <v>968</v>
      </c>
      <c r="E925" s="57" t="s">
        <v>146</v>
      </c>
      <c r="F925" s="57" t="s">
        <v>446</v>
      </c>
      <c r="G925" s="57" t="s">
        <v>354</v>
      </c>
      <c r="H925" s="140" t="s">
        <v>1091</v>
      </c>
      <c r="I925" s="57"/>
      <c r="J925" s="165">
        <f t="shared" si="74"/>
        <v>20.833333333333332</v>
      </c>
      <c r="K925" s="57">
        <v>96</v>
      </c>
      <c r="L925" s="164">
        <v>2000</v>
      </c>
    </row>
    <row r="926" spans="2:12" x14ac:dyDescent="0.3">
      <c r="B926" s="57">
        <f t="shared" si="73"/>
        <v>923</v>
      </c>
      <c r="C926" s="147">
        <v>46136</v>
      </c>
      <c r="D926" s="57" t="s">
        <v>968</v>
      </c>
      <c r="E926" s="57" t="s">
        <v>522</v>
      </c>
      <c r="F926" s="57" t="s">
        <v>300</v>
      </c>
      <c r="G926" s="57" t="s">
        <v>989</v>
      </c>
      <c r="H926" s="140" t="s">
        <v>1092</v>
      </c>
      <c r="I926" s="57"/>
      <c r="J926" s="57"/>
      <c r="L926" s="164">
        <v>2055</v>
      </c>
    </row>
    <row r="927" spans="2:12" x14ac:dyDescent="0.3">
      <c r="B927" s="57">
        <f t="shared" si="73"/>
        <v>924</v>
      </c>
      <c r="C927" s="143">
        <v>46137</v>
      </c>
      <c r="D927" s="57" t="s">
        <v>435</v>
      </c>
      <c r="E927" s="57" t="s">
        <v>595</v>
      </c>
      <c r="F927" s="57" t="s">
        <v>261</v>
      </c>
      <c r="G927" s="57" t="s">
        <v>626</v>
      </c>
      <c r="H927" s="140" t="s">
        <v>625</v>
      </c>
      <c r="I927" s="57"/>
      <c r="J927" s="57"/>
      <c r="L927" s="164">
        <v>3500</v>
      </c>
    </row>
    <row r="928" spans="2:12" x14ac:dyDescent="0.3">
      <c r="B928" s="57">
        <f t="shared" si="73"/>
        <v>925</v>
      </c>
      <c r="C928" s="143">
        <v>46137</v>
      </c>
      <c r="D928" s="57" t="s">
        <v>435</v>
      </c>
      <c r="E928" s="57" t="s">
        <v>522</v>
      </c>
      <c r="F928" s="57" t="s">
        <v>300</v>
      </c>
      <c r="G928" s="57" t="s">
        <v>438</v>
      </c>
      <c r="H928" s="140" t="s">
        <v>624</v>
      </c>
      <c r="I928" s="57"/>
      <c r="J928" s="57"/>
      <c r="L928" s="164">
        <v>3000</v>
      </c>
    </row>
    <row r="929" spans="2:12" x14ac:dyDescent="0.3">
      <c r="B929" s="57">
        <f t="shared" si="73"/>
        <v>926</v>
      </c>
      <c r="C929" s="143">
        <v>46137</v>
      </c>
      <c r="D929" s="57" t="s">
        <v>435</v>
      </c>
      <c r="E929" s="57" t="s">
        <v>532</v>
      </c>
      <c r="F929" s="57" t="s">
        <v>300</v>
      </c>
      <c r="G929" s="57" t="s">
        <v>438</v>
      </c>
      <c r="H929" s="140" t="s">
        <v>610</v>
      </c>
      <c r="I929" s="57" t="s">
        <v>532</v>
      </c>
      <c r="J929" s="57">
        <v>50</v>
      </c>
      <c r="K929" s="57">
        <v>260</v>
      </c>
      <c r="L929" s="164">
        <f>50*260</f>
        <v>13000</v>
      </c>
    </row>
    <row r="930" spans="2:12" x14ac:dyDescent="0.3">
      <c r="B930" s="57">
        <f t="shared" si="73"/>
        <v>927</v>
      </c>
      <c r="C930" s="143">
        <v>46137</v>
      </c>
      <c r="D930" s="57" t="s">
        <v>435</v>
      </c>
      <c r="E930" s="57" t="s">
        <v>146</v>
      </c>
      <c r="F930" s="57" t="s">
        <v>300</v>
      </c>
      <c r="G930" s="57" t="s">
        <v>438</v>
      </c>
      <c r="H930" s="140" t="s">
        <v>4109</v>
      </c>
      <c r="I930" s="57"/>
      <c r="J930" s="165">
        <f t="shared" ref="J930:J931" si="75">L930/K930</f>
        <v>28.333333333333332</v>
      </c>
      <c r="K930" s="57">
        <v>96</v>
      </c>
      <c r="L930" s="164">
        <v>2720</v>
      </c>
    </row>
    <row r="931" spans="2:12" x14ac:dyDescent="0.3">
      <c r="B931" s="57">
        <f t="shared" si="73"/>
        <v>928</v>
      </c>
      <c r="C931" s="143">
        <v>46137</v>
      </c>
      <c r="D931" s="57" t="s">
        <v>435</v>
      </c>
      <c r="E931" s="57" t="s">
        <v>146</v>
      </c>
      <c r="F931" s="57" t="s">
        <v>300</v>
      </c>
      <c r="G931" s="57" t="s">
        <v>438</v>
      </c>
      <c r="H931" s="140" t="s">
        <v>1051</v>
      </c>
      <c r="I931" s="57"/>
      <c r="J931" s="165">
        <f t="shared" si="75"/>
        <v>20.833333333333332</v>
      </c>
      <c r="K931" s="57">
        <v>96</v>
      </c>
      <c r="L931" s="164">
        <v>2000</v>
      </c>
    </row>
    <row r="932" spans="2:12" x14ac:dyDescent="0.3">
      <c r="B932" s="57">
        <f t="shared" si="73"/>
        <v>929</v>
      </c>
      <c r="C932" s="147">
        <v>46137</v>
      </c>
      <c r="D932" s="57" t="s">
        <v>968</v>
      </c>
      <c r="E932" s="57" t="s">
        <v>434</v>
      </c>
      <c r="F932" s="57" t="s">
        <v>300</v>
      </c>
      <c r="G932" s="57" t="s">
        <v>530</v>
      </c>
      <c r="H932" s="140" t="s">
        <v>1093</v>
      </c>
      <c r="I932" s="57"/>
      <c r="J932" s="57"/>
      <c r="L932" s="164">
        <v>200</v>
      </c>
    </row>
    <row r="933" spans="2:12" x14ac:dyDescent="0.3">
      <c r="B933" s="57">
        <f t="shared" si="73"/>
        <v>930</v>
      </c>
      <c r="C933" s="147">
        <v>46137</v>
      </c>
      <c r="D933" s="57" t="s">
        <v>968</v>
      </c>
      <c r="E933" s="57" t="s">
        <v>958</v>
      </c>
      <c r="F933" s="57" t="s">
        <v>300</v>
      </c>
      <c r="G933" s="57" t="s">
        <v>530</v>
      </c>
      <c r="H933" s="140" t="s">
        <v>1094</v>
      </c>
      <c r="I933" s="57"/>
      <c r="J933" s="57"/>
      <c r="L933" s="164">
        <v>6000</v>
      </c>
    </row>
    <row r="934" spans="2:12" x14ac:dyDescent="0.3">
      <c r="B934" s="57">
        <f t="shared" si="73"/>
        <v>931</v>
      </c>
      <c r="C934" s="147">
        <v>46137</v>
      </c>
      <c r="D934" s="57" t="s">
        <v>968</v>
      </c>
      <c r="E934" s="57" t="s">
        <v>767</v>
      </c>
      <c r="F934" s="57" t="s">
        <v>300</v>
      </c>
      <c r="G934" s="57" t="s">
        <v>530</v>
      </c>
      <c r="H934" s="140" t="s">
        <v>1095</v>
      </c>
      <c r="I934" s="57"/>
      <c r="J934" s="57"/>
      <c r="L934" s="164">
        <v>1450</v>
      </c>
    </row>
    <row r="935" spans="2:12" x14ac:dyDescent="0.3">
      <c r="B935" s="57">
        <f t="shared" si="73"/>
        <v>932</v>
      </c>
      <c r="C935" s="147">
        <v>46137</v>
      </c>
      <c r="D935" s="57" t="s">
        <v>968</v>
      </c>
      <c r="E935" s="57" t="s">
        <v>434</v>
      </c>
      <c r="F935" s="57" t="s">
        <v>300</v>
      </c>
      <c r="G935" s="57" t="s">
        <v>530</v>
      </c>
      <c r="H935" s="140" t="s">
        <v>1096</v>
      </c>
      <c r="I935" s="57"/>
      <c r="J935" s="57"/>
      <c r="L935" s="164">
        <v>725</v>
      </c>
    </row>
    <row r="936" spans="2:12" x14ac:dyDescent="0.3">
      <c r="B936" s="57">
        <f t="shared" si="73"/>
        <v>933</v>
      </c>
      <c r="C936" s="147">
        <v>46137</v>
      </c>
      <c r="D936" s="57" t="s">
        <v>968</v>
      </c>
      <c r="E936" s="57" t="s">
        <v>146</v>
      </c>
      <c r="F936" s="57" t="s">
        <v>621</v>
      </c>
      <c r="G936" s="57" t="s">
        <v>345</v>
      </c>
      <c r="H936" s="140" t="s">
        <v>4093</v>
      </c>
      <c r="I936" s="57"/>
      <c r="J936" s="165">
        <f t="shared" ref="J936:J938" si="76">L936/K936</f>
        <v>31.25</v>
      </c>
      <c r="K936" s="57">
        <v>96</v>
      </c>
      <c r="L936" s="164">
        <v>3000</v>
      </c>
    </row>
    <row r="937" spans="2:12" x14ac:dyDescent="0.3">
      <c r="B937" s="57">
        <f t="shared" si="73"/>
        <v>934</v>
      </c>
      <c r="C937" s="147">
        <v>46137</v>
      </c>
      <c r="D937" s="57" t="s">
        <v>968</v>
      </c>
      <c r="E937" s="57" t="s">
        <v>146</v>
      </c>
      <c r="F937" s="57" t="s">
        <v>621</v>
      </c>
      <c r="G937" s="57" t="s">
        <v>345</v>
      </c>
      <c r="H937" s="140" t="s">
        <v>4093</v>
      </c>
      <c r="I937" s="57"/>
      <c r="J937" s="165">
        <f t="shared" si="76"/>
        <v>31.25</v>
      </c>
      <c r="K937" s="57">
        <v>96</v>
      </c>
      <c r="L937" s="164">
        <v>3000</v>
      </c>
    </row>
    <row r="938" spans="2:12" x14ac:dyDescent="0.3">
      <c r="B938" s="57">
        <f t="shared" si="73"/>
        <v>935</v>
      </c>
      <c r="C938" s="147">
        <v>46137</v>
      </c>
      <c r="D938" s="57" t="s">
        <v>968</v>
      </c>
      <c r="E938" s="57" t="s">
        <v>146</v>
      </c>
      <c r="F938" s="57" t="s">
        <v>621</v>
      </c>
      <c r="G938" s="57" t="s">
        <v>345</v>
      </c>
      <c r="H938" s="140" t="s">
        <v>1097</v>
      </c>
      <c r="I938" s="57"/>
      <c r="J938" s="165">
        <f t="shared" si="76"/>
        <v>15.625</v>
      </c>
      <c r="K938" s="57">
        <v>96</v>
      </c>
      <c r="L938" s="164">
        <v>1500</v>
      </c>
    </row>
    <row r="939" spans="2:12" x14ac:dyDescent="0.3">
      <c r="B939" s="57">
        <f t="shared" si="73"/>
        <v>936</v>
      </c>
      <c r="C939" s="147">
        <v>46137</v>
      </c>
      <c r="D939" s="57" t="s">
        <v>968</v>
      </c>
      <c r="E939" s="57" t="s">
        <v>434</v>
      </c>
      <c r="F939" s="57" t="s">
        <v>300</v>
      </c>
      <c r="G939" s="57" t="s">
        <v>438</v>
      </c>
      <c r="H939" s="140" t="s">
        <v>1098</v>
      </c>
      <c r="I939" s="57"/>
      <c r="J939" s="57"/>
      <c r="L939" s="164">
        <v>1600</v>
      </c>
    </row>
    <row r="940" spans="2:12" x14ac:dyDescent="0.3">
      <c r="B940" s="57">
        <f t="shared" si="73"/>
        <v>937</v>
      </c>
      <c r="C940" s="147">
        <v>46137</v>
      </c>
      <c r="D940" s="57" t="s">
        <v>968</v>
      </c>
      <c r="E940" s="57" t="s">
        <v>146</v>
      </c>
      <c r="F940" s="57" t="s">
        <v>300</v>
      </c>
      <c r="G940" s="57" t="s">
        <v>530</v>
      </c>
      <c r="H940" s="140" t="s">
        <v>1099</v>
      </c>
      <c r="I940" s="57"/>
      <c r="J940" s="165">
        <f t="shared" ref="J940:J942" si="77">L940/K940</f>
        <v>20.833333333333332</v>
      </c>
      <c r="K940" s="57">
        <v>96</v>
      </c>
      <c r="L940" s="164">
        <v>2000</v>
      </c>
    </row>
    <row r="941" spans="2:12" x14ac:dyDescent="0.3">
      <c r="B941" s="57">
        <f t="shared" si="73"/>
        <v>938</v>
      </c>
      <c r="C941" s="147">
        <v>46137</v>
      </c>
      <c r="D941" s="57" t="s">
        <v>968</v>
      </c>
      <c r="E941" s="57" t="s">
        <v>146</v>
      </c>
      <c r="F941" s="57" t="s">
        <v>300</v>
      </c>
      <c r="G941" s="57" t="s">
        <v>530</v>
      </c>
      <c r="H941" s="140" t="s">
        <v>4088</v>
      </c>
      <c r="I941" s="57"/>
      <c r="J941" s="165">
        <f t="shared" si="77"/>
        <v>20.833333333333332</v>
      </c>
      <c r="K941" s="57">
        <v>96</v>
      </c>
      <c r="L941" s="164">
        <v>2000</v>
      </c>
    </row>
    <row r="942" spans="2:12" x14ac:dyDescent="0.3">
      <c r="B942" s="57">
        <f t="shared" si="73"/>
        <v>939</v>
      </c>
      <c r="C942" s="147">
        <v>46137</v>
      </c>
      <c r="D942" s="57" t="s">
        <v>968</v>
      </c>
      <c r="E942" s="57" t="s">
        <v>146</v>
      </c>
      <c r="F942" s="57" t="s">
        <v>300</v>
      </c>
      <c r="G942" s="57" t="s">
        <v>530</v>
      </c>
      <c r="H942" s="140" t="s">
        <v>1100</v>
      </c>
      <c r="I942" s="57"/>
      <c r="J942" s="165">
        <f t="shared" si="77"/>
        <v>20.833333333333332</v>
      </c>
      <c r="K942" s="57">
        <v>96</v>
      </c>
      <c r="L942" s="164">
        <v>2000</v>
      </c>
    </row>
    <row r="943" spans="2:12" x14ac:dyDescent="0.3">
      <c r="B943" s="57">
        <f t="shared" si="73"/>
        <v>940</v>
      </c>
      <c r="C943" s="147">
        <v>46138</v>
      </c>
      <c r="D943" s="57" t="s">
        <v>968</v>
      </c>
      <c r="E943" s="57" t="s">
        <v>522</v>
      </c>
      <c r="F943" s="57" t="s">
        <v>621</v>
      </c>
      <c r="G943" s="57" t="s">
        <v>345</v>
      </c>
      <c r="H943" s="140" t="s">
        <v>1101</v>
      </c>
      <c r="I943" s="57"/>
      <c r="J943" s="57"/>
      <c r="L943" s="164">
        <v>240</v>
      </c>
    </row>
    <row r="944" spans="2:12" x14ac:dyDescent="0.3">
      <c r="B944" s="57">
        <f t="shared" si="73"/>
        <v>941</v>
      </c>
      <c r="C944" s="147">
        <v>46138</v>
      </c>
      <c r="D944" s="57" t="s">
        <v>968</v>
      </c>
      <c r="E944" s="57" t="s">
        <v>146</v>
      </c>
      <c r="F944" s="57" t="s">
        <v>300</v>
      </c>
      <c r="G944" s="57" t="s">
        <v>530</v>
      </c>
      <c r="H944" s="140" t="s">
        <v>4115</v>
      </c>
      <c r="I944" s="57"/>
      <c r="J944" s="165">
        <f t="shared" ref="J944:J945" si="78">L944/K944</f>
        <v>20.833333333333332</v>
      </c>
      <c r="K944" s="57">
        <v>96</v>
      </c>
      <c r="L944" s="164">
        <v>2000</v>
      </c>
    </row>
    <row r="945" spans="2:12" x14ac:dyDescent="0.3">
      <c r="B945" s="57">
        <f t="shared" si="73"/>
        <v>942</v>
      </c>
      <c r="C945" s="147">
        <v>46138</v>
      </c>
      <c r="D945" s="57" t="s">
        <v>968</v>
      </c>
      <c r="E945" s="57" t="s">
        <v>146</v>
      </c>
      <c r="F945" s="57" t="s">
        <v>300</v>
      </c>
      <c r="G945" s="57" t="s">
        <v>303</v>
      </c>
      <c r="H945" s="140" t="s">
        <v>4116</v>
      </c>
      <c r="I945" s="57"/>
      <c r="J945" s="165">
        <f t="shared" si="78"/>
        <v>20.833333333333332</v>
      </c>
      <c r="K945" s="57">
        <v>96</v>
      </c>
      <c r="L945" s="164">
        <v>2000</v>
      </c>
    </row>
    <row r="946" spans="2:12" x14ac:dyDescent="0.3">
      <c r="B946" s="57">
        <f t="shared" si="73"/>
        <v>943</v>
      </c>
      <c r="C946" s="147">
        <v>46138</v>
      </c>
      <c r="D946" s="57" t="s">
        <v>968</v>
      </c>
      <c r="E946" s="57" t="s">
        <v>460</v>
      </c>
      <c r="F946" s="57" t="s">
        <v>446</v>
      </c>
      <c r="G946" s="57" t="s">
        <v>2329</v>
      </c>
      <c r="H946" s="140" t="s">
        <v>1102</v>
      </c>
      <c r="I946" s="57"/>
      <c r="J946" s="57"/>
      <c r="L946" s="164">
        <v>1900</v>
      </c>
    </row>
    <row r="947" spans="2:12" x14ac:dyDescent="0.3">
      <c r="B947" s="57">
        <f t="shared" si="73"/>
        <v>944</v>
      </c>
      <c r="C947" s="147">
        <v>46138</v>
      </c>
      <c r="D947" s="57" t="s">
        <v>968</v>
      </c>
      <c r="E947" s="57" t="s">
        <v>146</v>
      </c>
      <c r="F947" s="57" t="s">
        <v>546</v>
      </c>
      <c r="G947" s="57" t="s">
        <v>545</v>
      </c>
      <c r="H947" s="140" t="s">
        <v>1103</v>
      </c>
      <c r="I947" s="57"/>
      <c r="J947" s="165">
        <f t="shared" ref="J947:J952" si="79">L947/K947</f>
        <v>75.739583333333329</v>
      </c>
      <c r="K947" s="57">
        <v>96</v>
      </c>
      <c r="L947" s="164">
        <v>7271</v>
      </c>
    </row>
    <row r="948" spans="2:12" x14ac:dyDescent="0.3">
      <c r="B948" s="57">
        <f t="shared" si="73"/>
        <v>945</v>
      </c>
      <c r="C948" s="147">
        <v>46138</v>
      </c>
      <c r="D948" s="57" t="s">
        <v>968</v>
      </c>
      <c r="E948" s="57" t="s">
        <v>146</v>
      </c>
      <c r="F948" s="57" t="s">
        <v>300</v>
      </c>
      <c r="G948" s="57" t="s">
        <v>530</v>
      </c>
      <c r="H948" s="140" t="s">
        <v>1104</v>
      </c>
      <c r="I948" s="57"/>
      <c r="J948" s="165">
        <f t="shared" si="79"/>
        <v>20.833333333333332</v>
      </c>
      <c r="K948" s="57">
        <v>96</v>
      </c>
      <c r="L948" s="164">
        <v>2000</v>
      </c>
    </row>
    <row r="949" spans="2:12" x14ac:dyDescent="0.3">
      <c r="B949" s="57">
        <f t="shared" si="73"/>
        <v>946</v>
      </c>
      <c r="C949" s="147">
        <v>46138</v>
      </c>
      <c r="D949" s="57" t="s">
        <v>968</v>
      </c>
      <c r="E949" s="57" t="s">
        <v>146</v>
      </c>
      <c r="F949" s="57" t="s">
        <v>300</v>
      </c>
      <c r="G949" s="57" t="s">
        <v>438</v>
      </c>
      <c r="H949" s="140" t="s">
        <v>4110</v>
      </c>
      <c r="I949" s="57"/>
      <c r="J949" s="165">
        <f t="shared" si="79"/>
        <v>20.833333333333332</v>
      </c>
      <c r="K949" s="57">
        <v>96</v>
      </c>
      <c r="L949" s="164">
        <v>2000</v>
      </c>
    </row>
    <row r="950" spans="2:12" x14ac:dyDescent="0.3">
      <c r="B950" s="57">
        <f t="shared" si="73"/>
        <v>947</v>
      </c>
      <c r="C950" s="147">
        <v>46138</v>
      </c>
      <c r="D950" s="57" t="s">
        <v>968</v>
      </c>
      <c r="E950" s="57" t="s">
        <v>146</v>
      </c>
      <c r="F950" s="57" t="s">
        <v>300</v>
      </c>
      <c r="G950" s="57" t="s">
        <v>438</v>
      </c>
      <c r="H950" s="140" t="s">
        <v>4110</v>
      </c>
      <c r="I950" s="57"/>
      <c r="J950" s="165">
        <f t="shared" si="79"/>
        <v>3.6354166666666665</v>
      </c>
      <c r="K950" s="57">
        <v>96</v>
      </c>
      <c r="L950" s="164">
        <v>349</v>
      </c>
    </row>
    <row r="951" spans="2:12" x14ac:dyDescent="0.3">
      <c r="B951" s="57">
        <f t="shared" si="73"/>
        <v>948</v>
      </c>
      <c r="C951" s="147">
        <v>46138</v>
      </c>
      <c r="D951" s="57" t="s">
        <v>968</v>
      </c>
      <c r="E951" s="57" t="s">
        <v>146</v>
      </c>
      <c r="F951" s="57" t="s">
        <v>300</v>
      </c>
      <c r="G951" s="57" t="s">
        <v>530</v>
      </c>
      <c r="H951" s="140" t="s">
        <v>4105</v>
      </c>
      <c r="I951" s="57"/>
      <c r="J951" s="165">
        <f t="shared" si="79"/>
        <v>26.041666666666668</v>
      </c>
      <c r="K951" s="57">
        <v>96</v>
      </c>
      <c r="L951" s="164">
        <v>2500</v>
      </c>
    </row>
    <row r="952" spans="2:12" x14ac:dyDescent="0.3">
      <c r="B952" s="57">
        <f t="shared" si="73"/>
        <v>949</v>
      </c>
      <c r="C952" s="147">
        <v>46138</v>
      </c>
      <c r="D952" s="57" t="s">
        <v>968</v>
      </c>
      <c r="E952" s="57" t="s">
        <v>146</v>
      </c>
      <c r="F952" s="57" t="s">
        <v>446</v>
      </c>
      <c r="G952" s="57" t="s">
        <v>354</v>
      </c>
      <c r="H952" s="140" t="s">
        <v>1105</v>
      </c>
      <c r="I952" s="57"/>
      <c r="J952" s="165">
        <f t="shared" si="79"/>
        <v>20.833333333333332</v>
      </c>
      <c r="K952" s="57">
        <v>96</v>
      </c>
      <c r="L952" s="164">
        <v>2000</v>
      </c>
    </row>
    <row r="953" spans="2:12" x14ac:dyDescent="0.3">
      <c r="B953" s="57">
        <f t="shared" si="73"/>
        <v>950</v>
      </c>
      <c r="C953" s="147">
        <v>46138</v>
      </c>
      <c r="D953" s="57" t="s">
        <v>968</v>
      </c>
      <c r="E953" s="57" t="s">
        <v>595</v>
      </c>
      <c r="F953" s="57" t="s">
        <v>300</v>
      </c>
      <c r="G953" s="57" t="s">
        <v>616</v>
      </c>
      <c r="H953" s="140" t="s">
        <v>1106</v>
      </c>
      <c r="I953" s="57"/>
      <c r="J953" s="57"/>
      <c r="L953" s="164">
        <v>920</v>
      </c>
    </row>
    <row r="954" spans="2:12" x14ac:dyDescent="0.3">
      <c r="B954" s="57">
        <f t="shared" si="73"/>
        <v>951</v>
      </c>
      <c r="C954" s="147">
        <v>46138</v>
      </c>
      <c r="D954" s="57" t="s">
        <v>968</v>
      </c>
      <c r="E954" s="57" t="s">
        <v>595</v>
      </c>
      <c r="F954" s="57" t="s">
        <v>300</v>
      </c>
      <c r="G954" s="57" t="s">
        <v>616</v>
      </c>
      <c r="H954" s="140" t="s">
        <v>1107</v>
      </c>
      <c r="I954" s="57"/>
      <c r="J954" s="57"/>
      <c r="L954" s="164">
        <v>2920</v>
      </c>
    </row>
    <row r="955" spans="2:12" x14ac:dyDescent="0.3">
      <c r="B955" s="57">
        <f t="shared" si="73"/>
        <v>952</v>
      </c>
      <c r="C955" s="147">
        <v>46138</v>
      </c>
      <c r="D955" s="57" t="s">
        <v>968</v>
      </c>
      <c r="E955" s="57" t="s">
        <v>590</v>
      </c>
      <c r="F955" s="57" t="s">
        <v>621</v>
      </c>
      <c r="G955" s="57" t="s">
        <v>345</v>
      </c>
      <c r="H955" s="140" t="s">
        <v>1108</v>
      </c>
      <c r="I955" s="57"/>
      <c r="J955" s="57"/>
      <c r="L955" s="164">
        <v>650</v>
      </c>
    </row>
    <row r="956" spans="2:12" x14ac:dyDescent="0.3">
      <c r="B956" s="57">
        <f t="shared" si="73"/>
        <v>953</v>
      </c>
      <c r="C956" s="147">
        <v>46138</v>
      </c>
      <c r="D956" s="57" t="s">
        <v>968</v>
      </c>
      <c r="E956" s="57" t="s">
        <v>767</v>
      </c>
      <c r="F956" s="57" t="s">
        <v>446</v>
      </c>
      <c r="G956" s="57" t="s">
        <v>2329</v>
      </c>
      <c r="H956" s="140" t="s">
        <v>1109</v>
      </c>
      <c r="I956" s="57"/>
      <c r="J956" s="57"/>
      <c r="L956" s="164">
        <v>300</v>
      </c>
    </row>
    <row r="957" spans="2:12" x14ac:dyDescent="0.3">
      <c r="B957" s="57">
        <f t="shared" si="73"/>
        <v>954</v>
      </c>
      <c r="C957" s="143">
        <v>46139</v>
      </c>
      <c r="D957" s="57" t="s">
        <v>435</v>
      </c>
      <c r="E957" s="57" t="s">
        <v>595</v>
      </c>
      <c r="F957" s="57" t="s">
        <v>261</v>
      </c>
      <c r="G957" s="57" t="s">
        <v>626</v>
      </c>
      <c r="H957" s="140" t="s">
        <v>627</v>
      </c>
      <c r="I957" s="57"/>
      <c r="J957" s="57"/>
      <c r="L957" s="164">
        <v>5400</v>
      </c>
    </row>
    <row r="958" spans="2:12" x14ac:dyDescent="0.3">
      <c r="B958" s="57">
        <f t="shared" si="73"/>
        <v>955</v>
      </c>
      <c r="C958" s="147">
        <v>46139</v>
      </c>
      <c r="D958" s="57" t="s">
        <v>968</v>
      </c>
      <c r="E958" s="57" t="s">
        <v>146</v>
      </c>
      <c r="F958" s="57" t="s">
        <v>300</v>
      </c>
      <c r="G958" s="57" t="s">
        <v>530</v>
      </c>
      <c r="H958" s="140" t="s">
        <v>1110</v>
      </c>
      <c r="I958" s="57"/>
      <c r="J958" s="165">
        <f t="shared" ref="J958:J959" si="80">L958/K958</f>
        <v>20.833333333333332</v>
      </c>
      <c r="K958" s="57">
        <v>96</v>
      </c>
      <c r="L958" s="164">
        <v>2000</v>
      </c>
    </row>
    <row r="959" spans="2:12" x14ac:dyDescent="0.3">
      <c r="B959" s="57">
        <f t="shared" si="73"/>
        <v>956</v>
      </c>
      <c r="C959" s="147">
        <v>46139</v>
      </c>
      <c r="D959" s="57" t="s">
        <v>968</v>
      </c>
      <c r="E959" s="57" t="s">
        <v>146</v>
      </c>
      <c r="F959" s="57" t="s">
        <v>300</v>
      </c>
      <c r="G959" s="57" t="s">
        <v>530</v>
      </c>
      <c r="H959" s="140" t="s">
        <v>1111</v>
      </c>
      <c r="I959" s="57"/>
      <c r="J959" s="165">
        <f t="shared" si="80"/>
        <v>20.833333333333332</v>
      </c>
      <c r="K959" s="57">
        <v>96</v>
      </c>
      <c r="L959" s="164">
        <v>2000</v>
      </c>
    </row>
    <row r="960" spans="2:12" x14ac:dyDescent="0.3">
      <c r="B960" s="57">
        <f t="shared" si="73"/>
        <v>957</v>
      </c>
      <c r="C960" s="147">
        <v>46139</v>
      </c>
      <c r="D960" s="57" t="s">
        <v>968</v>
      </c>
      <c r="E960" s="57" t="s">
        <v>958</v>
      </c>
      <c r="F960" s="57" t="s">
        <v>621</v>
      </c>
      <c r="G960" s="57" t="s">
        <v>345</v>
      </c>
      <c r="H960" s="140" t="s">
        <v>1112</v>
      </c>
      <c r="I960" s="57"/>
      <c r="J960" s="57"/>
      <c r="L960" s="164">
        <v>3000</v>
      </c>
    </row>
    <row r="961" spans="2:12" x14ac:dyDescent="0.3">
      <c r="B961" s="57">
        <f t="shared" si="73"/>
        <v>958</v>
      </c>
      <c r="C961" s="147">
        <v>46139</v>
      </c>
      <c r="D961" s="57" t="s">
        <v>968</v>
      </c>
      <c r="E961" s="57" t="s">
        <v>908</v>
      </c>
      <c r="F961" s="57" t="s">
        <v>300</v>
      </c>
      <c r="G961" s="57" t="s">
        <v>530</v>
      </c>
      <c r="H961" s="140" t="s">
        <v>1113</v>
      </c>
      <c r="I961" s="57"/>
      <c r="J961" s="57"/>
      <c r="L961" s="164">
        <v>5000</v>
      </c>
    </row>
    <row r="962" spans="2:12" x14ac:dyDescent="0.3">
      <c r="B962" s="57">
        <f t="shared" si="73"/>
        <v>959</v>
      </c>
      <c r="C962" s="147">
        <v>46139</v>
      </c>
      <c r="D962" s="57" t="s">
        <v>968</v>
      </c>
      <c r="E962" s="57" t="s">
        <v>590</v>
      </c>
      <c r="F962" s="57" t="s">
        <v>446</v>
      </c>
      <c r="G962" s="57" t="s">
        <v>354</v>
      </c>
      <c r="H962" s="140" t="s">
        <v>1114</v>
      </c>
      <c r="I962" s="57"/>
      <c r="J962" s="57"/>
      <c r="L962" s="164">
        <v>300</v>
      </c>
    </row>
    <row r="963" spans="2:12" x14ac:dyDescent="0.3">
      <c r="B963" s="57">
        <f t="shared" si="73"/>
        <v>960</v>
      </c>
      <c r="C963" s="147">
        <v>46139</v>
      </c>
      <c r="D963" s="57" t="s">
        <v>968</v>
      </c>
      <c r="E963" s="57" t="s">
        <v>574</v>
      </c>
      <c r="F963" s="57" t="s">
        <v>446</v>
      </c>
      <c r="G963" s="57" t="s">
        <v>354</v>
      </c>
      <c r="H963" s="140" t="s">
        <v>4142</v>
      </c>
      <c r="I963" s="140" t="s">
        <v>4117</v>
      </c>
      <c r="J963" s="57">
        <v>4</v>
      </c>
      <c r="K963" s="167">
        <f>L963/J963</f>
        <v>945</v>
      </c>
      <c r="L963" s="164">
        <v>3780</v>
      </c>
    </row>
    <row r="964" spans="2:12" x14ac:dyDescent="0.3">
      <c r="B964" s="57">
        <f t="shared" si="73"/>
        <v>961</v>
      </c>
      <c r="C964" s="147">
        <v>46139</v>
      </c>
      <c r="D964" s="57" t="s">
        <v>968</v>
      </c>
      <c r="E964" s="57" t="s">
        <v>146</v>
      </c>
      <c r="F964" s="57" t="s">
        <v>446</v>
      </c>
      <c r="G964" s="57" t="s">
        <v>990</v>
      </c>
      <c r="H964" s="140" t="s">
        <v>4113</v>
      </c>
      <c r="I964" s="57" t="s">
        <v>146</v>
      </c>
      <c r="J964" s="165">
        <f>L964/K964</f>
        <v>41.666666666666664</v>
      </c>
      <c r="K964" s="57">
        <v>96</v>
      </c>
      <c r="L964" s="164">
        <v>4000</v>
      </c>
    </row>
    <row r="965" spans="2:12" x14ac:dyDescent="0.3">
      <c r="B965" s="57">
        <f t="shared" si="73"/>
        <v>962</v>
      </c>
      <c r="C965" s="147">
        <v>46139</v>
      </c>
      <c r="D965" s="57" t="s">
        <v>968</v>
      </c>
      <c r="E965" s="57" t="s">
        <v>460</v>
      </c>
      <c r="F965" s="57" t="s">
        <v>446</v>
      </c>
      <c r="G965" s="57" t="s">
        <v>354</v>
      </c>
      <c r="H965" s="140" t="s">
        <v>1115</v>
      </c>
      <c r="I965" s="57"/>
      <c r="J965" s="57"/>
      <c r="L965" s="164">
        <v>450</v>
      </c>
    </row>
    <row r="966" spans="2:12" x14ac:dyDescent="0.3">
      <c r="B966" s="57">
        <f t="shared" ref="B966:B1029" si="81">+B965+1</f>
        <v>963</v>
      </c>
      <c r="C966" s="147">
        <v>46139</v>
      </c>
      <c r="D966" s="57" t="s">
        <v>968</v>
      </c>
      <c r="E966" s="57" t="s">
        <v>574</v>
      </c>
      <c r="F966" s="57" t="s">
        <v>446</v>
      </c>
      <c r="G966" s="57" t="s">
        <v>354</v>
      </c>
      <c r="H966" s="140" t="s">
        <v>4142</v>
      </c>
      <c r="I966" s="140" t="s">
        <v>4117</v>
      </c>
      <c r="J966" s="57">
        <v>4.5</v>
      </c>
      <c r="K966" s="167">
        <f>L966/J966</f>
        <v>964</v>
      </c>
      <c r="L966" s="164">
        <v>4338</v>
      </c>
    </row>
    <row r="967" spans="2:12" x14ac:dyDescent="0.3">
      <c r="B967" s="57">
        <f t="shared" si="81"/>
        <v>964</v>
      </c>
      <c r="C967" s="147">
        <v>46139</v>
      </c>
      <c r="D967" s="57" t="s">
        <v>968</v>
      </c>
      <c r="E967" s="57" t="s">
        <v>574</v>
      </c>
      <c r="F967" s="57" t="s">
        <v>446</v>
      </c>
      <c r="G967" s="57" t="s">
        <v>354</v>
      </c>
      <c r="H967" s="140" t="s">
        <v>4142</v>
      </c>
      <c r="I967" s="140" t="s">
        <v>4117</v>
      </c>
      <c r="J967" s="57">
        <v>4.5</v>
      </c>
      <c r="K967" s="167">
        <f>L967/J967</f>
        <v>940</v>
      </c>
      <c r="L967" s="164">
        <v>4230</v>
      </c>
    </row>
    <row r="968" spans="2:12" x14ac:dyDescent="0.3">
      <c r="B968" s="57">
        <f t="shared" si="81"/>
        <v>965</v>
      </c>
      <c r="C968" s="147">
        <v>46140</v>
      </c>
      <c r="D968" s="57" t="s">
        <v>968</v>
      </c>
      <c r="E968" s="57" t="s">
        <v>532</v>
      </c>
      <c r="F968" s="57" t="s">
        <v>546</v>
      </c>
      <c r="G968" s="57" t="s">
        <v>545</v>
      </c>
      <c r="H968" s="140" t="s">
        <v>1116</v>
      </c>
      <c r="I968" s="57" t="s">
        <v>532</v>
      </c>
      <c r="J968" s="57">
        <v>2</v>
      </c>
      <c r="K968" s="57">
        <v>260</v>
      </c>
      <c r="L968" s="164">
        <v>520</v>
      </c>
    </row>
    <row r="969" spans="2:12" x14ac:dyDescent="0.3">
      <c r="B969" s="57">
        <f t="shared" si="81"/>
        <v>966</v>
      </c>
      <c r="C969" s="147">
        <v>46140</v>
      </c>
      <c r="D969" s="57" t="s">
        <v>968</v>
      </c>
      <c r="E969" s="57" t="s">
        <v>146</v>
      </c>
      <c r="F969" s="57" t="s">
        <v>621</v>
      </c>
      <c r="G969" s="57" t="s">
        <v>345</v>
      </c>
      <c r="H969" s="140" t="s">
        <v>4093</v>
      </c>
      <c r="I969" s="57"/>
      <c r="J969" s="165">
        <f>L969/K969</f>
        <v>40.625</v>
      </c>
      <c r="K969" s="57">
        <v>96</v>
      </c>
      <c r="L969" s="164">
        <v>3900</v>
      </c>
    </row>
    <row r="970" spans="2:12" x14ac:dyDescent="0.3">
      <c r="B970" s="57">
        <f t="shared" si="81"/>
        <v>967</v>
      </c>
      <c r="C970" s="147">
        <v>46140</v>
      </c>
      <c r="D970" s="57" t="s">
        <v>968</v>
      </c>
      <c r="E970" s="57" t="s">
        <v>434</v>
      </c>
      <c r="F970" s="57" t="s">
        <v>446</v>
      </c>
      <c r="G970" s="57" t="s">
        <v>313</v>
      </c>
      <c r="H970" s="140" t="s">
        <v>1117</v>
      </c>
      <c r="I970" s="57"/>
      <c r="J970" s="57"/>
      <c r="L970" s="164">
        <v>3090</v>
      </c>
    </row>
    <row r="971" spans="2:12" x14ac:dyDescent="0.3">
      <c r="B971" s="57">
        <f t="shared" si="81"/>
        <v>968</v>
      </c>
      <c r="C971" s="147">
        <v>46140</v>
      </c>
      <c r="D971" s="57" t="s">
        <v>968</v>
      </c>
      <c r="E971" s="57" t="s">
        <v>434</v>
      </c>
      <c r="F971" s="57" t="s">
        <v>546</v>
      </c>
      <c r="G971" s="57" t="s">
        <v>545</v>
      </c>
      <c r="H971" s="140" t="s">
        <v>1118</v>
      </c>
      <c r="I971" s="57"/>
      <c r="J971" s="57"/>
      <c r="L971" s="164">
        <v>4500</v>
      </c>
    </row>
    <row r="972" spans="2:12" x14ac:dyDescent="0.3">
      <c r="B972" s="57">
        <f t="shared" si="81"/>
        <v>969</v>
      </c>
      <c r="C972" s="147">
        <v>46140</v>
      </c>
      <c r="D972" s="57" t="s">
        <v>968</v>
      </c>
      <c r="E972" s="57" t="s">
        <v>434</v>
      </c>
      <c r="F972" s="57" t="s">
        <v>300</v>
      </c>
      <c r="G972" s="57" t="s">
        <v>2327</v>
      </c>
      <c r="H972" s="140" t="s">
        <v>1119</v>
      </c>
      <c r="I972" s="57"/>
      <c r="J972" s="57"/>
      <c r="L972" s="164">
        <v>544</v>
      </c>
    </row>
    <row r="973" spans="2:12" x14ac:dyDescent="0.3">
      <c r="B973" s="57">
        <f t="shared" si="81"/>
        <v>970</v>
      </c>
      <c r="C973" s="147">
        <v>46140</v>
      </c>
      <c r="D973" s="57" t="s">
        <v>968</v>
      </c>
      <c r="E973" s="57" t="s">
        <v>986</v>
      </c>
      <c r="F973" s="57" t="s">
        <v>300</v>
      </c>
      <c r="G973" s="57" t="s">
        <v>498</v>
      </c>
      <c r="H973" s="140" t="s">
        <v>1120</v>
      </c>
      <c r="I973" s="57" t="s">
        <v>986</v>
      </c>
      <c r="J973" s="57">
        <v>10</v>
      </c>
      <c r="L973" s="164">
        <v>900</v>
      </c>
    </row>
    <row r="974" spans="2:12" x14ac:dyDescent="0.3">
      <c r="B974" s="57">
        <f t="shared" si="81"/>
        <v>971</v>
      </c>
      <c r="C974" s="147">
        <v>46140</v>
      </c>
      <c r="D974" s="57" t="s">
        <v>968</v>
      </c>
      <c r="E974" s="57" t="s">
        <v>434</v>
      </c>
      <c r="F974" s="57" t="s">
        <v>546</v>
      </c>
      <c r="G974" s="57" t="s">
        <v>545</v>
      </c>
      <c r="H974" s="140" t="s">
        <v>1121</v>
      </c>
      <c r="I974" s="57"/>
      <c r="J974" s="57"/>
      <c r="L974" s="164">
        <v>450</v>
      </c>
    </row>
    <row r="975" spans="2:12" x14ac:dyDescent="0.3">
      <c r="B975" s="57">
        <f t="shared" si="81"/>
        <v>972</v>
      </c>
      <c r="C975" s="147">
        <v>46140</v>
      </c>
      <c r="D975" s="57" t="s">
        <v>968</v>
      </c>
      <c r="E975" s="57" t="s">
        <v>146</v>
      </c>
      <c r="F975" s="57" t="s">
        <v>446</v>
      </c>
      <c r="G975" s="57" t="s">
        <v>354</v>
      </c>
      <c r="H975" s="140" t="s">
        <v>1122</v>
      </c>
      <c r="I975" s="57"/>
      <c r="J975" s="165">
        <f>L975/K975</f>
        <v>26.041666666666668</v>
      </c>
      <c r="K975" s="57">
        <v>96</v>
      </c>
      <c r="L975" s="164">
        <v>2500</v>
      </c>
    </row>
    <row r="976" spans="2:12" x14ac:dyDescent="0.3">
      <c r="B976" s="57">
        <f t="shared" si="81"/>
        <v>973</v>
      </c>
      <c r="C976" s="147">
        <v>46140</v>
      </c>
      <c r="D976" s="57" t="s">
        <v>968</v>
      </c>
      <c r="E976" s="57" t="s">
        <v>522</v>
      </c>
      <c r="F976" s="57" t="s">
        <v>300</v>
      </c>
      <c r="G976" s="57" t="s">
        <v>989</v>
      </c>
      <c r="H976" s="140" t="s">
        <v>1123</v>
      </c>
      <c r="I976" s="57"/>
      <c r="J976" s="57"/>
      <c r="L976" s="164">
        <v>650</v>
      </c>
    </row>
    <row r="977" spans="2:12" x14ac:dyDescent="0.3">
      <c r="B977" s="57">
        <f t="shared" si="81"/>
        <v>974</v>
      </c>
      <c r="C977" s="147">
        <v>46140</v>
      </c>
      <c r="D977" s="57" t="s">
        <v>968</v>
      </c>
      <c r="E977" s="57" t="s">
        <v>2022</v>
      </c>
      <c r="F977" s="57" t="s">
        <v>446</v>
      </c>
      <c r="G977" s="57" t="s">
        <v>352</v>
      </c>
      <c r="H977" s="140" t="s">
        <v>1124</v>
      </c>
      <c r="I977" s="57"/>
      <c r="J977" s="57"/>
      <c r="L977" s="164">
        <v>1400</v>
      </c>
    </row>
    <row r="978" spans="2:12" x14ac:dyDescent="0.3">
      <c r="B978" s="57">
        <f t="shared" si="81"/>
        <v>975</v>
      </c>
      <c r="C978" s="147">
        <v>46140</v>
      </c>
      <c r="D978" s="57" t="s">
        <v>968</v>
      </c>
      <c r="E978" s="57" t="s">
        <v>146</v>
      </c>
      <c r="F978" s="57" t="s">
        <v>502</v>
      </c>
      <c r="G978" s="57" t="s">
        <v>257</v>
      </c>
      <c r="H978" s="140" t="s">
        <v>4100</v>
      </c>
      <c r="I978" s="57"/>
      <c r="J978" s="165">
        <f t="shared" ref="J978:J981" si="82">L978/K978</f>
        <v>41.145833333333336</v>
      </c>
      <c r="K978" s="57">
        <v>96</v>
      </c>
      <c r="L978" s="164">
        <v>3950</v>
      </c>
    </row>
    <row r="979" spans="2:12" x14ac:dyDescent="0.3">
      <c r="B979" s="57">
        <f t="shared" si="81"/>
        <v>976</v>
      </c>
      <c r="C979" s="147">
        <v>46140</v>
      </c>
      <c r="D979" s="57" t="s">
        <v>968</v>
      </c>
      <c r="E979" s="57" t="s">
        <v>146</v>
      </c>
      <c r="F979" s="57" t="s">
        <v>621</v>
      </c>
      <c r="G979" s="57" t="s">
        <v>345</v>
      </c>
      <c r="H979" s="140" t="s">
        <v>1125</v>
      </c>
      <c r="I979" s="57"/>
      <c r="J979" s="165">
        <f t="shared" si="82"/>
        <v>10.416666666666666</v>
      </c>
      <c r="K979" s="57">
        <v>96</v>
      </c>
      <c r="L979" s="164">
        <v>1000</v>
      </c>
    </row>
    <row r="980" spans="2:12" x14ac:dyDescent="0.3">
      <c r="B980" s="57">
        <f t="shared" si="81"/>
        <v>977</v>
      </c>
      <c r="C980" s="147">
        <v>46140</v>
      </c>
      <c r="D980" s="57" t="s">
        <v>968</v>
      </c>
      <c r="E980" s="57" t="s">
        <v>146</v>
      </c>
      <c r="F980" s="57" t="s">
        <v>300</v>
      </c>
      <c r="G980" s="57" t="s">
        <v>498</v>
      </c>
      <c r="H980" s="140" t="s">
        <v>4088</v>
      </c>
      <c r="I980" s="57"/>
      <c r="J980" s="165">
        <f t="shared" si="82"/>
        <v>6.25</v>
      </c>
      <c r="K980" s="57">
        <v>96</v>
      </c>
      <c r="L980" s="164">
        <v>600</v>
      </c>
    </row>
    <row r="981" spans="2:12" x14ac:dyDescent="0.3">
      <c r="B981" s="57">
        <f t="shared" si="81"/>
        <v>978</v>
      </c>
      <c r="C981" s="147">
        <v>46140</v>
      </c>
      <c r="D981" s="57" t="s">
        <v>968</v>
      </c>
      <c r="E981" s="57" t="s">
        <v>146</v>
      </c>
      <c r="F981" s="57" t="s">
        <v>300</v>
      </c>
      <c r="G981" s="57" t="s">
        <v>530</v>
      </c>
      <c r="H981" s="140" t="s">
        <v>1126</v>
      </c>
      <c r="I981" s="57"/>
      <c r="J981" s="165">
        <f t="shared" si="82"/>
        <v>20.833333333333332</v>
      </c>
      <c r="K981" s="57">
        <v>96</v>
      </c>
      <c r="L981" s="164">
        <v>2000</v>
      </c>
    </row>
    <row r="982" spans="2:12" x14ac:dyDescent="0.3">
      <c r="B982" s="57">
        <f t="shared" si="81"/>
        <v>979</v>
      </c>
      <c r="C982" s="143">
        <v>46141</v>
      </c>
      <c r="D982" s="57" t="s">
        <v>435</v>
      </c>
      <c r="E982" s="57" t="s">
        <v>532</v>
      </c>
      <c r="F982" s="57" t="s">
        <v>446</v>
      </c>
      <c r="G982" s="57" t="s">
        <v>354</v>
      </c>
      <c r="H982" s="140" t="s">
        <v>628</v>
      </c>
      <c r="I982" s="57" t="s">
        <v>532</v>
      </c>
      <c r="J982" s="57">
        <v>18</v>
      </c>
      <c r="K982" s="57">
        <v>270</v>
      </c>
      <c r="L982" s="164">
        <v>4960</v>
      </c>
    </row>
    <row r="983" spans="2:12" x14ac:dyDescent="0.3">
      <c r="B983" s="57">
        <f t="shared" si="81"/>
        <v>980</v>
      </c>
      <c r="C983" s="147">
        <v>46141</v>
      </c>
      <c r="D983" s="57" t="s">
        <v>968</v>
      </c>
      <c r="E983" s="57" t="s">
        <v>560</v>
      </c>
      <c r="F983" s="57" t="s">
        <v>446</v>
      </c>
      <c r="G983" s="57" t="s">
        <v>354</v>
      </c>
      <c r="H983" s="140" t="s">
        <v>1127</v>
      </c>
      <c r="I983" s="57"/>
      <c r="J983" s="57"/>
      <c r="L983" s="164">
        <v>1850</v>
      </c>
    </row>
    <row r="984" spans="2:12" x14ac:dyDescent="0.3">
      <c r="B984" s="57">
        <f t="shared" si="81"/>
        <v>981</v>
      </c>
      <c r="C984" s="147">
        <v>46141</v>
      </c>
      <c r="D984" s="57" t="s">
        <v>968</v>
      </c>
      <c r="E984" s="57" t="s">
        <v>959</v>
      </c>
      <c r="F984" s="57" t="s">
        <v>446</v>
      </c>
      <c r="G984" s="57" t="s">
        <v>354</v>
      </c>
      <c r="H984" s="140" t="s">
        <v>1128</v>
      </c>
      <c r="I984" s="57"/>
      <c r="J984" s="57"/>
      <c r="L984" s="164">
        <v>8000</v>
      </c>
    </row>
    <row r="985" spans="2:12" x14ac:dyDescent="0.3">
      <c r="B985" s="57">
        <f t="shared" si="81"/>
        <v>982</v>
      </c>
      <c r="C985" s="147">
        <v>46141</v>
      </c>
      <c r="D985" s="57" t="s">
        <v>968</v>
      </c>
      <c r="E985" s="57" t="s">
        <v>146</v>
      </c>
      <c r="F985" s="57" t="s">
        <v>300</v>
      </c>
      <c r="G985" s="57" t="s">
        <v>498</v>
      </c>
      <c r="H985" s="140" t="s">
        <v>4088</v>
      </c>
      <c r="I985" s="57"/>
      <c r="J985" s="165">
        <f t="shared" ref="J985:J986" si="83">L985/K985</f>
        <v>4.375</v>
      </c>
      <c r="K985" s="57">
        <v>96</v>
      </c>
      <c r="L985" s="164">
        <v>420</v>
      </c>
    </row>
    <row r="986" spans="2:12" x14ac:dyDescent="0.3">
      <c r="B986" s="57">
        <f t="shared" si="81"/>
        <v>983</v>
      </c>
      <c r="C986" s="147">
        <v>46141</v>
      </c>
      <c r="D986" s="57" t="s">
        <v>968</v>
      </c>
      <c r="E986" s="57" t="s">
        <v>146</v>
      </c>
      <c r="F986" s="57" t="s">
        <v>446</v>
      </c>
      <c r="G986" s="57" t="s">
        <v>354</v>
      </c>
      <c r="H986" s="140" t="s">
        <v>879</v>
      </c>
      <c r="I986" s="57"/>
      <c r="J986" s="165">
        <f t="shared" si="83"/>
        <v>34.697916666666664</v>
      </c>
      <c r="K986" s="57">
        <v>96</v>
      </c>
      <c r="L986" s="164">
        <v>3331</v>
      </c>
    </row>
    <row r="987" spans="2:12" x14ac:dyDescent="0.3">
      <c r="B987" s="57">
        <f t="shared" si="81"/>
        <v>984</v>
      </c>
      <c r="C987" s="147">
        <v>46141</v>
      </c>
      <c r="D987" s="57" t="s">
        <v>968</v>
      </c>
      <c r="E987" s="57" t="s">
        <v>434</v>
      </c>
      <c r="F987" s="57" t="s">
        <v>621</v>
      </c>
      <c r="G987" s="57" t="s">
        <v>345</v>
      </c>
      <c r="H987" s="140" t="s">
        <v>1129</v>
      </c>
      <c r="I987" s="57"/>
      <c r="J987" s="57"/>
      <c r="L987" s="164">
        <v>1850</v>
      </c>
    </row>
    <row r="988" spans="2:12" x14ac:dyDescent="0.3">
      <c r="B988" s="57">
        <f t="shared" si="81"/>
        <v>985</v>
      </c>
      <c r="C988" s="147">
        <v>46141</v>
      </c>
      <c r="D988" s="57" t="s">
        <v>968</v>
      </c>
      <c r="E988" s="57" t="s">
        <v>146</v>
      </c>
      <c r="F988" s="57" t="s">
        <v>300</v>
      </c>
      <c r="G988" s="57" t="s">
        <v>438</v>
      </c>
      <c r="H988" s="140" t="s">
        <v>894</v>
      </c>
      <c r="I988" s="57"/>
      <c r="J988" s="165">
        <f t="shared" ref="J988:J989" si="84">L988/K988</f>
        <v>43.875</v>
      </c>
      <c r="K988" s="57">
        <v>96</v>
      </c>
      <c r="L988" s="164">
        <v>4212</v>
      </c>
    </row>
    <row r="989" spans="2:12" x14ac:dyDescent="0.3">
      <c r="B989" s="57">
        <f t="shared" si="81"/>
        <v>986</v>
      </c>
      <c r="C989" s="147">
        <v>46141</v>
      </c>
      <c r="D989" s="57" t="s">
        <v>968</v>
      </c>
      <c r="E989" s="57" t="s">
        <v>146</v>
      </c>
      <c r="F989" s="57" t="s">
        <v>446</v>
      </c>
      <c r="G989" s="57" t="s">
        <v>990</v>
      </c>
      <c r="H989" s="140" t="s">
        <v>4113</v>
      </c>
      <c r="I989" s="57" t="s">
        <v>146</v>
      </c>
      <c r="J989" s="165">
        <f t="shared" si="84"/>
        <v>20.833333333333332</v>
      </c>
      <c r="K989" s="57">
        <v>96</v>
      </c>
      <c r="L989" s="164">
        <v>2000</v>
      </c>
    </row>
    <row r="990" spans="2:12" x14ac:dyDescent="0.3">
      <c r="B990" s="57">
        <f t="shared" si="81"/>
        <v>987</v>
      </c>
      <c r="C990" s="147">
        <v>46141</v>
      </c>
      <c r="D990" s="57" t="s">
        <v>968</v>
      </c>
      <c r="E990" s="57" t="s">
        <v>434</v>
      </c>
      <c r="F990" s="57" t="s">
        <v>621</v>
      </c>
      <c r="G990" s="57" t="s">
        <v>345</v>
      </c>
      <c r="H990" s="140" t="s">
        <v>1130</v>
      </c>
      <c r="I990" s="57"/>
      <c r="J990" s="57"/>
      <c r="L990" s="164">
        <v>5500</v>
      </c>
    </row>
    <row r="991" spans="2:12" x14ac:dyDescent="0.3">
      <c r="B991" s="57">
        <f t="shared" si="81"/>
        <v>988</v>
      </c>
      <c r="C991" s="147">
        <v>46141</v>
      </c>
      <c r="D991" s="57" t="s">
        <v>968</v>
      </c>
      <c r="E991" s="57" t="s">
        <v>146</v>
      </c>
      <c r="F991" s="57" t="s">
        <v>446</v>
      </c>
      <c r="G991" s="57" t="s">
        <v>354</v>
      </c>
      <c r="H991" s="140" t="s">
        <v>1131</v>
      </c>
      <c r="I991" s="57"/>
      <c r="J991" s="165">
        <f t="shared" ref="J991:J994" si="85">L991/K991</f>
        <v>20.833333333333332</v>
      </c>
      <c r="K991" s="57">
        <v>96</v>
      </c>
      <c r="L991" s="164">
        <v>2000</v>
      </c>
    </row>
    <row r="992" spans="2:12" x14ac:dyDescent="0.3">
      <c r="B992" s="57">
        <f t="shared" si="81"/>
        <v>989</v>
      </c>
      <c r="C992" s="147">
        <v>46141</v>
      </c>
      <c r="D992" s="57" t="s">
        <v>968</v>
      </c>
      <c r="E992" s="57" t="s">
        <v>146</v>
      </c>
      <c r="F992" s="57" t="s">
        <v>446</v>
      </c>
      <c r="G992" s="57" t="s">
        <v>354</v>
      </c>
      <c r="H992" s="140" t="s">
        <v>1132</v>
      </c>
      <c r="I992" s="57"/>
      <c r="J992" s="165">
        <f t="shared" si="85"/>
        <v>20.833333333333332</v>
      </c>
      <c r="K992" s="57">
        <v>96</v>
      </c>
      <c r="L992" s="164">
        <v>2000</v>
      </c>
    </row>
    <row r="993" spans="2:12" x14ac:dyDescent="0.3">
      <c r="B993" s="57">
        <f t="shared" si="81"/>
        <v>990</v>
      </c>
      <c r="C993" s="147">
        <v>46141</v>
      </c>
      <c r="D993" s="57" t="s">
        <v>968</v>
      </c>
      <c r="E993" s="57" t="s">
        <v>146</v>
      </c>
      <c r="F993" s="57" t="s">
        <v>621</v>
      </c>
      <c r="G993" s="57" t="s">
        <v>345</v>
      </c>
      <c r="H993" s="140" t="s">
        <v>1133</v>
      </c>
      <c r="I993" s="57"/>
      <c r="J993" s="165">
        <f t="shared" si="85"/>
        <v>10.416666666666666</v>
      </c>
      <c r="K993" s="57">
        <v>96</v>
      </c>
      <c r="L993" s="164">
        <v>1000</v>
      </c>
    </row>
    <row r="994" spans="2:12" x14ac:dyDescent="0.3">
      <c r="B994" s="57">
        <f t="shared" si="81"/>
        <v>991</v>
      </c>
      <c r="C994" s="147">
        <v>46141</v>
      </c>
      <c r="D994" s="57" t="s">
        <v>968</v>
      </c>
      <c r="E994" s="57" t="s">
        <v>146</v>
      </c>
      <c r="F994" s="57" t="s">
        <v>436</v>
      </c>
      <c r="G994" s="57" t="s">
        <v>987</v>
      </c>
      <c r="H994" s="140" t="s">
        <v>4105</v>
      </c>
      <c r="I994" s="57"/>
      <c r="J994" s="165">
        <f t="shared" si="85"/>
        <v>20.833333333333332</v>
      </c>
      <c r="K994" s="57">
        <v>96</v>
      </c>
      <c r="L994" s="164">
        <v>2000</v>
      </c>
    </row>
    <row r="995" spans="2:12" x14ac:dyDescent="0.3">
      <c r="B995" s="57">
        <f t="shared" si="81"/>
        <v>992</v>
      </c>
      <c r="C995" s="147">
        <v>46141</v>
      </c>
      <c r="D995" s="57" t="s">
        <v>968</v>
      </c>
      <c r="E995" s="57" t="s">
        <v>434</v>
      </c>
      <c r="F995" s="57" t="s">
        <v>436</v>
      </c>
      <c r="G995" s="57" t="s">
        <v>987</v>
      </c>
      <c r="H995" s="140" t="s">
        <v>1134</v>
      </c>
      <c r="I995" s="57"/>
      <c r="J995" s="57"/>
      <c r="L995" s="164">
        <v>250</v>
      </c>
    </row>
    <row r="996" spans="2:12" x14ac:dyDescent="0.3">
      <c r="B996" s="57">
        <f t="shared" si="81"/>
        <v>993</v>
      </c>
      <c r="C996" s="147">
        <v>46141</v>
      </c>
      <c r="D996" s="57" t="s">
        <v>968</v>
      </c>
      <c r="E996" s="57" t="s">
        <v>146</v>
      </c>
      <c r="F996" s="57" t="s">
        <v>300</v>
      </c>
      <c r="G996" s="57" t="s">
        <v>2327</v>
      </c>
      <c r="H996" s="140" t="s">
        <v>1051</v>
      </c>
      <c r="I996" s="57"/>
      <c r="J996" s="165">
        <f t="shared" ref="J996:J997" si="86">L996/K996</f>
        <v>20.833333333333332</v>
      </c>
      <c r="K996" s="57">
        <v>96</v>
      </c>
      <c r="L996" s="164">
        <v>2000</v>
      </c>
    </row>
    <row r="997" spans="2:12" x14ac:dyDescent="0.3">
      <c r="B997" s="57">
        <f t="shared" si="81"/>
        <v>994</v>
      </c>
      <c r="C997" s="147">
        <v>46141</v>
      </c>
      <c r="D997" s="57" t="s">
        <v>968</v>
      </c>
      <c r="E997" s="57" t="s">
        <v>146</v>
      </c>
      <c r="F997" s="57" t="s">
        <v>300</v>
      </c>
      <c r="G997" s="57" t="s">
        <v>530</v>
      </c>
      <c r="H997" s="140" t="s">
        <v>1135</v>
      </c>
      <c r="I997" s="57"/>
      <c r="J997" s="165">
        <f t="shared" si="86"/>
        <v>18.958333333333332</v>
      </c>
      <c r="K997" s="57">
        <v>96</v>
      </c>
      <c r="L997" s="164">
        <v>1820</v>
      </c>
    </row>
    <row r="998" spans="2:12" x14ac:dyDescent="0.3">
      <c r="B998" s="57">
        <f t="shared" si="81"/>
        <v>995</v>
      </c>
      <c r="C998" s="147">
        <v>46142</v>
      </c>
      <c r="D998" s="57" t="s">
        <v>968</v>
      </c>
      <c r="E998" s="57" t="s">
        <v>560</v>
      </c>
      <c r="F998" s="57" t="s">
        <v>446</v>
      </c>
      <c r="G998" s="57" t="s">
        <v>313</v>
      </c>
      <c r="H998" s="140" t="s">
        <v>1136</v>
      </c>
      <c r="I998" s="57"/>
      <c r="J998" s="57"/>
      <c r="L998" s="164">
        <v>250</v>
      </c>
    </row>
    <row r="999" spans="2:12" x14ac:dyDescent="0.3">
      <c r="B999" s="57">
        <f t="shared" si="81"/>
        <v>996</v>
      </c>
      <c r="C999" s="147">
        <v>46142</v>
      </c>
      <c r="D999" s="57" t="s">
        <v>968</v>
      </c>
      <c r="E999" s="57" t="s">
        <v>434</v>
      </c>
      <c r="F999" s="57" t="s">
        <v>300</v>
      </c>
      <c r="G999" s="57" t="s">
        <v>498</v>
      </c>
      <c r="H999" s="140" t="s">
        <v>1137</v>
      </c>
      <c r="I999" s="57"/>
      <c r="J999" s="57"/>
      <c r="L999" s="164">
        <v>160</v>
      </c>
    </row>
    <row r="1000" spans="2:12" x14ac:dyDescent="0.3">
      <c r="B1000" s="57">
        <f t="shared" si="81"/>
        <v>997</v>
      </c>
      <c r="C1000" s="147">
        <v>46142</v>
      </c>
      <c r="D1000" s="57" t="s">
        <v>968</v>
      </c>
      <c r="E1000" s="57" t="s">
        <v>986</v>
      </c>
      <c r="F1000" s="57" t="s">
        <v>300</v>
      </c>
      <c r="G1000" s="57" t="s">
        <v>498</v>
      </c>
      <c r="H1000" s="140" t="s">
        <v>1138</v>
      </c>
      <c r="I1000" s="57" t="s">
        <v>986</v>
      </c>
      <c r="J1000" s="57">
        <v>5</v>
      </c>
      <c r="L1000" s="164">
        <v>450</v>
      </c>
    </row>
    <row r="1001" spans="2:12" x14ac:dyDescent="0.3">
      <c r="B1001" s="57">
        <f t="shared" si="81"/>
        <v>998</v>
      </c>
      <c r="C1001" s="147">
        <v>46142</v>
      </c>
      <c r="D1001" s="57" t="s">
        <v>968</v>
      </c>
      <c r="E1001" s="57" t="s">
        <v>146</v>
      </c>
      <c r="F1001" s="57" t="s">
        <v>300</v>
      </c>
      <c r="G1001" s="57" t="s">
        <v>498</v>
      </c>
      <c r="H1001" s="140" t="s">
        <v>4088</v>
      </c>
      <c r="I1001" s="57"/>
      <c r="J1001" s="165">
        <f>L1001/K1001</f>
        <v>19.864583333333332</v>
      </c>
      <c r="K1001" s="57">
        <v>96</v>
      </c>
      <c r="L1001" s="164">
        <v>1907</v>
      </c>
    </row>
    <row r="1002" spans="2:12" x14ac:dyDescent="0.3">
      <c r="B1002" s="57">
        <f t="shared" si="81"/>
        <v>999</v>
      </c>
      <c r="C1002" s="147">
        <v>46142</v>
      </c>
      <c r="D1002" s="57" t="s">
        <v>968</v>
      </c>
      <c r="E1002" s="57" t="s">
        <v>574</v>
      </c>
      <c r="F1002" s="57" t="s">
        <v>436</v>
      </c>
      <c r="G1002" s="57" t="s">
        <v>987</v>
      </c>
      <c r="H1002" s="140" t="s">
        <v>1139</v>
      </c>
      <c r="I1002" s="140" t="s">
        <v>4081</v>
      </c>
      <c r="J1002" s="57">
        <v>4</v>
      </c>
      <c r="K1002" s="167">
        <f>L1002/J1002</f>
        <v>450</v>
      </c>
      <c r="L1002" s="164">
        <v>1800</v>
      </c>
    </row>
    <row r="1003" spans="2:12" x14ac:dyDescent="0.3">
      <c r="B1003" s="57">
        <f t="shared" si="81"/>
        <v>1000</v>
      </c>
      <c r="C1003" s="147">
        <v>46142</v>
      </c>
      <c r="D1003" s="57" t="s">
        <v>968</v>
      </c>
      <c r="E1003" s="57" t="s">
        <v>574</v>
      </c>
      <c r="F1003" s="57" t="s">
        <v>436</v>
      </c>
      <c r="G1003" s="57" t="s">
        <v>987</v>
      </c>
      <c r="H1003" s="140" t="s">
        <v>1139</v>
      </c>
      <c r="I1003" s="140" t="s">
        <v>4081</v>
      </c>
      <c r="J1003" s="57">
        <v>4</v>
      </c>
      <c r="K1003" s="57">
        <f>L1003/J1003</f>
        <v>450</v>
      </c>
      <c r="L1003" s="164">
        <v>1800</v>
      </c>
    </row>
    <row r="1004" spans="2:12" x14ac:dyDescent="0.3">
      <c r="B1004" s="57">
        <f t="shared" si="81"/>
        <v>1001</v>
      </c>
      <c r="C1004" s="147">
        <v>46142</v>
      </c>
      <c r="D1004" s="57" t="s">
        <v>968</v>
      </c>
      <c r="E1004" s="57" t="s">
        <v>146</v>
      </c>
      <c r="F1004" s="57" t="s">
        <v>446</v>
      </c>
      <c r="G1004" s="57" t="s">
        <v>2329</v>
      </c>
      <c r="H1004" s="140" t="s">
        <v>1140</v>
      </c>
      <c r="I1004" s="57"/>
      <c r="J1004" s="165">
        <f>L1004/K1004</f>
        <v>20.833333333333332</v>
      </c>
      <c r="K1004" s="57">
        <v>96</v>
      </c>
      <c r="L1004" s="164">
        <v>2000</v>
      </c>
    </row>
    <row r="1005" spans="2:12" x14ac:dyDescent="0.3">
      <c r="B1005" s="57">
        <f t="shared" si="81"/>
        <v>1002</v>
      </c>
      <c r="C1005" s="147">
        <v>46142</v>
      </c>
      <c r="D1005" s="57" t="s">
        <v>968</v>
      </c>
      <c r="E1005" s="57" t="s">
        <v>958</v>
      </c>
      <c r="F1005" s="57" t="s">
        <v>446</v>
      </c>
      <c r="G1005" s="57" t="s">
        <v>359</v>
      </c>
      <c r="H1005" s="140" t="s">
        <v>1141</v>
      </c>
      <c r="I1005" s="57"/>
      <c r="J1005" s="57"/>
      <c r="L1005" s="164">
        <v>3000</v>
      </c>
    </row>
    <row r="1006" spans="2:12" x14ac:dyDescent="0.3">
      <c r="B1006" s="57">
        <f t="shared" si="81"/>
        <v>1003</v>
      </c>
      <c r="C1006" s="147">
        <v>46142</v>
      </c>
      <c r="D1006" s="57" t="s">
        <v>968</v>
      </c>
      <c r="E1006" s="57" t="s">
        <v>767</v>
      </c>
      <c r="F1006" s="57" t="s">
        <v>300</v>
      </c>
      <c r="G1006" s="57" t="s">
        <v>498</v>
      </c>
      <c r="H1006" s="140" t="s">
        <v>1142</v>
      </c>
      <c r="I1006" s="57"/>
      <c r="J1006" s="57"/>
      <c r="L1006" s="164">
        <v>150</v>
      </c>
    </row>
    <row r="1007" spans="2:12" x14ac:dyDescent="0.3">
      <c r="B1007" s="57">
        <f t="shared" si="81"/>
        <v>1004</v>
      </c>
      <c r="C1007" s="147">
        <v>46142</v>
      </c>
      <c r="D1007" s="57" t="s">
        <v>968</v>
      </c>
      <c r="E1007" s="57" t="s">
        <v>960</v>
      </c>
      <c r="F1007" s="57" t="s">
        <v>300</v>
      </c>
      <c r="G1007" s="57" t="s">
        <v>530</v>
      </c>
      <c r="H1007" s="140" t="s">
        <v>1143</v>
      </c>
      <c r="I1007" s="57"/>
      <c r="J1007" s="57"/>
      <c r="L1007" s="164">
        <v>500</v>
      </c>
    </row>
    <row r="1008" spans="2:12" x14ac:dyDescent="0.3">
      <c r="B1008" s="57">
        <f t="shared" si="81"/>
        <v>1005</v>
      </c>
      <c r="C1008" s="147">
        <v>46142</v>
      </c>
      <c r="D1008" s="57" t="s">
        <v>968</v>
      </c>
      <c r="E1008" s="57" t="s">
        <v>595</v>
      </c>
      <c r="F1008" s="57" t="s">
        <v>261</v>
      </c>
      <c r="G1008" s="57" t="s">
        <v>594</v>
      </c>
      <c r="H1008" s="140" t="s">
        <v>1144</v>
      </c>
      <c r="I1008" s="57"/>
      <c r="J1008" s="57"/>
      <c r="L1008" s="164">
        <v>7020</v>
      </c>
    </row>
    <row r="1009" spans="2:12" x14ac:dyDescent="0.3">
      <c r="B1009" s="57">
        <f t="shared" si="81"/>
        <v>1006</v>
      </c>
      <c r="C1009" s="147">
        <v>46142</v>
      </c>
      <c r="D1009" s="57" t="s">
        <v>968</v>
      </c>
      <c r="E1009" s="57" t="s">
        <v>767</v>
      </c>
      <c r="F1009" s="57" t="s">
        <v>300</v>
      </c>
      <c r="G1009" s="57" t="s">
        <v>498</v>
      </c>
      <c r="H1009" s="140" t="s">
        <v>1145</v>
      </c>
      <c r="I1009" s="57"/>
      <c r="J1009" s="57"/>
      <c r="L1009" s="164">
        <v>250</v>
      </c>
    </row>
    <row r="1010" spans="2:12" x14ac:dyDescent="0.3">
      <c r="B1010" s="57">
        <f t="shared" si="81"/>
        <v>1007</v>
      </c>
      <c r="C1010" s="147">
        <v>46142</v>
      </c>
      <c r="D1010" s="57" t="s">
        <v>968</v>
      </c>
      <c r="E1010" s="57" t="s">
        <v>146</v>
      </c>
      <c r="F1010" s="57" t="s">
        <v>300</v>
      </c>
      <c r="G1010" s="57" t="s">
        <v>530</v>
      </c>
      <c r="H1010" s="140" t="s">
        <v>4088</v>
      </c>
      <c r="I1010" s="57"/>
      <c r="J1010" s="165">
        <f t="shared" ref="J1010:J1011" si="87">L1010/K1010</f>
        <v>35.4375</v>
      </c>
      <c r="K1010" s="57">
        <v>96</v>
      </c>
      <c r="L1010" s="164">
        <v>3402</v>
      </c>
    </row>
    <row r="1011" spans="2:12" x14ac:dyDescent="0.3">
      <c r="B1011" s="57">
        <f t="shared" si="81"/>
        <v>1008</v>
      </c>
      <c r="C1011" s="147">
        <v>46142</v>
      </c>
      <c r="D1011" s="57" t="s">
        <v>968</v>
      </c>
      <c r="E1011" s="57" t="s">
        <v>146</v>
      </c>
      <c r="F1011" s="57" t="s">
        <v>621</v>
      </c>
      <c r="G1011" s="57" t="s">
        <v>345</v>
      </c>
      <c r="H1011" s="140" t="s">
        <v>1146</v>
      </c>
      <c r="I1011" s="57"/>
      <c r="J1011" s="165">
        <f t="shared" si="87"/>
        <v>10.416666666666666</v>
      </c>
      <c r="K1011" s="57">
        <v>96</v>
      </c>
      <c r="L1011" s="164">
        <v>1000</v>
      </c>
    </row>
    <row r="1012" spans="2:12" x14ac:dyDescent="0.3">
      <c r="B1012" s="57">
        <f t="shared" si="81"/>
        <v>1009</v>
      </c>
      <c r="C1012" s="147">
        <v>46142</v>
      </c>
      <c r="D1012" s="57" t="s">
        <v>968</v>
      </c>
      <c r="E1012" s="57" t="s">
        <v>2022</v>
      </c>
      <c r="F1012" s="57" t="s">
        <v>300</v>
      </c>
      <c r="G1012" s="57" t="s">
        <v>530</v>
      </c>
      <c r="H1012" s="140" t="s">
        <v>1147</v>
      </c>
      <c r="I1012" s="57"/>
      <c r="J1012" s="57"/>
      <c r="L1012" s="164">
        <v>2400</v>
      </c>
    </row>
    <row r="1013" spans="2:12" x14ac:dyDescent="0.3">
      <c r="B1013" s="57">
        <f t="shared" si="81"/>
        <v>1010</v>
      </c>
      <c r="C1013" s="143">
        <v>46143</v>
      </c>
      <c r="D1013" s="57" t="s">
        <v>435</v>
      </c>
      <c r="E1013" s="57" t="s">
        <v>146</v>
      </c>
      <c r="F1013" s="57" t="s">
        <v>300</v>
      </c>
      <c r="G1013" s="57" t="s">
        <v>585</v>
      </c>
      <c r="H1013" s="140" t="s">
        <v>146</v>
      </c>
      <c r="I1013" s="57"/>
      <c r="J1013" s="165">
        <f>L1013/K1013</f>
        <v>41.666666666666664</v>
      </c>
      <c r="K1013" s="57">
        <v>96</v>
      </c>
      <c r="L1013" s="164">
        <v>4000</v>
      </c>
    </row>
    <row r="1014" spans="2:12" x14ac:dyDescent="0.3">
      <c r="B1014" s="57">
        <f t="shared" si="81"/>
        <v>1011</v>
      </c>
      <c r="C1014" s="143">
        <v>46143</v>
      </c>
      <c r="D1014" s="57" t="s">
        <v>435</v>
      </c>
      <c r="E1014" s="57" t="s">
        <v>4008</v>
      </c>
      <c r="F1014" s="57" t="s">
        <v>300</v>
      </c>
      <c r="G1014" s="57" t="s">
        <v>585</v>
      </c>
      <c r="H1014" s="140" t="s">
        <v>645</v>
      </c>
      <c r="I1014" s="57"/>
      <c r="J1014" s="57"/>
      <c r="L1014" s="164">
        <f>2000*10</f>
        <v>20000</v>
      </c>
    </row>
    <row r="1015" spans="2:12" x14ac:dyDescent="0.3">
      <c r="B1015" s="57">
        <f t="shared" si="81"/>
        <v>1012</v>
      </c>
      <c r="C1015" s="146">
        <v>46143</v>
      </c>
      <c r="D1015" s="152" t="s">
        <v>435</v>
      </c>
      <c r="E1015" s="57" t="s">
        <v>782</v>
      </c>
      <c r="F1015" s="57" t="s">
        <v>300</v>
      </c>
      <c r="G1015" s="57" t="s">
        <v>438</v>
      </c>
      <c r="H1015" s="140" t="s">
        <v>978</v>
      </c>
      <c r="I1015" s="57"/>
      <c r="J1015" s="57"/>
      <c r="L1015" s="164">
        <v>1367510</v>
      </c>
    </row>
    <row r="1016" spans="2:12" x14ac:dyDescent="0.3">
      <c r="B1016" s="57">
        <f t="shared" si="81"/>
        <v>1013</v>
      </c>
      <c r="C1016" s="146">
        <v>46143</v>
      </c>
      <c r="D1016" s="152" t="s">
        <v>435</v>
      </c>
      <c r="E1016" s="57" t="s">
        <v>4008</v>
      </c>
      <c r="F1016" s="57" t="s">
        <v>300</v>
      </c>
      <c r="G1016" s="57" t="s">
        <v>438</v>
      </c>
      <c r="H1016" s="140" t="s">
        <v>977</v>
      </c>
      <c r="I1016" s="57"/>
      <c r="J1016" s="57"/>
      <c r="L1016" s="164">
        <v>658167</v>
      </c>
    </row>
    <row r="1017" spans="2:12" x14ac:dyDescent="0.3">
      <c r="B1017" s="57">
        <f t="shared" si="81"/>
        <v>1014</v>
      </c>
      <c r="C1017" s="147">
        <v>46143</v>
      </c>
      <c r="D1017" s="57" t="s">
        <v>968</v>
      </c>
      <c r="E1017" s="57" t="s">
        <v>146</v>
      </c>
      <c r="F1017" s="57" t="s">
        <v>300</v>
      </c>
      <c r="G1017" s="57" t="s">
        <v>530</v>
      </c>
      <c r="H1017" s="140" t="s">
        <v>1148</v>
      </c>
      <c r="I1017" s="57"/>
      <c r="J1017" s="165">
        <f>L1017/K1017</f>
        <v>51.041666666666664</v>
      </c>
      <c r="K1017" s="57">
        <v>96</v>
      </c>
      <c r="L1017" s="164">
        <v>4900</v>
      </c>
    </row>
    <row r="1018" spans="2:12" x14ac:dyDescent="0.3">
      <c r="B1018" s="57">
        <f t="shared" si="81"/>
        <v>1015</v>
      </c>
      <c r="C1018" s="147">
        <v>46143</v>
      </c>
      <c r="D1018" s="57" t="s">
        <v>968</v>
      </c>
      <c r="E1018" s="57" t="s">
        <v>481</v>
      </c>
      <c r="F1018" s="57" t="s">
        <v>446</v>
      </c>
      <c r="G1018" s="57" t="s">
        <v>313</v>
      </c>
      <c r="H1018" s="140" t="s">
        <v>1149</v>
      </c>
      <c r="I1018" s="57"/>
      <c r="J1018" s="57"/>
      <c r="L1018" s="164">
        <v>500</v>
      </c>
    </row>
    <row r="1019" spans="2:12" x14ac:dyDescent="0.3">
      <c r="B1019" s="57">
        <f t="shared" si="81"/>
        <v>1016</v>
      </c>
      <c r="C1019" s="147">
        <v>46143</v>
      </c>
      <c r="D1019" s="57" t="s">
        <v>968</v>
      </c>
      <c r="E1019" s="57" t="s">
        <v>958</v>
      </c>
      <c r="F1019" s="57" t="s">
        <v>446</v>
      </c>
      <c r="G1019" s="57" t="s">
        <v>359</v>
      </c>
      <c r="H1019" s="140" t="s">
        <v>1150</v>
      </c>
      <c r="I1019" s="57"/>
      <c r="J1019" s="57"/>
      <c r="L1019" s="164">
        <v>1000</v>
      </c>
    </row>
    <row r="1020" spans="2:12" x14ac:dyDescent="0.3">
      <c r="B1020" s="57">
        <f t="shared" si="81"/>
        <v>1017</v>
      </c>
      <c r="C1020" s="147">
        <v>46143</v>
      </c>
      <c r="D1020" s="57" t="s">
        <v>968</v>
      </c>
      <c r="E1020" s="57" t="s">
        <v>908</v>
      </c>
      <c r="F1020" s="57" t="s">
        <v>446</v>
      </c>
      <c r="G1020" s="57" t="s">
        <v>354</v>
      </c>
      <c r="H1020" s="140" t="s">
        <v>1151</v>
      </c>
      <c r="I1020" s="57"/>
      <c r="J1020" s="57"/>
      <c r="L1020" s="164">
        <v>15000</v>
      </c>
    </row>
    <row r="1021" spans="2:12" x14ac:dyDescent="0.3">
      <c r="B1021" s="57">
        <f t="shared" si="81"/>
        <v>1018</v>
      </c>
      <c r="C1021" s="147">
        <v>46143</v>
      </c>
      <c r="D1021" s="57" t="s">
        <v>968</v>
      </c>
      <c r="E1021" s="57" t="s">
        <v>460</v>
      </c>
      <c r="F1021" s="57" t="s">
        <v>446</v>
      </c>
      <c r="G1021" s="57" t="s">
        <v>313</v>
      </c>
      <c r="H1021" s="140" t="s">
        <v>1152</v>
      </c>
      <c r="I1021" s="57"/>
      <c r="J1021" s="57"/>
      <c r="L1021" s="164">
        <v>400</v>
      </c>
    </row>
    <row r="1022" spans="2:12" x14ac:dyDescent="0.3">
      <c r="B1022" s="57">
        <f t="shared" si="81"/>
        <v>1019</v>
      </c>
      <c r="C1022" s="147">
        <v>46143</v>
      </c>
      <c r="D1022" s="57" t="s">
        <v>968</v>
      </c>
      <c r="E1022" s="57" t="s">
        <v>4128</v>
      </c>
      <c r="F1022" s="57" t="s">
        <v>446</v>
      </c>
      <c r="G1022" s="57" t="s">
        <v>990</v>
      </c>
      <c r="H1022" s="140" t="s">
        <v>1153</v>
      </c>
      <c r="I1022" s="57"/>
      <c r="J1022" s="57"/>
      <c r="L1022" s="164">
        <v>3500</v>
      </c>
    </row>
    <row r="1023" spans="2:12" x14ac:dyDescent="0.3">
      <c r="B1023" s="57">
        <f t="shared" si="81"/>
        <v>1020</v>
      </c>
      <c r="C1023" s="147">
        <v>46143</v>
      </c>
      <c r="D1023" s="57" t="s">
        <v>968</v>
      </c>
      <c r="E1023" s="57" t="s">
        <v>146</v>
      </c>
      <c r="F1023" s="57" t="s">
        <v>446</v>
      </c>
      <c r="G1023" s="57" t="s">
        <v>354</v>
      </c>
      <c r="H1023" s="140" t="s">
        <v>879</v>
      </c>
      <c r="I1023" s="57"/>
      <c r="J1023" s="165">
        <f t="shared" ref="J1023:J1026" si="88">L1023/K1023</f>
        <v>20.833333333333332</v>
      </c>
      <c r="K1023" s="57">
        <v>96</v>
      </c>
      <c r="L1023" s="164">
        <v>2000</v>
      </c>
    </row>
    <row r="1024" spans="2:12" x14ac:dyDescent="0.3">
      <c r="B1024" s="57">
        <f t="shared" si="81"/>
        <v>1021</v>
      </c>
      <c r="C1024" s="147">
        <v>46143</v>
      </c>
      <c r="D1024" s="57" t="s">
        <v>968</v>
      </c>
      <c r="E1024" s="57" t="s">
        <v>146</v>
      </c>
      <c r="F1024" s="57" t="s">
        <v>446</v>
      </c>
      <c r="G1024" s="57" t="s">
        <v>313</v>
      </c>
      <c r="H1024" s="140" t="s">
        <v>4092</v>
      </c>
      <c r="I1024" s="57"/>
      <c r="J1024" s="165">
        <f t="shared" si="88"/>
        <v>104.16666666666667</v>
      </c>
      <c r="K1024" s="57">
        <v>96</v>
      </c>
      <c r="L1024" s="164">
        <v>10000</v>
      </c>
    </row>
    <row r="1025" spans="2:12" x14ac:dyDescent="0.3">
      <c r="B1025" s="57">
        <f t="shared" si="81"/>
        <v>1022</v>
      </c>
      <c r="C1025" s="147">
        <v>46143</v>
      </c>
      <c r="D1025" s="57" t="s">
        <v>968</v>
      </c>
      <c r="E1025" s="57" t="s">
        <v>146</v>
      </c>
      <c r="F1025" s="57" t="s">
        <v>446</v>
      </c>
      <c r="G1025" s="57" t="s">
        <v>313</v>
      </c>
      <c r="H1025" s="140" t="s">
        <v>4092</v>
      </c>
      <c r="I1025" s="57"/>
      <c r="J1025" s="165">
        <f t="shared" si="88"/>
        <v>52.083333333333336</v>
      </c>
      <c r="K1025" s="57">
        <v>96</v>
      </c>
      <c r="L1025" s="164">
        <v>5000</v>
      </c>
    </row>
    <row r="1026" spans="2:12" x14ac:dyDescent="0.3">
      <c r="B1026" s="57">
        <f t="shared" si="81"/>
        <v>1023</v>
      </c>
      <c r="C1026" s="147">
        <v>46143</v>
      </c>
      <c r="D1026" s="57" t="s">
        <v>968</v>
      </c>
      <c r="E1026" s="57" t="s">
        <v>146</v>
      </c>
      <c r="F1026" s="57" t="s">
        <v>446</v>
      </c>
      <c r="G1026" s="57" t="s">
        <v>313</v>
      </c>
      <c r="H1026" s="140" t="s">
        <v>4092</v>
      </c>
      <c r="I1026" s="57"/>
      <c r="J1026" s="165">
        <f t="shared" si="88"/>
        <v>16.666666666666668</v>
      </c>
      <c r="K1026" s="57">
        <v>96</v>
      </c>
      <c r="L1026" s="164">
        <v>1600</v>
      </c>
    </row>
    <row r="1027" spans="2:12" x14ac:dyDescent="0.3">
      <c r="B1027" s="57">
        <f t="shared" si="81"/>
        <v>1024</v>
      </c>
      <c r="C1027" s="147">
        <v>46144</v>
      </c>
      <c r="D1027" s="57" t="s">
        <v>968</v>
      </c>
      <c r="E1027" s="57" t="s">
        <v>959</v>
      </c>
      <c r="F1027" s="57" t="s">
        <v>446</v>
      </c>
      <c r="G1027" s="57" t="s">
        <v>354</v>
      </c>
      <c r="H1027" s="140" t="s">
        <v>1154</v>
      </c>
      <c r="I1027" s="57"/>
      <c r="J1027" s="57"/>
      <c r="L1027" s="164">
        <v>3500</v>
      </c>
    </row>
    <row r="1028" spans="2:12" x14ac:dyDescent="0.3">
      <c r="B1028" s="57">
        <f t="shared" si="81"/>
        <v>1025</v>
      </c>
      <c r="C1028" s="147">
        <v>46144</v>
      </c>
      <c r="D1028" s="57" t="s">
        <v>968</v>
      </c>
      <c r="E1028" s="57" t="s">
        <v>560</v>
      </c>
      <c r="F1028" s="57" t="s">
        <v>446</v>
      </c>
      <c r="G1028" s="57" t="s">
        <v>354</v>
      </c>
      <c r="H1028" s="140" t="s">
        <v>1155</v>
      </c>
      <c r="I1028" s="57"/>
      <c r="J1028" s="57"/>
      <c r="L1028" s="164">
        <v>750</v>
      </c>
    </row>
    <row r="1029" spans="2:12" x14ac:dyDescent="0.3">
      <c r="B1029" s="57">
        <f t="shared" si="81"/>
        <v>1026</v>
      </c>
      <c r="C1029" s="147">
        <v>46144</v>
      </c>
      <c r="D1029" s="57" t="s">
        <v>968</v>
      </c>
      <c r="E1029" s="57" t="s">
        <v>767</v>
      </c>
      <c r="F1029" s="57" t="s">
        <v>300</v>
      </c>
      <c r="G1029" s="57" t="s">
        <v>530</v>
      </c>
      <c r="H1029" s="140" t="s">
        <v>1156</v>
      </c>
      <c r="I1029" s="57"/>
      <c r="J1029" s="57"/>
      <c r="L1029" s="164">
        <v>1050</v>
      </c>
    </row>
    <row r="1030" spans="2:12" x14ac:dyDescent="0.3">
      <c r="B1030" s="57">
        <f t="shared" ref="B1030:B1093" si="89">+B1029+1</f>
        <v>1027</v>
      </c>
      <c r="C1030" s="147">
        <v>46144</v>
      </c>
      <c r="D1030" s="57" t="s">
        <v>968</v>
      </c>
      <c r="E1030" s="57" t="s">
        <v>958</v>
      </c>
      <c r="F1030" s="57" t="s">
        <v>446</v>
      </c>
      <c r="G1030" s="57" t="s">
        <v>316</v>
      </c>
      <c r="H1030" s="140" t="s">
        <v>1157</v>
      </c>
      <c r="I1030" s="57"/>
      <c r="J1030" s="57"/>
      <c r="L1030" s="164">
        <v>8000</v>
      </c>
    </row>
    <row r="1031" spans="2:12" x14ac:dyDescent="0.3">
      <c r="B1031" s="57">
        <f t="shared" si="89"/>
        <v>1028</v>
      </c>
      <c r="C1031" s="147">
        <v>46144</v>
      </c>
      <c r="D1031" s="57" t="s">
        <v>968</v>
      </c>
      <c r="E1031" s="57" t="s">
        <v>146</v>
      </c>
      <c r="F1031" s="57" t="s">
        <v>446</v>
      </c>
      <c r="G1031" s="57" t="s">
        <v>2329</v>
      </c>
      <c r="H1031" s="140" t="s">
        <v>1158</v>
      </c>
      <c r="I1031" s="57"/>
      <c r="J1031" s="165">
        <f>L1031/K1031</f>
        <v>47.75</v>
      </c>
      <c r="K1031" s="57">
        <v>96</v>
      </c>
      <c r="L1031" s="164">
        <v>4584</v>
      </c>
    </row>
    <row r="1032" spans="2:12" x14ac:dyDescent="0.3">
      <c r="B1032" s="57">
        <f t="shared" si="89"/>
        <v>1029</v>
      </c>
      <c r="C1032" s="147">
        <v>46144</v>
      </c>
      <c r="D1032" s="57" t="s">
        <v>968</v>
      </c>
      <c r="E1032" s="57" t="s">
        <v>595</v>
      </c>
      <c r="F1032" s="57" t="s">
        <v>300</v>
      </c>
      <c r="G1032" s="57" t="s">
        <v>709</v>
      </c>
      <c r="H1032" s="140" t="s">
        <v>4135</v>
      </c>
      <c r="I1032" s="57"/>
      <c r="J1032" s="57">
        <v>15</v>
      </c>
      <c r="K1032" s="57">
        <v>260</v>
      </c>
      <c r="L1032" s="164">
        <f>J1032*K1032</f>
        <v>3900</v>
      </c>
    </row>
    <row r="1033" spans="2:12" x14ac:dyDescent="0.3">
      <c r="B1033" s="57">
        <f t="shared" si="89"/>
        <v>1030</v>
      </c>
      <c r="C1033" s="147">
        <v>46144</v>
      </c>
      <c r="D1033" s="57" t="s">
        <v>968</v>
      </c>
      <c r="E1033" s="57" t="s">
        <v>595</v>
      </c>
      <c r="F1033" s="57" t="s">
        <v>300</v>
      </c>
      <c r="G1033" s="57" t="s">
        <v>709</v>
      </c>
      <c r="H1033" s="140" t="s">
        <v>1159</v>
      </c>
      <c r="I1033" s="57"/>
      <c r="J1033" s="57"/>
      <c r="L1033" s="164">
        <v>500</v>
      </c>
    </row>
    <row r="1034" spans="2:12" x14ac:dyDescent="0.3">
      <c r="B1034" s="57">
        <f t="shared" si="89"/>
        <v>1031</v>
      </c>
      <c r="C1034" s="147">
        <v>46144</v>
      </c>
      <c r="D1034" s="57" t="s">
        <v>968</v>
      </c>
      <c r="E1034" s="57" t="s">
        <v>532</v>
      </c>
      <c r="F1034" s="57" t="s">
        <v>300</v>
      </c>
      <c r="G1034" s="57" t="s">
        <v>530</v>
      </c>
      <c r="H1034" s="140" t="s">
        <v>1160</v>
      </c>
      <c r="I1034" s="57" t="s">
        <v>532</v>
      </c>
      <c r="J1034" s="57">
        <v>50</v>
      </c>
      <c r="K1034" s="167">
        <f>L1034/J1034</f>
        <v>260</v>
      </c>
      <c r="L1034" s="164">
        <v>13000</v>
      </c>
    </row>
    <row r="1035" spans="2:12" x14ac:dyDescent="0.3">
      <c r="B1035" s="57">
        <f t="shared" si="89"/>
        <v>1032</v>
      </c>
      <c r="C1035" s="147">
        <v>46144</v>
      </c>
      <c r="D1035" s="57" t="s">
        <v>968</v>
      </c>
      <c r="E1035" s="57" t="s">
        <v>146</v>
      </c>
      <c r="F1035" s="57" t="s">
        <v>436</v>
      </c>
      <c r="G1035" s="57" t="s">
        <v>987</v>
      </c>
      <c r="H1035" s="140" t="s">
        <v>1161</v>
      </c>
      <c r="I1035" s="57"/>
      <c r="J1035" s="165">
        <f t="shared" ref="J1035:J1036" si="90">L1035/K1035</f>
        <v>20.833333333333332</v>
      </c>
      <c r="K1035" s="57">
        <v>96</v>
      </c>
      <c r="L1035" s="164">
        <v>2000</v>
      </c>
    </row>
    <row r="1036" spans="2:12" x14ac:dyDescent="0.3">
      <c r="B1036" s="57">
        <f t="shared" si="89"/>
        <v>1033</v>
      </c>
      <c r="C1036" s="147">
        <v>46144</v>
      </c>
      <c r="D1036" s="57" t="s">
        <v>968</v>
      </c>
      <c r="E1036" s="57" t="s">
        <v>146</v>
      </c>
      <c r="F1036" s="57" t="s">
        <v>300</v>
      </c>
      <c r="G1036" s="57" t="s">
        <v>530</v>
      </c>
      <c r="H1036" s="140" t="s">
        <v>4115</v>
      </c>
      <c r="I1036" s="57"/>
      <c r="J1036" s="165">
        <f t="shared" si="90"/>
        <v>30.208333333333332</v>
      </c>
      <c r="K1036" s="57">
        <v>96</v>
      </c>
      <c r="L1036" s="164">
        <v>2900</v>
      </c>
    </row>
    <row r="1037" spans="2:12" x14ac:dyDescent="0.3">
      <c r="B1037" s="57">
        <f t="shared" si="89"/>
        <v>1034</v>
      </c>
      <c r="C1037" s="147">
        <v>46144</v>
      </c>
      <c r="D1037" s="57" t="s">
        <v>968</v>
      </c>
      <c r="E1037" s="57" t="s">
        <v>434</v>
      </c>
      <c r="F1037" s="57" t="s">
        <v>300</v>
      </c>
      <c r="G1037" s="57" t="s">
        <v>530</v>
      </c>
      <c r="H1037" s="140" t="s">
        <v>1162</v>
      </c>
      <c r="I1037" s="57"/>
      <c r="J1037" s="57"/>
      <c r="L1037" s="164">
        <v>200</v>
      </c>
    </row>
    <row r="1038" spans="2:12" x14ac:dyDescent="0.3">
      <c r="B1038" s="57">
        <f t="shared" si="89"/>
        <v>1035</v>
      </c>
      <c r="C1038" s="147">
        <v>46144</v>
      </c>
      <c r="D1038" s="57" t="s">
        <v>968</v>
      </c>
      <c r="E1038" s="57" t="s">
        <v>595</v>
      </c>
      <c r="F1038" s="57" t="s">
        <v>300</v>
      </c>
      <c r="G1038" s="57" t="s">
        <v>709</v>
      </c>
      <c r="H1038" s="140" t="s">
        <v>1163</v>
      </c>
      <c r="I1038" s="57"/>
      <c r="J1038" s="57"/>
      <c r="L1038" s="164">
        <v>3200</v>
      </c>
    </row>
    <row r="1039" spans="2:12" x14ac:dyDescent="0.3">
      <c r="B1039" s="57">
        <f t="shared" si="89"/>
        <v>1036</v>
      </c>
      <c r="C1039" s="147">
        <v>46144</v>
      </c>
      <c r="D1039" s="57" t="s">
        <v>968</v>
      </c>
      <c r="E1039" s="57" t="s">
        <v>146</v>
      </c>
      <c r="F1039" s="57" t="s">
        <v>436</v>
      </c>
      <c r="G1039" s="57" t="s">
        <v>987</v>
      </c>
      <c r="H1039" s="140" t="s">
        <v>4105</v>
      </c>
      <c r="I1039" s="57"/>
      <c r="J1039" s="165">
        <f t="shared" ref="J1039:J1040" si="91">L1039/K1039</f>
        <v>20.833333333333332</v>
      </c>
      <c r="K1039" s="57">
        <v>96</v>
      </c>
      <c r="L1039" s="164">
        <v>2000</v>
      </c>
    </row>
    <row r="1040" spans="2:12" x14ac:dyDescent="0.3">
      <c r="B1040" s="57">
        <f t="shared" si="89"/>
        <v>1037</v>
      </c>
      <c r="C1040" s="147">
        <v>46144</v>
      </c>
      <c r="D1040" s="57" t="s">
        <v>968</v>
      </c>
      <c r="E1040" s="57" t="s">
        <v>146</v>
      </c>
      <c r="F1040" s="57" t="s">
        <v>621</v>
      </c>
      <c r="G1040" s="57" t="s">
        <v>345</v>
      </c>
      <c r="H1040" s="140" t="s">
        <v>1164</v>
      </c>
      <c r="I1040" s="57"/>
      <c r="J1040" s="165">
        <f t="shared" si="91"/>
        <v>10.416666666666666</v>
      </c>
      <c r="K1040" s="57">
        <v>96</v>
      </c>
      <c r="L1040" s="164">
        <v>1000</v>
      </c>
    </row>
    <row r="1041" spans="2:12" x14ac:dyDescent="0.3">
      <c r="B1041" s="57">
        <f t="shared" si="89"/>
        <v>1038</v>
      </c>
      <c r="C1041" s="147">
        <v>46144</v>
      </c>
      <c r="D1041" s="57" t="s">
        <v>968</v>
      </c>
      <c r="E1041" s="57" t="s">
        <v>595</v>
      </c>
      <c r="F1041" s="57" t="s">
        <v>261</v>
      </c>
      <c r="G1041" s="57" t="s">
        <v>594</v>
      </c>
      <c r="H1041" s="140" t="s">
        <v>1165</v>
      </c>
      <c r="I1041" s="57"/>
      <c r="J1041" s="57"/>
      <c r="L1041" s="164">
        <v>4000</v>
      </c>
    </row>
    <row r="1042" spans="2:12" x14ac:dyDescent="0.3">
      <c r="B1042" s="57">
        <f t="shared" si="89"/>
        <v>1039</v>
      </c>
      <c r="C1042" s="147">
        <v>46144</v>
      </c>
      <c r="D1042" s="57" t="s">
        <v>968</v>
      </c>
      <c r="E1042" s="57" t="s">
        <v>595</v>
      </c>
      <c r="F1042" s="57" t="s">
        <v>261</v>
      </c>
      <c r="G1042" s="57" t="s">
        <v>606</v>
      </c>
      <c r="H1042" s="140" t="s">
        <v>1166</v>
      </c>
      <c r="I1042" s="57"/>
      <c r="J1042" s="57"/>
      <c r="L1042" s="164">
        <v>5784</v>
      </c>
    </row>
    <row r="1043" spans="2:12" x14ac:dyDescent="0.3">
      <c r="B1043" s="57">
        <f t="shared" si="89"/>
        <v>1040</v>
      </c>
      <c r="C1043" s="147">
        <v>46144</v>
      </c>
      <c r="D1043" s="57" t="s">
        <v>968</v>
      </c>
      <c r="E1043" s="57" t="s">
        <v>522</v>
      </c>
      <c r="F1043" s="57" t="s">
        <v>300</v>
      </c>
      <c r="G1043" s="57" t="s">
        <v>530</v>
      </c>
      <c r="H1043" s="140" t="s">
        <v>1167</v>
      </c>
      <c r="I1043" s="57"/>
      <c r="J1043" s="57"/>
      <c r="L1043" s="164">
        <v>350</v>
      </c>
    </row>
    <row r="1044" spans="2:12" x14ac:dyDescent="0.3">
      <c r="B1044" s="57">
        <f t="shared" si="89"/>
        <v>1041</v>
      </c>
      <c r="C1044" s="141">
        <v>46144</v>
      </c>
      <c r="D1044" s="57" t="s">
        <v>2021</v>
      </c>
      <c r="E1044" s="57" t="s">
        <v>4009</v>
      </c>
      <c r="F1044" s="57" t="s">
        <v>300</v>
      </c>
      <c r="G1044" s="57" t="s">
        <v>530</v>
      </c>
      <c r="H1044" s="140" t="s">
        <v>2247</v>
      </c>
      <c r="I1044" s="57"/>
      <c r="J1044" s="57"/>
      <c r="L1044" s="164">
        <v>42000</v>
      </c>
    </row>
    <row r="1045" spans="2:12" x14ac:dyDescent="0.3">
      <c r="B1045" s="57">
        <f t="shared" si="89"/>
        <v>1042</v>
      </c>
      <c r="C1045" s="141">
        <v>46144</v>
      </c>
      <c r="D1045" s="57" t="s">
        <v>2021</v>
      </c>
      <c r="E1045" s="57" t="s">
        <v>434</v>
      </c>
      <c r="F1045" s="57" t="s">
        <v>300</v>
      </c>
      <c r="G1045" s="57" t="s">
        <v>530</v>
      </c>
      <c r="H1045" s="140" t="s">
        <v>2248</v>
      </c>
      <c r="I1045" s="57"/>
      <c r="J1045" s="57"/>
      <c r="L1045" s="164">
        <v>5400</v>
      </c>
    </row>
    <row r="1046" spans="2:12" x14ac:dyDescent="0.3">
      <c r="B1046" s="57">
        <f t="shared" si="89"/>
        <v>1043</v>
      </c>
      <c r="C1046" s="141">
        <v>46144</v>
      </c>
      <c r="D1046" s="57" t="s">
        <v>2021</v>
      </c>
      <c r="E1046" s="57" t="s">
        <v>434</v>
      </c>
      <c r="F1046" s="57" t="s">
        <v>300</v>
      </c>
      <c r="G1046" s="57" t="s">
        <v>530</v>
      </c>
      <c r="H1046" s="140" t="s">
        <v>2249</v>
      </c>
      <c r="I1046" s="57"/>
      <c r="J1046" s="57"/>
      <c r="L1046" s="164">
        <v>25200</v>
      </c>
    </row>
    <row r="1047" spans="2:12" x14ac:dyDescent="0.3">
      <c r="B1047" s="57">
        <f t="shared" si="89"/>
        <v>1044</v>
      </c>
      <c r="C1047" s="141">
        <v>46144</v>
      </c>
      <c r="D1047" s="57" t="s">
        <v>2021</v>
      </c>
      <c r="E1047" s="57" t="s">
        <v>434</v>
      </c>
      <c r="F1047" s="57" t="s">
        <v>300</v>
      </c>
      <c r="G1047" s="57" t="s">
        <v>530</v>
      </c>
      <c r="H1047" s="140" t="s">
        <v>2250</v>
      </c>
      <c r="I1047" s="57"/>
      <c r="J1047" s="57"/>
      <c r="L1047" s="164">
        <v>4800</v>
      </c>
    </row>
    <row r="1048" spans="2:12" x14ac:dyDescent="0.3">
      <c r="B1048" s="57">
        <f t="shared" si="89"/>
        <v>1045</v>
      </c>
      <c r="C1048" s="141">
        <v>46144</v>
      </c>
      <c r="D1048" s="57" t="s">
        <v>2021</v>
      </c>
      <c r="E1048" s="57" t="s">
        <v>434</v>
      </c>
      <c r="F1048" s="57" t="s">
        <v>300</v>
      </c>
      <c r="G1048" s="57" t="s">
        <v>530</v>
      </c>
      <c r="H1048" s="140" t="s">
        <v>2251</v>
      </c>
      <c r="I1048" s="57"/>
      <c r="J1048" s="57"/>
      <c r="L1048" s="164">
        <v>2340</v>
      </c>
    </row>
    <row r="1049" spans="2:12" x14ac:dyDescent="0.3">
      <c r="B1049" s="57">
        <f t="shared" si="89"/>
        <v>1046</v>
      </c>
      <c r="C1049" s="141">
        <v>46144</v>
      </c>
      <c r="D1049" s="57" t="s">
        <v>2021</v>
      </c>
      <c r="E1049" s="57" t="s">
        <v>434</v>
      </c>
      <c r="F1049" s="57" t="s">
        <v>300</v>
      </c>
      <c r="G1049" s="57" t="s">
        <v>530</v>
      </c>
      <c r="H1049" s="140" t="s">
        <v>2252</v>
      </c>
      <c r="I1049" s="57"/>
      <c r="J1049" s="57"/>
      <c r="L1049" s="164">
        <v>16700</v>
      </c>
    </row>
    <row r="1050" spans="2:12" x14ac:dyDescent="0.3">
      <c r="B1050" s="57">
        <f t="shared" si="89"/>
        <v>1047</v>
      </c>
      <c r="C1050" s="141">
        <v>46144</v>
      </c>
      <c r="D1050" s="57" t="s">
        <v>2021</v>
      </c>
      <c r="E1050" s="57" t="s">
        <v>2034</v>
      </c>
      <c r="F1050" s="57" t="s">
        <v>300</v>
      </c>
      <c r="G1050" s="57" t="s">
        <v>530</v>
      </c>
      <c r="H1050" s="140" t="s">
        <v>2253</v>
      </c>
      <c r="I1050" s="57"/>
      <c r="J1050" s="57"/>
      <c r="L1050" s="164">
        <v>17800</v>
      </c>
    </row>
    <row r="1051" spans="2:12" x14ac:dyDescent="0.3">
      <c r="B1051" s="57">
        <f t="shared" si="89"/>
        <v>1048</v>
      </c>
      <c r="C1051" s="141">
        <v>46144</v>
      </c>
      <c r="D1051" s="57" t="s">
        <v>2021</v>
      </c>
      <c r="E1051" s="57" t="s">
        <v>434</v>
      </c>
      <c r="F1051" s="57" t="s">
        <v>300</v>
      </c>
      <c r="G1051" s="57" t="s">
        <v>530</v>
      </c>
      <c r="H1051" s="140" t="s">
        <v>2254</v>
      </c>
      <c r="I1051" s="57"/>
      <c r="J1051" s="57"/>
      <c r="L1051" s="164">
        <v>13750</v>
      </c>
    </row>
    <row r="1052" spans="2:12" x14ac:dyDescent="0.3">
      <c r="B1052" s="57">
        <f t="shared" si="89"/>
        <v>1049</v>
      </c>
      <c r="C1052" s="141">
        <v>46144</v>
      </c>
      <c r="D1052" s="57" t="s">
        <v>2021</v>
      </c>
      <c r="E1052" s="57" t="s">
        <v>522</v>
      </c>
      <c r="F1052" s="57" t="s">
        <v>300</v>
      </c>
      <c r="G1052" s="57" t="s">
        <v>530</v>
      </c>
      <c r="H1052" s="140" t="s">
        <v>2243</v>
      </c>
      <c r="I1052" s="57"/>
      <c r="J1052" s="57"/>
      <c r="L1052" s="164">
        <v>800</v>
      </c>
    </row>
    <row r="1053" spans="2:12" x14ac:dyDescent="0.3">
      <c r="B1053" s="57">
        <f t="shared" si="89"/>
        <v>1050</v>
      </c>
      <c r="C1053" s="141">
        <v>46144</v>
      </c>
      <c r="D1053" s="57" t="s">
        <v>2021</v>
      </c>
      <c r="E1053" s="57" t="s">
        <v>434</v>
      </c>
      <c r="F1053" s="57" t="s">
        <v>300</v>
      </c>
      <c r="G1053" s="57" t="s">
        <v>530</v>
      </c>
      <c r="H1053" s="140" t="s">
        <v>2255</v>
      </c>
      <c r="I1053" s="57"/>
      <c r="J1053" s="57"/>
      <c r="L1053" s="164">
        <v>700</v>
      </c>
    </row>
    <row r="1054" spans="2:12" x14ac:dyDescent="0.3">
      <c r="B1054" s="57">
        <f t="shared" si="89"/>
        <v>1051</v>
      </c>
      <c r="C1054" s="141">
        <v>46144</v>
      </c>
      <c r="D1054" s="57" t="s">
        <v>2021</v>
      </c>
      <c r="E1054" s="57" t="s">
        <v>2037</v>
      </c>
      <c r="F1054" s="57" t="s">
        <v>300</v>
      </c>
      <c r="G1054" s="57" t="s">
        <v>530</v>
      </c>
      <c r="H1054" s="140" t="s">
        <v>2256</v>
      </c>
      <c r="I1054" s="57"/>
      <c r="J1054" s="57"/>
      <c r="L1054" s="164">
        <v>5514</v>
      </c>
    </row>
    <row r="1055" spans="2:12" x14ac:dyDescent="0.3">
      <c r="B1055" s="57">
        <f t="shared" si="89"/>
        <v>1052</v>
      </c>
      <c r="C1055" s="141">
        <v>46144</v>
      </c>
      <c r="D1055" s="57" t="s">
        <v>2021</v>
      </c>
      <c r="E1055" s="57" t="s">
        <v>2032</v>
      </c>
      <c r="F1055" s="57" t="s">
        <v>300</v>
      </c>
      <c r="G1055" s="57" t="s">
        <v>530</v>
      </c>
      <c r="H1055" s="140" t="s">
        <v>551</v>
      </c>
      <c r="I1055" s="57"/>
      <c r="J1055" s="57"/>
      <c r="L1055" s="164">
        <v>6840</v>
      </c>
    </row>
    <row r="1056" spans="2:12" x14ac:dyDescent="0.3">
      <c r="B1056" s="57">
        <f t="shared" si="89"/>
        <v>1053</v>
      </c>
      <c r="C1056" s="141">
        <v>46144</v>
      </c>
      <c r="D1056" s="57" t="s">
        <v>2021</v>
      </c>
      <c r="E1056" s="57" t="s">
        <v>532</v>
      </c>
      <c r="F1056" s="57" t="s">
        <v>300</v>
      </c>
      <c r="G1056" s="57" t="s">
        <v>530</v>
      </c>
      <c r="H1056" s="140" t="s">
        <v>2212</v>
      </c>
      <c r="I1056" s="57"/>
      <c r="J1056" s="57">
        <v>20</v>
      </c>
      <c r="K1056" s="57">
        <v>300</v>
      </c>
      <c r="L1056" s="164">
        <v>6000</v>
      </c>
    </row>
    <row r="1057" spans="2:12" x14ac:dyDescent="0.3">
      <c r="B1057" s="57">
        <f t="shared" si="89"/>
        <v>1054</v>
      </c>
      <c r="C1057" s="141">
        <v>46144</v>
      </c>
      <c r="D1057" s="57" t="s">
        <v>2021</v>
      </c>
      <c r="E1057" s="57" t="s">
        <v>2032</v>
      </c>
      <c r="F1057" s="57" t="s">
        <v>300</v>
      </c>
      <c r="G1057" s="57" t="s">
        <v>530</v>
      </c>
      <c r="H1057" s="140" t="s">
        <v>2257</v>
      </c>
      <c r="I1057" s="57"/>
      <c r="J1057" s="57"/>
      <c r="L1057" s="164">
        <v>10480</v>
      </c>
    </row>
    <row r="1058" spans="2:12" x14ac:dyDescent="0.3">
      <c r="B1058" s="57">
        <f t="shared" si="89"/>
        <v>1055</v>
      </c>
      <c r="C1058" s="141">
        <v>46144</v>
      </c>
      <c r="D1058" s="57" t="s">
        <v>2021</v>
      </c>
      <c r="E1058" s="57" t="s">
        <v>522</v>
      </c>
      <c r="F1058" s="57" t="s">
        <v>300</v>
      </c>
      <c r="G1058" s="57" t="s">
        <v>530</v>
      </c>
      <c r="H1058" s="140" t="s">
        <v>2258</v>
      </c>
      <c r="I1058" s="57"/>
      <c r="J1058" s="57"/>
      <c r="L1058" s="164">
        <v>6700</v>
      </c>
    </row>
    <row r="1059" spans="2:12" x14ac:dyDescent="0.3">
      <c r="B1059" s="57">
        <f t="shared" si="89"/>
        <v>1056</v>
      </c>
      <c r="C1059" s="147">
        <v>46145</v>
      </c>
      <c r="D1059" s="57" t="s">
        <v>968</v>
      </c>
      <c r="E1059" s="57" t="s">
        <v>958</v>
      </c>
      <c r="F1059" s="57" t="s">
        <v>446</v>
      </c>
      <c r="G1059" s="57" t="s">
        <v>446</v>
      </c>
      <c r="H1059" s="140" t="s">
        <v>1168</v>
      </c>
      <c r="I1059" s="57"/>
      <c r="J1059" s="57"/>
      <c r="L1059" s="164">
        <v>15000</v>
      </c>
    </row>
    <row r="1060" spans="2:12" x14ac:dyDescent="0.3">
      <c r="B1060" s="57">
        <f t="shared" si="89"/>
        <v>1057</v>
      </c>
      <c r="C1060" s="147">
        <v>46145</v>
      </c>
      <c r="D1060" s="57" t="s">
        <v>968</v>
      </c>
      <c r="E1060" s="57" t="s">
        <v>146</v>
      </c>
      <c r="F1060" s="57" t="s">
        <v>446</v>
      </c>
      <c r="G1060" s="57" t="s">
        <v>2329</v>
      </c>
      <c r="H1060" s="140" t="s">
        <v>1169</v>
      </c>
      <c r="I1060" s="57"/>
      <c r="J1060" s="165">
        <f>L1060/K1060</f>
        <v>20.833333333333332</v>
      </c>
      <c r="K1060" s="57">
        <v>96</v>
      </c>
      <c r="L1060" s="164">
        <v>2000</v>
      </c>
    </row>
    <row r="1061" spans="2:12" x14ac:dyDescent="0.3">
      <c r="B1061" s="57">
        <f t="shared" si="89"/>
        <v>1058</v>
      </c>
      <c r="C1061" s="147">
        <v>46145</v>
      </c>
      <c r="D1061" s="57" t="s">
        <v>968</v>
      </c>
      <c r="E1061" s="57" t="s">
        <v>560</v>
      </c>
      <c r="F1061" s="57" t="s">
        <v>621</v>
      </c>
      <c r="G1061" s="57" t="s">
        <v>345</v>
      </c>
      <c r="H1061" s="140" t="s">
        <v>1170</v>
      </c>
      <c r="I1061" s="57"/>
      <c r="J1061" s="57"/>
      <c r="L1061" s="164">
        <v>660</v>
      </c>
    </row>
    <row r="1062" spans="2:12" x14ac:dyDescent="0.3">
      <c r="B1062" s="57">
        <f t="shared" si="89"/>
        <v>1059</v>
      </c>
      <c r="C1062" s="147">
        <v>46145</v>
      </c>
      <c r="D1062" s="57" t="s">
        <v>968</v>
      </c>
      <c r="E1062" s="57" t="s">
        <v>146</v>
      </c>
      <c r="F1062" s="57" t="s">
        <v>446</v>
      </c>
      <c r="G1062" s="57" t="s">
        <v>313</v>
      </c>
      <c r="H1062" s="140" t="s">
        <v>1171</v>
      </c>
      <c r="I1062" s="57"/>
      <c r="J1062" s="165">
        <f>L1062/K1062</f>
        <v>20.833333333333332</v>
      </c>
      <c r="K1062" s="57">
        <v>96</v>
      </c>
      <c r="L1062" s="164">
        <v>2000</v>
      </c>
    </row>
    <row r="1063" spans="2:12" x14ac:dyDescent="0.3">
      <c r="B1063" s="57">
        <f t="shared" si="89"/>
        <v>1060</v>
      </c>
      <c r="C1063" s="147">
        <v>46145</v>
      </c>
      <c r="D1063" s="57" t="s">
        <v>968</v>
      </c>
      <c r="E1063" s="57" t="s">
        <v>986</v>
      </c>
      <c r="F1063" s="57" t="s">
        <v>446</v>
      </c>
      <c r="G1063" s="57" t="s">
        <v>2329</v>
      </c>
      <c r="H1063" s="140" t="s">
        <v>1172</v>
      </c>
      <c r="I1063" s="57" t="s">
        <v>986</v>
      </c>
      <c r="J1063" s="57">
        <v>30</v>
      </c>
      <c r="K1063" s="168">
        <f>L1063/J1063</f>
        <v>113.33333333333333</v>
      </c>
      <c r="L1063" s="164">
        <v>3400</v>
      </c>
    </row>
    <row r="1064" spans="2:12" x14ac:dyDescent="0.3">
      <c r="B1064" s="57">
        <f t="shared" si="89"/>
        <v>1061</v>
      </c>
      <c r="C1064" s="147">
        <v>46145</v>
      </c>
      <c r="D1064" s="57" t="s">
        <v>968</v>
      </c>
      <c r="E1064" s="57" t="s">
        <v>908</v>
      </c>
      <c r="F1064" s="57" t="s">
        <v>502</v>
      </c>
      <c r="G1064" s="57" t="s">
        <v>257</v>
      </c>
      <c r="H1064" s="140" t="s">
        <v>1173</v>
      </c>
      <c r="I1064" s="57"/>
      <c r="J1064" s="57"/>
      <c r="L1064" s="164">
        <v>750</v>
      </c>
    </row>
    <row r="1065" spans="2:12" x14ac:dyDescent="0.3">
      <c r="B1065" s="57">
        <f t="shared" si="89"/>
        <v>1062</v>
      </c>
      <c r="C1065" s="147">
        <v>46145</v>
      </c>
      <c r="D1065" s="57" t="s">
        <v>968</v>
      </c>
      <c r="E1065" s="57" t="s">
        <v>986</v>
      </c>
      <c r="F1065" s="57" t="s">
        <v>446</v>
      </c>
      <c r="G1065" s="57" t="s">
        <v>313</v>
      </c>
      <c r="H1065" s="140" t="s">
        <v>1174</v>
      </c>
      <c r="I1065" s="57" t="s">
        <v>986</v>
      </c>
      <c r="J1065" s="57">
        <v>20</v>
      </c>
      <c r="L1065" s="164">
        <v>1500</v>
      </c>
    </row>
    <row r="1066" spans="2:12" x14ac:dyDescent="0.3">
      <c r="B1066" s="57">
        <f t="shared" si="89"/>
        <v>1063</v>
      </c>
      <c r="C1066" s="147">
        <v>46145</v>
      </c>
      <c r="D1066" s="57" t="s">
        <v>968</v>
      </c>
      <c r="E1066" s="57" t="s">
        <v>460</v>
      </c>
      <c r="F1066" s="57" t="s">
        <v>446</v>
      </c>
      <c r="G1066" s="57" t="s">
        <v>313</v>
      </c>
      <c r="H1066" s="140" t="s">
        <v>1174</v>
      </c>
      <c r="I1066" s="57"/>
      <c r="J1066" s="57"/>
      <c r="L1066" s="164">
        <v>740</v>
      </c>
    </row>
    <row r="1067" spans="2:12" x14ac:dyDescent="0.3">
      <c r="B1067" s="57">
        <f t="shared" si="89"/>
        <v>1064</v>
      </c>
      <c r="C1067" s="147">
        <v>46145</v>
      </c>
      <c r="D1067" s="57" t="s">
        <v>968</v>
      </c>
      <c r="E1067" s="57" t="s">
        <v>460</v>
      </c>
      <c r="F1067" s="57" t="s">
        <v>446</v>
      </c>
      <c r="G1067" s="57" t="s">
        <v>313</v>
      </c>
      <c r="H1067" s="140" t="s">
        <v>1175</v>
      </c>
      <c r="I1067" s="57"/>
      <c r="J1067" s="57"/>
      <c r="L1067" s="164">
        <v>17500</v>
      </c>
    </row>
    <row r="1068" spans="2:12" x14ac:dyDescent="0.3">
      <c r="B1068" s="57">
        <f t="shared" si="89"/>
        <v>1065</v>
      </c>
      <c r="C1068" s="147">
        <v>46145</v>
      </c>
      <c r="D1068" s="57" t="s">
        <v>968</v>
      </c>
      <c r="E1068" s="57" t="s">
        <v>146</v>
      </c>
      <c r="F1068" s="57" t="s">
        <v>446</v>
      </c>
      <c r="G1068" s="57" t="s">
        <v>313</v>
      </c>
      <c r="H1068" s="140" t="s">
        <v>4113</v>
      </c>
      <c r="I1068" s="57" t="s">
        <v>146</v>
      </c>
      <c r="J1068" s="165">
        <f t="shared" ref="J1068:J1069" si="92">L1068/K1068</f>
        <v>31.25</v>
      </c>
      <c r="K1068" s="57">
        <v>96</v>
      </c>
      <c r="L1068" s="164">
        <v>3000</v>
      </c>
    </row>
    <row r="1069" spans="2:12" x14ac:dyDescent="0.3">
      <c r="B1069" s="57">
        <f t="shared" si="89"/>
        <v>1066</v>
      </c>
      <c r="C1069" s="147">
        <v>46145</v>
      </c>
      <c r="D1069" s="57" t="s">
        <v>968</v>
      </c>
      <c r="E1069" s="57" t="s">
        <v>146</v>
      </c>
      <c r="F1069" s="57" t="s">
        <v>652</v>
      </c>
      <c r="G1069" s="57" t="s">
        <v>651</v>
      </c>
      <c r="H1069" s="140" t="s">
        <v>1176</v>
      </c>
      <c r="I1069" s="57"/>
      <c r="J1069" s="165">
        <f t="shared" si="92"/>
        <v>31.25</v>
      </c>
      <c r="K1069" s="57">
        <v>96</v>
      </c>
      <c r="L1069" s="164">
        <v>3000</v>
      </c>
    </row>
    <row r="1070" spans="2:12" x14ac:dyDescent="0.3">
      <c r="B1070" s="57">
        <f t="shared" si="89"/>
        <v>1067</v>
      </c>
      <c r="C1070" s="147">
        <v>46145</v>
      </c>
      <c r="D1070" s="57" t="s">
        <v>968</v>
      </c>
      <c r="E1070" s="57" t="s">
        <v>522</v>
      </c>
      <c r="F1070" s="57" t="s">
        <v>446</v>
      </c>
      <c r="G1070" s="57" t="s">
        <v>990</v>
      </c>
      <c r="H1070" s="140" t="s">
        <v>1177</v>
      </c>
      <c r="I1070" s="57"/>
      <c r="J1070" s="57"/>
      <c r="L1070" s="164">
        <v>2405</v>
      </c>
    </row>
    <row r="1071" spans="2:12" x14ac:dyDescent="0.3">
      <c r="B1071" s="57">
        <f t="shared" si="89"/>
        <v>1068</v>
      </c>
      <c r="C1071" s="143">
        <v>46146</v>
      </c>
      <c r="D1071" s="57" t="s">
        <v>435</v>
      </c>
      <c r="E1071" s="57" t="s">
        <v>4128</v>
      </c>
      <c r="F1071" s="57" t="s">
        <v>446</v>
      </c>
      <c r="G1071" s="57" t="s">
        <v>352</v>
      </c>
      <c r="H1071" s="140" t="s">
        <v>629</v>
      </c>
      <c r="I1071" s="57"/>
      <c r="J1071" s="57"/>
      <c r="L1071" s="164">
        <v>4600</v>
      </c>
    </row>
    <row r="1072" spans="2:12" x14ac:dyDescent="0.3">
      <c r="B1072" s="57">
        <f t="shared" si="89"/>
        <v>1069</v>
      </c>
      <c r="C1072" s="147">
        <v>46146</v>
      </c>
      <c r="D1072" s="57" t="s">
        <v>968</v>
      </c>
      <c r="E1072" s="57" t="s">
        <v>434</v>
      </c>
      <c r="F1072" s="57" t="s">
        <v>300</v>
      </c>
      <c r="G1072" s="57" t="s">
        <v>498</v>
      </c>
      <c r="H1072" s="140" t="s">
        <v>1178</v>
      </c>
      <c r="I1072" s="57"/>
      <c r="J1072" s="57"/>
      <c r="L1072" s="164">
        <v>295</v>
      </c>
    </row>
    <row r="1073" spans="2:12" x14ac:dyDescent="0.3">
      <c r="B1073" s="57">
        <f t="shared" si="89"/>
        <v>1070</v>
      </c>
      <c r="C1073" s="147">
        <v>46146</v>
      </c>
      <c r="D1073" s="57" t="s">
        <v>968</v>
      </c>
      <c r="E1073" s="57" t="s">
        <v>146</v>
      </c>
      <c r="F1073" s="57" t="s">
        <v>300</v>
      </c>
      <c r="G1073" s="57" t="s">
        <v>530</v>
      </c>
      <c r="H1073" s="140" t="s">
        <v>4106</v>
      </c>
      <c r="I1073" s="57"/>
      <c r="J1073" s="165">
        <f t="shared" ref="J1073:J1075" si="93">L1073/K1073</f>
        <v>48.739583333333336</v>
      </c>
      <c r="K1073" s="57">
        <v>96</v>
      </c>
      <c r="L1073" s="164">
        <v>4679</v>
      </c>
    </row>
    <row r="1074" spans="2:12" x14ac:dyDescent="0.3">
      <c r="B1074" s="57">
        <f t="shared" si="89"/>
        <v>1071</v>
      </c>
      <c r="C1074" s="147">
        <v>46146</v>
      </c>
      <c r="D1074" s="57" t="s">
        <v>968</v>
      </c>
      <c r="E1074" s="57" t="s">
        <v>146</v>
      </c>
      <c r="F1074" s="57" t="s">
        <v>300</v>
      </c>
      <c r="G1074" s="57" t="s">
        <v>530</v>
      </c>
      <c r="H1074" s="140" t="s">
        <v>1179</v>
      </c>
      <c r="I1074" s="57"/>
      <c r="J1074" s="165">
        <f t="shared" si="93"/>
        <v>43.270833333333336</v>
      </c>
      <c r="K1074" s="57">
        <v>96</v>
      </c>
      <c r="L1074" s="164">
        <v>4154</v>
      </c>
    </row>
    <row r="1075" spans="2:12" x14ac:dyDescent="0.3">
      <c r="B1075" s="57">
        <f t="shared" si="89"/>
        <v>1072</v>
      </c>
      <c r="C1075" s="147">
        <v>46146</v>
      </c>
      <c r="D1075" s="57" t="s">
        <v>968</v>
      </c>
      <c r="E1075" s="57" t="s">
        <v>146</v>
      </c>
      <c r="F1075" s="57" t="s">
        <v>300</v>
      </c>
      <c r="G1075" s="57" t="s">
        <v>530</v>
      </c>
      <c r="H1075" s="140" t="s">
        <v>1180</v>
      </c>
      <c r="I1075" s="57"/>
      <c r="J1075" s="165">
        <f t="shared" si="93"/>
        <v>35.604166666666664</v>
      </c>
      <c r="K1075" s="57">
        <v>96</v>
      </c>
      <c r="L1075" s="164">
        <v>3418</v>
      </c>
    </row>
    <row r="1076" spans="2:12" x14ac:dyDescent="0.3">
      <c r="B1076" s="57">
        <f t="shared" si="89"/>
        <v>1073</v>
      </c>
      <c r="C1076" s="147">
        <v>46146</v>
      </c>
      <c r="D1076" s="57" t="s">
        <v>968</v>
      </c>
      <c r="E1076" s="57" t="s">
        <v>434</v>
      </c>
      <c r="F1076" s="57" t="s">
        <v>652</v>
      </c>
      <c r="G1076" s="57" t="s">
        <v>651</v>
      </c>
      <c r="H1076" s="140" t="s">
        <v>1181</v>
      </c>
      <c r="I1076" s="57"/>
      <c r="J1076" s="57"/>
      <c r="L1076" s="164">
        <v>800</v>
      </c>
    </row>
    <row r="1077" spans="2:12" x14ac:dyDescent="0.3">
      <c r="B1077" s="57">
        <f t="shared" si="89"/>
        <v>1074</v>
      </c>
      <c r="C1077" s="147">
        <v>46146</v>
      </c>
      <c r="D1077" s="57" t="s">
        <v>968</v>
      </c>
      <c r="E1077" s="57" t="s">
        <v>460</v>
      </c>
      <c r="F1077" s="57" t="s">
        <v>546</v>
      </c>
      <c r="G1077" s="57" t="s">
        <v>545</v>
      </c>
      <c r="H1077" s="140" t="s">
        <v>1182</v>
      </c>
      <c r="I1077" s="57"/>
      <c r="J1077" s="57"/>
      <c r="L1077" s="164">
        <v>1750</v>
      </c>
    </row>
    <row r="1078" spans="2:12" x14ac:dyDescent="0.3">
      <c r="B1078" s="57">
        <f t="shared" si="89"/>
        <v>1075</v>
      </c>
      <c r="C1078" s="147">
        <v>46146</v>
      </c>
      <c r="D1078" s="57" t="s">
        <v>968</v>
      </c>
      <c r="E1078" s="57" t="s">
        <v>908</v>
      </c>
      <c r="F1078" s="57" t="s">
        <v>300</v>
      </c>
      <c r="G1078" s="57" t="s">
        <v>2327</v>
      </c>
      <c r="H1078" s="140" t="s">
        <v>1183</v>
      </c>
      <c r="I1078" s="57"/>
      <c r="J1078" s="57"/>
      <c r="L1078" s="164">
        <v>2500</v>
      </c>
    </row>
    <row r="1079" spans="2:12" x14ac:dyDescent="0.3">
      <c r="B1079" s="57">
        <f t="shared" si="89"/>
        <v>1076</v>
      </c>
      <c r="C1079" s="147">
        <v>46146</v>
      </c>
      <c r="D1079" s="57" t="s">
        <v>968</v>
      </c>
      <c r="E1079" s="57" t="s">
        <v>595</v>
      </c>
      <c r="F1079" s="57" t="s">
        <v>300</v>
      </c>
      <c r="G1079" s="57" t="s">
        <v>303</v>
      </c>
      <c r="H1079" s="140" t="s">
        <v>1184</v>
      </c>
      <c r="I1079" s="57"/>
      <c r="J1079" s="57"/>
      <c r="L1079" s="164">
        <v>480</v>
      </c>
    </row>
    <row r="1080" spans="2:12" x14ac:dyDescent="0.3">
      <c r="B1080" s="57">
        <f t="shared" si="89"/>
        <v>1077</v>
      </c>
      <c r="C1080" s="147">
        <v>46146</v>
      </c>
      <c r="D1080" s="57" t="s">
        <v>968</v>
      </c>
      <c r="E1080" s="57" t="s">
        <v>481</v>
      </c>
      <c r="F1080" s="57" t="s">
        <v>446</v>
      </c>
      <c r="G1080" s="57" t="s">
        <v>990</v>
      </c>
      <c r="H1080" s="140" t="s">
        <v>1185</v>
      </c>
      <c r="I1080" s="57"/>
      <c r="J1080" s="57"/>
      <c r="L1080" s="164">
        <v>1000</v>
      </c>
    </row>
    <row r="1081" spans="2:12" x14ac:dyDescent="0.3">
      <c r="B1081" s="57">
        <f t="shared" si="89"/>
        <v>1078</v>
      </c>
      <c r="C1081" s="147">
        <v>46146</v>
      </c>
      <c r="D1081" s="57" t="s">
        <v>968</v>
      </c>
      <c r="E1081" s="57" t="s">
        <v>727</v>
      </c>
      <c r="F1081" s="57" t="s">
        <v>300</v>
      </c>
      <c r="G1081" s="57" t="s">
        <v>530</v>
      </c>
      <c r="H1081" s="140" t="s">
        <v>1186</v>
      </c>
      <c r="I1081" s="57"/>
      <c r="J1081" s="57"/>
      <c r="L1081" s="164">
        <v>5000</v>
      </c>
    </row>
    <row r="1082" spans="2:12" x14ac:dyDescent="0.3">
      <c r="B1082" s="57">
        <f t="shared" si="89"/>
        <v>1079</v>
      </c>
      <c r="C1082" s="147">
        <v>46146</v>
      </c>
      <c r="D1082" s="57" t="s">
        <v>968</v>
      </c>
      <c r="E1082" s="57" t="s">
        <v>560</v>
      </c>
      <c r="F1082" s="57" t="s">
        <v>300</v>
      </c>
      <c r="G1082" s="57" t="s">
        <v>303</v>
      </c>
      <c r="H1082" s="140" t="s">
        <v>1187</v>
      </c>
      <c r="I1082" s="57"/>
      <c r="J1082" s="57"/>
      <c r="L1082" s="164">
        <v>340</v>
      </c>
    </row>
    <row r="1083" spans="2:12" x14ac:dyDescent="0.3">
      <c r="B1083" s="57">
        <f t="shared" si="89"/>
        <v>1080</v>
      </c>
      <c r="C1083" s="147">
        <v>46146</v>
      </c>
      <c r="D1083" s="57" t="s">
        <v>968</v>
      </c>
      <c r="E1083" s="57" t="s">
        <v>146</v>
      </c>
      <c r="F1083" s="57" t="s">
        <v>300</v>
      </c>
      <c r="G1083" s="57" t="s">
        <v>530</v>
      </c>
      <c r="H1083" s="140" t="s">
        <v>1051</v>
      </c>
      <c r="I1083" s="57"/>
      <c r="J1083" s="165">
        <f t="shared" ref="J1083:J1084" si="94">L1083/K1083</f>
        <v>38.541666666666664</v>
      </c>
      <c r="K1083" s="57">
        <v>96</v>
      </c>
      <c r="L1083" s="164">
        <v>3700</v>
      </c>
    </row>
    <row r="1084" spans="2:12" x14ac:dyDescent="0.3">
      <c r="B1084" s="57">
        <f t="shared" si="89"/>
        <v>1081</v>
      </c>
      <c r="C1084" s="147">
        <v>46146</v>
      </c>
      <c r="D1084" s="57" t="s">
        <v>968</v>
      </c>
      <c r="E1084" s="57" t="s">
        <v>146</v>
      </c>
      <c r="F1084" s="57" t="s">
        <v>300</v>
      </c>
      <c r="G1084" s="57" t="s">
        <v>530</v>
      </c>
      <c r="H1084" s="140" t="s">
        <v>4095</v>
      </c>
      <c r="I1084" s="57"/>
      <c r="J1084" s="165">
        <f t="shared" si="94"/>
        <v>32.552083333333336</v>
      </c>
      <c r="K1084" s="57">
        <v>96</v>
      </c>
      <c r="L1084" s="164">
        <v>3125</v>
      </c>
    </row>
    <row r="1085" spans="2:12" x14ac:dyDescent="0.3">
      <c r="B1085" s="57">
        <f t="shared" si="89"/>
        <v>1082</v>
      </c>
      <c r="C1085" s="147">
        <v>46146</v>
      </c>
      <c r="D1085" s="57" t="s">
        <v>968</v>
      </c>
      <c r="E1085" s="57" t="s">
        <v>532</v>
      </c>
      <c r="F1085" s="57" t="s">
        <v>261</v>
      </c>
      <c r="G1085" s="57" t="s">
        <v>709</v>
      </c>
      <c r="H1085" s="140" t="s">
        <v>1188</v>
      </c>
      <c r="I1085" s="57" t="s">
        <v>532</v>
      </c>
      <c r="J1085" s="57">
        <v>5</v>
      </c>
      <c r="K1085" s="167">
        <f>L1085/J1085</f>
        <v>320</v>
      </c>
      <c r="L1085" s="164">
        <v>1600</v>
      </c>
    </row>
    <row r="1086" spans="2:12" x14ac:dyDescent="0.3">
      <c r="B1086" s="57">
        <f t="shared" si="89"/>
        <v>1083</v>
      </c>
      <c r="C1086" s="147">
        <v>46146</v>
      </c>
      <c r="D1086" s="57" t="s">
        <v>968</v>
      </c>
      <c r="E1086" s="57" t="s">
        <v>4128</v>
      </c>
      <c r="F1086" s="57" t="s">
        <v>300</v>
      </c>
      <c r="G1086" s="57" t="s">
        <v>303</v>
      </c>
      <c r="H1086" s="140" t="s">
        <v>1189</v>
      </c>
      <c r="I1086" s="57"/>
      <c r="J1086" s="57"/>
      <c r="L1086" s="164">
        <v>4000</v>
      </c>
    </row>
    <row r="1087" spans="2:12" x14ac:dyDescent="0.3">
      <c r="B1087" s="57">
        <f t="shared" si="89"/>
        <v>1084</v>
      </c>
      <c r="C1087" s="147">
        <v>46146</v>
      </c>
      <c r="D1087" s="57" t="s">
        <v>968</v>
      </c>
      <c r="E1087" s="57" t="s">
        <v>146</v>
      </c>
      <c r="F1087" s="57" t="s">
        <v>446</v>
      </c>
      <c r="G1087" s="57" t="s">
        <v>2329</v>
      </c>
      <c r="H1087" s="140" t="s">
        <v>1190</v>
      </c>
      <c r="I1087" s="57"/>
      <c r="J1087" s="165">
        <f>L1087/K1087</f>
        <v>10.416666666666666</v>
      </c>
      <c r="K1087" s="57">
        <v>96</v>
      </c>
      <c r="L1087" s="164">
        <v>1000</v>
      </c>
    </row>
    <row r="1088" spans="2:12" x14ac:dyDescent="0.3">
      <c r="B1088" s="57">
        <f t="shared" si="89"/>
        <v>1085</v>
      </c>
      <c r="C1088" s="147">
        <v>46146</v>
      </c>
      <c r="D1088" s="57" t="s">
        <v>968</v>
      </c>
      <c r="E1088" s="57" t="s">
        <v>522</v>
      </c>
      <c r="F1088" s="57" t="s">
        <v>446</v>
      </c>
      <c r="G1088" s="57" t="s">
        <v>352</v>
      </c>
      <c r="H1088" s="140" t="s">
        <v>1191</v>
      </c>
      <c r="I1088" s="57"/>
      <c r="J1088" s="57"/>
      <c r="L1088" s="164">
        <v>4600</v>
      </c>
    </row>
    <row r="1089" spans="2:12" x14ac:dyDescent="0.3">
      <c r="B1089" s="57">
        <f t="shared" si="89"/>
        <v>1086</v>
      </c>
      <c r="C1089" s="147">
        <v>46146</v>
      </c>
      <c r="D1089" s="57" t="s">
        <v>968</v>
      </c>
      <c r="E1089" s="57" t="s">
        <v>146</v>
      </c>
      <c r="F1089" s="57" t="s">
        <v>446</v>
      </c>
      <c r="G1089" s="57" t="s">
        <v>352</v>
      </c>
      <c r="H1089" s="140" t="s">
        <v>4092</v>
      </c>
      <c r="I1089" s="57"/>
      <c r="J1089" s="165">
        <f t="shared" ref="J1089:J1093" si="95">L1089/K1089</f>
        <v>36.458333333333336</v>
      </c>
      <c r="K1089" s="57">
        <v>96</v>
      </c>
      <c r="L1089" s="164">
        <v>3500</v>
      </c>
    </row>
    <row r="1090" spans="2:12" x14ac:dyDescent="0.3">
      <c r="B1090" s="57">
        <f t="shared" si="89"/>
        <v>1087</v>
      </c>
      <c r="C1090" s="147">
        <v>46146</v>
      </c>
      <c r="D1090" s="57" t="s">
        <v>968</v>
      </c>
      <c r="E1090" s="57" t="s">
        <v>146</v>
      </c>
      <c r="F1090" s="57" t="s">
        <v>446</v>
      </c>
      <c r="G1090" s="57" t="s">
        <v>352</v>
      </c>
      <c r="H1090" s="140" t="s">
        <v>4092</v>
      </c>
      <c r="I1090" s="57"/>
      <c r="J1090" s="165">
        <f t="shared" si="95"/>
        <v>36.458333333333336</v>
      </c>
      <c r="K1090" s="57">
        <v>96</v>
      </c>
      <c r="L1090" s="164">
        <v>3500</v>
      </c>
    </row>
    <row r="1091" spans="2:12" x14ac:dyDescent="0.3">
      <c r="B1091" s="57">
        <f t="shared" si="89"/>
        <v>1088</v>
      </c>
      <c r="C1091" s="147">
        <v>46146</v>
      </c>
      <c r="D1091" s="57" t="s">
        <v>968</v>
      </c>
      <c r="E1091" s="57" t="s">
        <v>146</v>
      </c>
      <c r="F1091" s="57" t="s">
        <v>446</v>
      </c>
      <c r="G1091" s="57" t="s">
        <v>352</v>
      </c>
      <c r="H1091" s="140" t="s">
        <v>4092</v>
      </c>
      <c r="I1091" s="57"/>
      <c r="J1091" s="165">
        <f t="shared" si="95"/>
        <v>18.885416666666668</v>
      </c>
      <c r="K1091" s="57">
        <v>96</v>
      </c>
      <c r="L1091" s="164">
        <v>1813</v>
      </c>
    </row>
    <row r="1092" spans="2:12" x14ac:dyDescent="0.3">
      <c r="B1092" s="57">
        <f t="shared" si="89"/>
        <v>1089</v>
      </c>
      <c r="C1092" s="147">
        <v>46146</v>
      </c>
      <c r="D1092" s="57" t="s">
        <v>968</v>
      </c>
      <c r="E1092" s="57" t="s">
        <v>146</v>
      </c>
      <c r="F1092" s="57" t="s">
        <v>446</v>
      </c>
      <c r="G1092" s="57" t="s">
        <v>352</v>
      </c>
      <c r="H1092" s="140" t="s">
        <v>4092</v>
      </c>
      <c r="I1092" s="57"/>
      <c r="J1092" s="165">
        <f t="shared" si="95"/>
        <v>15.625</v>
      </c>
      <c r="K1092" s="57">
        <v>96</v>
      </c>
      <c r="L1092" s="164">
        <v>1500</v>
      </c>
    </row>
    <row r="1093" spans="2:12" x14ac:dyDescent="0.3">
      <c r="B1093" s="57">
        <f t="shared" si="89"/>
        <v>1090</v>
      </c>
      <c r="C1093" s="147">
        <v>46146</v>
      </c>
      <c r="D1093" s="57" t="s">
        <v>968</v>
      </c>
      <c r="E1093" s="57" t="s">
        <v>146</v>
      </c>
      <c r="F1093" s="57" t="s">
        <v>446</v>
      </c>
      <c r="G1093" s="57" t="s">
        <v>352</v>
      </c>
      <c r="H1093" s="140" t="s">
        <v>4092</v>
      </c>
      <c r="I1093" s="57"/>
      <c r="J1093" s="165">
        <f t="shared" si="95"/>
        <v>36.458333333333336</v>
      </c>
      <c r="K1093" s="57">
        <v>96</v>
      </c>
      <c r="L1093" s="164">
        <v>3500</v>
      </c>
    </row>
    <row r="1094" spans="2:12" x14ac:dyDescent="0.3">
      <c r="B1094" s="57">
        <f t="shared" ref="B1094:B1157" si="96">+B1093+1</f>
        <v>1091</v>
      </c>
      <c r="C1094" s="147">
        <v>46146</v>
      </c>
      <c r="D1094" s="57" t="s">
        <v>968</v>
      </c>
      <c r="E1094" s="57" t="s">
        <v>767</v>
      </c>
      <c r="F1094" s="57" t="s">
        <v>300</v>
      </c>
      <c r="G1094" s="57" t="s">
        <v>991</v>
      </c>
      <c r="H1094" s="140" t="s">
        <v>1192</v>
      </c>
      <c r="I1094" s="57"/>
      <c r="J1094" s="57"/>
      <c r="L1094" s="164">
        <v>750</v>
      </c>
    </row>
    <row r="1095" spans="2:12" x14ac:dyDescent="0.3">
      <c r="B1095" s="57">
        <f t="shared" si="96"/>
        <v>1092</v>
      </c>
      <c r="C1095" s="147">
        <v>46147</v>
      </c>
      <c r="D1095" s="57" t="s">
        <v>968</v>
      </c>
      <c r="E1095" s="57" t="s">
        <v>146</v>
      </c>
      <c r="F1095" s="57" t="s">
        <v>436</v>
      </c>
      <c r="G1095" s="57" t="s">
        <v>987</v>
      </c>
      <c r="H1095" s="140" t="s">
        <v>4105</v>
      </c>
      <c r="I1095" s="57"/>
      <c r="J1095" s="165">
        <f>L1095/K1095</f>
        <v>20.833333333333332</v>
      </c>
      <c r="K1095" s="57">
        <v>96</v>
      </c>
      <c r="L1095" s="164">
        <v>2000</v>
      </c>
    </row>
    <row r="1096" spans="2:12" x14ac:dyDescent="0.3">
      <c r="B1096" s="57">
        <f t="shared" si="96"/>
        <v>1093</v>
      </c>
      <c r="C1096" s="147">
        <v>46147</v>
      </c>
      <c r="D1096" s="57" t="s">
        <v>968</v>
      </c>
      <c r="E1096" s="57" t="s">
        <v>767</v>
      </c>
      <c r="F1096" s="57" t="s">
        <v>546</v>
      </c>
      <c r="G1096" s="57" t="s">
        <v>545</v>
      </c>
      <c r="H1096" s="140" t="s">
        <v>1193</v>
      </c>
      <c r="I1096" s="57"/>
      <c r="J1096" s="57"/>
      <c r="L1096" s="164">
        <v>5560</v>
      </c>
    </row>
    <row r="1097" spans="2:12" x14ac:dyDescent="0.3">
      <c r="B1097" s="57">
        <f t="shared" si="96"/>
        <v>1094</v>
      </c>
      <c r="C1097" s="147">
        <v>46147</v>
      </c>
      <c r="D1097" s="57" t="s">
        <v>968</v>
      </c>
      <c r="E1097" s="57" t="s">
        <v>767</v>
      </c>
      <c r="F1097" s="57" t="s">
        <v>300</v>
      </c>
      <c r="G1097" s="57" t="s">
        <v>498</v>
      </c>
      <c r="H1097" s="140" t="s">
        <v>1194</v>
      </c>
      <c r="I1097" s="57"/>
      <c r="J1097" s="57">
        <v>2</v>
      </c>
      <c r="L1097" s="164">
        <v>1100</v>
      </c>
    </row>
    <row r="1098" spans="2:12" x14ac:dyDescent="0.3">
      <c r="B1098" s="57">
        <f t="shared" si="96"/>
        <v>1095</v>
      </c>
      <c r="C1098" s="147">
        <v>46147</v>
      </c>
      <c r="D1098" s="57" t="s">
        <v>968</v>
      </c>
      <c r="E1098" s="57" t="s">
        <v>532</v>
      </c>
      <c r="F1098" s="57" t="s">
        <v>436</v>
      </c>
      <c r="G1098" s="57" t="s">
        <v>987</v>
      </c>
      <c r="H1098" s="140" t="s">
        <v>1195</v>
      </c>
      <c r="I1098" s="57" t="s">
        <v>532</v>
      </c>
      <c r="J1098" s="57">
        <v>5</v>
      </c>
      <c r="K1098" s="167">
        <f>L1098/J1098</f>
        <v>275</v>
      </c>
      <c r="L1098" s="164">
        <v>1375</v>
      </c>
    </row>
    <row r="1099" spans="2:12" x14ac:dyDescent="0.3">
      <c r="B1099" s="57">
        <f t="shared" si="96"/>
        <v>1096</v>
      </c>
      <c r="C1099" s="147">
        <v>46147</v>
      </c>
      <c r="D1099" s="57" t="s">
        <v>968</v>
      </c>
      <c r="E1099" s="57" t="s">
        <v>434</v>
      </c>
      <c r="F1099" s="57" t="s">
        <v>300</v>
      </c>
      <c r="G1099" s="57" t="s">
        <v>530</v>
      </c>
      <c r="H1099" s="140" t="s">
        <v>1196</v>
      </c>
      <c r="I1099" s="57"/>
      <c r="J1099" s="57"/>
      <c r="L1099" s="164">
        <v>457</v>
      </c>
    </row>
    <row r="1100" spans="2:12" x14ac:dyDescent="0.3">
      <c r="B1100" s="57">
        <f t="shared" si="96"/>
        <v>1097</v>
      </c>
      <c r="C1100" s="147">
        <v>46147</v>
      </c>
      <c r="D1100" s="57" t="s">
        <v>968</v>
      </c>
      <c r="E1100" s="57" t="s">
        <v>574</v>
      </c>
      <c r="F1100" s="57" t="s">
        <v>446</v>
      </c>
      <c r="G1100" s="57" t="s">
        <v>354</v>
      </c>
      <c r="H1100" s="140" t="s">
        <v>1197</v>
      </c>
      <c r="I1100" s="140" t="s">
        <v>4117</v>
      </c>
      <c r="J1100" s="57">
        <v>4.5</v>
      </c>
      <c r="K1100" s="167">
        <f>L1100/J1100</f>
        <v>928</v>
      </c>
      <c r="L1100" s="164">
        <v>4176</v>
      </c>
    </row>
    <row r="1101" spans="2:12" x14ac:dyDescent="0.3">
      <c r="B1101" s="57">
        <f t="shared" si="96"/>
        <v>1098</v>
      </c>
      <c r="C1101" s="147">
        <v>46147</v>
      </c>
      <c r="D1101" s="57" t="s">
        <v>968</v>
      </c>
      <c r="E1101" s="57" t="s">
        <v>460</v>
      </c>
      <c r="F1101" s="57" t="s">
        <v>300</v>
      </c>
      <c r="G1101" s="57" t="s">
        <v>530</v>
      </c>
      <c r="H1101" s="140" t="s">
        <v>1198</v>
      </c>
      <c r="I1101" s="57"/>
      <c r="J1101" s="57"/>
      <c r="L1101" s="164">
        <v>300</v>
      </c>
    </row>
    <row r="1102" spans="2:12" x14ac:dyDescent="0.3">
      <c r="B1102" s="57">
        <f t="shared" si="96"/>
        <v>1099</v>
      </c>
      <c r="C1102" s="147">
        <v>46147</v>
      </c>
      <c r="D1102" s="57" t="s">
        <v>968</v>
      </c>
      <c r="E1102" s="57" t="s">
        <v>595</v>
      </c>
      <c r="F1102" s="57" t="s">
        <v>261</v>
      </c>
      <c r="G1102" s="57" t="s">
        <v>594</v>
      </c>
      <c r="H1102" s="140" t="s">
        <v>1199</v>
      </c>
      <c r="I1102" s="57"/>
      <c r="J1102" s="57"/>
      <c r="L1102" s="164">
        <v>2040</v>
      </c>
    </row>
    <row r="1103" spans="2:12" x14ac:dyDescent="0.3">
      <c r="B1103" s="57">
        <f t="shared" si="96"/>
        <v>1100</v>
      </c>
      <c r="C1103" s="147">
        <v>46147</v>
      </c>
      <c r="D1103" s="57" t="s">
        <v>968</v>
      </c>
      <c r="E1103" s="57" t="s">
        <v>522</v>
      </c>
      <c r="F1103" s="57" t="s">
        <v>300</v>
      </c>
      <c r="G1103" s="57" t="s">
        <v>303</v>
      </c>
      <c r="H1103" s="140" t="s">
        <v>1200</v>
      </c>
      <c r="I1103" s="57"/>
      <c r="J1103" s="57"/>
      <c r="L1103" s="164">
        <v>700</v>
      </c>
    </row>
    <row r="1104" spans="2:12" x14ac:dyDescent="0.3">
      <c r="B1104" s="57">
        <f t="shared" si="96"/>
        <v>1101</v>
      </c>
      <c r="C1104" s="147">
        <v>46147</v>
      </c>
      <c r="D1104" s="57" t="s">
        <v>968</v>
      </c>
      <c r="E1104" s="57" t="s">
        <v>595</v>
      </c>
      <c r="F1104" s="57" t="s">
        <v>261</v>
      </c>
      <c r="G1104" s="57" t="s">
        <v>606</v>
      </c>
      <c r="H1104" s="140" t="s">
        <v>1201</v>
      </c>
      <c r="I1104" s="57"/>
      <c r="J1104" s="57"/>
      <c r="L1104" s="164">
        <v>6131</v>
      </c>
    </row>
    <row r="1105" spans="2:12" x14ac:dyDescent="0.3">
      <c r="B1105" s="57">
        <f t="shared" si="96"/>
        <v>1102</v>
      </c>
      <c r="C1105" s="147">
        <v>46147</v>
      </c>
      <c r="D1105" s="57" t="s">
        <v>968</v>
      </c>
      <c r="E1105" s="57" t="s">
        <v>4128</v>
      </c>
      <c r="F1105" s="57" t="s">
        <v>350</v>
      </c>
      <c r="G1105" s="57" t="s">
        <v>663</v>
      </c>
      <c r="H1105" s="140" t="s">
        <v>1202</v>
      </c>
      <c r="I1105" s="57"/>
      <c r="J1105" s="57"/>
      <c r="L1105" s="164">
        <v>1500</v>
      </c>
    </row>
    <row r="1106" spans="2:12" x14ac:dyDescent="0.3">
      <c r="B1106" s="57">
        <f t="shared" si="96"/>
        <v>1103</v>
      </c>
      <c r="C1106" s="147">
        <v>46147</v>
      </c>
      <c r="D1106" s="57" t="s">
        <v>968</v>
      </c>
      <c r="E1106" s="57" t="s">
        <v>767</v>
      </c>
      <c r="F1106" s="57" t="s">
        <v>300</v>
      </c>
      <c r="G1106" s="57" t="s">
        <v>498</v>
      </c>
      <c r="H1106" s="140" t="s">
        <v>1203</v>
      </c>
      <c r="I1106" s="57"/>
      <c r="J1106" s="57"/>
      <c r="L1106" s="164">
        <v>150</v>
      </c>
    </row>
    <row r="1107" spans="2:12" x14ac:dyDescent="0.3">
      <c r="B1107" s="57">
        <f t="shared" si="96"/>
        <v>1104</v>
      </c>
      <c r="C1107" s="147">
        <v>46147</v>
      </c>
      <c r="D1107" s="57" t="s">
        <v>968</v>
      </c>
      <c r="E1107" s="57" t="s">
        <v>574</v>
      </c>
      <c r="F1107" s="57" t="s">
        <v>350</v>
      </c>
      <c r="G1107" s="57" t="s">
        <v>663</v>
      </c>
      <c r="H1107" s="140" t="s">
        <v>1204</v>
      </c>
      <c r="I1107" s="140" t="s">
        <v>4118</v>
      </c>
      <c r="J1107" s="57">
        <v>8</v>
      </c>
      <c r="K1107" s="168">
        <f>L1107/J1107</f>
        <v>643.75</v>
      </c>
      <c r="L1107" s="164">
        <v>5150</v>
      </c>
    </row>
    <row r="1108" spans="2:12" x14ac:dyDescent="0.3">
      <c r="B1108" s="57">
        <f t="shared" si="96"/>
        <v>1105</v>
      </c>
      <c r="C1108" s="147">
        <v>46147</v>
      </c>
      <c r="D1108" s="57" t="s">
        <v>968</v>
      </c>
      <c r="E1108" s="57" t="s">
        <v>434</v>
      </c>
      <c r="F1108" s="57" t="s">
        <v>300</v>
      </c>
      <c r="G1108" s="57" t="s">
        <v>498</v>
      </c>
      <c r="H1108" s="140" t="s">
        <v>1205</v>
      </c>
      <c r="I1108" s="57"/>
      <c r="J1108" s="57"/>
      <c r="L1108" s="164">
        <v>60</v>
      </c>
    </row>
    <row r="1109" spans="2:12" x14ac:dyDescent="0.3">
      <c r="B1109" s="57">
        <f t="shared" si="96"/>
        <v>1106</v>
      </c>
      <c r="C1109" s="147">
        <v>46147</v>
      </c>
      <c r="D1109" s="57" t="s">
        <v>968</v>
      </c>
      <c r="E1109" s="57" t="s">
        <v>146</v>
      </c>
      <c r="F1109" s="57" t="s">
        <v>446</v>
      </c>
      <c r="G1109" s="57" t="s">
        <v>313</v>
      </c>
      <c r="H1109" s="140" t="s">
        <v>4113</v>
      </c>
      <c r="I1109" s="57" t="s">
        <v>146</v>
      </c>
      <c r="J1109" s="165">
        <f>L1109/K1109</f>
        <v>31.25</v>
      </c>
      <c r="K1109" s="57">
        <v>96</v>
      </c>
      <c r="L1109" s="164">
        <v>3000</v>
      </c>
    </row>
    <row r="1110" spans="2:12" x14ac:dyDescent="0.3">
      <c r="B1110" s="57">
        <f t="shared" si="96"/>
        <v>1107</v>
      </c>
      <c r="C1110" s="147">
        <v>46147</v>
      </c>
      <c r="D1110" s="57" t="s">
        <v>968</v>
      </c>
      <c r="E1110" s="57" t="s">
        <v>986</v>
      </c>
      <c r="F1110" s="57" t="s">
        <v>446</v>
      </c>
      <c r="G1110" s="57" t="s">
        <v>313</v>
      </c>
      <c r="H1110" s="140" t="s">
        <v>1206</v>
      </c>
      <c r="I1110" s="57" t="s">
        <v>986</v>
      </c>
      <c r="J1110" s="57">
        <v>50</v>
      </c>
      <c r="K1110" s="167">
        <f>L1110/J1110</f>
        <v>83</v>
      </c>
      <c r="L1110" s="164">
        <v>4150</v>
      </c>
    </row>
    <row r="1111" spans="2:12" x14ac:dyDescent="0.3">
      <c r="B1111" s="57">
        <f t="shared" si="96"/>
        <v>1108</v>
      </c>
      <c r="C1111" s="147">
        <v>46147</v>
      </c>
      <c r="D1111" s="57" t="s">
        <v>968</v>
      </c>
      <c r="E1111" s="57" t="s">
        <v>574</v>
      </c>
      <c r="F1111" s="57" t="s">
        <v>350</v>
      </c>
      <c r="G1111" s="57" t="s">
        <v>663</v>
      </c>
      <c r="H1111" s="140" t="s">
        <v>1204</v>
      </c>
      <c r="I1111" s="140" t="s">
        <v>4118</v>
      </c>
      <c r="J1111" s="57">
        <v>8</v>
      </c>
      <c r="K1111" s="168">
        <f>L1111/J1111</f>
        <v>638.75</v>
      </c>
      <c r="L1111" s="164">
        <v>5110</v>
      </c>
    </row>
    <row r="1112" spans="2:12" x14ac:dyDescent="0.3">
      <c r="B1112" s="57">
        <f t="shared" si="96"/>
        <v>1109</v>
      </c>
      <c r="C1112" s="147">
        <v>46147</v>
      </c>
      <c r="D1112" s="57" t="s">
        <v>968</v>
      </c>
      <c r="E1112" s="57" t="s">
        <v>532</v>
      </c>
      <c r="F1112" s="57" t="s">
        <v>300</v>
      </c>
      <c r="G1112" s="57" t="s">
        <v>530</v>
      </c>
      <c r="H1112" s="140" t="s">
        <v>1207</v>
      </c>
      <c r="I1112" s="57" t="s">
        <v>532</v>
      </c>
      <c r="J1112" s="57">
        <v>50</v>
      </c>
      <c r="K1112" s="167">
        <f>L1112/J1112</f>
        <v>260</v>
      </c>
      <c r="L1112" s="164">
        <v>13000</v>
      </c>
    </row>
    <row r="1113" spans="2:12" x14ac:dyDescent="0.3">
      <c r="B1113" s="57">
        <f t="shared" si="96"/>
        <v>1110</v>
      </c>
      <c r="C1113" s="147">
        <v>46147</v>
      </c>
      <c r="D1113" s="57" t="s">
        <v>968</v>
      </c>
      <c r="E1113" s="57" t="s">
        <v>727</v>
      </c>
      <c r="F1113" s="57" t="s">
        <v>300</v>
      </c>
      <c r="G1113" s="57" t="s">
        <v>530</v>
      </c>
      <c r="H1113" s="140" t="s">
        <v>1208</v>
      </c>
      <c r="I1113" s="57"/>
      <c r="J1113" s="57"/>
      <c r="L1113" s="164">
        <v>1000</v>
      </c>
    </row>
    <row r="1114" spans="2:12" x14ac:dyDescent="0.3">
      <c r="B1114" s="57">
        <f t="shared" si="96"/>
        <v>1111</v>
      </c>
      <c r="C1114" s="147">
        <v>46147</v>
      </c>
      <c r="D1114" s="57" t="s">
        <v>968</v>
      </c>
      <c r="E1114" s="57" t="s">
        <v>460</v>
      </c>
      <c r="F1114" s="57" t="s">
        <v>300</v>
      </c>
      <c r="G1114" s="57" t="s">
        <v>991</v>
      </c>
      <c r="H1114" s="140" t="s">
        <v>1209</v>
      </c>
      <c r="I1114" s="57"/>
      <c r="J1114" s="57"/>
      <c r="L1114" s="164">
        <v>2200</v>
      </c>
    </row>
    <row r="1115" spans="2:12" x14ac:dyDescent="0.3">
      <c r="B1115" s="57">
        <f t="shared" si="96"/>
        <v>1112</v>
      </c>
      <c r="C1115" s="147">
        <v>46148</v>
      </c>
      <c r="D1115" s="57" t="s">
        <v>968</v>
      </c>
      <c r="E1115" s="57" t="s">
        <v>146</v>
      </c>
      <c r="F1115" s="57" t="s">
        <v>446</v>
      </c>
      <c r="G1115" s="57" t="s">
        <v>990</v>
      </c>
      <c r="H1115" s="140" t="s">
        <v>885</v>
      </c>
      <c r="I1115" s="57"/>
      <c r="J1115" s="165">
        <f>L1115/K1115</f>
        <v>20.833333333333332</v>
      </c>
      <c r="K1115" s="57">
        <v>96</v>
      </c>
      <c r="L1115" s="164">
        <v>2000</v>
      </c>
    </row>
    <row r="1116" spans="2:12" x14ac:dyDescent="0.3">
      <c r="B1116" s="57">
        <f t="shared" si="96"/>
        <v>1113</v>
      </c>
      <c r="C1116" s="147">
        <v>46148</v>
      </c>
      <c r="D1116" s="57" t="s">
        <v>968</v>
      </c>
      <c r="E1116" s="57" t="s">
        <v>532</v>
      </c>
      <c r="F1116" s="57" t="s">
        <v>436</v>
      </c>
      <c r="G1116" s="57" t="s">
        <v>987</v>
      </c>
      <c r="H1116" s="140" t="s">
        <v>1210</v>
      </c>
      <c r="I1116" s="57" t="s">
        <v>532</v>
      </c>
      <c r="J1116" s="57">
        <v>53</v>
      </c>
      <c r="K1116" s="57">
        <v>275</v>
      </c>
      <c r="L1116" s="164">
        <v>14560</v>
      </c>
    </row>
    <row r="1117" spans="2:12" x14ac:dyDescent="0.3">
      <c r="B1117" s="57">
        <f t="shared" si="96"/>
        <v>1114</v>
      </c>
      <c r="C1117" s="147">
        <v>46148</v>
      </c>
      <c r="D1117" s="57" t="s">
        <v>968</v>
      </c>
      <c r="E1117" s="57" t="s">
        <v>574</v>
      </c>
      <c r="F1117" s="57" t="s">
        <v>300</v>
      </c>
      <c r="G1117" s="57" t="s">
        <v>526</v>
      </c>
      <c r="H1117" s="140" t="s">
        <v>1211</v>
      </c>
      <c r="I1117" s="140" t="s">
        <v>4118</v>
      </c>
      <c r="J1117" s="57">
        <v>4</v>
      </c>
      <c r="K1117" s="168">
        <f>L1117/J1117</f>
        <v>625</v>
      </c>
      <c r="L1117" s="164">
        <v>2500</v>
      </c>
    </row>
    <row r="1118" spans="2:12" x14ac:dyDescent="0.3">
      <c r="B1118" s="57">
        <f t="shared" si="96"/>
        <v>1115</v>
      </c>
      <c r="C1118" s="147">
        <v>46148</v>
      </c>
      <c r="D1118" s="57" t="s">
        <v>968</v>
      </c>
      <c r="E1118" s="57" t="s">
        <v>574</v>
      </c>
      <c r="F1118" s="57" t="s">
        <v>350</v>
      </c>
      <c r="G1118" s="57" t="s">
        <v>663</v>
      </c>
      <c r="H1118" s="140" t="s">
        <v>1212</v>
      </c>
      <c r="I1118" s="140" t="s">
        <v>4118</v>
      </c>
      <c r="J1118" s="57">
        <v>8</v>
      </c>
      <c r="K1118" s="57">
        <f>L1118/J1118</f>
        <v>632.5</v>
      </c>
      <c r="L1118" s="164">
        <v>5060</v>
      </c>
    </row>
    <row r="1119" spans="2:12" x14ac:dyDescent="0.3">
      <c r="B1119" s="57">
        <f t="shared" si="96"/>
        <v>1116</v>
      </c>
      <c r="C1119" s="147">
        <v>46148</v>
      </c>
      <c r="D1119" s="57" t="s">
        <v>968</v>
      </c>
      <c r="E1119" s="57" t="s">
        <v>767</v>
      </c>
      <c r="F1119" s="57" t="s">
        <v>446</v>
      </c>
      <c r="G1119" s="57" t="s">
        <v>313</v>
      </c>
      <c r="H1119" s="140" t="s">
        <v>1213</v>
      </c>
      <c r="I1119" s="57"/>
      <c r="J1119" s="57"/>
      <c r="L1119" s="164">
        <v>3100</v>
      </c>
    </row>
    <row r="1120" spans="2:12" x14ac:dyDescent="0.3">
      <c r="B1120" s="57">
        <f t="shared" si="96"/>
        <v>1117</v>
      </c>
      <c r="C1120" s="147">
        <v>46148</v>
      </c>
      <c r="D1120" s="57" t="s">
        <v>968</v>
      </c>
      <c r="E1120" s="57" t="s">
        <v>434</v>
      </c>
      <c r="F1120" s="57" t="s">
        <v>502</v>
      </c>
      <c r="G1120" s="57" t="s">
        <v>257</v>
      </c>
      <c r="H1120" s="140" t="s">
        <v>1214</v>
      </c>
      <c r="I1120" s="57"/>
      <c r="J1120" s="57"/>
      <c r="L1120" s="164">
        <v>2500</v>
      </c>
    </row>
    <row r="1121" spans="2:12" x14ac:dyDescent="0.3">
      <c r="B1121" s="57">
        <f t="shared" si="96"/>
        <v>1118</v>
      </c>
      <c r="C1121" s="147">
        <v>46148</v>
      </c>
      <c r="D1121" s="57" t="s">
        <v>968</v>
      </c>
      <c r="E1121" s="57" t="s">
        <v>146</v>
      </c>
      <c r="F1121" s="57" t="s">
        <v>300</v>
      </c>
      <c r="G1121" s="57" t="s">
        <v>526</v>
      </c>
      <c r="H1121" s="140" t="s">
        <v>4109</v>
      </c>
      <c r="I1121" s="57"/>
      <c r="J1121" s="165">
        <f t="shared" ref="J1121:J1122" si="97">L1121/K1121</f>
        <v>31.25</v>
      </c>
      <c r="K1121" s="57">
        <v>96</v>
      </c>
      <c r="L1121" s="164">
        <v>3000</v>
      </c>
    </row>
    <row r="1122" spans="2:12" x14ac:dyDescent="0.3">
      <c r="B1122" s="57">
        <f t="shared" si="96"/>
        <v>1119</v>
      </c>
      <c r="C1122" s="147">
        <v>46148</v>
      </c>
      <c r="D1122" s="57" t="s">
        <v>968</v>
      </c>
      <c r="E1122" s="57" t="s">
        <v>146</v>
      </c>
      <c r="F1122" s="57" t="s">
        <v>300</v>
      </c>
      <c r="G1122" s="57" t="s">
        <v>530</v>
      </c>
      <c r="H1122" s="140" t="s">
        <v>1215</v>
      </c>
      <c r="I1122" s="57"/>
      <c r="J1122" s="165">
        <f t="shared" si="97"/>
        <v>47.84375</v>
      </c>
      <c r="K1122" s="57">
        <v>96</v>
      </c>
      <c r="L1122" s="164">
        <v>4593</v>
      </c>
    </row>
    <row r="1123" spans="2:12" x14ac:dyDescent="0.3">
      <c r="B1123" s="57">
        <f t="shared" si="96"/>
        <v>1120</v>
      </c>
      <c r="C1123" s="147">
        <v>46148</v>
      </c>
      <c r="D1123" s="57" t="s">
        <v>968</v>
      </c>
      <c r="E1123" s="57" t="s">
        <v>767</v>
      </c>
      <c r="F1123" s="57" t="s">
        <v>446</v>
      </c>
      <c r="G1123" s="57" t="s">
        <v>2329</v>
      </c>
      <c r="H1123" s="140" t="s">
        <v>1216</v>
      </c>
      <c r="I1123" s="57"/>
      <c r="J1123" s="57"/>
      <c r="L1123" s="164">
        <v>890</v>
      </c>
    </row>
    <row r="1124" spans="2:12" x14ac:dyDescent="0.3">
      <c r="B1124" s="57">
        <f t="shared" si="96"/>
        <v>1121</v>
      </c>
      <c r="C1124" s="147">
        <v>46148</v>
      </c>
      <c r="D1124" s="57" t="s">
        <v>968</v>
      </c>
      <c r="E1124" s="57" t="s">
        <v>727</v>
      </c>
      <c r="F1124" s="57" t="s">
        <v>300</v>
      </c>
      <c r="G1124" s="57" t="s">
        <v>530</v>
      </c>
      <c r="H1124" s="140" t="s">
        <v>1217</v>
      </c>
      <c r="I1124" s="57"/>
      <c r="J1124" s="57"/>
      <c r="L1124" s="164">
        <v>1300</v>
      </c>
    </row>
    <row r="1125" spans="2:12" x14ac:dyDescent="0.3">
      <c r="B1125" s="57">
        <f t="shared" si="96"/>
        <v>1122</v>
      </c>
      <c r="C1125" s="147">
        <v>46148</v>
      </c>
      <c r="D1125" s="57" t="s">
        <v>968</v>
      </c>
      <c r="E1125" s="57" t="s">
        <v>574</v>
      </c>
      <c r="F1125" s="57" t="s">
        <v>350</v>
      </c>
      <c r="G1125" s="57" t="s">
        <v>663</v>
      </c>
      <c r="H1125" s="140" t="s">
        <v>1218</v>
      </c>
      <c r="I1125" s="140" t="s">
        <v>2635</v>
      </c>
      <c r="J1125" s="57">
        <v>4</v>
      </c>
      <c r="K1125" s="167">
        <f>L1125/J1125</f>
        <v>675</v>
      </c>
      <c r="L1125" s="164">
        <v>2700</v>
      </c>
    </row>
    <row r="1126" spans="2:12" x14ac:dyDescent="0.3">
      <c r="B1126" s="57">
        <f t="shared" si="96"/>
        <v>1123</v>
      </c>
      <c r="C1126" s="147">
        <v>46148</v>
      </c>
      <c r="D1126" s="57" t="s">
        <v>968</v>
      </c>
      <c r="E1126" s="57" t="s">
        <v>767</v>
      </c>
      <c r="F1126" s="57" t="s">
        <v>446</v>
      </c>
      <c r="G1126" s="57" t="s">
        <v>313</v>
      </c>
      <c r="H1126" s="140" t="s">
        <v>1219</v>
      </c>
      <c r="I1126" s="57"/>
      <c r="J1126" s="57"/>
      <c r="L1126" s="164">
        <v>150</v>
      </c>
    </row>
    <row r="1127" spans="2:12" x14ac:dyDescent="0.3">
      <c r="B1127" s="57">
        <f t="shared" si="96"/>
        <v>1124</v>
      </c>
      <c r="C1127" s="147">
        <v>46148</v>
      </c>
      <c r="D1127" s="57" t="s">
        <v>968</v>
      </c>
      <c r="E1127" s="57" t="s">
        <v>574</v>
      </c>
      <c r="F1127" s="57" t="s">
        <v>350</v>
      </c>
      <c r="G1127" s="57" t="s">
        <v>663</v>
      </c>
      <c r="H1127" s="140" t="s">
        <v>4081</v>
      </c>
      <c r="I1127" s="140" t="s">
        <v>4081</v>
      </c>
      <c r="J1127" s="57">
        <v>4</v>
      </c>
      <c r="K1127" s="167">
        <f>L1127/J1127</f>
        <v>675</v>
      </c>
      <c r="L1127" s="164">
        <v>2700</v>
      </c>
    </row>
    <row r="1128" spans="2:12" x14ac:dyDescent="0.3">
      <c r="B1128" s="57">
        <f t="shared" si="96"/>
        <v>1125</v>
      </c>
      <c r="C1128" s="147">
        <v>46148</v>
      </c>
      <c r="D1128" s="57" t="s">
        <v>968</v>
      </c>
      <c r="E1128" s="57" t="s">
        <v>574</v>
      </c>
      <c r="F1128" s="57" t="s">
        <v>502</v>
      </c>
      <c r="G1128" s="57" t="s">
        <v>257</v>
      </c>
      <c r="H1128" s="140" t="s">
        <v>1220</v>
      </c>
      <c r="I1128" s="140" t="s">
        <v>4081</v>
      </c>
      <c r="J1128" s="57">
        <v>4</v>
      </c>
      <c r="K1128" s="167">
        <f>L1128/J1128</f>
        <v>675</v>
      </c>
      <c r="L1128" s="164">
        <v>2700</v>
      </c>
    </row>
    <row r="1129" spans="2:12" x14ac:dyDescent="0.3">
      <c r="B1129" s="57">
        <f t="shared" si="96"/>
        <v>1126</v>
      </c>
      <c r="C1129" s="147">
        <v>46148</v>
      </c>
      <c r="D1129" s="57" t="s">
        <v>968</v>
      </c>
      <c r="E1129" s="57" t="s">
        <v>767</v>
      </c>
      <c r="F1129" s="57" t="s">
        <v>300</v>
      </c>
      <c r="G1129" s="57" t="s">
        <v>498</v>
      </c>
      <c r="H1129" s="140" t="s">
        <v>1221</v>
      </c>
      <c r="I1129" s="57"/>
      <c r="J1129" s="57"/>
      <c r="L1129" s="164">
        <v>150</v>
      </c>
    </row>
    <row r="1130" spans="2:12" x14ac:dyDescent="0.3">
      <c r="B1130" s="57">
        <f t="shared" si="96"/>
        <v>1127</v>
      </c>
      <c r="C1130" s="147">
        <v>46148</v>
      </c>
      <c r="D1130" s="57" t="s">
        <v>968</v>
      </c>
      <c r="E1130" s="57" t="s">
        <v>767</v>
      </c>
      <c r="F1130" s="57" t="s">
        <v>300</v>
      </c>
      <c r="G1130" s="57" t="s">
        <v>526</v>
      </c>
      <c r="H1130" s="140" t="s">
        <v>1222</v>
      </c>
      <c r="I1130" s="57"/>
      <c r="J1130" s="57"/>
      <c r="L1130" s="164">
        <v>2500</v>
      </c>
    </row>
    <row r="1131" spans="2:12" x14ac:dyDescent="0.3">
      <c r="B1131" s="57">
        <f t="shared" si="96"/>
        <v>1128</v>
      </c>
      <c r="C1131" s="147">
        <v>46148</v>
      </c>
      <c r="D1131" s="57" t="s">
        <v>968</v>
      </c>
      <c r="E1131" s="57" t="s">
        <v>146</v>
      </c>
      <c r="F1131" s="57" t="s">
        <v>350</v>
      </c>
      <c r="G1131" s="57" t="s">
        <v>663</v>
      </c>
      <c r="H1131" s="140" t="s">
        <v>1223</v>
      </c>
      <c r="I1131" s="57"/>
      <c r="J1131" s="165">
        <f t="shared" ref="J1131:J1132" si="98">L1131/K1131</f>
        <v>31.25</v>
      </c>
      <c r="K1131" s="57">
        <v>96</v>
      </c>
      <c r="L1131" s="164">
        <v>3000</v>
      </c>
    </row>
    <row r="1132" spans="2:12" x14ac:dyDescent="0.3">
      <c r="B1132" s="57">
        <f t="shared" si="96"/>
        <v>1129</v>
      </c>
      <c r="C1132" s="147">
        <v>46148</v>
      </c>
      <c r="D1132" s="57" t="s">
        <v>968</v>
      </c>
      <c r="E1132" s="57" t="s">
        <v>146</v>
      </c>
      <c r="F1132" s="57" t="s">
        <v>350</v>
      </c>
      <c r="G1132" s="57" t="s">
        <v>663</v>
      </c>
      <c r="H1132" s="140" t="s">
        <v>4106</v>
      </c>
      <c r="I1132" s="57"/>
      <c r="J1132" s="165">
        <f t="shared" si="98"/>
        <v>31.25</v>
      </c>
      <c r="K1132" s="57">
        <v>96</v>
      </c>
      <c r="L1132" s="164">
        <v>3000</v>
      </c>
    </row>
    <row r="1133" spans="2:12" x14ac:dyDescent="0.3">
      <c r="B1133" s="57">
        <f t="shared" si="96"/>
        <v>1130</v>
      </c>
      <c r="C1133" s="147">
        <v>46148</v>
      </c>
      <c r="D1133" s="57" t="s">
        <v>968</v>
      </c>
      <c r="E1133" s="57" t="s">
        <v>434</v>
      </c>
      <c r="F1133" s="57" t="s">
        <v>446</v>
      </c>
      <c r="G1133" s="57" t="s">
        <v>313</v>
      </c>
      <c r="H1133" s="140" t="s">
        <v>1224</v>
      </c>
      <c r="I1133" s="57"/>
      <c r="J1133" s="57"/>
      <c r="L1133" s="164">
        <v>400</v>
      </c>
    </row>
    <row r="1134" spans="2:12" x14ac:dyDescent="0.3">
      <c r="B1134" s="57">
        <f t="shared" si="96"/>
        <v>1131</v>
      </c>
      <c r="C1134" s="147">
        <v>46148</v>
      </c>
      <c r="D1134" s="57" t="s">
        <v>968</v>
      </c>
      <c r="E1134" s="57" t="s">
        <v>574</v>
      </c>
      <c r="F1134" s="57" t="s">
        <v>350</v>
      </c>
      <c r="G1134" s="57" t="s">
        <v>663</v>
      </c>
      <c r="H1134" s="140" t="s">
        <v>1218</v>
      </c>
      <c r="I1134" s="140" t="s">
        <v>4081</v>
      </c>
      <c r="J1134" s="57">
        <v>8</v>
      </c>
      <c r="K1134" s="168">
        <f>L1134/J1134</f>
        <v>697.5</v>
      </c>
      <c r="L1134" s="164">
        <v>5580</v>
      </c>
    </row>
    <row r="1135" spans="2:12" x14ac:dyDescent="0.3">
      <c r="B1135" s="57">
        <f t="shared" si="96"/>
        <v>1132</v>
      </c>
      <c r="C1135" s="147">
        <v>46148</v>
      </c>
      <c r="D1135" s="57" t="s">
        <v>968</v>
      </c>
      <c r="E1135" s="57" t="s">
        <v>146</v>
      </c>
      <c r="F1135" s="57" t="s">
        <v>502</v>
      </c>
      <c r="G1135" s="57" t="s">
        <v>257</v>
      </c>
      <c r="H1135" s="140" t="s">
        <v>4100</v>
      </c>
      <c r="I1135" s="57"/>
      <c r="J1135" s="165">
        <f>L1135/K1135</f>
        <v>20.833333333333332</v>
      </c>
      <c r="K1135" s="57">
        <v>96</v>
      </c>
      <c r="L1135" s="164">
        <v>2000</v>
      </c>
    </row>
    <row r="1136" spans="2:12" x14ac:dyDescent="0.3">
      <c r="B1136" s="57">
        <f t="shared" si="96"/>
        <v>1133</v>
      </c>
      <c r="C1136" s="147">
        <v>46148</v>
      </c>
      <c r="D1136" s="57" t="s">
        <v>968</v>
      </c>
      <c r="E1136" s="57" t="s">
        <v>595</v>
      </c>
      <c r="F1136" s="57" t="s">
        <v>261</v>
      </c>
      <c r="G1136" s="57" t="s">
        <v>606</v>
      </c>
      <c r="H1136" s="140" t="s">
        <v>1225</v>
      </c>
      <c r="I1136" s="57"/>
      <c r="J1136" s="57"/>
      <c r="L1136" s="164">
        <v>200</v>
      </c>
    </row>
    <row r="1137" spans="2:12" x14ac:dyDescent="0.3">
      <c r="B1137" s="57">
        <f t="shared" si="96"/>
        <v>1134</v>
      </c>
      <c r="C1137" s="147">
        <v>46148</v>
      </c>
      <c r="D1137" s="57" t="s">
        <v>968</v>
      </c>
      <c r="E1137" s="57" t="s">
        <v>727</v>
      </c>
      <c r="F1137" s="57" t="s">
        <v>300</v>
      </c>
      <c r="G1137" s="57" t="s">
        <v>530</v>
      </c>
      <c r="H1137" s="140" t="s">
        <v>1226</v>
      </c>
      <c r="I1137" s="57"/>
      <c r="J1137" s="57"/>
      <c r="L1137" s="164">
        <v>1300</v>
      </c>
    </row>
    <row r="1138" spans="2:12" x14ac:dyDescent="0.3">
      <c r="B1138" s="57">
        <f t="shared" si="96"/>
        <v>1135</v>
      </c>
      <c r="C1138" s="147">
        <v>46149</v>
      </c>
      <c r="D1138" s="57" t="s">
        <v>968</v>
      </c>
      <c r="E1138" s="57" t="s">
        <v>595</v>
      </c>
      <c r="F1138" s="57" t="s">
        <v>261</v>
      </c>
      <c r="G1138" s="57" t="s">
        <v>606</v>
      </c>
      <c r="H1138" s="140" t="s">
        <v>1227</v>
      </c>
      <c r="I1138" s="57"/>
      <c r="J1138" s="57"/>
      <c r="L1138" s="164">
        <v>2980</v>
      </c>
    </row>
    <row r="1139" spans="2:12" x14ac:dyDescent="0.3">
      <c r="B1139" s="57">
        <f t="shared" si="96"/>
        <v>1136</v>
      </c>
      <c r="C1139" s="147">
        <v>46149</v>
      </c>
      <c r="D1139" s="57" t="s">
        <v>968</v>
      </c>
      <c r="E1139" s="57" t="s">
        <v>574</v>
      </c>
      <c r="F1139" s="57" t="s">
        <v>350</v>
      </c>
      <c r="G1139" s="57" t="s">
        <v>663</v>
      </c>
      <c r="H1139" s="140" t="s">
        <v>2634</v>
      </c>
      <c r="I1139" s="140" t="s">
        <v>4081</v>
      </c>
      <c r="J1139" s="57">
        <v>4</v>
      </c>
      <c r="K1139" s="167">
        <f>L1139/J1139</f>
        <v>700</v>
      </c>
      <c r="L1139" s="164">
        <v>2800</v>
      </c>
    </row>
    <row r="1140" spans="2:12" x14ac:dyDescent="0.3">
      <c r="B1140" s="57">
        <f t="shared" si="96"/>
        <v>1137</v>
      </c>
      <c r="C1140" s="147">
        <v>46149</v>
      </c>
      <c r="D1140" s="57" t="s">
        <v>968</v>
      </c>
      <c r="E1140" s="57" t="s">
        <v>460</v>
      </c>
      <c r="F1140" s="57" t="s">
        <v>300</v>
      </c>
      <c r="G1140" s="57" t="s">
        <v>530</v>
      </c>
      <c r="H1140" s="140" t="s">
        <v>1228</v>
      </c>
      <c r="I1140" s="57"/>
      <c r="J1140" s="57"/>
      <c r="L1140" s="164">
        <v>3800</v>
      </c>
    </row>
    <row r="1141" spans="2:12" x14ac:dyDescent="0.3">
      <c r="B1141" s="57">
        <f t="shared" si="96"/>
        <v>1138</v>
      </c>
      <c r="C1141" s="147">
        <v>46149</v>
      </c>
      <c r="D1141" s="57" t="s">
        <v>968</v>
      </c>
      <c r="E1141" s="57" t="s">
        <v>595</v>
      </c>
      <c r="F1141" s="57" t="s">
        <v>300</v>
      </c>
      <c r="G1141" s="57" t="s">
        <v>626</v>
      </c>
      <c r="H1141" s="140" t="s">
        <v>1229</v>
      </c>
      <c r="I1141" s="57"/>
      <c r="J1141" s="57"/>
      <c r="L1141" s="164">
        <v>2600</v>
      </c>
    </row>
    <row r="1142" spans="2:12" x14ac:dyDescent="0.3">
      <c r="B1142" s="57">
        <f t="shared" si="96"/>
        <v>1139</v>
      </c>
      <c r="C1142" s="147">
        <v>46149</v>
      </c>
      <c r="D1142" s="57" t="s">
        <v>968</v>
      </c>
      <c r="E1142" s="57" t="s">
        <v>595</v>
      </c>
      <c r="F1142" s="57" t="s">
        <v>300</v>
      </c>
      <c r="G1142" s="57" t="s">
        <v>626</v>
      </c>
      <c r="H1142" s="140" t="s">
        <v>1230</v>
      </c>
      <c r="I1142" s="57"/>
      <c r="J1142" s="57"/>
      <c r="L1142" s="164">
        <v>5600</v>
      </c>
    </row>
    <row r="1143" spans="2:12" x14ac:dyDescent="0.3">
      <c r="B1143" s="57">
        <f t="shared" si="96"/>
        <v>1140</v>
      </c>
      <c r="C1143" s="147">
        <v>46149</v>
      </c>
      <c r="D1143" s="57" t="s">
        <v>968</v>
      </c>
      <c r="E1143" s="57" t="s">
        <v>4091</v>
      </c>
      <c r="F1143" s="57" t="s">
        <v>300</v>
      </c>
      <c r="G1143" s="57" t="s">
        <v>530</v>
      </c>
      <c r="H1143" s="140" t="s">
        <v>4096</v>
      </c>
      <c r="I1143" s="57"/>
      <c r="J1143" s="57"/>
      <c r="L1143" s="164">
        <v>1000</v>
      </c>
    </row>
    <row r="1144" spans="2:12" x14ac:dyDescent="0.3">
      <c r="B1144" s="57">
        <f t="shared" si="96"/>
        <v>1141</v>
      </c>
      <c r="C1144" s="147">
        <v>46149</v>
      </c>
      <c r="D1144" s="57" t="s">
        <v>968</v>
      </c>
      <c r="E1144" s="57" t="s">
        <v>434</v>
      </c>
      <c r="F1144" s="57" t="s">
        <v>446</v>
      </c>
      <c r="G1144" s="57" t="s">
        <v>649</v>
      </c>
      <c r="H1144" s="140" t="s">
        <v>1231</v>
      </c>
      <c r="I1144" s="57"/>
      <c r="J1144" s="57"/>
      <c r="L1144" s="164">
        <v>2500</v>
      </c>
    </row>
    <row r="1145" spans="2:12" x14ac:dyDescent="0.3">
      <c r="B1145" s="57">
        <f t="shared" si="96"/>
        <v>1142</v>
      </c>
      <c r="C1145" s="147">
        <v>46149</v>
      </c>
      <c r="D1145" s="57" t="s">
        <v>968</v>
      </c>
      <c r="E1145" s="57" t="s">
        <v>595</v>
      </c>
      <c r="F1145" s="57" t="s">
        <v>261</v>
      </c>
      <c r="G1145" s="57" t="s">
        <v>606</v>
      </c>
      <c r="H1145" s="140" t="s">
        <v>1232</v>
      </c>
      <c r="I1145" s="57"/>
      <c r="J1145" s="57"/>
      <c r="L1145" s="164">
        <v>2000</v>
      </c>
    </row>
    <row r="1146" spans="2:12" x14ac:dyDescent="0.3">
      <c r="B1146" s="57">
        <f t="shared" si="96"/>
        <v>1143</v>
      </c>
      <c r="C1146" s="147">
        <v>46149</v>
      </c>
      <c r="D1146" s="57" t="s">
        <v>968</v>
      </c>
      <c r="E1146" s="57" t="s">
        <v>767</v>
      </c>
      <c r="F1146" s="57" t="s">
        <v>446</v>
      </c>
      <c r="G1146" s="57" t="s">
        <v>313</v>
      </c>
      <c r="H1146" s="140" t="s">
        <v>1233</v>
      </c>
      <c r="I1146" s="57"/>
      <c r="J1146" s="57"/>
      <c r="L1146" s="164">
        <v>150</v>
      </c>
    </row>
    <row r="1147" spans="2:12" x14ac:dyDescent="0.3">
      <c r="B1147" s="57">
        <f t="shared" si="96"/>
        <v>1144</v>
      </c>
      <c r="C1147" s="147">
        <v>46149</v>
      </c>
      <c r="D1147" s="57" t="s">
        <v>968</v>
      </c>
      <c r="E1147" s="57" t="s">
        <v>4128</v>
      </c>
      <c r="F1147" s="57" t="s">
        <v>502</v>
      </c>
      <c r="G1147" s="57" t="s">
        <v>257</v>
      </c>
      <c r="H1147" s="140" t="s">
        <v>2931</v>
      </c>
      <c r="I1147" s="57"/>
      <c r="J1147" s="57"/>
      <c r="L1147" s="164">
        <v>2605</v>
      </c>
    </row>
    <row r="1148" spans="2:12" x14ac:dyDescent="0.3">
      <c r="B1148" s="57">
        <f t="shared" si="96"/>
        <v>1145</v>
      </c>
      <c r="C1148" s="147">
        <v>46149</v>
      </c>
      <c r="D1148" s="57" t="s">
        <v>968</v>
      </c>
      <c r="E1148" s="57" t="s">
        <v>595</v>
      </c>
      <c r="F1148" s="57" t="s">
        <v>300</v>
      </c>
      <c r="G1148" s="57" t="s">
        <v>616</v>
      </c>
      <c r="H1148" s="140" t="s">
        <v>1234</v>
      </c>
      <c r="I1148" s="57"/>
      <c r="J1148" s="57"/>
      <c r="L1148" s="164">
        <v>6058</v>
      </c>
    </row>
    <row r="1149" spans="2:12" x14ac:dyDescent="0.3">
      <c r="B1149" s="57">
        <f t="shared" si="96"/>
        <v>1146</v>
      </c>
      <c r="C1149" s="147">
        <v>46149</v>
      </c>
      <c r="D1149" s="57" t="s">
        <v>968</v>
      </c>
      <c r="E1149" s="57" t="s">
        <v>4128</v>
      </c>
      <c r="F1149" s="57" t="s">
        <v>300</v>
      </c>
      <c r="G1149" s="57" t="s">
        <v>530</v>
      </c>
      <c r="H1149" s="140" t="s">
        <v>2932</v>
      </c>
      <c r="I1149" s="57"/>
      <c r="J1149" s="57"/>
      <c r="L1149" s="164">
        <v>1625</v>
      </c>
    </row>
    <row r="1150" spans="2:12" x14ac:dyDescent="0.3">
      <c r="B1150" s="57">
        <f t="shared" si="96"/>
        <v>1147</v>
      </c>
      <c r="C1150" s="147">
        <v>46150</v>
      </c>
      <c r="D1150" s="57" t="s">
        <v>968</v>
      </c>
      <c r="E1150" s="57" t="s">
        <v>146</v>
      </c>
      <c r="F1150" s="57" t="s">
        <v>546</v>
      </c>
      <c r="G1150" s="57" t="s">
        <v>545</v>
      </c>
      <c r="H1150" s="140" t="s">
        <v>1235</v>
      </c>
      <c r="I1150" s="57"/>
      <c r="J1150" s="165">
        <f t="shared" ref="J1150:J1152" si="99">L1150/K1150</f>
        <v>31.25</v>
      </c>
      <c r="K1150" s="57">
        <v>96</v>
      </c>
      <c r="L1150" s="164">
        <v>3000</v>
      </c>
    </row>
    <row r="1151" spans="2:12" x14ac:dyDescent="0.3">
      <c r="B1151" s="57">
        <f t="shared" si="96"/>
        <v>1148</v>
      </c>
      <c r="C1151" s="147">
        <v>46150</v>
      </c>
      <c r="D1151" s="57" t="s">
        <v>968</v>
      </c>
      <c r="E1151" s="57" t="s">
        <v>146</v>
      </c>
      <c r="F1151" s="57" t="s">
        <v>446</v>
      </c>
      <c r="G1151" s="57" t="s">
        <v>990</v>
      </c>
      <c r="H1151" s="140" t="s">
        <v>1236</v>
      </c>
      <c r="I1151" s="57"/>
      <c r="J1151" s="165">
        <f t="shared" si="99"/>
        <v>20.833333333333332</v>
      </c>
      <c r="K1151" s="57">
        <v>96</v>
      </c>
      <c r="L1151" s="164">
        <v>2000</v>
      </c>
    </row>
    <row r="1152" spans="2:12" x14ac:dyDescent="0.3">
      <c r="B1152" s="57">
        <f t="shared" si="96"/>
        <v>1149</v>
      </c>
      <c r="C1152" s="147">
        <v>46150</v>
      </c>
      <c r="D1152" s="57" t="s">
        <v>968</v>
      </c>
      <c r="E1152" s="57" t="s">
        <v>146</v>
      </c>
      <c r="F1152" s="57" t="s">
        <v>446</v>
      </c>
      <c r="G1152" s="57" t="s">
        <v>313</v>
      </c>
      <c r="H1152" s="140" t="s">
        <v>1237</v>
      </c>
      <c r="I1152" s="57"/>
      <c r="J1152" s="165">
        <f t="shared" si="99"/>
        <v>31.25</v>
      </c>
      <c r="K1152" s="57">
        <v>96</v>
      </c>
      <c r="L1152" s="164">
        <v>3000</v>
      </c>
    </row>
    <row r="1153" spans="2:12" x14ac:dyDescent="0.3">
      <c r="B1153" s="57">
        <f t="shared" si="96"/>
        <v>1150</v>
      </c>
      <c r="C1153" s="147">
        <v>46150</v>
      </c>
      <c r="D1153" s="57" t="s">
        <v>968</v>
      </c>
      <c r="E1153" s="57" t="s">
        <v>522</v>
      </c>
      <c r="F1153" s="57" t="s">
        <v>300</v>
      </c>
      <c r="G1153" s="57" t="s">
        <v>530</v>
      </c>
      <c r="H1153" s="140" t="s">
        <v>1238</v>
      </c>
      <c r="I1153" s="57"/>
      <c r="J1153" s="57"/>
      <c r="L1153" s="164">
        <v>24000</v>
      </c>
    </row>
    <row r="1154" spans="2:12" x14ac:dyDescent="0.3">
      <c r="B1154" s="57">
        <f t="shared" si="96"/>
        <v>1151</v>
      </c>
      <c r="C1154" s="147">
        <v>46150</v>
      </c>
      <c r="D1154" s="57" t="s">
        <v>968</v>
      </c>
      <c r="E1154" s="57" t="s">
        <v>522</v>
      </c>
      <c r="F1154" s="57" t="s">
        <v>300</v>
      </c>
      <c r="G1154" s="57" t="s">
        <v>530</v>
      </c>
      <c r="H1154" s="140" t="s">
        <v>1239</v>
      </c>
      <c r="I1154" s="57"/>
      <c r="J1154" s="57"/>
      <c r="L1154" s="164">
        <v>400</v>
      </c>
    </row>
    <row r="1155" spans="2:12" x14ac:dyDescent="0.3">
      <c r="B1155" s="57">
        <f t="shared" si="96"/>
        <v>1152</v>
      </c>
      <c r="C1155" s="147">
        <v>46150</v>
      </c>
      <c r="D1155" s="57" t="s">
        <v>968</v>
      </c>
      <c r="E1155" s="57" t="s">
        <v>522</v>
      </c>
      <c r="F1155" s="57" t="s">
        <v>300</v>
      </c>
      <c r="G1155" s="57" t="s">
        <v>530</v>
      </c>
      <c r="H1155" s="140" t="s">
        <v>1240</v>
      </c>
      <c r="I1155" s="57"/>
      <c r="J1155" s="57"/>
      <c r="L1155" s="164">
        <v>1900</v>
      </c>
    </row>
    <row r="1156" spans="2:12" x14ac:dyDescent="0.3">
      <c r="B1156" s="57">
        <f t="shared" si="96"/>
        <v>1153</v>
      </c>
      <c r="C1156" s="147">
        <v>46150</v>
      </c>
      <c r="D1156" s="57" t="s">
        <v>968</v>
      </c>
      <c r="E1156" s="57" t="s">
        <v>4128</v>
      </c>
      <c r="F1156" s="57" t="s">
        <v>502</v>
      </c>
      <c r="G1156" s="57" t="s">
        <v>773</v>
      </c>
      <c r="H1156" s="140" t="s">
        <v>1241</v>
      </c>
      <c r="I1156" s="57"/>
      <c r="J1156" s="57"/>
      <c r="L1156" s="164">
        <v>3500</v>
      </c>
    </row>
    <row r="1157" spans="2:12" x14ac:dyDescent="0.3">
      <c r="B1157" s="57">
        <f t="shared" si="96"/>
        <v>1154</v>
      </c>
      <c r="C1157" s="147">
        <v>46150</v>
      </c>
      <c r="D1157" s="57" t="s">
        <v>968</v>
      </c>
      <c r="E1157" s="57" t="s">
        <v>767</v>
      </c>
      <c r="F1157" s="57" t="s">
        <v>446</v>
      </c>
      <c r="G1157" s="57" t="s">
        <v>313</v>
      </c>
      <c r="H1157" s="140" t="s">
        <v>1242</v>
      </c>
      <c r="I1157" s="57"/>
      <c r="J1157" s="57"/>
      <c r="L1157" s="164">
        <v>150</v>
      </c>
    </row>
    <row r="1158" spans="2:12" x14ac:dyDescent="0.3">
      <c r="B1158" s="57">
        <f t="shared" ref="B1158:B1221" si="100">+B1157+1</f>
        <v>1155</v>
      </c>
      <c r="C1158" s="147">
        <v>46149</v>
      </c>
      <c r="D1158" s="57" t="s">
        <v>968</v>
      </c>
      <c r="E1158" s="57" t="s">
        <v>574</v>
      </c>
      <c r="F1158" s="57" t="s">
        <v>350</v>
      </c>
      <c r="G1158" s="57" t="s">
        <v>663</v>
      </c>
      <c r="H1158" s="140" t="s">
        <v>4119</v>
      </c>
      <c r="I1158" s="140" t="s">
        <v>2635</v>
      </c>
      <c r="J1158" s="57">
        <v>4</v>
      </c>
      <c r="K1158" s="167">
        <f>L1158/J1158</f>
        <v>700</v>
      </c>
      <c r="L1158" s="164">
        <v>2800</v>
      </c>
    </row>
    <row r="1159" spans="2:12" x14ac:dyDescent="0.3">
      <c r="B1159" s="57">
        <f t="shared" si="100"/>
        <v>1156</v>
      </c>
      <c r="C1159" s="147">
        <v>46150</v>
      </c>
      <c r="D1159" s="57" t="s">
        <v>968</v>
      </c>
      <c r="E1159" s="57" t="s">
        <v>574</v>
      </c>
      <c r="F1159" s="57" t="s">
        <v>502</v>
      </c>
      <c r="G1159" s="57" t="s">
        <v>773</v>
      </c>
      <c r="H1159" s="140" t="s">
        <v>1243</v>
      </c>
      <c r="I1159" s="140" t="s">
        <v>4118</v>
      </c>
      <c r="J1159" s="57">
        <v>8</v>
      </c>
      <c r="K1159" s="57">
        <f>L1159/J1159</f>
        <v>625</v>
      </c>
      <c r="L1159" s="164">
        <v>5000</v>
      </c>
    </row>
    <row r="1160" spans="2:12" x14ac:dyDescent="0.3">
      <c r="B1160" s="57">
        <f t="shared" si="100"/>
        <v>1157</v>
      </c>
      <c r="C1160" s="147">
        <v>46150</v>
      </c>
      <c r="D1160" s="57" t="s">
        <v>968</v>
      </c>
      <c r="E1160" s="57" t="s">
        <v>4128</v>
      </c>
      <c r="F1160" s="57" t="s">
        <v>300</v>
      </c>
      <c r="G1160" s="57" t="s">
        <v>530</v>
      </c>
      <c r="H1160" s="140" t="s">
        <v>1244</v>
      </c>
      <c r="I1160" s="57"/>
      <c r="J1160" s="57"/>
      <c r="L1160" s="164">
        <v>4000</v>
      </c>
    </row>
    <row r="1161" spans="2:12" x14ac:dyDescent="0.3">
      <c r="B1161" s="57">
        <f t="shared" si="100"/>
        <v>1158</v>
      </c>
      <c r="C1161" s="147">
        <v>46150</v>
      </c>
      <c r="D1161" s="57" t="s">
        <v>968</v>
      </c>
      <c r="E1161" s="57" t="s">
        <v>986</v>
      </c>
      <c r="F1161" s="57" t="s">
        <v>446</v>
      </c>
      <c r="G1161" s="57" t="s">
        <v>649</v>
      </c>
      <c r="H1161" s="140" t="s">
        <v>1245</v>
      </c>
      <c r="I1161" s="57" t="s">
        <v>986</v>
      </c>
      <c r="J1161" s="57">
        <v>25</v>
      </c>
      <c r="L1161" s="164">
        <v>3400</v>
      </c>
    </row>
    <row r="1162" spans="2:12" x14ac:dyDescent="0.3">
      <c r="B1162" s="57">
        <f t="shared" si="100"/>
        <v>1159</v>
      </c>
      <c r="C1162" s="147">
        <v>46150</v>
      </c>
      <c r="D1162" s="57" t="s">
        <v>968</v>
      </c>
      <c r="E1162" s="57" t="s">
        <v>146</v>
      </c>
      <c r="F1162" s="57" t="s">
        <v>446</v>
      </c>
      <c r="G1162" s="57" t="s">
        <v>359</v>
      </c>
      <c r="H1162" s="140" t="s">
        <v>4113</v>
      </c>
      <c r="I1162" s="57" t="s">
        <v>146</v>
      </c>
      <c r="J1162" s="165">
        <f t="shared" ref="J1162:J1163" si="101">L1162/K1162</f>
        <v>31.25</v>
      </c>
      <c r="K1162" s="57">
        <v>96</v>
      </c>
      <c r="L1162" s="164">
        <v>3000</v>
      </c>
    </row>
    <row r="1163" spans="2:12" x14ac:dyDescent="0.3">
      <c r="B1163" s="57">
        <f t="shared" si="100"/>
        <v>1160</v>
      </c>
      <c r="C1163" s="147">
        <v>46150</v>
      </c>
      <c r="D1163" s="57" t="s">
        <v>968</v>
      </c>
      <c r="E1163" s="57" t="s">
        <v>146</v>
      </c>
      <c r="F1163" s="57" t="s">
        <v>300</v>
      </c>
      <c r="G1163" s="57" t="s">
        <v>438</v>
      </c>
      <c r="H1163" s="140" t="s">
        <v>4110</v>
      </c>
      <c r="I1163" s="57"/>
      <c r="J1163" s="165">
        <f t="shared" si="101"/>
        <v>37.333333333333336</v>
      </c>
      <c r="K1163" s="57">
        <v>96</v>
      </c>
      <c r="L1163" s="164">
        <v>3584</v>
      </c>
    </row>
    <row r="1164" spans="2:12" x14ac:dyDescent="0.3">
      <c r="B1164" s="57">
        <f t="shared" si="100"/>
        <v>1161</v>
      </c>
      <c r="C1164" s="147">
        <v>46150</v>
      </c>
      <c r="D1164" s="57" t="s">
        <v>968</v>
      </c>
      <c r="E1164" s="57" t="s">
        <v>434</v>
      </c>
      <c r="F1164" s="57" t="s">
        <v>683</v>
      </c>
      <c r="G1164" s="57" t="s">
        <v>992</v>
      </c>
      <c r="H1164" s="140" t="s">
        <v>1246</v>
      </c>
      <c r="I1164" s="57"/>
      <c r="J1164" s="57"/>
      <c r="L1164" s="164">
        <v>1690</v>
      </c>
    </row>
    <row r="1165" spans="2:12" x14ac:dyDescent="0.3">
      <c r="B1165" s="57">
        <f t="shared" si="100"/>
        <v>1162</v>
      </c>
      <c r="C1165" s="147">
        <v>46150</v>
      </c>
      <c r="D1165" s="57" t="s">
        <v>968</v>
      </c>
      <c r="E1165" s="57" t="s">
        <v>595</v>
      </c>
      <c r="F1165" s="57" t="s">
        <v>300</v>
      </c>
      <c r="G1165" s="57" t="s">
        <v>616</v>
      </c>
      <c r="H1165" s="140" t="s">
        <v>1247</v>
      </c>
      <c r="I1165" s="57"/>
      <c r="J1165" s="57"/>
      <c r="L1165" s="164">
        <v>3000</v>
      </c>
    </row>
    <row r="1166" spans="2:12" x14ac:dyDescent="0.3">
      <c r="B1166" s="57">
        <f t="shared" si="100"/>
        <v>1163</v>
      </c>
      <c r="C1166" s="147">
        <v>46150</v>
      </c>
      <c r="D1166" s="57" t="s">
        <v>968</v>
      </c>
      <c r="E1166" s="57" t="s">
        <v>146</v>
      </c>
      <c r="F1166" s="57" t="s">
        <v>446</v>
      </c>
      <c r="G1166" s="57" t="s">
        <v>446</v>
      </c>
      <c r="H1166" s="140" t="s">
        <v>4092</v>
      </c>
      <c r="I1166" s="57"/>
      <c r="J1166" s="165">
        <f>L1166/K1166</f>
        <v>143.75</v>
      </c>
      <c r="K1166" s="57">
        <v>96</v>
      </c>
      <c r="L1166" s="164">
        <v>13800</v>
      </c>
    </row>
    <row r="1167" spans="2:12" x14ac:dyDescent="0.3">
      <c r="B1167" s="57">
        <f t="shared" si="100"/>
        <v>1164</v>
      </c>
      <c r="C1167" s="147">
        <v>46150</v>
      </c>
      <c r="D1167" s="57" t="s">
        <v>968</v>
      </c>
      <c r="E1167" s="57" t="s">
        <v>595</v>
      </c>
      <c r="F1167" s="57" t="s">
        <v>261</v>
      </c>
      <c r="G1167" s="57" t="s">
        <v>709</v>
      </c>
      <c r="H1167" s="140" t="s">
        <v>1248</v>
      </c>
      <c r="I1167" s="57"/>
      <c r="J1167" s="57"/>
      <c r="L1167" s="164">
        <v>7400</v>
      </c>
    </row>
    <row r="1168" spans="2:12" x14ac:dyDescent="0.3">
      <c r="B1168" s="57">
        <f t="shared" si="100"/>
        <v>1165</v>
      </c>
      <c r="C1168" s="147">
        <v>46150</v>
      </c>
      <c r="D1168" s="57" t="s">
        <v>968</v>
      </c>
      <c r="E1168" s="57" t="s">
        <v>767</v>
      </c>
      <c r="F1168" s="57" t="s">
        <v>546</v>
      </c>
      <c r="G1168" s="57" t="s">
        <v>545</v>
      </c>
      <c r="H1168" s="140" t="s">
        <v>1249</v>
      </c>
      <c r="I1168" s="57"/>
      <c r="J1168" s="57"/>
      <c r="L1168" s="164">
        <v>1050</v>
      </c>
    </row>
    <row r="1169" spans="2:13" x14ac:dyDescent="0.3">
      <c r="B1169" s="57">
        <f t="shared" si="100"/>
        <v>1166</v>
      </c>
      <c r="C1169" s="143">
        <v>46151</v>
      </c>
      <c r="D1169" s="57" t="s">
        <v>435</v>
      </c>
      <c r="E1169" s="57" t="s">
        <v>532</v>
      </c>
      <c r="F1169" s="57" t="s">
        <v>300</v>
      </c>
      <c r="G1169" s="57" t="s">
        <v>438</v>
      </c>
      <c r="H1169" s="140" t="s">
        <v>610</v>
      </c>
      <c r="I1169" s="57" t="s">
        <v>532</v>
      </c>
      <c r="J1169" s="57">
        <v>50</v>
      </c>
      <c r="K1169" s="57">
        <v>260</v>
      </c>
      <c r="L1169" s="164">
        <f>50*260</f>
        <v>13000</v>
      </c>
    </row>
    <row r="1170" spans="2:13" x14ac:dyDescent="0.3">
      <c r="B1170" s="57">
        <f t="shared" si="100"/>
        <v>1167</v>
      </c>
      <c r="C1170" s="143">
        <v>46151</v>
      </c>
      <c r="D1170" s="57" t="s">
        <v>435</v>
      </c>
      <c r="E1170" s="57" t="s">
        <v>551</v>
      </c>
      <c r="F1170" s="57" t="s">
        <v>300</v>
      </c>
      <c r="G1170" s="57" t="s">
        <v>438</v>
      </c>
      <c r="H1170" s="140" t="s">
        <v>633</v>
      </c>
      <c r="I1170" s="57"/>
      <c r="J1170" s="57"/>
      <c r="L1170" s="164">
        <f>1450*29.63</f>
        <v>42963.5</v>
      </c>
    </row>
    <row r="1171" spans="2:13" x14ac:dyDescent="0.3">
      <c r="B1171" s="57">
        <f t="shared" si="100"/>
        <v>1168</v>
      </c>
      <c r="C1171" s="147">
        <v>46151</v>
      </c>
      <c r="D1171" s="57" t="s">
        <v>968</v>
      </c>
      <c r="E1171" s="57" t="s">
        <v>460</v>
      </c>
      <c r="F1171" s="57" t="s">
        <v>446</v>
      </c>
      <c r="G1171" s="57" t="s">
        <v>313</v>
      </c>
      <c r="H1171" s="140" t="s">
        <v>1250</v>
      </c>
      <c r="I1171" s="57"/>
      <c r="J1171" s="57"/>
      <c r="L1171" s="164">
        <v>400</v>
      </c>
    </row>
    <row r="1172" spans="2:13" x14ac:dyDescent="0.3">
      <c r="B1172" s="57">
        <f t="shared" si="100"/>
        <v>1169</v>
      </c>
      <c r="C1172" s="147">
        <v>46151</v>
      </c>
      <c r="D1172" s="57" t="s">
        <v>968</v>
      </c>
      <c r="E1172" s="57" t="s">
        <v>595</v>
      </c>
      <c r="F1172" s="57" t="s">
        <v>300</v>
      </c>
      <c r="G1172" s="57" t="s">
        <v>616</v>
      </c>
      <c r="H1172" s="140" t="s">
        <v>1251</v>
      </c>
      <c r="I1172" s="57"/>
      <c r="J1172" s="57"/>
      <c r="L1172" s="164">
        <v>800</v>
      </c>
    </row>
    <row r="1173" spans="2:13" x14ac:dyDescent="0.3">
      <c r="B1173" s="57">
        <f t="shared" si="100"/>
        <v>1170</v>
      </c>
      <c r="C1173" s="147">
        <v>46151</v>
      </c>
      <c r="D1173" s="57" t="s">
        <v>968</v>
      </c>
      <c r="E1173" s="57" t="s">
        <v>574</v>
      </c>
      <c r="F1173" s="57" t="s">
        <v>502</v>
      </c>
      <c r="G1173" s="57" t="s">
        <v>773</v>
      </c>
      <c r="H1173" s="140" t="s">
        <v>1252</v>
      </c>
      <c r="I1173" s="140" t="s">
        <v>4118</v>
      </c>
      <c r="J1173" s="57">
        <v>8</v>
      </c>
      <c r="K1173" s="57">
        <f>L1173/J1173</f>
        <v>687.5</v>
      </c>
      <c r="L1173" s="164">
        <v>5500</v>
      </c>
    </row>
    <row r="1174" spans="2:13" x14ac:dyDescent="0.3">
      <c r="B1174" s="57">
        <f t="shared" si="100"/>
        <v>1171</v>
      </c>
      <c r="C1174" s="147">
        <v>46151</v>
      </c>
      <c r="D1174" s="57" t="s">
        <v>968</v>
      </c>
      <c r="E1174" s="57" t="s">
        <v>146</v>
      </c>
      <c r="F1174" s="57" t="s">
        <v>300</v>
      </c>
      <c r="G1174" s="57" t="s">
        <v>443</v>
      </c>
      <c r="H1174" s="140" t="s">
        <v>4105</v>
      </c>
      <c r="I1174" s="57"/>
      <c r="J1174" s="165">
        <f t="shared" ref="J1174:J1175" si="102">L1174/K1174</f>
        <v>43.75</v>
      </c>
      <c r="K1174" s="57">
        <v>96</v>
      </c>
      <c r="L1174" s="164">
        <v>4200</v>
      </c>
    </row>
    <row r="1175" spans="2:13" x14ac:dyDescent="0.3">
      <c r="B1175" s="57">
        <f t="shared" si="100"/>
        <v>1172</v>
      </c>
      <c r="C1175" s="147">
        <v>46151</v>
      </c>
      <c r="D1175" s="57" t="s">
        <v>968</v>
      </c>
      <c r="E1175" s="57" t="s">
        <v>146</v>
      </c>
      <c r="F1175" s="57" t="s">
        <v>300</v>
      </c>
      <c r="G1175" s="57" t="s">
        <v>530</v>
      </c>
      <c r="H1175" s="140" t="s">
        <v>4115</v>
      </c>
      <c r="I1175" s="57"/>
      <c r="J1175" s="165">
        <f t="shared" si="102"/>
        <v>37.5</v>
      </c>
      <c r="K1175" s="57">
        <v>96</v>
      </c>
      <c r="L1175" s="164">
        <v>3600</v>
      </c>
    </row>
    <row r="1176" spans="2:13" x14ac:dyDescent="0.3">
      <c r="B1176" s="57">
        <f t="shared" si="100"/>
        <v>1173</v>
      </c>
      <c r="C1176" s="147">
        <v>46151</v>
      </c>
      <c r="D1176" s="57" t="s">
        <v>968</v>
      </c>
      <c r="E1176" s="57" t="s">
        <v>2333</v>
      </c>
      <c r="F1176" s="57" t="s">
        <v>300</v>
      </c>
      <c r="G1176" s="57" t="s">
        <v>530</v>
      </c>
      <c r="H1176" s="140" t="s">
        <v>1253</v>
      </c>
      <c r="I1176" s="57"/>
      <c r="J1176" s="57"/>
      <c r="L1176" s="164">
        <v>525</v>
      </c>
    </row>
    <row r="1177" spans="2:13" x14ac:dyDescent="0.3">
      <c r="B1177" s="57">
        <f t="shared" si="100"/>
        <v>1174</v>
      </c>
      <c r="C1177" s="147">
        <v>46151</v>
      </c>
      <c r="D1177" s="57" t="s">
        <v>968</v>
      </c>
      <c r="E1177" s="57" t="s">
        <v>767</v>
      </c>
      <c r="F1177" s="57" t="s">
        <v>446</v>
      </c>
      <c r="G1177" s="57" t="s">
        <v>359</v>
      </c>
      <c r="H1177" s="140" t="s">
        <v>1254</v>
      </c>
      <c r="I1177" s="57"/>
      <c r="J1177" s="57"/>
      <c r="L1177" s="164">
        <v>450</v>
      </c>
    </row>
    <row r="1178" spans="2:13" x14ac:dyDescent="0.3">
      <c r="B1178" s="57">
        <f t="shared" si="100"/>
        <v>1175</v>
      </c>
      <c r="C1178" s="147">
        <v>46151</v>
      </c>
      <c r="D1178" s="57" t="s">
        <v>968</v>
      </c>
      <c r="E1178" s="57" t="s">
        <v>4128</v>
      </c>
      <c r="F1178" s="57" t="s">
        <v>446</v>
      </c>
      <c r="G1178" s="57" t="s">
        <v>359</v>
      </c>
      <c r="H1178" s="140" t="s">
        <v>1255</v>
      </c>
      <c r="I1178" s="57"/>
      <c r="J1178" s="57"/>
      <c r="L1178" s="164">
        <v>2400</v>
      </c>
    </row>
    <row r="1179" spans="2:13" x14ac:dyDescent="0.3">
      <c r="B1179" s="57">
        <f t="shared" si="100"/>
        <v>1176</v>
      </c>
      <c r="C1179" s="147">
        <v>46151</v>
      </c>
      <c r="D1179" s="57" t="s">
        <v>968</v>
      </c>
      <c r="E1179" s="57" t="s">
        <v>595</v>
      </c>
      <c r="F1179" s="57" t="s">
        <v>300</v>
      </c>
      <c r="G1179" s="57" t="s">
        <v>616</v>
      </c>
      <c r="H1179" s="140" t="s">
        <v>1256</v>
      </c>
      <c r="I1179" s="57"/>
      <c r="J1179" s="57"/>
      <c r="L1179" s="164">
        <v>3480</v>
      </c>
    </row>
    <row r="1180" spans="2:13" x14ac:dyDescent="0.3">
      <c r="B1180" s="57">
        <f t="shared" si="100"/>
        <v>1177</v>
      </c>
      <c r="C1180" s="147">
        <v>46151</v>
      </c>
      <c r="D1180" s="57" t="s">
        <v>968</v>
      </c>
      <c r="E1180" s="57" t="s">
        <v>4009</v>
      </c>
      <c r="F1180" s="57" t="s">
        <v>300</v>
      </c>
      <c r="G1180" s="57" t="s">
        <v>530</v>
      </c>
      <c r="H1180" s="140" t="s">
        <v>1257</v>
      </c>
      <c r="I1180" s="57"/>
      <c r="J1180" s="57"/>
      <c r="L1180" s="164">
        <v>45000</v>
      </c>
    </row>
    <row r="1181" spans="2:13" x14ac:dyDescent="0.3">
      <c r="B1181" s="57">
        <f t="shared" si="100"/>
        <v>1178</v>
      </c>
      <c r="C1181" s="147">
        <v>46151</v>
      </c>
      <c r="D1181" s="57" t="s">
        <v>968</v>
      </c>
      <c r="E1181" s="57" t="s">
        <v>574</v>
      </c>
      <c r="F1181" s="57" t="s">
        <v>502</v>
      </c>
      <c r="G1181" s="57" t="s">
        <v>773</v>
      </c>
      <c r="H1181" s="140" t="s">
        <v>4119</v>
      </c>
      <c r="I1181" s="140" t="s">
        <v>2635</v>
      </c>
      <c r="J1181" s="57">
        <v>4</v>
      </c>
      <c r="K1181" s="168">
        <f>L1181/J1181</f>
        <v>637.5</v>
      </c>
      <c r="L1181" s="164">
        <v>2550</v>
      </c>
      <c r="M1181" s="57">
        <f>5100/2</f>
        <v>2550</v>
      </c>
    </row>
    <row r="1182" spans="2:13" x14ac:dyDescent="0.3">
      <c r="B1182" s="57">
        <f t="shared" si="100"/>
        <v>1179</v>
      </c>
      <c r="C1182" s="147">
        <v>46151</v>
      </c>
      <c r="D1182" s="57" t="s">
        <v>968</v>
      </c>
      <c r="E1182" s="57" t="s">
        <v>574</v>
      </c>
      <c r="F1182" s="57" t="s">
        <v>502</v>
      </c>
      <c r="G1182" s="57" t="s">
        <v>773</v>
      </c>
      <c r="H1182" s="140" t="s">
        <v>2634</v>
      </c>
      <c r="I1182" s="140" t="s">
        <v>4081</v>
      </c>
      <c r="J1182" s="57">
        <v>4</v>
      </c>
      <c r="K1182" s="168">
        <f>L1182/J1182</f>
        <v>637.5</v>
      </c>
      <c r="L1182" s="164">
        <v>2550</v>
      </c>
    </row>
    <row r="1183" spans="2:13" x14ac:dyDescent="0.3">
      <c r="B1183" s="57">
        <f t="shared" si="100"/>
        <v>1180</v>
      </c>
      <c r="C1183" s="147">
        <v>46151</v>
      </c>
      <c r="D1183" s="57" t="s">
        <v>968</v>
      </c>
      <c r="E1183" s="57" t="s">
        <v>767</v>
      </c>
      <c r="F1183" s="57" t="s">
        <v>446</v>
      </c>
      <c r="G1183" s="57" t="s">
        <v>313</v>
      </c>
      <c r="H1183" s="140" t="s">
        <v>1258</v>
      </c>
      <c r="I1183" s="57"/>
      <c r="J1183" s="57"/>
      <c r="L1183" s="164">
        <v>600</v>
      </c>
    </row>
    <row r="1184" spans="2:13" x14ac:dyDescent="0.3">
      <c r="B1184" s="57">
        <f t="shared" si="100"/>
        <v>1181</v>
      </c>
      <c r="C1184" s="147">
        <v>46151</v>
      </c>
      <c r="D1184" s="57" t="s">
        <v>968</v>
      </c>
      <c r="E1184" s="57" t="s">
        <v>595</v>
      </c>
      <c r="F1184" s="57" t="s">
        <v>300</v>
      </c>
      <c r="G1184" s="57" t="s">
        <v>626</v>
      </c>
      <c r="H1184" s="140" t="s">
        <v>1259</v>
      </c>
      <c r="I1184" s="57"/>
      <c r="J1184" s="57"/>
      <c r="L1184" s="164">
        <v>17600</v>
      </c>
    </row>
    <row r="1185" spans="2:13" x14ac:dyDescent="0.3">
      <c r="B1185" s="57">
        <f t="shared" si="100"/>
        <v>1182</v>
      </c>
      <c r="C1185" s="147">
        <v>46151</v>
      </c>
      <c r="D1185" s="57" t="s">
        <v>968</v>
      </c>
      <c r="E1185" s="57" t="s">
        <v>146</v>
      </c>
      <c r="F1185" s="57" t="s">
        <v>502</v>
      </c>
      <c r="G1185" s="57" t="s">
        <v>773</v>
      </c>
      <c r="H1185" s="140" t="s">
        <v>4107</v>
      </c>
      <c r="I1185" s="57"/>
      <c r="J1185" s="165">
        <f t="shared" ref="J1185:J1187" si="103">L1185/K1185</f>
        <v>62.5</v>
      </c>
      <c r="K1185" s="57">
        <v>96</v>
      </c>
      <c r="L1185" s="164">
        <v>6000</v>
      </c>
    </row>
    <row r="1186" spans="2:13" x14ac:dyDescent="0.3">
      <c r="B1186" s="57">
        <f t="shared" si="100"/>
        <v>1183</v>
      </c>
      <c r="C1186" s="147">
        <v>46152</v>
      </c>
      <c r="D1186" s="57" t="s">
        <v>968</v>
      </c>
      <c r="E1186" s="57" t="s">
        <v>146</v>
      </c>
      <c r="F1186" s="57" t="s">
        <v>300</v>
      </c>
      <c r="G1186" s="57" t="s">
        <v>530</v>
      </c>
      <c r="H1186" s="140" t="s">
        <v>1260</v>
      </c>
      <c r="I1186" s="57"/>
      <c r="J1186" s="165">
        <f t="shared" si="103"/>
        <v>34.666666666666664</v>
      </c>
      <c r="K1186" s="57">
        <v>96</v>
      </c>
      <c r="L1186" s="164">
        <v>3328</v>
      </c>
    </row>
    <row r="1187" spans="2:13" x14ac:dyDescent="0.3">
      <c r="B1187" s="57">
        <f t="shared" si="100"/>
        <v>1184</v>
      </c>
      <c r="C1187" s="147">
        <v>46152</v>
      </c>
      <c r="D1187" s="57" t="s">
        <v>968</v>
      </c>
      <c r="E1187" s="57" t="s">
        <v>146</v>
      </c>
      <c r="F1187" s="57" t="s">
        <v>300</v>
      </c>
      <c r="G1187" s="57" t="s">
        <v>530</v>
      </c>
      <c r="H1187" s="140" t="s">
        <v>4089</v>
      </c>
      <c r="I1187" s="57"/>
      <c r="J1187" s="165">
        <f t="shared" si="103"/>
        <v>20.833333333333332</v>
      </c>
      <c r="K1187" s="57">
        <v>96</v>
      </c>
      <c r="L1187" s="164">
        <v>2000</v>
      </c>
    </row>
    <row r="1188" spans="2:13" x14ac:dyDescent="0.3">
      <c r="B1188" s="57">
        <f t="shared" si="100"/>
        <v>1185</v>
      </c>
      <c r="C1188" s="147">
        <v>46152</v>
      </c>
      <c r="D1188" s="57" t="s">
        <v>968</v>
      </c>
      <c r="E1188" s="57" t="s">
        <v>522</v>
      </c>
      <c r="F1188" s="57" t="s">
        <v>300</v>
      </c>
      <c r="G1188" s="57" t="s">
        <v>530</v>
      </c>
      <c r="H1188" s="140" t="s">
        <v>1261</v>
      </c>
      <c r="I1188" s="57"/>
      <c r="J1188" s="57"/>
      <c r="L1188" s="164">
        <v>1200</v>
      </c>
    </row>
    <row r="1189" spans="2:13" x14ac:dyDescent="0.3">
      <c r="B1189" s="57">
        <f t="shared" si="100"/>
        <v>1186</v>
      </c>
      <c r="C1189" s="147">
        <v>46152</v>
      </c>
      <c r="D1189" s="57" t="s">
        <v>968</v>
      </c>
      <c r="E1189" s="57" t="s">
        <v>767</v>
      </c>
      <c r="F1189" s="57" t="s">
        <v>446</v>
      </c>
      <c r="G1189" s="57" t="s">
        <v>313</v>
      </c>
      <c r="H1189" s="140" t="s">
        <v>1262</v>
      </c>
      <c r="I1189" s="57"/>
      <c r="J1189" s="57"/>
      <c r="L1189" s="164">
        <v>150</v>
      </c>
    </row>
    <row r="1190" spans="2:13" x14ac:dyDescent="0.3">
      <c r="B1190" s="57">
        <f t="shared" si="100"/>
        <v>1187</v>
      </c>
      <c r="C1190" s="147">
        <v>46152</v>
      </c>
      <c r="D1190" s="57" t="s">
        <v>968</v>
      </c>
      <c r="E1190" s="57" t="s">
        <v>986</v>
      </c>
      <c r="F1190" s="57" t="s">
        <v>446</v>
      </c>
      <c r="G1190" s="57" t="s">
        <v>313</v>
      </c>
      <c r="H1190" s="140" t="s">
        <v>1263</v>
      </c>
      <c r="I1190" s="57" t="s">
        <v>986</v>
      </c>
      <c r="J1190" s="57">
        <v>25</v>
      </c>
      <c r="L1190" s="164">
        <v>3300</v>
      </c>
    </row>
    <row r="1191" spans="2:13" x14ac:dyDescent="0.3">
      <c r="B1191" s="57">
        <f t="shared" si="100"/>
        <v>1188</v>
      </c>
      <c r="C1191" s="147">
        <v>46152</v>
      </c>
      <c r="D1191" s="57" t="s">
        <v>968</v>
      </c>
      <c r="E1191" s="57" t="s">
        <v>460</v>
      </c>
      <c r="F1191" s="57" t="s">
        <v>446</v>
      </c>
      <c r="G1191" s="57" t="s">
        <v>649</v>
      </c>
      <c r="H1191" s="140" t="s">
        <v>1264</v>
      </c>
      <c r="I1191" s="57"/>
      <c r="J1191" s="57"/>
      <c r="L1191" s="164">
        <v>600</v>
      </c>
    </row>
    <row r="1192" spans="2:13" x14ac:dyDescent="0.3">
      <c r="B1192" s="57">
        <f t="shared" si="100"/>
        <v>1189</v>
      </c>
      <c r="C1192" s="147">
        <v>46152</v>
      </c>
      <c r="D1192" s="57" t="s">
        <v>968</v>
      </c>
      <c r="E1192" s="57" t="s">
        <v>574</v>
      </c>
      <c r="F1192" s="57" t="s">
        <v>502</v>
      </c>
      <c r="G1192" s="57" t="s">
        <v>773</v>
      </c>
      <c r="H1192" s="140" t="s">
        <v>4119</v>
      </c>
      <c r="I1192" s="140" t="s">
        <v>2635</v>
      </c>
      <c r="J1192" s="57">
        <v>4</v>
      </c>
      <c r="K1192" s="168">
        <f>L1192/J1192</f>
        <v>643.75</v>
      </c>
      <c r="L1192" s="164">
        <v>2575</v>
      </c>
      <c r="M1192" s="167">
        <f>L1192/2</f>
        <v>1287.5</v>
      </c>
    </row>
    <row r="1193" spans="2:13" x14ac:dyDescent="0.3">
      <c r="B1193" s="57">
        <f t="shared" si="100"/>
        <v>1190</v>
      </c>
      <c r="C1193" s="147">
        <v>46152</v>
      </c>
      <c r="D1193" s="57" t="s">
        <v>968</v>
      </c>
      <c r="E1193" s="57" t="s">
        <v>574</v>
      </c>
      <c r="F1193" s="57" t="s">
        <v>502</v>
      </c>
      <c r="G1193" s="57" t="s">
        <v>773</v>
      </c>
      <c r="H1193" s="140" t="s">
        <v>2395</v>
      </c>
      <c r="I1193" s="140" t="s">
        <v>4081</v>
      </c>
      <c r="J1193" s="57">
        <v>4</v>
      </c>
      <c r="K1193" s="168">
        <f>L1193/J1193</f>
        <v>643.75</v>
      </c>
      <c r="L1193" s="164">
        <v>2575</v>
      </c>
    </row>
    <row r="1194" spans="2:13" x14ac:dyDescent="0.3">
      <c r="B1194" s="57">
        <f t="shared" si="100"/>
        <v>1191</v>
      </c>
      <c r="C1194" s="147">
        <v>46152</v>
      </c>
      <c r="D1194" s="57" t="s">
        <v>968</v>
      </c>
      <c r="E1194" s="57" t="s">
        <v>986</v>
      </c>
      <c r="F1194" s="57" t="s">
        <v>300</v>
      </c>
      <c r="G1194" s="57" t="s">
        <v>530</v>
      </c>
      <c r="H1194" s="140" t="s">
        <v>1265</v>
      </c>
      <c r="I1194" s="57" t="s">
        <v>986</v>
      </c>
      <c r="J1194" s="57">
        <v>50</v>
      </c>
      <c r="L1194" s="164">
        <v>13500</v>
      </c>
    </row>
    <row r="1195" spans="2:13" x14ac:dyDescent="0.3">
      <c r="B1195" s="57">
        <f t="shared" si="100"/>
        <v>1192</v>
      </c>
      <c r="C1195" s="147">
        <v>46152</v>
      </c>
      <c r="D1195" s="57" t="s">
        <v>968</v>
      </c>
      <c r="E1195" s="57" t="s">
        <v>522</v>
      </c>
      <c r="F1195" s="57" t="s">
        <v>300</v>
      </c>
      <c r="G1195" s="57" t="s">
        <v>530</v>
      </c>
      <c r="H1195" s="140" t="s">
        <v>1266</v>
      </c>
      <c r="I1195" s="57"/>
      <c r="J1195" s="57"/>
      <c r="L1195" s="164">
        <v>17000</v>
      </c>
    </row>
    <row r="1196" spans="2:13" x14ac:dyDescent="0.3">
      <c r="B1196" s="57">
        <f t="shared" si="100"/>
        <v>1193</v>
      </c>
      <c r="C1196" s="147">
        <v>46152</v>
      </c>
      <c r="D1196" s="57" t="s">
        <v>968</v>
      </c>
      <c r="E1196" s="57" t="s">
        <v>522</v>
      </c>
      <c r="F1196" s="57" t="s">
        <v>300</v>
      </c>
      <c r="G1196" s="57" t="s">
        <v>530</v>
      </c>
      <c r="H1196" s="140" t="s">
        <v>1267</v>
      </c>
      <c r="I1196" s="57"/>
      <c r="J1196" s="57"/>
      <c r="L1196" s="164">
        <v>4000</v>
      </c>
    </row>
    <row r="1197" spans="2:13" x14ac:dyDescent="0.3">
      <c r="B1197" s="57">
        <f t="shared" si="100"/>
        <v>1194</v>
      </c>
      <c r="C1197" s="147">
        <v>46152</v>
      </c>
      <c r="D1197" s="57" t="s">
        <v>968</v>
      </c>
      <c r="E1197" s="57" t="s">
        <v>767</v>
      </c>
      <c r="F1197" s="57" t="s">
        <v>446</v>
      </c>
      <c r="G1197" s="57" t="s">
        <v>649</v>
      </c>
      <c r="H1197" s="140" t="s">
        <v>1268</v>
      </c>
      <c r="I1197" s="57"/>
      <c r="J1197" s="57"/>
      <c r="L1197" s="164">
        <v>4050</v>
      </c>
    </row>
    <row r="1198" spans="2:13" x14ac:dyDescent="0.3">
      <c r="B1198" s="57">
        <f t="shared" si="100"/>
        <v>1195</v>
      </c>
      <c r="C1198" s="147">
        <v>46152</v>
      </c>
      <c r="D1198" s="57" t="s">
        <v>968</v>
      </c>
      <c r="E1198" s="57" t="s">
        <v>767</v>
      </c>
      <c r="F1198" s="57" t="s">
        <v>446</v>
      </c>
      <c r="G1198" s="57" t="s">
        <v>313</v>
      </c>
      <c r="H1198" s="140" t="s">
        <v>1263</v>
      </c>
      <c r="I1198" s="57"/>
      <c r="J1198" s="57"/>
      <c r="L1198" s="164">
        <v>200</v>
      </c>
    </row>
    <row r="1199" spans="2:13" x14ac:dyDescent="0.3">
      <c r="B1199" s="57">
        <f t="shared" si="100"/>
        <v>1196</v>
      </c>
      <c r="C1199" s="147">
        <v>46152</v>
      </c>
      <c r="D1199" s="57" t="s">
        <v>968</v>
      </c>
      <c r="E1199" s="57" t="s">
        <v>574</v>
      </c>
      <c r="F1199" s="57" t="s">
        <v>300</v>
      </c>
      <c r="G1199" s="57" t="s">
        <v>2327</v>
      </c>
      <c r="H1199" s="140" t="s">
        <v>1269</v>
      </c>
      <c r="I1199" s="140" t="s">
        <v>4118</v>
      </c>
      <c r="J1199" s="57">
        <v>4</v>
      </c>
      <c r="K1199" s="167">
        <f>L1199/J1199</f>
        <v>625</v>
      </c>
      <c r="L1199" s="164">
        <v>2500</v>
      </c>
    </row>
    <row r="1200" spans="2:13" x14ac:dyDescent="0.3">
      <c r="B1200" s="57">
        <f t="shared" si="100"/>
        <v>1197</v>
      </c>
      <c r="C1200" s="147">
        <v>46152</v>
      </c>
      <c r="D1200" s="57" t="s">
        <v>968</v>
      </c>
      <c r="E1200" s="57" t="s">
        <v>767</v>
      </c>
      <c r="F1200" s="57" t="s">
        <v>446</v>
      </c>
      <c r="G1200" s="57" t="s">
        <v>313</v>
      </c>
      <c r="H1200" s="140" t="s">
        <v>1270</v>
      </c>
      <c r="I1200" s="57"/>
      <c r="J1200" s="57"/>
      <c r="L1200" s="164">
        <v>150</v>
      </c>
    </row>
    <row r="1201" spans="2:13" x14ac:dyDescent="0.3">
      <c r="B1201" s="57">
        <f t="shared" si="100"/>
        <v>1198</v>
      </c>
      <c r="C1201" s="147">
        <v>46152</v>
      </c>
      <c r="D1201" s="57" t="s">
        <v>968</v>
      </c>
      <c r="E1201" s="57" t="s">
        <v>434</v>
      </c>
      <c r="F1201" s="57" t="s">
        <v>546</v>
      </c>
      <c r="G1201" s="57" t="s">
        <v>545</v>
      </c>
      <c r="H1201" s="140" t="s">
        <v>1271</v>
      </c>
      <c r="I1201" s="57"/>
      <c r="J1201" s="57"/>
      <c r="L1201" s="164">
        <v>1750</v>
      </c>
    </row>
    <row r="1202" spans="2:13" x14ac:dyDescent="0.3">
      <c r="B1202" s="57">
        <f t="shared" si="100"/>
        <v>1199</v>
      </c>
      <c r="C1202" s="147">
        <v>46152</v>
      </c>
      <c r="D1202" s="57" t="s">
        <v>968</v>
      </c>
      <c r="E1202" s="57" t="s">
        <v>146</v>
      </c>
      <c r="F1202" s="57" t="s">
        <v>446</v>
      </c>
      <c r="G1202" s="57" t="s">
        <v>649</v>
      </c>
      <c r="H1202" s="140" t="s">
        <v>1272</v>
      </c>
      <c r="I1202" s="57"/>
      <c r="J1202" s="165">
        <f>L1202/K1202</f>
        <v>20.833333333333332</v>
      </c>
      <c r="K1202" s="57">
        <v>96</v>
      </c>
      <c r="L1202" s="164">
        <v>2000</v>
      </c>
    </row>
    <row r="1203" spans="2:13" x14ac:dyDescent="0.3">
      <c r="B1203" s="57">
        <f t="shared" si="100"/>
        <v>1200</v>
      </c>
      <c r="C1203" s="148">
        <v>46153</v>
      </c>
      <c r="D1203" s="170" t="s">
        <v>435</v>
      </c>
      <c r="E1203" s="171" t="s">
        <v>471</v>
      </c>
      <c r="F1203" s="171" t="s">
        <v>446</v>
      </c>
      <c r="G1203" s="171" t="s">
        <v>313</v>
      </c>
      <c r="H1203" s="180" t="s">
        <v>981</v>
      </c>
      <c r="I1203" s="171"/>
      <c r="J1203" s="171"/>
      <c r="K1203" s="171"/>
      <c r="L1203" s="172">
        <v>1150000</v>
      </c>
      <c r="M1203" s="171"/>
    </row>
    <row r="1204" spans="2:13" x14ac:dyDescent="0.3">
      <c r="B1204" s="57">
        <f t="shared" si="100"/>
        <v>1201</v>
      </c>
      <c r="C1204" s="147">
        <v>46153</v>
      </c>
      <c r="D1204" s="57" t="s">
        <v>968</v>
      </c>
      <c r="E1204" s="57" t="s">
        <v>146</v>
      </c>
      <c r="F1204" s="57" t="s">
        <v>300</v>
      </c>
      <c r="G1204" s="57" t="s">
        <v>530</v>
      </c>
      <c r="H1204" s="140" t="s">
        <v>1273</v>
      </c>
      <c r="I1204" s="57"/>
      <c r="J1204" s="165">
        <f>L1204/K1204</f>
        <v>56</v>
      </c>
      <c r="K1204" s="57">
        <v>96</v>
      </c>
      <c r="L1204" s="164">
        <v>5376</v>
      </c>
    </row>
    <row r="1205" spans="2:13" x14ac:dyDescent="0.3">
      <c r="B1205" s="57">
        <f t="shared" si="100"/>
        <v>1202</v>
      </c>
      <c r="C1205" s="147">
        <v>46153</v>
      </c>
      <c r="D1205" s="57" t="s">
        <v>968</v>
      </c>
      <c r="E1205" s="57" t="s">
        <v>532</v>
      </c>
      <c r="F1205" s="57" t="s">
        <v>300</v>
      </c>
      <c r="G1205" s="57" t="s">
        <v>530</v>
      </c>
      <c r="H1205" s="140" t="s">
        <v>1274</v>
      </c>
      <c r="I1205" s="57" t="s">
        <v>532</v>
      </c>
      <c r="J1205" s="57">
        <v>100</v>
      </c>
      <c r="K1205" s="57">
        <v>260</v>
      </c>
      <c r="L1205" s="164">
        <v>26000</v>
      </c>
    </row>
    <row r="1206" spans="2:13" x14ac:dyDescent="0.3">
      <c r="B1206" s="57">
        <f t="shared" si="100"/>
        <v>1203</v>
      </c>
      <c r="C1206" s="147">
        <v>46153</v>
      </c>
      <c r="D1206" s="57" t="s">
        <v>968</v>
      </c>
      <c r="E1206" s="57" t="s">
        <v>574</v>
      </c>
      <c r="F1206" s="57" t="s">
        <v>502</v>
      </c>
      <c r="G1206" s="57" t="s">
        <v>773</v>
      </c>
      <c r="H1206" s="140" t="s">
        <v>1275</v>
      </c>
      <c r="I1206" s="140" t="s">
        <v>4118</v>
      </c>
      <c r="J1206" s="57">
        <v>8</v>
      </c>
      <c r="K1206" s="168">
        <f>L1206/J1206</f>
        <v>587.5</v>
      </c>
      <c r="L1206" s="164">
        <v>4700</v>
      </c>
    </row>
    <row r="1207" spans="2:13" x14ac:dyDescent="0.3">
      <c r="B1207" s="57">
        <f t="shared" si="100"/>
        <v>1204</v>
      </c>
      <c r="C1207" s="147">
        <v>46153</v>
      </c>
      <c r="D1207" s="57" t="s">
        <v>968</v>
      </c>
      <c r="E1207" s="57" t="s">
        <v>2022</v>
      </c>
      <c r="F1207" s="57" t="s">
        <v>446</v>
      </c>
      <c r="G1207" s="57" t="s">
        <v>313</v>
      </c>
      <c r="H1207" s="140" t="s">
        <v>1276</v>
      </c>
      <c r="I1207" s="57"/>
      <c r="J1207" s="57"/>
      <c r="L1207" s="164">
        <v>250</v>
      </c>
    </row>
    <row r="1208" spans="2:13" x14ac:dyDescent="0.3">
      <c r="B1208" s="57">
        <f t="shared" si="100"/>
        <v>1205</v>
      </c>
      <c r="C1208" s="147">
        <v>46153</v>
      </c>
      <c r="D1208" s="57" t="s">
        <v>968</v>
      </c>
      <c r="E1208" s="57" t="s">
        <v>574</v>
      </c>
      <c r="F1208" s="57" t="s">
        <v>502</v>
      </c>
      <c r="G1208" s="57" t="s">
        <v>773</v>
      </c>
      <c r="H1208" s="140" t="s">
        <v>1275</v>
      </c>
      <c r="I1208" s="140" t="s">
        <v>4118</v>
      </c>
      <c r="J1208" s="57">
        <v>8</v>
      </c>
      <c r="K1208" s="167">
        <f>L1208/J1208</f>
        <v>575</v>
      </c>
      <c r="L1208" s="164">
        <v>4600</v>
      </c>
    </row>
    <row r="1209" spans="2:13" x14ac:dyDescent="0.3">
      <c r="B1209" s="57">
        <f t="shared" si="100"/>
        <v>1206</v>
      </c>
      <c r="C1209" s="147">
        <v>46153</v>
      </c>
      <c r="D1209" s="57" t="s">
        <v>968</v>
      </c>
      <c r="E1209" s="57" t="s">
        <v>481</v>
      </c>
      <c r="F1209" s="57" t="s">
        <v>300</v>
      </c>
      <c r="G1209" s="57" t="s">
        <v>2331</v>
      </c>
      <c r="H1209" s="140" t="s">
        <v>1277</v>
      </c>
      <c r="I1209" s="57"/>
      <c r="J1209" s="57"/>
      <c r="L1209" s="164">
        <v>1000</v>
      </c>
    </row>
    <row r="1210" spans="2:13" x14ac:dyDescent="0.3">
      <c r="B1210" s="57">
        <f t="shared" si="100"/>
        <v>1207</v>
      </c>
      <c r="C1210" s="147">
        <v>46153</v>
      </c>
      <c r="D1210" s="57" t="s">
        <v>968</v>
      </c>
      <c r="E1210" s="57" t="s">
        <v>146</v>
      </c>
      <c r="F1210" s="57" t="s">
        <v>652</v>
      </c>
      <c r="G1210" s="57" t="s">
        <v>651</v>
      </c>
      <c r="H1210" s="140" t="s">
        <v>1278</v>
      </c>
      <c r="I1210" s="57"/>
      <c r="J1210" s="165">
        <f t="shared" ref="J1210:J1211" si="104">L1210/K1210</f>
        <v>36.458333333333336</v>
      </c>
      <c r="K1210" s="57">
        <v>96</v>
      </c>
      <c r="L1210" s="164">
        <v>3500</v>
      </c>
    </row>
    <row r="1211" spans="2:13" x14ac:dyDescent="0.3">
      <c r="B1211" s="57">
        <f t="shared" si="100"/>
        <v>1208</v>
      </c>
      <c r="C1211" s="147">
        <v>46153</v>
      </c>
      <c r="D1211" s="57" t="s">
        <v>968</v>
      </c>
      <c r="E1211" s="57" t="s">
        <v>146</v>
      </c>
      <c r="F1211" s="57" t="s">
        <v>446</v>
      </c>
      <c r="G1211" s="57" t="s">
        <v>313</v>
      </c>
      <c r="H1211" s="140" t="s">
        <v>1279</v>
      </c>
      <c r="I1211" s="57"/>
      <c r="J1211" s="165">
        <f t="shared" si="104"/>
        <v>42.802083333333336</v>
      </c>
      <c r="K1211" s="57">
        <v>96</v>
      </c>
      <c r="L1211" s="164">
        <v>4109</v>
      </c>
    </row>
    <row r="1212" spans="2:13" x14ac:dyDescent="0.3">
      <c r="B1212" s="57">
        <f t="shared" si="100"/>
        <v>1209</v>
      </c>
      <c r="C1212" s="147">
        <v>46153</v>
      </c>
      <c r="D1212" s="57" t="s">
        <v>968</v>
      </c>
      <c r="E1212" s="57" t="s">
        <v>767</v>
      </c>
      <c r="F1212" s="57" t="s">
        <v>300</v>
      </c>
      <c r="G1212" s="57" t="s">
        <v>991</v>
      </c>
      <c r="H1212" s="140" t="s">
        <v>1280</v>
      </c>
      <c r="I1212" s="57"/>
      <c r="J1212" s="57"/>
      <c r="L1212" s="164">
        <v>900</v>
      </c>
    </row>
    <row r="1213" spans="2:13" x14ac:dyDescent="0.3">
      <c r="B1213" s="57">
        <f t="shared" si="100"/>
        <v>1210</v>
      </c>
      <c r="C1213" s="147">
        <v>46154</v>
      </c>
      <c r="D1213" s="57" t="s">
        <v>968</v>
      </c>
      <c r="E1213" s="57" t="s">
        <v>146</v>
      </c>
      <c r="F1213" s="57" t="s">
        <v>683</v>
      </c>
      <c r="G1213" s="57" t="s">
        <v>992</v>
      </c>
      <c r="H1213" s="140" t="s">
        <v>4113</v>
      </c>
      <c r="I1213" s="57" t="s">
        <v>146</v>
      </c>
      <c r="J1213" s="165">
        <f t="shared" ref="J1213:J1214" si="105">L1213/K1213</f>
        <v>31.25</v>
      </c>
      <c r="K1213" s="57">
        <v>96</v>
      </c>
      <c r="L1213" s="164">
        <v>3000</v>
      </c>
    </row>
    <row r="1214" spans="2:13" x14ac:dyDescent="0.3">
      <c r="B1214" s="57">
        <f t="shared" si="100"/>
        <v>1211</v>
      </c>
      <c r="C1214" s="147">
        <v>46154</v>
      </c>
      <c r="D1214" s="57" t="s">
        <v>968</v>
      </c>
      <c r="E1214" s="57" t="s">
        <v>146</v>
      </c>
      <c r="F1214" s="57" t="s">
        <v>502</v>
      </c>
      <c r="G1214" s="57" t="s">
        <v>257</v>
      </c>
      <c r="H1214" s="140" t="s">
        <v>4100</v>
      </c>
      <c r="I1214" s="57"/>
      <c r="J1214" s="165">
        <f t="shared" si="105"/>
        <v>31.25</v>
      </c>
      <c r="K1214" s="57">
        <v>96</v>
      </c>
      <c r="L1214" s="164">
        <v>3000</v>
      </c>
    </row>
    <row r="1215" spans="2:13" x14ac:dyDescent="0.3">
      <c r="B1215" s="57">
        <f t="shared" si="100"/>
        <v>1212</v>
      </c>
      <c r="C1215" s="147">
        <v>46154</v>
      </c>
      <c r="D1215" s="57" t="s">
        <v>968</v>
      </c>
      <c r="E1215" s="57" t="s">
        <v>574</v>
      </c>
      <c r="F1215" s="57" t="s">
        <v>502</v>
      </c>
      <c r="G1215" s="57" t="s">
        <v>257</v>
      </c>
      <c r="H1215" s="140" t="s">
        <v>1281</v>
      </c>
      <c r="I1215" s="140" t="s">
        <v>4081</v>
      </c>
      <c r="J1215" s="57">
        <v>4.5</v>
      </c>
      <c r="K1215" s="167">
        <f>L1215/J1215</f>
        <v>633.33333333333337</v>
      </c>
      <c r="L1215" s="164">
        <v>2850</v>
      </c>
    </row>
    <row r="1216" spans="2:13" x14ac:dyDescent="0.3">
      <c r="B1216" s="57">
        <f t="shared" si="100"/>
        <v>1213</v>
      </c>
      <c r="C1216" s="147">
        <v>46154</v>
      </c>
      <c r="D1216" s="57" t="s">
        <v>968</v>
      </c>
      <c r="E1216" s="57" t="s">
        <v>574</v>
      </c>
      <c r="F1216" s="57" t="s">
        <v>502</v>
      </c>
      <c r="G1216" s="57" t="s">
        <v>773</v>
      </c>
      <c r="H1216" s="140" t="s">
        <v>1282</v>
      </c>
      <c r="I1216" s="140" t="s">
        <v>4118</v>
      </c>
      <c r="J1216" s="57">
        <v>8</v>
      </c>
      <c r="K1216" s="57">
        <f>L1216/J1216</f>
        <v>637.5</v>
      </c>
      <c r="L1216" s="164">
        <v>5100</v>
      </c>
    </row>
    <row r="1217" spans="2:12" x14ac:dyDescent="0.3">
      <c r="B1217" s="57">
        <f t="shared" si="100"/>
        <v>1214</v>
      </c>
      <c r="C1217" s="147">
        <v>46154</v>
      </c>
      <c r="D1217" s="57" t="s">
        <v>968</v>
      </c>
      <c r="E1217" s="57" t="s">
        <v>146</v>
      </c>
      <c r="F1217" s="57" t="s">
        <v>300</v>
      </c>
      <c r="G1217" s="57" t="s">
        <v>498</v>
      </c>
      <c r="H1217" s="140" t="s">
        <v>4088</v>
      </c>
      <c r="I1217" s="57"/>
      <c r="J1217" s="165">
        <f t="shared" ref="J1217:J1222" si="106">L1217/K1217</f>
        <v>63.541666666666664</v>
      </c>
      <c r="K1217" s="57">
        <v>96</v>
      </c>
      <c r="L1217" s="164">
        <v>6100</v>
      </c>
    </row>
    <row r="1218" spans="2:12" x14ac:dyDescent="0.3">
      <c r="B1218" s="57">
        <f t="shared" si="100"/>
        <v>1215</v>
      </c>
      <c r="C1218" s="147">
        <v>46154</v>
      </c>
      <c r="D1218" s="57" t="s">
        <v>968</v>
      </c>
      <c r="E1218" s="57" t="s">
        <v>146</v>
      </c>
      <c r="F1218" s="57" t="s">
        <v>621</v>
      </c>
      <c r="G1218" s="57" t="s">
        <v>345</v>
      </c>
      <c r="H1218" s="140" t="s">
        <v>4093</v>
      </c>
      <c r="I1218" s="57"/>
      <c r="J1218" s="165">
        <f t="shared" si="106"/>
        <v>41.666666666666664</v>
      </c>
      <c r="K1218" s="57">
        <v>96</v>
      </c>
      <c r="L1218" s="164">
        <v>4000</v>
      </c>
    </row>
    <row r="1219" spans="2:12" x14ac:dyDescent="0.3">
      <c r="B1219" s="57">
        <f t="shared" si="100"/>
        <v>1216</v>
      </c>
      <c r="C1219" s="147">
        <v>46154</v>
      </c>
      <c r="D1219" s="57" t="s">
        <v>968</v>
      </c>
      <c r="E1219" s="57" t="s">
        <v>146</v>
      </c>
      <c r="F1219" s="57" t="s">
        <v>446</v>
      </c>
      <c r="G1219" s="57" t="s">
        <v>649</v>
      </c>
      <c r="H1219" s="140" t="s">
        <v>879</v>
      </c>
      <c r="I1219" s="57"/>
      <c r="J1219" s="165">
        <f t="shared" si="106"/>
        <v>20.833333333333332</v>
      </c>
      <c r="K1219" s="57">
        <v>96</v>
      </c>
      <c r="L1219" s="164">
        <v>2000</v>
      </c>
    </row>
    <row r="1220" spans="2:12" x14ac:dyDescent="0.3">
      <c r="B1220" s="57">
        <f t="shared" si="100"/>
        <v>1217</v>
      </c>
      <c r="C1220" s="147">
        <v>46154</v>
      </c>
      <c r="D1220" s="57" t="s">
        <v>968</v>
      </c>
      <c r="E1220" s="57" t="s">
        <v>146</v>
      </c>
      <c r="F1220" s="57" t="s">
        <v>502</v>
      </c>
      <c r="G1220" s="57" t="s">
        <v>773</v>
      </c>
      <c r="H1220" s="140" t="s">
        <v>1283</v>
      </c>
      <c r="I1220" s="57"/>
      <c r="J1220" s="165">
        <f t="shared" si="106"/>
        <v>31.25</v>
      </c>
      <c r="K1220" s="57">
        <v>96</v>
      </c>
      <c r="L1220" s="164">
        <v>3000</v>
      </c>
    </row>
    <row r="1221" spans="2:12" x14ac:dyDescent="0.3">
      <c r="B1221" s="57">
        <f t="shared" si="100"/>
        <v>1218</v>
      </c>
      <c r="C1221" s="147">
        <v>46151</v>
      </c>
      <c r="D1221" s="57" t="s">
        <v>968</v>
      </c>
      <c r="E1221" s="57" t="s">
        <v>146</v>
      </c>
      <c r="F1221" s="57" t="s">
        <v>502</v>
      </c>
      <c r="G1221" s="57" t="s">
        <v>773</v>
      </c>
      <c r="H1221" s="140" t="s">
        <v>4108</v>
      </c>
      <c r="I1221" s="57"/>
      <c r="J1221" s="165">
        <f t="shared" si="106"/>
        <v>62.5</v>
      </c>
      <c r="K1221" s="57">
        <v>96</v>
      </c>
      <c r="L1221" s="164">
        <v>6000</v>
      </c>
    </row>
    <row r="1222" spans="2:12" x14ac:dyDescent="0.3">
      <c r="B1222" s="57">
        <f t="shared" ref="B1222:B1285" si="107">+B1221+1</f>
        <v>1219</v>
      </c>
      <c r="C1222" s="147">
        <v>46154</v>
      </c>
      <c r="D1222" s="57" t="s">
        <v>968</v>
      </c>
      <c r="E1222" s="57" t="s">
        <v>146</v>
      </c>
      <c r="F1222" s="57" t="s">
        <v>502</v>
      </c>
      <c r="G1222" s="57" t="s">
        <v>773</v>
      </c>
      <c r="H1222" s="140" t="s">
        <v>4106</v>
      </c>
      <c r="I1222" s="57"/>
      <c r="J1222" s="165">
        <f t="shared" si="106"/>
        <v>31.25</v>
      </c>
      <c r="K1222" s="57">
        <v>96</v>
      </c>
      <c r="L1222" s="164">
        <v>3000</v>
      </c>
    </row>
    <row r="1223" spans="2:12" x14ac:dyDescent="0.3">
      <c r="B1223" s="57">
        <f t="shared" si="107"/>
        <v>1220</v>
      </c>
      <c r="C1223" s="147">
        <v>46154</v>
      </c>
      <c r="D1223" s="57" t="s">
        <v>968</v>
      </c>
      <c r="E1223" s="57" t="s">
        <v>767</v>
      </c>
      <c r="F1223" s="57" t="s">
        <v>446</v>
      </c>
      <c r="G1223" s="57" t="s">
        <v>313</v>
      </c>
      <c r="H1223" s="140" t="s">
        <v>1284</v>
      </c>
      <c r="I1223" s="57"/>
      <c r="J1223" s="57"/>
      <c r="L1223" s="164">
        <v>150</v>
      </c>
    </row>
    <row r="1224" spans="2:12" x14ac:dyDescent="0.3">
      <c r="B1224" s="57">
        <f t="shared" si="107"/>
        <v>1221</v>
      </c>
      <c r="C1224" s="147">
        <v>46154</v>
      </c>
      <c r="D1224" s="57" t="s">
        <v>968</v>
      </c>
      <c r="E1224" s="57" t="s">
        <v>574</v>
      </c>
      <c r="F1224" s="57" t="s">
        <v>502</v>
      </c>
      <c r="G1224" s="57" t="s">
        <v>773</v>
      </c>
      <c r="H1224" s="140" t="s">
        <v>1285</v>
      </c>
      <c r="I1224" s="140" t="s">
        <v>4081</v>
      </c>
      <c r="J1224" s="57">
        <v>8</v>
      </c>
      <c r="K1224" s="57">
        <f>L1224/J1224</f>
        <v>612.5</v>
      </c>
      <c r="L1224" s="164">
        <v>4900</v>
      </c>
    </row>
    <row r="1225" spans="2:12" x14ac:dyDescent="0.3">
      <c r="B1225" s="57">
        <f t="shared" si="107"/>
        <v>1222</v>
      </c>
      <c r="C1225" s="147">
        <v>46154</v>
      </c>
      <c r="D1225" s="57" t="s">
        <v>968</v>
      </c>
      <c r="E1225" s="57" t="s">
        <v>767</v>
      </c>
      <c r="F1225" s="57" t="s">
        <v>446</v>
      </c>
      <c r="G1225" s="57" t="s">
        <v>313</v>
      </c>
      <c r="H1225" s="140" t="s">
        <v>1286</v>
      </c>
      <c r="I1225" s="57"/>
      <c r="J1225" s="57"/>
      <c r="L1225" s="164">
        <v>200</v>
      </c>
    </row>
    <row r="1226" spans="2:12" x14ac:dyDescent="0.3">
      <c r="B1226" s="57">
        <f t="shared" si="107"/>
        <v>1223</v>
      </c>
      <c r="C1226" s="147">
        <v>46154</v>
      </c>
      <c r="D1226" s="57" t="s">
        <v>968</v>
      </c>
      <c r="E1226" s="57" t="s">
        <v>146</v>
      </c>
      <c r="F1226" s="57" t="s">
        <v>436</v>
      </c>
      <c r="G1226" s="57" t="s">
        <v>987</v>
      </c>
      <c r="H1226" s="140" t="s">
        <v>1287</v>
      </c>
      <c r="I1226" s="57"/>
      <c r="J1226" s="165">
        <f>L1226/K1226</f>
        <v>20.833333333333332</v>
      </c>
      <c r="K1226" s="57">
        <v>96</v>
      </c>
      <c r="L1226" s="164">
        <v>2000</v>
      </c>
    </row>
    <row r="1227" spans="2:12" x14ac:dyDescent="0.3">
      <c r="B1227" s="57">
        <f t="shared" si="107"/>
        <v>1224</v>
      </c>
      <c r="C1227" s="147">
        <v>46154</v>
      </c>
      <c r="D1227" s="57" t="s">
        <v>968</v>
      </c>
      <c r="E1227" s="57" t="s">
        <v>460</v>
      </c>
      <c r="F1227" s="57" t="s">
        <v>446</v>
      </c>
      <c r="G1227" s="57" t="s">
        <v>313</v>
      </c>
      <c r="H1227" s="140" t="s">
        <v>1288</v>
      </c>
      <c r="I1227" s="57"/>
      <c r="J1227" s="57"/>
      <c r="L1227" s="164">
        <v>2760</v>
      </c>
    </row>
    <row r="1228" spans="2:12" x14ac:dyDescent="0.3">
      <c r="B1228" s="57">
        <f t="shared" si="107"/>
        <v>1225</v>
      </c>
      <c r="C1228" s="147">
        <v>46154</v>
      </c>
      <c r="D1228" s="57" t="s">
        <v>968</v>
      </c>
      <c r="E1228" s="57" t="s">
        <v>958</v>
      </c>
      <c r="F1228" s="57" t="s">
        <v>446</v>
      </c>
      <c r="G1228" s="57" t="s">
        <v>316</v>
      </c>
      <c r="H1228" s="140" t="s">
        <v>1289</v>
      </c>
      <c r="I1228" s="57"/>
      <c r="J1228" s="57"/>
      <c r="L1228" s="164">
        <v>3000</v>
      </c>
    </row>
    <row r="1229" spans="2:12" x14ac:dyDescent="0.3">
      <c r="B1229" s="57">
        <f t="shared" si="107"/>
        <v>1226</v>
      </c>
      <c r="C1229" s="147">
        <v>46154</v>
      </c>
      <c r="D1229" s="57" t="s">
        <v>968</v>
      </c>
      <c r="E1229" s="57" t="s">
        <v>434</v>
      </c>
      <c r="F1229" s="57" t="s">
        <v>652</v>
      </c>
      <c r="G1229" s="57" t="s">
        <v>651</v>
      </c>
      <c r="H1229" s="140" t="s">
        <v>1290</v>
      </c>
      <c r="I1229" s="57"/>
      <c r="J1229" s="57"/>
      <c r="L1229" s="164">
        <v>150</v>
      </c>
    </row>
    <row r="1230" spans="2:12" x14ac:dyDescent="0.3">
      <c r="B1230" s="57">
        <f t="shared" si="107"/>
        <v>1227</v>
      </c>
      <c r="C1230" s="147">
        <v>46154</v>
      </c>
      <c r="D1230" s="57" t="s">
        <v>968</v>
      </c>
      <c r="E1230" s="57" t="s">
        <v>767</v>
      </c>
      <c r="F1230" s="57" t="s">
        <v>446</v>
      </c>
      <c r="G1230" s="57" t="s">
        <v>313</v>
      </c>
      <c r="H1230" s="140" t="s">
        <v>1291</v>
      </c>
      <c r="I1230" s="57"/>
      <c r="J1230" s="57"/>
      <c r="L1230" s="164">
        <v>150</v>
      </c>
    </row>
    <row r="1231" spans="2:12" x14ac:dyDescent="0.3">
      <c r="B1231" s="57">
        <f t="shared" si="107"/>
        <v>1228</v>
      </c>
      <c r="C1231" s="147">
        <v>46154</v>
      </c>
      <c r="D1231" s="57" t="s">
        <v>968</v>
      </c>
      <c r="E1231" s="57" t="s">
        <v>574</v>
      </c>
      <c r="F1231" s="57" t="s">
        <v>502</v>
      </c>
      <c r="G1231" s="57" t="s">
        <v>257</v>
      </c>
      <c r="H1231" s="140" t="s">
        <v>1292</v>
      </c>
      <c r="I1231" s="140" t="s">
        <v>4081</v>
      </c>
      <c r="J1231" s="57">
        <v>4</v>
      </c>
      <c r="K1231" s="167">
        <f>L1231/J1231</f>
        <v>700</v>
      </c>
      <c r="L1231" s="164">
        <v>2800</v>
      </c>
    </row>
    <row r="1232" spans="2:12" x14ac:dyDescent="0.3">
      <c r="B1232" s="57">
        <f t="shared" si="107"/>
        <v>1229</v>
      </c>
      <c r="C1232" s="147">
        <v>46155</v>
      </c>
      <c r="D1232" s="57" t="s">
        <v>968</v>
      </c>
      <c r="E1232" s="57" t="s">
        <v>146</v>
      </c>
      <c r="F1232" s="57" t="s">
        <v>446</v>
      </c>
      <c r="G1232" s="57" t="s">
        <v>313</v>
      </c>
      <c r="H1232" s="140" t="s">
        <v>885</v>
      </c>
      <c r="I1232" s="57"/>
      <c r="J1232" s="165">
        <f t="shared" ref="J1232:J1234" si="108">L1232/K1232</f>
        <v>20.833333333333332</v>
      </c>
      <c r="K1232" s="57">
        <v>96</v>
      </c>
      <c r="L1232" s="164">
        <v>2000</v>
      </c>
    </row>
    <row r="1233" spans="2:13" x14ac:dyDescent="0.3">
      <c r="B1233" s="57">
        <f t="shared" si="107"/>
        <v>1230</v>
      </c>
      <c r="C1233" s="147">
        <v>46155</v>
      </c>
      <c r="D1233" s="57" t="s">
        <v>968</v>
      </c>
      <c r="E1233" s="57" t="s">
        <v>146</v>
      </c>
      <c r="F1233" s="57" t="s">
        <v>300</v>
      </c>
      <c r="G1233" s="57" t="s">
        <v>530</v>
      </c>
      <c r="H1233" s="140" t="s">
        <v>1293</v>
      </c>
      <c r="I1233" s="57"/>
      <c r="J1233" s="165">
        <f t="shared" si="108"/>
        <v>22.21875</v>
      </c>
      <c r="K1233" s="57">
        <v>96</v>
      </c>
      <c r="L1233" s="164">
        <v>2133</v>
      </c>
    </row>
    <row r="1234" spans="2:13" x14ac:dyDescent="0.3">
      <c r="B1234" s="57">
        <f t="shared" si="107"/>
        <v>1231</v>
      </c>
      <c r="C1234" s="147">
        <v>46155</v>
      </c>
      <c r="D1234" s="57" t="s">
        <v>968</v>
      </c>
      <c r="E1234" s="57" t="s">
        <v>146</v>
      </c>
      <c r="F1234" s="57" t="s">
        <v>300</v>
      </c>
      <c r="G1234" s="57" t="s">
        <v>530</v>
      </c>
      <c r="H1234" s="140" t="s">
        <v>4089</v>
      </c>
      <c r="I1234" s="57"/>
      <c r="J1234" s="165">
        <f t="shared" si="108"/>
        <v>32.385416666666664</v>
      </c>
      <c r="K1234" s="57">
        <v>96</v>
      </c>
      <c r="L1234" s="164">
        <v>3109</v>
      </c>
    </row>
    <row r="1235" spans="2:13" x14ac:dyDescent="0.3">
      <c r="B1235" s="57">
        <f t="shared" si="107"/>
        <v>1232</v>
      </c>
      <c r="C1235" s="147">
        <v>46155</v>
      </c>
      <c r="D1235" s="57" t="s">
        <v>968</v>
      </c>
      <c r="E1235" s="57" t="s">
        <v>574</v>
      </c>
      <c r="F1235" s="57" t="s">
        <v>502</v>
      </c>
      <c r="G1235" s="57" t="s">
        <v>773</v>
      </c>
      <c r="H1235" s="140" t="s">
        <v>4119</v>
      </c>
      <c r="I1235" s="140" t="s">
        <v>2635</v>
      </c>
      <c r="J1235" s="57">
        <v>4</v>
      </c>
      <c r="K1235" s="167">
        <f>L1235/J1235</f>
        <v>612.5</v>
      </c>
      <c r="L1235" s="164">
        <v>2450</v>
      </c>
      <c r="M1235" s="167">
        <f>L1235/2</f>
        <v>1225</v>
      </c>
    </row>
    <row r="1236" spans="2:13" x14ac:dyDescent="0.3">
      <c r="B1236" s="57">
        <f t="shared" si="107"/>
        <v>1233</v>
      </c>
      <c r="C1236" s="147">
        <v>46155</v>
      </c>
      <c r="D1236" s="57" t="s">
        <v>968</v>
      </c>
      <c r="E1236" s="57" t="s">
        <v>574</v>
      </c>
      <c r="F1236" s="57" t="s">
        <v>502</v>
      </c>
      <c r="G1236" s="57" t="s">
        <v>773</v>
      </c>
      <c r="H1236" s="140" t="s">
        <v>1294</v>
      </c>
      <c r="I1236" s="140" t="s">
        <v>4081</v>
      </c>
      <c r="J1236" s="57">
        <v>4</v>
      </c>
      <c r="K1236" s="167">
        <f>L1236/J1236</f>
        <v>612.5</v>
      </c>
      <c r="L1236" s="164">
        <v>2450</v>
      </c>
    </row>
    <row r="1237" spans="2:13" x14ac:dyDescent="0.3">
      <c r="B1237" s="57">
        <f t="shared" si="107"/>
        <v>1234</v>
      </c>
      <c r="C1237" s="147">
        <v>46155</v>
      </c>
      <c r="D1237" s="57" t="s">
        <v>968</v>
      </c>
      <c r="E1237" s="57" t="s">
        <v>961</v>
      </c>
      <c r="F1237" s="57" t="s">
        <v>300</v>
      </c>
      <c r="G1237" s="57" t="s">
        <v>530</v>
      </c>
      <c r="H1237" s="140" t="s">
        <v>1295</v>
      </c>
      <c r="I1237" s="57"/>
      <c r="J1237" s="57"/>
      <c r="L1237" s="164">
        <v>13020</v>
      </c>
    </row>
    <row r="1238" spans="2:13" x14ac:dyDescent="0.3">
      <c r="B1238" s="57">
        <f t="shared" si="107"/>
        <v>1235</v>
      </c>
      <c r="C1238" s="147">
        <v>46155</v>
      </c>
      <c r="D1238" s="57" t="s">
        <v>968</v>
      </c>
      <c r="E1238" s="57" t="s">
        <v>986</v>
      </c>
      <c r="F1238" s="57" t="s">
        <v>300</v>
      </c>
      <c r="G1238" s="57" t="s">
        <v>498</v>
      </c>
      <c r="H1238" s="140" t="s">
        <v>1296</v>
      </c>
      <c r="I1238" s="57" t="s">
        <v>986</v>
      </c>
      <c r="J1238" s="57">
        <v>5</v>
      </c>
      <c r="L1238" s="164">
        <v>450</v>
      </c>
    </row>
    <row r="1239" spans="2:13" x14ac:dyDescent="0.3">
      <c r="B1239" s="57">
        <f t="shared" si="107"/>
        <v>1236</v>
      </c>
      <c r="C1239" s="147">
        <v>46155</v>
      </c>
      <c r="D1239" s="57" t="s">
        <v>968</v>
      </c>
      <c r="E1239" s="57" t="s">
        <v>434</v>
      </c>
      <c r="F1239" s="57" t="s">
        <v>446</v>
      </c>
      <c r="G1239" s="57" t="s">
        <v>316</v>
      </c>
      <c r="H1239" s="140" t="s">
        <v>1297</v>
      </c>
      <c r="I1239" s="57"/>
      <c r="J1239" s="57"/>
      <c r="L1239" s="164">
        <v>3070</v>
      </c>
    </row>
    <row r="1240" spans="2:13" x14ac:dyDescent="0.3">
      <c r="B1240" s="57">
        <f t="shared" si="107"/>
        <v>1237</v>
      </c>
      <c r="C1240" s="147">
        <v>46155</v>
      </c>
      <c r="D1240" s="57" t="s">
        <v>968</v>
      </c>
      <c r="E1240" s="57" t="s">
        <v>146</v>
      </c>
      <c r="F1240" s="57" t="s">
        <v>350</v>
      </c>
      <c r="G1240" s="57" t="s">
        <v>663</v>
      </c>
      <c r="H1240" s="140" t="s">
        <v>4113</v>
      </c>
      <c r="I1240" s="57" t="s">
        <v>146</v>
      </c>
      <c r="J1240" s="165">
        <f>L1240/K1240</f>
        <v>20.833333333333332</v>
      </c>
      <c r="K1240" s="57">
        <v>96</v>
      </c>
      <c r="L1240" s="164">
        <v>2000</v>
      </c>
    </row>
    <row r="1241" spans="2:13" x14ac:dyDescent="0.3">
      <c r="B1241" s="57">
        <f t="shared" si="107"/>
        <v>1238</v>
      </c>
      <c r="C1241" s="147">
        <v>46155</v>
      </c>
      <c r="D1241" s="57" t="s">
        <v>968</v>
      </c>
      <c r="E1241" s="57" t="s">
        <v>532</v>
      </c>
      <c r="F1241" s="57" t="s">
        <v>300</v>
      </c>
      <c r="G1241" s="57" t="s">
        <v>993</v>
      </c>
      <c r="H1241" s="140" t="s">
        <v>1298</v>
      </c>
      <c r="I1241" s="57" t="s">
        <v>532</v>
      </c>
      <c r="J1241" s="57">
        <v>1</v>
      </c>
      <c r="K1241" s="57">
        <v>310</v>
      </c>
      <c r="L1241" s="164">
        <v>310</v>
      </c>
    </row>
    <row r="1242" spans="2:13" x14ac:dyDescent="0.3">
      <c r="B1242" s="57">
        <f t="shared" si="107"/>
        <v>1239</v>
      </c>
      <c r="C1242" s="147">
        <v>46155</v>
      </c>
      <c r="D1242" s="57" t="s">
        <v>968</v>
      </c>
      <c r="E1242" s="57" t="s">
        <v>146</v>
      </c>
      <c r="F1242" s="57" t="s">
        <v>446</v>
      </c>
      <c r="G1242" s="57" t="s">
        <v>316</v>
      </c>
      <c r="H1242" s="140" t="s">
        <v>1299</v>
      </c>
      <c r="I1242" s="57"/>
      <c r="J1242" s="165">
        <f>L1242/K1242</f>
        <v>20.833333333333332</v>
      </c>
      <c r="K1242" s="57">
        <v>96</v>
      </c>
      <c r="L1242" s="164">
        <v>2000</v>
      </c>
    </row>
    <row r="1243" spans="2:13" x14ac:dyDescent="0.3">
      <c r="B1243" s="57">
        <f t="shared" si="107"/>
        <v>1240</v>
      </c>
      <c r="C1243" s="147">
        <v>46155</v>
      </c>
      <c r="D1243" s="57" t="s">
        <v>968</v>
      </c>
      <c r="E1243" s="57" t="s">
        <v>767</v>
      </c>
      <c r="F1243" s="57" t="s">
        <v>300</v>
      </c>
      <c r="G1243" s="57" t="s">
        <v>443</v>
      </c>
      <c r="H1243" s="140" t="s">
        <v>1300</v>
      </c>
      <c r="I1243" s="57"/>
      <c r="J1243" s="57"/>
      <c r="L1243" s="164">
        <v>150</v>
      </c>
    </row>
    <row r="1244" spans="2:13" x14ac:dyDescent="0.3">
      <c r="B1244" s="57">
        <f t="shared" si="107"/>
        <v>1241</v>
      </c>
      <c r="C1244" s="147">
        <v>46155</v>
      </c>
      <c r="D1244" s="57" t="s">
        <v>968</v>
      </c>
      <c r="E1244" s="57" t="s">
        <v>574</v>
      </c>
      <c r="F1244" s="57" t="s">
        <v>502</v>
      </c>
      <c r="G1244" s="57" t="s">
        <v>773</v>
      </c>
      <c r="H1244" s="140" t="s">
        <v>4119</v>
      </c>
      <c r="I1244" s="140" t="s">
        <v>2635</v>
      </c>
      <c r="J1244" s="57">
        <v>4</v>
      </c>
      <c r="K1244" s="167">
        <f>L1244/J1244</f>
        <v>637.5</v>
      </c>
      <c r="L1244" s="164">
        <v>2550</v>
      </c>
      <c r="M1244" s="167">
        <f>L1244/2</f>
        <v>1275</v>
      </c>
    </row>
    <row r="1245" spans="2:13" x14ac:dyDescent="0.3">
      <c r="B1245" s="57">
        <f t="shared" si="107"/>
        <v>1242</v>
      </c>
      <c r="C1245" s="147">
        <v>46155</v>
      </c>
      <c r="D1245" s="57" t="s">
        <v>968</v>
      </c>
      <c r="E1245" s="57" t="s">
        <v>574</v>
      </c>
      <c r="F1245" s="57" t="s">
        <v>502</v>
      </c>
      <c r="G1245" s="57" t="s">
        <v>773</v>
      </c>
      <c r="H1245" s="140" t="s">
        <v>4120</v>
      </c>
      <c r="I1245" s="140" t="s">
        <v>4081</v>
      </c>
      <c r="J1245" s="57">
        <v>4</v>
      </c>
      <c r="K1245" s="167">
        <f>L1245/J1245</f>
        <v>637.5</v>
      </c>
      <c r="L1245" s="164">
        <v>2550</v>
      </c>
    </row>
    <row r="1246" spans="2:13" x14ac:dyDescent="0.3">
      <c r="B1246" s="57">
        <f t="shared" si="107"/>
        <v>1243</v>
      </c>
      <c r="C1246" s="147">
        <v>46155</v>
      </c>
      <c r="D1246" s="57" t="s">
        <v>968</v>
      </c>
      <c r="E1246" s="57" t="s">
        <v>434</v>
      </c>
      <c r="F1246" s="57" t="s">
        <v>300</v>
      </c>
      <c r="G1246" s="57" t="s">
        <v>530</v>
      </c>
      <c r="H1246" s="140" t="s">
        <v>1301</v>
      </c>
      <c r="I1246" s="57"/>
      <c r="J1246" s="57"/>
      <c r="L1246" s="164">
        <v>3720</v>
      </c>
    </row>
    <row r="1247" spans="2:13" x14ac:dyDescent="0.3">
      <c r="B1247" s="57">
        <f t="shared" si="107"/>
        <v>1244</v>
      </c>
      <c r="C1247" s="147">
        <v>46155</v>
      </c>
      <c r="D1247" s="57" t="s">
        <v>968</v>
      </c>
      <c r="E1247" s="57" t="s">
        <v>532</v>
      </c>
      <c r="F1247" s="57" t="s">
        <v>502</v>
      </c>
      <c r="G1247" s="57" t="s">
        <v>257</v>
      </c>
      <c r="H1247" s="140" t="s">
        <v>1302</v>
      </c>
      <c r="I1247" s="57" t="s">
        <v>532</v>
      </c>
      <c r="J1247" s="57">
        <v>10</v>
      </c>
      <c r="K1247" s="57">
        <v>280</v>
      </c>
      <c r="L1247" s="164">
        <v>2800</v>
      </c>
    </row>
    <row r="1248" spans="2:13" x14ac:dyDescent="0.3">
      <c r="B1248" s="57">
        <f t="shared" si="107"/>
        <v>1245</v>
      </c>
      <c r="C1248" s="147">
        <v>46155</v>
      </c>
      <c r="D1248" s="57" t="s">
        <v>968</v>
      </c>
      <c r="E1248" s="57" t="s">
        <v>434</v>
      </c>
      <c r="F1248" s="57" t="s">
        <v>446</v>
      </c>
      <c r="G1248" s="57" t="s">
        <v>316</v>
      </c>
      <c r="H1248" s="140" t="s">
        <v>1303</v>
      </c>
      <c r="I1248" s="57"/>
      <c r="J1248" s="57"/>
      <c r="L1248" s="164">
        <v>3255</v>
      </c>
    </row>
    <row r="1249" spans="2:12" x14ac:dyDescent="0.3">
      <c r="B1249" s="57">
        <f t="shared" si="107"/>
        <v>1246</v>
      </c>
      <c r="C1249" s="147">
        <v>46155</v>
      </c>
      <c r="D1249" s="57" t="s">
        <v>968</v>
      </c>
      <c r="E1249" s="57" t="s">
        <v>434</v>
      </c>
      <c r="F1249" s="57" t="s">
        <v>502</v>
      </c>
      <c r="G1249" s="57" t="s">
        <v>257</v>
      </c>
      <c r="H1249" s="140" t="s">
        <v>1304</v>
      </c>
      <c r="I1249" s="57"/>
      <c r="J1249" s="57"/>
      <c r="L1249" s="164">
        <v>24190</v>
      </c>
    </row>
    <row r="1250" spans="2:12" x14ac:dyDescent="0.3">
      <c r="B1250" s="57">
        <f t="shared" si="107"/>
        <v>1247</v>
      </c>
      <c r="C1250" s="143">
        <v>46156</v>
      </c>
      <c r="D1250" s="57" t="s">
        <v>435</v>
      </c>
      <c r="E1250" s="57" t="s">
        <v>636</v>
      </c>
      <c r="F1250" s="57" t="s">
        <v>446</v>
      </c>
      <c r="G1250" s="57" t="s">
        <v>446</v>
      </c>
      <c r="H1250" s="140" t="s">
        <v>635</v>
      </c>
      <c r="I1250" s="57"/>
      <c r="J1250" s="57"/>
      <c r="L1250" s="164">
        <v>50000</v>
      </c>
    </row>
    <row r="1251" spans="2:12" x14ac:dyDescent="0.3">
      <c r="B1251" s="57">
        <f t="shared" si="107"/>
        <v>1248</v>
      </c>
      <c r="C1251" s="143">
        <v>46156</v>
      </c>
      <c r="D1251" s="57" t="s">
        <v>435</v>
      </c>
      <c r="E1251" s="57" t="s">
        <v>146</v>
      </c>
      <c r="F1251" s="57" t="s">
        <v>300</v>
      </c>
      <c r="G1251" s="57" t="s">
        <v>438</v>
      </c>
      <c r="H1251" s="140" t="s">
        <v>634</v>
      </c>
      <c r="I1251" s="57"/>
      <c r="J1251" s="165">
        <f>L1251/K1251</f>
        <v>20.833333333333332</v>
      </c>
      <c r="K1251" s="57">
        <v>96</v>
      </c>
      <c r="L1251" s="164">
        <v>2000</v>
      </c>
    </row>
    <row r="1252" spans="2:12" x14ac:dyDescent="0.3">
      <c r="B1252" s="57">
        <f t="shared" si="107"/>
        <v>1249</v>
      </c>
      <c r="C1252" s="147">
        <v>46156</v>
      </c>
      <c r="D1252" s="57" t="s">
        <v>968</v>
      </c>
      <c r="E1252" s="57" t="s">
        <v>590</v>
      </c>
      <c r="F1252" s="57" t="s">
        <v>300</v>
      </c>
      <c r="G1252" s="57" t="s">
        <v>530</v>
      </c>
      <c r="H1252" s="140" t="s">
        <v>1305</v>
      </c>
      <c r="I1252" s="57"/>
      <c r="J1252" s="57"/>
      <c r="L1252" s="164">
        <v>440</v>
      </c>
    </row>
    <row r="1253" spans="2:12" x14ac:dyDescent="0.3">
      <c r="B1253" s="57">
        <f t="shared" si="107"/>
        <v>1250</v>
      </c>
      <c r="C1253" s="147">
        <v>46156</v>
      </c>
      <c r="D1253" s="57" t="s">
        <v>968</v>
      </c>
      <c r="E1253" s="57" t="s">
        <v>481</v>
      </c>
      <c r="F1253" s="57" t="s">
        <v>300</v>
      </c>
      <c r="G1253" s="57" t="s">
        <v>530</v>
      </c>
      <c r="H1253" s="140" t="s">
        <v>1306</v>
      </c>
      <c r="I1253" s="57"/>
      <c r="J1253" s="57"/>
      <c r="L1253" s="164">
        <v>500</v>
      </c>
    </row>
    <row r="1254" spans="2:12" x14ac:dyDescent="0.3">
      <c r="B1254" s="57">
        <f t="shared" si="107"/>
        <v>1251</v>
      </c>
      <c r="C1254" s="147">
        <v>46156</v>
      </c>
      <c r="D1254" s="57" t="s">
        <v>968</v>
      </c>
      <c r="E1254" s="57" t="s">
        <v>146</v>
      </c>
      <c r="F1254" s="57" t="s">
        <v>446</v>
      </c>
      <c r="G1254" s="57" t="s">
        <v>359</v>
      </c>
      <c r="H1254" s="140" t="s">
        <v>4089</v>
      </c>
      <c r="I1254" s="57"/>
      <c r="J1254" s="165">
        <f>L1254/K1254</f>
        <v>20.833333333333332</v>
      </c>
      <c r="K1254" s="57">
        <v>96</v>
      </c>
      <c r="L1254" s="164">
        <v>2000</v>
      </c>
    </row>
    <row r="1255" spans="2:12" x14ac:dyDescent="0.3">
      <c r="B1255" s="57">
        <f t="shared" si="107"/>
        <v>1252</v>
      </c>
      <c r="C1255" s="147">
        <v>46156</v>
      </c>
      <c r="D1255" s="57" t="s">
        <v>968</v>
      </c>
      <c r="E1255" s="57" t="s">
        <v>574</v>
      </c>
      <c r="F1255" s="57" t="s">
        <v>502</v>
      </c>
      <c r="G1255" s="57" t="s">
        <v>773</v>
      </c>
      <c r="H1255" s="140" t="s">
        <v>1307</v>
      </c>
      <c r="I1255" s="140" t="s">
        <v>4118</v>
      </c>
      <c r="J1255" s="57">
        <v>8</v>
      </c>
      <c r="K1255" s="168">
        <f>L1255/J1255</f>
        <v>618.75</v>
      </c>
      <c r="L1255" s="164">
        <v>4950</v>
      </c>
    </row>
    <row r="1256" spans="2:12" x14ac:dyDescent="0.3">
      <c r="B1256" s="57">
        <f t="shared" si="107"/>
        <v>1253</v>
      </c>
      <c r="C1256" s="147">
        <v>46156</v>
      </c>
      <c r="D1256" s="57" t="s">
        <v>968</v>
      </c>
      <c r="E1256" s="57" t="s">
        <v>481</v>
      </c>
      <c r="F1256" s="57" t="s">
        <v>300</v>
      </c>
      <c r="G1256" s="57" t="s">
        <v>994</v>
      </c>
      <c r="H1256" s="140" t="s">
        <v>1308</v>
      </c>
      <c r="I1256" s="57"/>
      <c r="J1256" s="57"/>
      <c r="L1256" s="164">
        <v>1000</v>
      </c>
    </row>
    <row r="1257" spans="2:12" x14ac:dyDescent="0.3">
      <c r="B1257" s="57">
        <f t="shared" si="107"/>
        <v>1254</v>
      </c>
      <c r="C1257" s="147">
        <v>46156</v>
      </c>
      <c r="D1257" s="57" t="s">
        <v>968</v>
      </c>
      <c r="E1257" s="57" t="s">
        <v>767</v>
      </c>
      <c r="F1257" s="57" t="s">
        <v>300</v>
      </c>
      <c r="G1257" s="57" t="s">
        <v>498</v>
      </c>
      <c r="H1257" s="140" t="s">
        <v>1309</v>
      </c>
      <c r="I1257" s="57"/>
      <c r="J1257" s="57"/>
      <c r="L1257" s="164">
        <v>1450</v>
      </c>
    </row>
    <row r="1258" spans="2:12" x14ac:dyDescent="0.3">
      <c r="B1258" s="57">
        <f t="shared" si="107"/>
        <v>1255</v>
      </c>
      <c r="C1258" s="147">
        <v>46156</v>
      </c>
      <c r="D1258" s="57" t="s">
        <v>968</v>
      </c>
      <c r="E1258" s="57" t="s">
        <v>473</v>
      </c>
      <c r="F1258" s="57" t="s">
        <v>300</v>
      </c>
      <c r="G1258" s="57" t="s">
        <v>530</v>
      </c>
      <c r="H1258" s="140" t="s">
        <v>1310</v>
      </c>
      <c r="I1258" s="57"/>
      <c r="J1258" s="57"/>
      <c r="L1258" s="164">
        <v>629</v>
      </c>
    </row>
    <row r="1259" spans="2:12" x14ac:dyDescent="0.3">
      <c r="B1259" s="57">
        <f t="shared" si="107"/>
        <v>1256</v>
      </c>
      <c r="C1259" s="147">
        <v>46156</v>
      </c>
      <c r="D1259" s="57" t="s">
        <v>968</v>
      </c>
      <c r="E1259" s="57" t="s">
        <v>146</v>
      </c>
      <c r="F1259" s="57" t="s">
        <v>446</v>
      </c>
      <c r="G1259" s="57" t="s">
        <v>649</v>
      </c>
      <c r="H1259" s="140" t="s">
        <v>879</v>
      </c>
      <c r="I1259" s="57"/>
      <c r="J1259" s="165">
        <f>L1259/K1259</f>
        <v>20.833333333333332</v>
      </c>
      <c r="K1259" s="57">
        <v>96</v>
      </c>
      <c r="L1259" s="164">
        <v>2000</v>
      </c>
    </row>
    <row r="1260" spans="2:12" x14ac:dyDescent="0.3">
      <c r="B1260" s="57">
        <f t="shared" si="107"/>
        <v>1257</v>
      </c>
      <c r="C1260" s="147">
        <v>46156</v>
      </c>
      <c r="D1260" s="57" t="s">
        <v>968</v>
      </c>
      <c r="E1260" s="57" t="s">
        <v>434</v>
      </c>
      <c r="F1260" s="57" t="s">
        <v>436</v>
      </c>
      <c r="G1260" s="57" t="s">
        <v>987</v>
      </c>
      <c r="H1260" s="140" t="s">
        <v>1311</v>
      </c>
      <c r="I1260" s="57"/>
      <c r="J1260" s="57"/>
      <c r="L1260" s="164">
        <v>6200</v>
      </c>
    </row>
    <row r="1261" spans="2:12" x14ac:dyDescent="0.3">
      <c r="B1261" s="57">
        <f t="shared" si="107"/>
        <v>1258</v>
      </c>
      <c r="C1261" s="147">
        <v>46156</v>
      </c>
      <c r="D1261" s="57" t="s">
        <v>968</v>
      </c>
      <c r="E1261" s="57" t="s">
        <v>146</v>
      </c>
      <c r="F1261" s="57" t="s">
        <v>502</v>
      </c>
      <c r="G1261" s="57" t="s">
        <v>773</v>
      </c>
      <c r="H1261" s="140" t="s">
        <v>1312</v>
      </c>
      <c r="I1261" s="57"/>
      <c r="J1261" s="165">
        <f t="shared" ref="J1261:J1264" si="109">L1261/K1261</f>
        <v>31.25</v>
      </c>
      <c r="K1261" s="57">
        <v>96</v>
      </c>
      <c r="L1261" s="164">
        <v>3000</v>
      </c>
    </row>
    <row r="1262" spans="2:12" x14ac:dyDescent="0.3">
      <c r="B1262" s="57">
        <f t="shared" si="107"/>
        <v>1259</v>
      </c>
      <c r="C1262" s="147">
        <v>46156</v>
      </c>
      <c r="D1262" s="57" t="s">
        <v>968</v>
      </c>
      <c r="E1262" s="57" t="s">
        <v>146</v>
      </c>
      <c r="F1262" s="57" t="s">
        <v>502</v>
      </c>
      <c r="G1262" s="57" t="s">
        <v>773</v>
      </c>
      <c r="H1262" s="140" t="s">
        <v>4106</v>
      </c>
      <c r="I1262" s="57"/>
      <c r="J1262" s="165">
        <f t="shared" si="109"/>
        <v>31.25</v>
      </c>
      <c r="K1262" s="57">
        <v>96</v>
      </c>
      <c r="L1262" s="164">
        <v>3000</v>
      </c>
    </row>
    <row r="1263" spans="2:12" x14ac:dyDescent="0.3">
      <c r="B1263" s="57">
        <f t="shared" si="107"/>
        <v>1260</v>
      </c>
      <c r="C1263" s="147">
        <v>46156</v>
      </c>
      <c r="D1263" s="57" t="s">
        <v>968</v>
      </c>
      <c r="E1263" s="57" t="s">
        <v>146</v>
      </c>
      <c r="F1263" s="57" t="s">
        <v>300</v>
      </c>
      <c r="G1263" s="57" t="s">
        <v>991</v>
      </c>
      <c r="H1263" s="140" t="s">
        <v>894</v>
      </c>
      <c r="I1263" s="57"/>
      <c r="J1263" s="165">
        <f t="shared" si="109"/>
        <v>20.833333333333332</v>
      </c>
      <c r="K1263" s="57">
        <v>96</v>
      </c>
      <c r="L1263" s="164">
        <v>2000</v>
      </c>
    </row>
    <row r="1264" spans="2:12" x14ac:dyDescent="0.3">
      <c r="B1264" s="57">
        <f t="shared" si="107"/>
        <v>1261</v>
      </c>
      <c r="C1264" s="147">
        <v>46156</v>
      </c>
      <c r="D1264" s="57" t="s">
        <v>968</v>
      </c>
      <c r="E1264" s="57" t="s">
        <v>146</v>
      </c>
      <c r="F1264" s="57" t="s">
        <v>300</v>
      </c>
      <c r="G1264" s="57" t="s">
        <v>443</v>
      </c>
      <c r="H1264" s="140" t="s">
        <v>1313</v>
      </c>
      <c r="I1264" s="57"/>
      <c r="J1264" s="165">
        <f t="shared" si="109"/>
        <v>53.260416666666664</v>
      </c>
      <c r="K1264" s="57">
        <v>96</v>
      </c>
      <c r="L1264" s="164">
        <v>5113</v>
      </c>
    </row>
    <row r="1265" spans="2:12" x14ac:dyDescent="0.3">
      <c r="B1265" s="57">
        <f t="shared" si="107"/>
        <v>1262</v>
      </c>
      <c r="C1265" s="147">
        <v>46156</v>
      </c>
      <c r="D1265" s="57" t="s">
        <v>968</v>
      </c>
      <c r="E1265" s="57" t="s">
        <v>574</v>
      </c>
      <c r="F1265" s="57" t="s">
        <v>502</v>
      </c>
      <c r="G1265" s="57" t="s">
        <v>773</v>
      </c>
      <c r="H1265" s="140" t="s">
        <v>1314</v>
      </c>
      <c r="I1265" s="140" t="s">
        <v>4081</v>
      </c>
      <c r="J1265" s="57">
        <v>8</v>
      </c>
      <c r="K1265" s="167">
        <f>L1265/J1265</f>
        <v>650</v>
      </c>
      <c r="L1265" s="164">
        <v>5200</v>
      </c>
    </row>
    <row r="1266" spans="2:12" x14ac:dyDescent="0.3">
      <c r="B1266" s="57">
        <f t="shared" si="107"/>
        <v>1263</v>
      </c>
      <c r="C1266" s="147">
        <v>46156</v>
      </c>
      <c r="D1266" s="57" t="s">
        <v>968</v>
      </c>
      <c r="E1266" s="57" t="s">
        <v>532</v>
      </c>
      <c r="F1266" s="57" t="s">
        <v>502</v>
      </c>
      <c r="G1266" s="57" t="s">
        <v>257</v>
      </c>
      <c r="H1266" s="140" t="s">
        <v>1315</v>
      </c>
      <c r="I1266" s="57" t="s">
        <v>532</v>
      </c>
      <c r="J1266" s="57">
        <v>13</v>
      </c>
      <c r="K1266" s="167">
        <f>L1266/J1266</f>
        <v>280</v>
      </c>
      <c r="L1266" s="164">
        <v>3640</v>
      </c>
    </row>
    <row r="1267" spans="2:12" x14ac:dyDescent="0.3">
      <c r="B1267" s="57">
        <f t="shared" si="107"/>
        <v>1264</v>
      </c>
      <c r="C1267" s="147">
        <v>46156</v>
      </c>
      <c r="D1267" s="57" t="s">
        <v>968</v>
      </c>
      <c r="E1267" s="57" t="s">
        <v>434</v>
      </c>
      <c r="F1267" s="57" t="s">
        <v>300</v>
      </c>
      <c r="G1267" s="57" t="s">
        <v>530</v>
      </c>
      <c r="H1267" s="140" t="s">
        <v>1316</v>
      </c>
      <c r="I1267" s="57"/>
      <c r="J1267" s="57"/>
      <c r="L1267" s="164">
        <v>560</v>
      </c>
    </row>
    <row r="1268" spans="2:12" x14ac:dyDescent="0.3">
      <c r="B1268" s="57">
        <f t="shared" si="107"/>
        <v>1265</v>
      </c>
      <c r="C1268" s="147">
        <v>46156</v>
      </c>
      <c r="D1268" s="57" t="s">
        <v>968</v>
      </c>
      <c r="E1268" s="57" t="s">
        <v>590</v>
      </c>
      <c r="F1268" s="57" t="s">
        <v>300</v>
      </c>
      <c r="G1268" s="57" t="s">
        <v>530</v>
      </c>
      <c r="H1268" s="140" t="s">
        <v>1317</v>
      </c>
      <c r="I1268" s="57"/>
      <c r="J1268" s="57"/>
      <c r="L1268" s="164">
        <v>7850</v>
      </c>
    </row>
    <row r="1269" spans="2:12" x14ac:dyDescent="0.3">
      <c r="B1269" s="57">
        <f t="shared" si="107"/>
        <v>1266</v>
      </c>
      <c r="C1269" s="147">
        <v>46157</v>
      </c>
      <c r="D1269" s="57" t="s">
        <v>968</v>
      </c>
      <c r="E1269" s="57" t="s">
        <v>146</v>
      </c>
      <c r="F1269" s="57" t="s">
        <v>300</v>
      </c>
      <c r="G1269" s="57" t="s">
        <v>530</v>
      </c>
      <c r="H1269" s="140" t="s">
        <v>4095</v>
      </c>
      <c r="I1269" s="57"/>
      <c r="J1269" s="165">
        <f>L1269/K1269</f>
        <v>41.083333333333336</v>
      </c>
      <c r="K1269" s="57">
        <v>96</v>
      </c>
      <c r="L1269" s="164">
        <v>3944</v>
      </c>
    </row>
    <row r="1270" spans="2:12" x14ac:dyDescent="0.3">
      <c r="B1270" s="57">
        <f t="shared" si="107"/>
        <v>1267</v>
      </c>
      <c r="C1270" s="147">
        <v>46157</v>
      </c>
      <c r="D1270" s="57" t="s">
        <v>968</v>
      </c>
      <c r="E1270" s="57" t="s">
        <v>434</v>
      </c>
      <c r="F1270" s="57" t="s">
        <v>683</v>
      </c>
      <c r="G1270" s="57" t="s">
        <v>992</v>
      </c>
      <c r="H1270" s="140" t="s">
        <v>1318</v>
      </c>
      <c r="I1270" s="57"/>
      <c r="J1270" s="57"/>
      <c r="L1270" s="164">
        <v>1350</v>
      </c>
    </row>
    <row r="1271" spans="2:12" x14ac:dyDescent="0.3">
      <c r="B1271" s="57">
        <f t="shared" si="107"/>
        <v>1268</v>
      </c>
      <c r="C1271" s="147">
        <v>46157</v>
      </c>
      <c r="D1271" s="57" t="s">
        <v>968</v>
      </c>
      <c r="E1271" s="57" t="s">
        <v>958</v>
      </c>
      <c r="F1271" s="57" t="s">
        <v>446</v>
      </c>
      <c r="G1271" s="57" t="s">
        <v>359</v>
      </c>
      <c r="H1271" s="140" t="s">
        <v>1319</v>
      </c>
      <c r="I1271" s="57"/>
      <c r="J1271" s="57"/>
      <c r="L1271" s="164">
        <v>1000</v>
      </c>
    </row>
    <row r="1272" spans="2:12" x14ac:dyDescent="0.3">
      <c r="B1272" s="57">
        <f t="shared" si="107"/>
        <v>1269</v>
      </c>
      <c r="C1272" s="147">
        <v>46157</v>
      </c>
      <c r="D1272" s="57" t="s">
        <v>968</v>
      </c>
      <c r="E1272" s="57" t="s">
        <v>146</v>
      </c>
      <c r="F1272" s="57" t="s">
        <v>502</v>
      </c>
      <c r="G1272" s="57" t="s">
        <v>257</v>
      </c>
      <c r="H1272" s="140" t="s">
        <v>4100</v>
      </c>
      <c r="I1272" s="57"/>
      <c r="J1272" s="165">
        <f t="shared" ref="J1272:J1273" si="110">L1272/K1272</f>
        <v>31.25</v>
      </c>
      <c r="K1272" s="57">
        <v>96</v>
      </c>
      <c r="L1272" s="164">
        <v>3000</v>
      </c>
    </row>
    <row r="1273" spans="2:12" x14ac:dyDescent="0.3">
      <c r="B1273" s="57">
        <f t="shared" si="107"/>
        <v>1270</v>
      </c>
      <c r="C1273" s="147">
        <v>46157</v>
      </c>
      <c r="D1273" s="57" t="s">
        <v>968</v>
      </c>
      <c r="E1273" s="57" t="s">
        <v>146</v>
      </c>
      <c r="F1273" s="57" t="s">
        <v>446</v>
      </c>
      <c r="G1273" s="57" t="s">
        <v>990</v>
      </c>
      <c r="H1273" s="140" t="s">
        <v>1320</v>
      </c>
      <c r="I1273" s="57"/>
      <c r="J1273" s="165">
        <f t="shared" si="110"/>
        <v>62.5</v>
      </c>
      <c r="K1273" s="57">
        <v>96</v>
      </c>
      <c r="L1273" s="164">
        <v>6000</v>
      </c>
    </row>
    <row r="1274" spans="2:12" x14ac:dyDescent="0.3">
      <c r="B1274" s="57">
        <f t="shared" si="107"/>
        <v>1271</v>
      </c>
      <c r="C1274" s="147">
        <v>46157</v>
      </c>
      <c r="D1274" s="57" t="s">
        <v>968</v>
      </c>
      <c r="E1274" s="57" t="s">
        <v>767</v>
      </c>
      <c r="F1274" s="57" t="s">
        <v>300</v>
      </c>
      <c r="G1274" s="57" t="s">
        <v>994</v>
      </c>
      <c r="H1274" s="140" t="s">
        <v>1321</v>
      </c>
      <c r="I1274" s="57"/>
      <c r="J1274" s="57"/>
      <c r="L1274" s="164">
        <v>250</v>
      </c>
    </row>
    <row r="1275" spans="2:12" x14ac:dyDescent="0.3">
      <c r="B1275" s="57">
        <f t="shared" si="107"/>
        <v>1272</v>
      </c>
      <c r="C1275" s="147">
        <v>46157</v>
      </c>
      <c r="D1275" s="57" t="s">
        <v>968</v>
      </c>
      <c r="E1275" s="57" t="s">
        <v>4128</v>
      </c>
      <c r="F1275" s="57" t="s">
        <v>446</v>
      </c>
      <c r="G1275" s="57" t="s">
        <v>313</v>
      </c>
      <c r="H1275" s="140" t="s">
        <v>1322</v>
      </c>
      <c r="I1275" s="57"/>
      <c r="J1275" s="57"/>
      <c r="L1275" s="164">
        <v>9000</v>
      </c>
    </row>
    <row r="1276" spans="2:12" x14ac:dyDescent="0.3">
      <c r="B1276" s="57">
        <f t="shared" si="107"/>
        <v>1273</v>
      </c>
      <c r="C1276" s="147">
        <v>46157</v>
      </c>
      <c r="D1276" s="57" t="s">
        <v>968</v>
      </c>
      <c r="E1276" s="57" t="s">
        <v>434</v>
      </c>
      <c r="F1276" s="57" t="s">
        <v>300</v>
      </c>
      <c r="G1276" s="57" t="s">
        <v>530</v>
      </c>
      <c r="H1276" s="140" t="s">
        <v>1323</v>
      </c>
      <c r="I1276" s="57"/>
      <c r="J1276" s="57"/>
      <c r="L1276" s="164">
        <v>6000</v>
      </c>
    </row>
    <row r="1277" spans="2:12" x14ac:dyDescent="0.3">
      <c r="B1277" s="57">
        <f t="shared" si="107"/>
        <v>1274</v>
      </c>
      <c r="C1277" s="147">
        <v>46157</v>
      </c>
      <c r="D1277" s="57" t="s">
        <v>968</v>
      </c>
      <c r="E1277" s="57" t="s">
        <v>146</v>
      </c>
      <c r="F1277" s="57" t="s">
        <v>502</v>
      </c>
      <c r="G1277" s="57" t="s">
        <v>257</v>
      </c>
      <c r="H1277" s="140" t="s">
        <v>1324</v>
      </c>
      <c r="I1277" s="57"/>
      <c r="J1277" s="165">
        <f>L1277/K1277</f>
        <v>20.833333333333332</v>
      </c>
      <c r="K1277" s="57">
        <v>96</v>
      </c>
      <c r="L1277" s="164">
        <v>2000</v>
      </c>
    </row>
    <row r="1278" spans="2:12" x14ac:dyDescent="0.3">
      <c r="B1278" s="57">
        <f t="shared" si="107"/>
        <v>1275</v>
      </c>
      <c r="C1278" s="147">
        <v>46157</v>
      </c>
      <c r="D1278" s="57" t="s">
        <v>968</v>
      </c>
      <c r="E1278" s="57" t="s">
        <v>4128</v>
      </c>
      <c r="F1278" s="57" t="s">
        <v>446</v>
      </c>
      <c r="G1278" s="57" t="s">
        <v>316</v>
      </c>
      <c r="H1278" s="140" t="s">
        <v>1325</v>
      </c>
      <c r="I1278" s="57"/>
      <c r="J1278" s="57"/>
      <c r="L1278" s="164">
        <v>800</v>
      </c>
    </row>
    <row r="1279" spans="2:12" x14ac:dyDescent="0.3">
      <c r="B1279" s="57">
        <f t="shared" si="107"/>
        <v>1276</v>
      </c>
      <c r="C1279" s="147">
        <v>46157</v>
      </c>
      <c r="D1279" s="57" t="s">
        <v>968</v>
      </c>
      <c r="E1279" s="57" t="s">
        <v>961</v>
      </c>
      <c r="F1279" s="57" t="s">
        <v>300</v>
      </c>
      <c r="G1279" s="57" t="s">
        <v>530</v>
      </c>
      <c r="H1279" s="140" t="s">
        <v>1326</v>
      </c>
      <c r="I1279" s="57"/>
      <c r="J1279" s="57"/>
      <c r="L1279" s="164">
        <v>45720</v>
      </c>
    </row>
    <row r="1280" spans="2:12" x14ac:dyDescent="0.3">
      <c r="B1280" s="57">
        <f t="shared" si="107"/>
        <v>1277</v>
      </c>
      <c r="C1280" s="147">
        <v>46158</v>
      </c>
      <c r="D1280" s="57" t="s">
        <v>968</v>
      </c>
      <c r="E1280" s="57" t="s">
        <v>2022</v>
      </c>
      <c r="F1280" s="57" t="s">
        <v>300</v>
      </c>
      <c r="G1280" s="57" t="s">
        <v>443</v>
      </c>
      <c r="H1280" s="140" t="s">
        <v>1327</v>
      </c>
      <c r="I1280" s="57"/>
      <c r="J1280" s="57"/>
      <c r="L1280" s="164">
        <v>150</v>
      </c>
    </row>
    <row r="1281" spans="2:12" x14ac:dyDescent="0.3">
      <c r="B1281" s="57">
        <f t="shared" si="107"/>
        <v>1278</v>
      </c>
      <c r="C1281" s="147">
        <v>46158</v>
      </c>
      <c r="D1281" s="57" t="s">
        <v>968</v>
      </c>
      <c r="E1281" s="57" t="s">
        <v>574</v>
      </c>
      <c r="F1281" s="57" t="s">
        <v>502</v>
      </c>
      <c r="G1281" s="57" t="s">
        <v>257</v>
      </c>
      <c r="H1281" s="140" t="s">
        <v>1328</v>
      </c>
      <c r="I1281" s="140" t="s">
        <v>4081</v>
      </c>
      <c r="J1281" s="57">
        <v>4</v>
      </c>
      <c r="K1281" s="167">
        <f>L1281/J1281</f>
        <v>725</v>
      </c>
      <c r="L1281" s="164">
        <v>2900</v>
      </c>
    </row>
    <row r="1282" spans="2:12" x14ac:dyDescent="0.3">
      <c r="B1282" s="57">
        <f t="shared" si="107"/>
        <v>1279</v>
      </c>
      <c r="C1282" s="147">
        <v>46158</v>
      </c>
      <c r="D1282" s="57" t="s">
        <v>968</v>
      </c>
      <c r="E1282" s="57" t="s">
        <v>532</v>
      </c>
      <c r="F1282" s="57" t="s">
        <v>502</v>
      </c>
      <c r="G1282" s="57" t="s">
        <v>257</v>
      </c>
      <c r="H1282" s="140" t="s">
        <v>1329</v>
      </c>
      <c r="I1282" s="57" t="s">
        <v>532</v>
      </c>
      <c r="J1282" s="57"/>
      <c r="L1282" s="164">
        <v>2000</v>
      </c>
    </row>
    <row r="1283" spans="2:12" x14ac:dyDescent="0.3">
      <c r="B1283" s="57">
        <f t="shared" si="107"/>
        <v>1280</v>
      </c>
      <c r="C1283" s="147">
        <v>46158</v>
      </c>
      <c r="D1283" s="57" t="s">
        <v>968</v>
      </c>
      <c r="E1283" s="57" t="s">
        <v>146</v>
      </c>
      <c r="F1283" s="57" t="s">
        <v>300</v>
      </c>
      <c r="G1283" s="57" t="s">
        <v>530</v>
      </c>
      <c r="H1283" s="140" t="s">
        <v>4115</v>
      </c>
      <c r="I1283" s="57"/>
      <c r="J1283" s="165">
        <f>L1283/K1283</f>
        <v>42.947916666666664</v>
      </c>
      <c r="K1283" s="57">
        <v>96</v>
      </c>
      <c r="L1283" s="164">
        <v>4123</v>
      </c>
    </row>
    <row r="1284" spans="2:12" x14ac:dyDescent="0.3">
      <c r="B1284" s="57">
        <f t="shared" si="107"/>
        <v>1281</v>
      </c>
      <c r="C1284" s="147">
        <v>46158</v>
      </c>
      <c r="D1284" s="57" t="s">
        <v>968</v>
      </c>
      <c r="E1284" s="57" t="s">
        <v>4128</v>
      </c>
      <c r="F1284" s="57" t="s">
        <v>502</v>
      </c>
      <c r="G1284" s="57" t="s">
        <v>257</v>
      </c>
      <c r="H1284" s="140" t="s">
        <v>1330</v>
      </c>
      <c r="I1284" s="57"/>
      <c r="J1284" s="57"/>
      <c r="L1284" s="164">
        <v>1300</v>
      </c>
    </row>
    <row r="1285" spans="2:12" x14ac:dyDescent="0.3">
      <c r="B1285" s="57">
        <f t="shared" si="107"/>
        <v>1282</v>
      </c>
      <c r="C1285" s="147">
        <v>46158</v>
      </c>
      <c r="D1285" s="57" t="s">
        <v>968</v>
      </c>
      <c r="E1285" s="57" t="s">
        <v>146</v>
      </c>
      <c r="F1285" s="57" t="s">
        <v>446</v>
      </c>
      <c r="G1285" s="57" t="s">
        <v>313</v>
      </c>
      <c r="H1285" s="140" t="s">
        <v>1331</v>
      </c>
      <c r="I1285" s="57"/>
      <c r="J1285" s="165">
        <f t="shared" ref="J1285:J1286" si="111">L1285/K1285</f>
        <v>20.833333333333332</v>
      </c>
      <c r="K1285" s="57">
        <v>96</v>
      </c>
      <c r="L1285" s="164">
        <v>2000</v>
      </c>
    </row>
    <row r="1286" spans="2:12" x14ac:dyDescent="0.3">
      <c r="B1286" s="57">
        <f t="shared" ref="B1286:B1349" si="112">+B1285+1</f>
        <v>1283</v>
      </c>
      <c r="C1286" s="147">
        <v>46158</v>
      </c>
      <c r="D1286" s="57" t="s">
        <v>968</v>
      </c>
      <c r="E1286" s="57" t="s">
        <v>146</v>
      </c>
      <c r="F1286" s="57" t="s">
        <v>446</v>
      </c>
      <c r="G1286" s="57" t="s">
        <v>313</v>
      </c>
      <c r="H1286" s="140" t="s">
        <v>4089</v>
      </c>
      <c r="I1286" s="57"/>
      <c r="J1286" s="165">
        <f t="shared" si="111"/>
        <v>20.833333333333332</v>
      </c>
      <c r="K1286" s="57">
        <v>96</v>
      </c>
      <c r="L1286" s="164">
        <v>2000</v>
      </c>
    </row>
    <row r="1287" spans="2:12" x14ac:dyDescent="0.3">
      <c r="B1287" s="57">
        <f t="shared" si="112"/>
        <v>1284</v>
      </c>
      <c r="C1287" s="147">
        <v>46158</v>
      </c>
      <c r="D1287" s="57" t="s">
        <v>968</v>
      </c>
      <c r="E1287" s="57" t="s">
        <v>460</v>
      </c>
      <c r="F1287" s="57" t="s">
        <v>683</v>
      </c>
      <c r="G1287" s="57" t="s">
        <v>992</v>
      </c>
      <c r="H1287" s="140" t="s">
        <v>1332</v>
      </c>
      <c r="I1287" s="57"/>
      <c r="J1287" s="57"/>
      <c r="L1287" s="164">
        <v>1000</v>
      </c>
    </row>
    <row r="1288" spans="2:12" x14ac:dyDescent="0.3">
      <c r="B1288" s="57">
        <f t="shared" si="112"/>
        <v>1285</v>
      </c>
      <c r="C1288" s="147">
        <v>46158</v>
      </c>
      <c r="D1288" s="57" t="s">
        <v>968</v>
      </c>
      <c r="E1288" s="57" t="s">
        <v>767</v>
      </c>
      <c r="F1288" s="57" t="s">
        <v>446</v>
      </c>
      <c r="G1288" s="57" t="s">
        <v>995</v>
      </c>
      <c r="H1288" s="140" t="s">
        <v>1333</v>
      </c>
      <c r="I1288" s="57"/>
      <c r="J1288" s="57"/>
      <c r="L1288" s="164">
        <v>150</v>
      </c>
    </row>
    <row r="1289" spans="2:12" x14ac:dyDescent="0.3">
      <c r="B1289" s="57">
        <f t="shared" si="112"/>
        <v>1286</v>
      </c>
      <c r="C1289" s="147">
        <v>46158</v>
      </c>
      <c r="D1289" s="57" t="s">
        <v>968</v>
      </c>
      <c r="E1289" s="57" t="s">
        <v>146</v>
      </c>
      <c r="F1289" s="57" t="s">
        <v>436</v>
      </c>
      <c r="G1289" s="57" t="s">
        <v>987</v>
      </c>
      <c r="H1289" s="140" t="s">
        <v>1334</v>
      </c>
      <c r="I1289" s="57"/>
      <c r="J1289" s="165">
        <f>L1289/K1289</f>
        <v>20.833333333333332</v>
      </c>
      <c r="K1289" s="57">
        <v>96</v>
      </c>
      <c r="L1289" s="164">
        <v>2000</v>
      </c>
    </row>
    <row r="1290" spans="2:12" x14ac:dyDescent="0.3">
      <c r="B1290" s="57">
        <f t="shared" si="112"/>
        <v>1287</v>
      </c>
      <c r="C1290" s="147">
        <v>46158</v>
      </c>
      <c r="D1290" s="57" t="s">
        <v>968</v>
      </c>
      <c r="E1290" s="57" t="s">
        <v>574</v>
      </c>
      <c r="F1290" s="57" t="s">
        <v>300</v>
      </c>
      <c r="G1290" s="57" t="s">
        <v>2327</v>
      </c>
      <c r="H1290" s="140" t="s">
        <v>1335</v>
      </c>
      <c r="I1290" s="140" t="s">
        <v>4118</v>
      </c>
      <c r="J1290" s="57">
        <v>4</v>
      </c>
      <c r="K1290" s="167">
        <f>L1290/J1290</f>
        <v>650</v>
      </c>
      <c r="L1290" s="164">
        <v>2600</v>
      </c>
    </row>
    <row r="1291" spans="2:12" x14ac:dyDescent="0.3">
      <c r="B1291" s="57">
        <f t="shared" si="112"/>
        <v>1288</v>
      </c>
      <c r="C1291" s="147">
        <v>46158</v>
      </c>
      <c r="D1291" s="57" t="s">
        <v>968</v>
      </c>
      <c r="E1291" s="57" t="s">
        <v>767</v>
      </c>
      <c r="F1291" s="57" t="s">
        <v>446</v>
      </c>
      <c r="G1291" s="57" t="s">
        <v>995</v>
      </c>
      <c r="H1291" s="140" t="s">
        <v>1336</v>
      </c>
      <c r="I1291" s="57"/>
      <c r="J1291" s="57"/>
      <c r="L1291" s="164">
        <v>150</v>
      </c>
    </row>
    <row r="1292" spans="2:12" x14ac:dyDescent="0.3">
      <c r="B1292" s="57">
        <f t="shared" si="112"/>
        <v>1289</v>
      </c>
      <c r="C1292" s="147">
        <v>46158</v>
      </c>
      <c r="D1292" s="57" t="s">
        <v>968</v>
      </c>
      <c r="E1292" s="57" t="s">
        <v>146</v>
      </c>
      <c r="F1292" s="57" t="s">
        <v>300</v>
      </c>
      <c r="G1292" s="57" t="s">
        <v>2327</v>
      </c>
      <c r="H1292" s="140" t="s">
        <v>1051</v>
      </c>
      <c r="I1292" s="57"/>
      <c r="J1292" s="165">
        <f>L1292/K1292</f>
        <v>20.833333333333332</v>
      </c>
      <c r="K1292" s="57">
        <v>96</v>
      </c>
      <c r="L1292" s="164">
        <v>2000</v>
      </c>
    </row>
    <row r="1293" spans="2:12" x14ac:dyDescent="0.3">
      <c r="B1293" s="57">
        <f t="shared" si="112"/>
        <v>1290</v>
      </c>
      <c r="C1293" s="147">
        <v>46158</v>
      </c>
      <c r="D1293" s="57" t="s">
        <v>968</v>
      </c>
      <c r="E1293" s="57" t="s">
        <v>574</v>
      </c>
      <c r="F1293" s="57" t="s">
        <v>300</v>
      </c>
      <c r="G1293" s="57" t="s">
        <v>2327</v>
      </c>
      <c r="H1293" s="140" t="s">
        <v>1337</v>
      </c>
      <c r="I1293" s="140" t="s">
        <v>4118</v>
      </c>
      <c r="J1293" s="57">
        <v>4</v>
      </c>
      <c r="K1293" s="167">
        <f>L1293/J1293</f>
        <v>650</v>
      </c>
      <c r="L1293" s="164">
        <v>2600</v>
      </c>
    </row>
    <row r="1294" spans="2:12" x14ac:dyDescent="0.3">
      <c r="B1294" s="57">
        <f t="shared" si="112"/>
        <v>1291</v>
      </c>
      <c r="C1294" s="147">
        <v>46158</v>
      </c>
      <c r="D1294" s="57" t="s">
        <v>968</v>
      </c>
      <c r="E1294" s="57" t="s">
        <v>481</v>
      </c>
      <c r="F1294" s="57" t="s">
        <v>300</v>
      </c>
      <c r="G1294" s="57" t="s">
        <v>530</v>
      </c>
      <c r="H1294" s="140" t="s">
        <v>1338</v>
      </c>
      <c r="I1294" s="57"/>
      <c r="J1294" s="57"/>
      <c r="L1294" s="164">
        <v>700</v>
      </c>
    </row>
    <row r="1295" spans="2:12" x14ac:dyDescent="0.3">
      <c r="B1295" s="57">
        <f t="shared" si="112"/>
        <v>1292</v>
      </c>
      <c r="C1295" s="147">
        <v>46158</v>
      </c>
      <c r="D1295" s="57" t="s">
        <v>968</v>
      </c>
      <c r="E1295" s="57" t="s">
        <v>434</v>
      </c>
      <c r="F1295" s="57" t="s">
        <v>446</v>
      </c>
      <c r="G1295" s="57" t="s">
        <v>649</v>
      </c>
      <c r="H1295" s="140" t="s">
        <v>1339</v>
      </c>
      <c r="I1295" s="57"/>
      <c r="J1295" s="57"/>
      <c r="L1295" s="164">
        <v>2180</v>
      </c>
    </row>
    <row r="1296" spans="2:12" x14ac:dyDescent="0.3">
      <c r="B1296" s="57">
        <f t="shared" si="112"/>
        <v>1293</v>
      </c>
      <c r="C1296" s="147">
        <v>46158</v>
      </c>
      <c r="D1296" s="57" t="s">
        <v>968</v>
      </c>
      <c r="E1296" s="57" t="s">
        <v>590</v>
      </c>
      <c r="F1296" s="57" t="s">
        <v>446</v>
      </c>
      <c r="G1296" s="57" t="s">
        <v>313</v>
      </c>
      <c r="H1296" s="140" t="s">
        <v>1340</v>
      </c>
      <c r="I1296" s="57"/>
      <c r="J1296" s="57"/>
      <c r="L1296" s="164">
        <v>1730</v>
      </c>
    </row>
    <row r="1297" spans="2:12" x14ac:dyDescent="0.3">
      <c r="B1297" s="57">
        <f t="shared" si="112"/>
        <v>1294</v>
      </c>
      <c r="C1297" s="147">
        <v>46158</v>
      </c>
      <c r="D1297" s="57" t="s">
        <v>968</v>
      </c>
      <c r="E1297" s="57" t="s">
        <v>2022</v>
      </c>
      <c r="F1297" s="57" t="s">
        <v>300</v>
      </c>
      <c r="G1297" s="57" t="s">
        <v>498</v>
      </c>
      <c r="H1297" s="140" t="s">
        <v>1341</v>
      </c>
      <c r="I1297" s="57"/>
      <c r="J1297" s="57"/>
      <c r="L1297" s="164">
        <v>1959</v>
      </c>
    </row>
    <row r="1298" spans="2:12" x14ac:dyDescent="0.3">
      <c r="B1298" s="57">
        <f t="shared" si="112"/>
        <v>1295</v>
      </c>
      <c r="C1298" s="147">
        <v>46158</v>
      </c>
      <c r="D1298" s="57" t="s">
        <v>968</v>
      </c>
      <c r="E1298" s="57" t="s">
        <v>532</v>
      </c>
      <c r="F1298" s="57" t="s">
        <v>300</v>
      </c>
      <c r="G1298" s="57" t="s">
        <v>530</v>
      </c>
      <c r="H1298" s="140" t="s">
        <v>1342</v>
      </c>
      <c r="I1298" s="57" t="s">
        <v>532</v>
      </c>
      <c r="J1298" s="57">
        <v>100</v>
      </c>
      <c r="K1298" s="57">
        <v>260</v>
      </c>
      <c r="L1298" s="164">
        <v>26000</v>
      </c>
    </row>
    <row r="1299" spans="2:12" x14ac:dyDescent="0.3">
      <c r="B1299" s="57">
        <f t="shared" si="112"/>
        <v>1296</v>
      </c>
      <c r="C1299" s="147">
        <v>46159</v>
      </c>
      <c r="D1299" s="57" t="s">
        <v>968</v>
      </c>
      <c r="E1299" s="57" t="s">
        <v>146</v>
      </c>
      <c r="F1299" s="57" t="s">
        <v>300</v>
      </c>
      <c r="G1299" s="57" t="s">
        <v>530</v>
      </c>
      <c r="H1299" s="140" t="s">
        <v>4092</v>
      </c>
      <c r="I1299" s="57"/>
      <c r="J1299" s="165">
        <f>L1299/K1299</f>
        <v>119.79166666666667</v>
      </c>
      <c r="K1299" s="57">
        <v>96</v>
      </c>
      <c r="L1299" s="164">
        <v>11500</v>
      </c>
    </row>
    <row r="1300" spans="2:12" x14ac:dyDescent="0.3">
      <c r="B1300" s="57">
        <f t="shared" si="112"/>
        <v>1297</v>
      </c>
      <c r="C1300" s="147">
        <v>46159</v>
      </c>
      <c r="D1300" s="57" t="s">
        <v>968</v>
      </c>
      <c r="E1300" s="57" t="s">
        <v>957</v>
      </c>
      <c r="F1300" s="57" t="s">
        <v>300</v>
      </c>
      <c r="G1300" s="57" t="s">
        <v>530</v>
      </c>
      <c r="H1300" s="140" t="s">
        <v>1343</v>
      </c>
      <c r="I1300" s="57"/>
      <c r="J1300" s="57"/>
      <c r="L1300" s="164">
        <v>12600</v>
      </c>
    </row>
    <row r="1301" spans="2:12" x14ac:dyDescent="0.3">
      <c r="B1301" s="57">
        <f t="shared" si="112"/>
        <v>1298</v>
      </c>
      <c r="C1301" s="147">
        <v>46159</v>
      </c>
      <c r="D1301" s="57" t="s">
        <v>968</v>
      </c>
      <c r="E1301" s="57" t="s">
        <v>2022</v>
      </c>
      <c r="F1301" s="57" t="s">
        <v>300</v>
      </c>
      <c r="G1301" s="57" t="s">
        <v>443</v>
      </c>
      <c r="H1301" s="140" t="s">
        <v>1344</v>
      </c>
      <c r="I1301" s="57"/>
      <c r="J1301" s="57"/>
      <c r="L1301" s="164">
        <v>235</v>
      </c>
    </row>
    <row r="1302" spans="2:12" x14ac:dyDescent="0.3">
      <c r="B1302" s="57">
        <f t="shared" si="112"/>
        <v>1299</v>
      </c>
      <c r="C1302" s="147">
        <v>46159</v>
      </c>
      <c r="D1302" s="57" t="s">
        <v>968</v>
      </c>
      <c r="E1302" s="57" t="s">
        <v>767</v>
      </c>
      <c r="F1302" s="57" t="s">
        <v>300</v>
      </c>
      <c r="G1302" s="57" t="s">
        <v>443</v>
      </c>
      <c r="H1302" s="140" t="s">
        <v>1345</v>
      </c>
      <c r="I1302" s="57"/>
      <c r="J1302" s="57"/>
      <c r="L1302" s="164">
        <v>1650</v>
      </c>
    </row>
    <row r="1303" spans="2:12" x14ac:dyDescent="0.3">
      <c r="B1303" s="57">
        <f t="shared" si="112"/>
        <v>1300</v>
      </c>
      <c r="C1303" s="147">
        <v>46159</v>
      </c>
      <c r="D1303" s="57" t="s">
        <v>968</v>
      </c>
      <c r="E1303" s="57" t="s">
        <v>986</v>
      </c>
      <c r="F1303" s="57" t="s">
        <v>446</v>
      </c>
      <c r="G1303" s="57" t="s">
        <v>313</v>
      </c>
      <c r="H1303" s="140" t="s">
        <v>1346</v>
      </c>
      <c r="I1303" s="57" t="s">
        <v>986</v>
      </c>
      <c r="J1303" s="57">
        <v>25</v>
      </c>
      <c r="L1303" s="164">
        <v>2530</v>
      </c>
    </row>
    <row r="1304" spans="2:12" x14ac:dyDescent="0.3">
      <c r="B1304" s="57">
        <f t="shared" si="112"/>
        <v>1301</v>
      </c>
      <c r="C1304" s="147">
        <v>46159</v>
      </c>
      <c r="D1304" s="57" t="s">
        <v>968</v>
      </c>
      <c r="E1304" s="57" t="s">
        <v>532</v>
      </c>
      <c r="F1304" s="57" t="s">
        <v>300</v>
      </c>
      <c r="G1304" s="57" t="s">
        <v>2327</v>
      </c>
      <c r="H1304" s="140" t="s">
        <v>1347</v>
      </c>
      <c r="I1304" s="57" t="s">
        <v>532</v>
      </c>
      <c r="J1304" s="57">
        <v>5</v>
      </c>
      <c r="K1304" s="167">
        <f>L1304/J1304</f>
        <v>300</v>
      </c>
      <c r="L1304" s="164">
        <v>1500</v>
      </c>
    </row>
    <row r="1305" spans="2:12" x14ac:dyDescent="0.3">
      <c r="B1305" s="57">
        <f t="shared" si="112"/>
        <v>1302</v>
      </c>
      <c r="C1305" s="147">
        <v>46159</v>
      </c>
      <c r="D1305" s="57" t="s">
        <v>968</v>
      </c>
      <c r="E1305" s="57" t="s">
        <v>986</v>
      </c>
      <c r="F1305" s="57" t="s">
        <v>446</v>
      </c>
      <c r="G1305" s="57" t="s">
        <v>990</v>
      </c>
      <c r="H1305" s="140" t="s">
        <v>1348</v>
      </c>
      <c r="I1305" s="57" t="s">
        <v>986</v>
      </c>
      <c r="J1305" s="57">
        <v>50</v>
      </c>
      <c r="K1305" s="167">
        <f>L1305/J1305</f>
        <v>78</v>
      </c>
      <c r="L1305" s="164">
        <v>3900</v>
      </c>
    </row>
    <row r="1306" spans="2:12" x14ac:dyDescent="0.3">
      <c r="B1306" s="57">
        <f t="shared" si="112"/>
        <v>1303</v>
      </c>
      <c r="C1306" s="147">
        <v>46159</v>
      </c>
      <c r="D1306" s="57" t="s">
        <v>968</v>
      </c>
      <c r="E1306" s="57" t="s">
        <v>146</v>
      </c>
      <c r="F1306" s="57" t="s">
        <v>446</v>
      </c>
      <c r="G1306" s="57" t="s">
        <v>649</v>
      </c>
      <c r="H1306" s="140" t="s">
        <v>879</v>
      </c>
      <c r="I1306" s="57"/>
      <c r="J1306" s="165">
        <f>L1306/K1306</f>
        <v>20.833333333333332</v>
      </c>
      <c r="K1306" s="57">
        <v>96</v>
      </c>
      <c r="L1306" s="164">
        <v>2000</v>
      </c>
    </row>
    <row r="1307" spans="2:12" x14ac:dyDescent="0.3">
      <c r="B1307" s="57">
        <f t="shared" si="112"/>
        <v>1304</v>
      </c>
      <c r="C1307" s="147">
        <v>46159</v>
      </c>
      <c r="D1307" s="57" t="s">
        <v>968</v>
      </c>
      <c r="E1307" s="57" t="s">
        <v>767</v>
      </c>
      <c r="F1307" s="57" t="s">
        <v>446</v>
      </c>
      <c r="G1307" s="57" t="s">
        <v>313</v>
      </c>
      <c r="H1307" s="140" t="s">
        <v>1349</v>
      </c>
      <c r="I1307" s="57"/>
      <c r="J1307" s="57"/>
      <c r="L1307" s="164">
        <v>600</v>
      </c>
    </row>
    <row r="1308" spans="2:12" x14ac:dyDescent="0.3">
      <c r="B1308" s="57">
        <f t="shared" si="112"/>
        <v>1305</v>
      </c>
      <c r="C1308" s="147">
        <v>46159</v>
      </c>
      <c r="D1308" s="57" t="s">
        <v>968</v>
      </c>
      <c r="E1308" s="57" t="s">
        <v>2022</v>
      </c>
      <c r="F1308" s="57" t="s">
        <v>446</v>
      </c>
      <c r="G1308" s="57" t="s">
        <v>649</v>
      </c>
      <c r="H1308" s="140" t="s">
        <v>1350</v>
      </c>
      <c r="I1308" s="57"/>
      <c r="J1308" s="57"/>
      <c r="L1308" s="164">
        <v>3090</v>
      </c>
    </row>
    <row r="1309" spans="2:12" x14ac:dyDescent="0.3">
      <c r="B1309" s="57">
        <f t="shared" si="112"/>
        <v>1306</v>
      </c>
      <c r="C1309" s="147">
        <v>46159</v>
      </c>
      <c r="D1309" s="57" t="s">
        <v>968</v>
      </c>
      <c r="E1309" s="57" t="s">
        <v>574</v>
      </c>
      <c r="F1309" s="57" t="s">
        <v>502</v>
      </c>
      <c r="G1309" s="57" t="s">
        <v>257</v>
      </c>
      <c r="H1309" s="140" t="s">
        <v>1351</v>
      </c>
      <c r="I1309" s="140" t="s">
        <v>4081</v>
      </c>
      <c r="J1309" s="57">
        <v>4</v>
      </c>
      <c r="K1309" s="168">
        <f>L1309/J1309</f>
        <v>637.5</v>
      </c>
      <c r="L1309" s="164">
        <v>2550</v>
      </c>
    </row>
    <row r="1310" spans="2:12" x14ac:dyDescent="0.3">
      <c r="B1310" s="57">
        <f t="shared" si="112"/>
        <v>1307</v>
      </c>
      <c r="C1310" s="147">
        <v>46159</v>
      </c>
      <c r="D1310" s="57" t="s">
        <v>968</v>
      </c>
      <c r="E1310" s="57" t="s">
        <v>574</v>
      </c>
      <c r="F1310" s="57" t="s">
        <v>502</v>
      </c>
      <c r="G1310" s="57" t="s">
        <v>257</v>
      </c>
      <c r="H1310" s="140" t="s">
        <v>1351</v>
      </c>
      <c r="I1310" s="140" t="s">
        <v>4081</v>
      </c>
      <c r="J1310" s="57">
        <v>4</v>
      </c>
      <c r="K1310" s="57">
        <f>L1310/J1310</f>
        <v>700</v>
      </c>
      <c r="L1310" s="164">
        <v>2800</v>
      </c>
    </row>
    <row r="1311" spans="2:12" x14ac:dyDescent="0.3">
      <c r="B1311" s="57">
        <f t="shared" si="112"/>
        <v>1308</v>
      </c>
      <c r="C1311" s="147">
        <v>46160</v>
      </c>
      <c r="D1311" s="57" t="s">
        <v>968</v>
      </c>
      <c r="E1311" s="57" t="s">
        <v>2022</v>
      </c>
      <c r="F1311" s="57" t="s">
        <v>446</v>
      </c>
      <c r="G1311" s="57" t="s">
        <v>649</v>
      </c>
      <c r="H1311" s="140" t="s">
        <v>1352</v>
      </c>
      <c r="I1311" s="57"/>
      <c r="J1311" s="57"/>
      <c r="L1311" s="164">
        <v>200</v>
      </c>
    </row>
    <row r="1312" spans="2:12" x14ac:dyDescent="0.3">
      <c r="B1312" s="57">
        <f t="shared" si="112"/>
        <v>1309</v>
      </c>
      <c r="C1312" s="147">
        <v>46160</v>
      </c>
      <c r="D1312" s="57" t="s">
        <v>968</v>
      </c>
      <c r="E1312" s="57" t="s">
        <v>146</v>
      </c>
      <c r="F1312" s="57" t="s">
        <v>446</v>
      </c>
      <c r="G1312" s="57" t="s">
        <v>649</v>
      </c>
      <c r="H1312" s="140" t="s">
        <v>879</v>
      </c>
      <c r="I1312" s="57"/>
      <c r="J1312" s="165">
        <f>L1312/K1312</f>
        <v>2.0833333333333335</v>
      </c>
      <c r="K1312" s="57">
        <v>96</v>
      </c>
      <c r="L1312" s="164">
        <v>200</v>
      </c>
    </row>
    <row r="1313" spans="2:12" x14ac:dyDescent="0.3">
      <c r="B1313" s="57">
        <f t="shared" si="112"/>
        <v>1310</v>
      </c>
      <c r="C1313" s="147">
        <v>46160</v>
      </c>
      <c r="D1313" s="57" t="s">
        <v>968</v>
      </c>
      <c r="E1313" s="57" t="s">
        <v>767</v>
      </c>
      <c r="F1313" s="57" t="s">
        <v>300</v>
      </c>
      <c r="G1313" s="57" t="s">
        <v>994</v>
      </c>
      <c r="H1313" s="140" t="s">
        <v>1353</v>
      </c>
      <c r="I1313" s="57"/>
      <c r="J1313" s="57"/>
      <c r="L1313" s="164">
        <v>300</v>
      </c>
    </row>
    <row r="1314" spans="2:12" x14ac:dyDescent="0.3">
      <c r="B1314" s="57">
        <f t="shared" si="112"/>
        <v>1311</v>
      </c>
      <c r="C1314" s="147">
        <v>46160</v>
      </c>
      <c r="D1314" s="57" t="s">
        <v>968</v>
      </c>
      <c r="E1314" s="57" t="s">
        <v>481</v>
      </c>
      <c r="F1314" s="57" t="s">
        <v>300</v>
      </c>
      <c r="G1314" s="57" t="s">
        <v>994</v>
      </c>
      <c r="H1314" s="140" t="s">
        <v>1354</v>
      </c>
      <c r="I1314" s="57"/>
      <c r="J1314" s="57"/>
      <c r="L1314" s="164">
        <v>300</v>
      </c>
    </row>
    <row r="1315" spans="2:12" x14ac:dyDescent="0.3">
      <c r="B1315" s="57">
        <f t="shared" si="112"/>
        <v>1312</v>
      </c>
      <c r="C1315" s="147">
        <v>46160</v>
      </c>
      <c r="D1315" s="57" t="s">
        <v>968</v>
      </c>
      <c r="E1315" s="57" t="s">
        <v>560</v>
      </c>
      <c r="F1315" s="57" t="s">
        <v>300</v>
      </c>
      <c r="G1315" s="57" t="s">
        <v>994</v>
      </c>
      <c r="H1315" s="140" t="s">
        <v>1355</v>
      </c>
      <c r="I1315" s="57"/>
      <c r="J1315" s="57"/>
      <c r="L1315" s="164">
        <v>100</v>
      </c>
    </row>
    <row r="1316" spans="2:12" x14ac:dyDescent="0.3">
      <c r="B1316" s="57">
        <f t="shared" si="112"/>
        <v>1313</v>
      </c>
      <c r="C1316" s="147">
        <v>46160</v>
      </c>
      <c r="D1316" s="57" t="s">
        <v>968</v>
      </c>
      <c r="E1316" s="57" t="s">
        <v>2022</v>
      </c>
      <c r="F1316" s="57" t="s">
        <v>300</v>
      </c>
      <c r="G1316" s="57" t="s">
        <v>530</v>
      </c>
      <c r="H1316" s="140" t="s">
        <v>1356</v>
      </c>
      <c r="I1316" s="57"/>
      <c r="J1316" s="57"/>
      <c r="L1316" s="164">
        <v>3785</v>
      </c>
    </row>
    <row r="1317" spans="2:12" x14ac:dyDescent="0.3">
      <c r="B1317" s="57">
        <f t="shared" si="112"/>
        <v>1314</v>
      </c>
      <c r="C1317" s="147">
        <v>46160</v>
      </c>
      <c r="D1317" s="57" t="s">
        <v>968</v>
      </c>
      <c r="E1317" s="57" t="s">
        <v>590</v>
      </c>
      <c r="F1317" s="57" t="s">
        <v>502</v>
      </c>
      <c r="G1317" s="57" t="s">
        <v>257</v>
      </c>
      <c r="H1317" s="140" t="s">
        <v>1357</v>
      </c>
      <c r="I1317" s="57"/>
      <c r="J1317" s="57"/>
      <c r="L1317" s="164">
        <v>1200</v>
      </c>
    </row>
    <row r="1318" spans="2:12" x14ac:dyDescent="0.3">
      <c r="B1318" s="57">
        <f t="shared" si="112"/>
        <v>1315</v>
      </c>
      <c r="C1318" s="147">
        <v>46160</v>
      </c>
      <c r="D1318" s="57" t="s">
        <v>968</v>
      </c>
      <c r="E1318" s="57" t="s">
        <v>146</v>
      </c>
      <c r="F1318" s="57" t="s">
        <v>446</v>
      </c>
      <c r="G1318" s="57" t="s">
        <v>990</v>
      </c>
      <c r="H1318" s="140" t="s">
        <v>885</v>
      </c>
      <c r="I1318" s="57"/>
      <c r="J1318" s="165">
        <f t="shared" ref="J1318:J1321" si="113">L1318/K1318</f>
        <v>31.25</v>
      </c>
      <c r="K1318" s="57">
        <v>96</v>
      </c>
      <c r="L1318" s="164">
        <v>3000</v>
      </c>
    </row>
    <row r="1319" spans="2:12" x14ac:dyDescent="0.3">
      <c r="B1319" s="57">
        <f t="shared" si="112"/>
        <v>1316</v>
      </c>
      <c r="C1319" s="147">
        <v>46160</v>
      </c>
      <c r="D1319" s="57" t="s">
        <v>968</v>
      </c>
      <c r="E1319" s="57" t="s">
        <v>146</v>
      </c>
      <c r="F1319" s="57" t="s">
        <v>446</v>
      </c>
      <c r="G1319" s="57" t="s">
        <v>316</v>
      </c>
      <c r="H1319" s="140" t="s">
        <v>1358</v>
      </c>
      <c r="I1319" s="57"/>
      <c r="J1319" s="165">
        <f t="shared" si="113"/>
        <v>20.833333333333332</v>
      </c>
      <c r="K1319" s="57">
        <v>96</v>
      </c>
      <c r="L1319" s="164">
        <v>2000</v>
      </c>
    </row>
    <row r="1320" spans="2:12" x14ac:dyDescent="0.3">
      <c r="B1320" s="57">
        <f t="shared" si="112"/>
        <v>1317</v>
      </c>
      <c r="C1320" s="147">
        <v>46160</v>
      </c>
      <c r="D1320" s="57" t="s">
        <v>968</v>
      </c>
      <c r="E1320" s="57" t="s">
        <v>146</v>
      </c>
      <c r="F1320" s="57" t="s">
        <v>300</v>
      </c>
      <c r="G1320" s="57" t="s">
        <v>993</v>
      </c>
      <c r="H1320" s="140" t="s">
        <v>4109</v>
      </c>
      <c r="I1320" s="57"/>
      <c r="J1320" s="165">
        <f t="shared" si="113"/>
        <v>37.260416666666664</v>
      </c>
      <c r="K1320" s="57">
        <v>96</v>
      </c>
      <c r="L1320" s="164">
        <v>3577</v>
      </c>
    </row>
    <row r="1321" spans="2:12" x14ac:dyDescent="0.3">
      <c r="B1321" s="57">
        <f t="shared" si="112"/>
        <v>1318</v>
      </c>
      <c r="C1321" s="147">
        <v>46160</v>
      </c>
      <c r="D1321" s="57" t="s">
        <v>968</v>
      </c>
      <c r="E1321" s="57" t="s">
        <v>146</v>
      </c>
      <c r="F1321" s="57" t="s">
        <v>446</v>
      </c>
      <c r="G1321" s="57" t="s">
        <v>313</v>
      </c>
      <c r="H1321" s="140" t="s">
        <v>1359</v>
      </c>
      <c r="I1321" s="57"/>
      <c r="J1321" s="165">
        <f t="shared" si="113"/>
        <v>20.833333333333332</v>
      </c>
      <c r="K1321" s="57">
        <v>96</v>
      </c>
      <c r="L1321" s="164">
        <v>2000</v>
      </c>
    </row>
    <row r="1322" spans="2:12" x14ac:dyDescent="0.3">
      <c r="B1322" s="57">
        <f t="shared" si="112"/>
        <v>1319</v>
      </c>
      <c r="C1322" s="147">
        <v>46160</v>
      </c>
      <c r="D1322" s="57" t="s">
        <v>968</v>
      </c>
      <c r="E1322" s="57" t="s">
        <v>434</v>
      </c>
      <c r="F1322" s="57" t="s">
        <v>300</v>
      </c>
      <c r="G1322" s="57" t="s">
        <v>996</v>
      </c>
      <c r="H1322" s="140" t="s">
        <v>1360</v>
      </c>
      <c r="I1322" s="57"/>
      <c r="J1322" s="57"/>
      <c r="L1322" s="164">
        <v>1900</v>
      </c>
    </row>
    <row r="1323" spans="2:12" x14ac:dyDescent="0.3">
      <c r="B1323" s="57">
        <f t="shared" si="112"/>
        <v>1320</v>
      </c>
      <c r="C1323" s="147">
        <v>46160</v>
      </c>
      <c r="D1323" s="57" t="s">
        <v>968</v>
      </c>
      <c r="E1323" s="57" t="s">
        <v>908</v>
      </c>
      <c r="F1323" s="57" t="s">
        <v>446</v>
      </c>
      <c r="G1323" s="57" t="s">
        <v>316</v>
      </c>
      <c r="H1323" s="140" t="s">
        <v>1361</v>
      </c>
      <c r="I1323" s="57"/>
      <c r="J1323" s="57"/>
      <c r="L1323" s="164">
        <v>21500</v>
      </c>
    </row>
    <row r="1324" spans="2:12" x14ac:dyDescent="0.3">
      <c r="B1324" s="57">
        <f t="shared" si="112"/>
        <v>1321</v>
      </c>
      <c r="C1324" s="147">
        <v>46160</v>
      </c>
      <c r="D1324" s="57" t="s">
        <v>968</v>
      </c>
      <c r="E1324" s="57" t="s">
        <v>146</v>
      </c>
      <c r="F1324" s="57" t="s">
        <v>502</v>
      </c>
      <c r="G1324" s="57" t="s">
        <v>257</v>
      </c>
      <c r="H1324" s="140" t="s">
        <v>4100</v>
      </c>
      <c r="I1324" s="57"/>
      <c r="J1324" s="165">
        <f>L1324/K1324</f>
        <v>31.25</v>
      </c>
      <c r="K1324" s="57">
        <v>96</v>
      </c>
      <c r="L1324" s="164">
        <v>3000</v>
      </c>
    </row>
    <row r="1325" spans="2:12" x14ac:dyDescent="0.3">
      <c r="B1325" s="57">
        <f t="shared" si="112"/>
        <v>1322</v>
      </c>
      <c r="C1325" s="147">
        <v>46160</v>
      </c>
      <c r="D1325" s="57" t="s">
        <v>968</v>
      </c>
      <c r="E1325" s="57" t="s">
        <v>595</v>
      </c>
      <c r="F1325" s="57" t="s">
        <v>300</v>
      </c>
      <c r="G1325" s="57" t="s">
        <v>626</v>
      </c>
      <c r="H1325" s="140" t="s">
        <v>1362</v>
      </c>
      <c r="I1325" s="57"/>
      <c r="J1325" s="57"/>
      <c r="L1325" s="164">
        <v>17600</v>
      </c>
    </row>
    <row r="1326" spans="2:12" x14ac:dyDescent="0.3">
      <c r="B1326" s="57">
        <f t="shared" si="112"/>
        <v>1323</v>
      </c>
      <c r="C1326" s="147">
        <v>46160</v>
      </c>
      <c r="D1326" s="57" t="s">
        <v>968</v>
      </c>
      <c r="E1326" s="57" t="s">
        <v>146</v>
      </c>
      <c r="F1326" s="57" t="s">
        <v>652</v>
      </c>
      <c r="G1326" s="57" t="s">
        <v>651</v>
      </c>
      <c r="H1326" s="140" t="s">
        <v>1363</v>
      </c>
      <c r="I1326" s="57"/>
      <c r="J1326" s="165">
        <f t="shared" ref="J1326:J1327" si="114">L1326/K1326</f>
        <v>41.666666666666664</v>
      </c>
      <c r="K1326" s="57">
        <v>96</v>
      </c>
      <c r="L1326" s="164">
        <v>4000</v>
      </c>
    </row>
    <row r="1327" spans="2:12" x14ac:dyDescent="0.3">
      <c r="B1327" s="57">
        <f t="shared" si="112"/>
        <v>1324</v>
      </c>
      <c r="C1327" s="147">
        <v>46160</v>
      </c>
      <c r="D1327" s="57" t="s">
        <v>968</v>
      </c>
      <c r="E1327" s="57" t="s">
        <v>146</v>
      </c>
      <c r="F1327" s="57" t="s">
        <v>683</v>
      </c>
      <c r="G1327" s="57" t="s">
        <v>992</v>
      </c>
      <c r="H1327" s="140" t="s">
        <v>4113</v>
      </c>
      <c r="I1327" s="57" t="s">
        <v>146</v>
      </c>
      <c r="J1327" s="165">
        <f t="shared" si="114"/>
        <v>31.25</v>
      </c>
      <c r="K1327" s="57">
        <v>96</v>
      </c>
      <c r="L1327" s="164">
        <v>3000</v>
      </c>
    </row>
    <row r="1328" spans="2:12" x14ac:dyDescent="0.3">
      <c r="B1328" s="57">
        <f t="shared" si="112"/>
        <v>1325</v>
      </c>
      <c r="C1328" s="147">
        <v>46160</v>
      </c>
      <c r="D1328" s="57" t="s">
        <v>968</v>
      </c>
      <c r="E1328" s="57" t="s">
        <v>4008</v>
      </c>
      <c r="F1328" s="57" t="s">
        <v>446</v>
      </c>
      <c r="G1328" s="57" t="s">
        <v>352</v>
      </c>
      <c r="H1328" s="140" t="s">
        <v>1364</v>
      </c>
      <c r="I1328" s="57"/>
      <c r="J1328" s="57"/>
      <c r="L1328" s="164">
        <v>5000</v>
      </c>
    </row>
    <row r="1329" spans="2:12" x14ac:dyDescent="0.3">
      <c r="B1329" s="57">
        <f t="shared" si="112"/>
        <v>1326</v>
      </c>
      <c r="C1329" s="147">
        <v>46160</v>
      </c>
      <c r="D1329" s="57" t="s">
        <v>968</v>
      </c>
      <c r="E1329" s="57" t="s">
        <v>524</v>
      </c>
      <c r="F1329" s="57" t="s">
        <v>350</v>
      </c>
      <c r="G1329" s="57" t="s">
        <v>350</v>
      </c>
      <c r="H1329" s="140" t="s">
        <v>1365</v>
      </c>
      <c r="I1329" s="57"/>
      <c r="J1329" s="57"/>
      <c r="L1329" s="164">
        <v>500</v>
      </c>
    </row>
    <row r="1330" spans="2:12" x14ac:dyDescent="0.3">
      <c r="B1330" s="57">
        <f t="shared" si="112"/>
        <v>1327</v>
      </c>
      <c r="C1330" s="147">
        <v>46160</v>
      </c>
      <c r="D1330" s="57" t="s">
        <v>968</v>
      </c>
      <c r="E1330" s="57" t="s">
        <v>146</v>
      </c>
      <c r="F1330" s="57" t="s">
        <v>436</v>
      </c>
      <c r="G1330" s="57" t="s">
        <v>987</v>
      </c>
      <c r="H1330" s="140" t="s">
        <v>1366</v>
      </c>
      <c r="I1330" s="57"/>
      <c r="J1330" s="165">
        <f t="shared" ref="J1330:J1331" si="115">L1330/K1330</f>
        <v>31.25</v>
      </c>
      <c r="K1330" s="57">
        <v>96</v>
      </c>
      <c r="L1330" s="164">
        <v>3000</v>
      </c>
    </row>
    <row r="1331" spans="2:12" x14ac:dyDescent="0.3">
      <c r="B1331" s="57">
        <f t="shared" si="112"/>
        <v>1328</v>
      </c>
      <c r="C1331" s="143">
        <v>46161</v>
      </c>
      <c r="D1331" s="57" t="s">
        <v>435</v>
      </c>
      <c r="E1331" s="57" t="s">
        <v>146</v>
      </c>
      <c r="F1331" s="57" t="s">
        <v>502</v>
      </c>
      <c r="G1331" s="57" t="s">
        <v>257</v>
      </c>
      <c r="H1331" s="140" t="s">
        <v>644</v>
      </c>
      <c r="I1331" s="57"/>
      <c r="J1331" s="165">
        <f t="shared" si="115"/>
        <v>122.91666666666667</v>
      </c>
      <c r="K1331" s="57">
        <v>96</v>
      </c>
      <c r="L1331" s="164">
        <v>11800</v>
      </c>
    </row>
    <row r="1332" spans="2:12" x14ac:dyDescent="0.3">
      <c r="B1332" s="57">
        <f t="shared" si="112"/>
        <v>1329</v>
      </c>
      <c r="C1332" s="143">
        <v>46161</v>
      </c>
      <c r="D1332" s="57" t="s">
        <v>435</v>
      </c>
      <c r="E1332" s="57" t="s">
        <v>767</v>
      </c>
      <c r="F1332" s="57" t="s">
        <v>446</v>
      </c>
      <c r="G1332" s="57" t="s">
        <v>316</v>
      </c>
      <c r="H1332" s="140" t="s">
        <v>643</v>
      </c>
      <c r="I1332" s="57"/>
      <c r="J1332" s="57"/>
      <c r="L1332" s="164">
        <v>2000</v>
      </c>
    </row>
    <row r="1333" spans="2:12" x14ac:dyDescent="0.3">
      <c r="B1333" s="57">
        <f t="shared" si="112"/>
        <v>1330</v>
      </c>
      <c r="C1333" s="143">
        <v>46161</v>
      </c>
      <c r="D1333" s="57" t="s">
        <v>435</v>
      </c>
      <c r="E1333" s="57" t="s">
        <v>958</v>
      </c>
      <c r="F1333" s="57" t="s">
        <v>446</v>
      </c>
      <c r="G1333" s="57" t="s">
        <v>316</v>
      </c>
      <c r="H1333" s="140" t="s">
        <v>642</v>
      </c>
      <c r="I1333" s="57"/>
      <c r="J1333" s="57"/>
      <c r="L1333" s="164">
        <v>4000</v>
      </c>
    </row>
    <row r="1334" spans="2:12" x14ac:dyDescent="0.3">
      <c r="B1334" s="57">
        <f t="shared" si="112"/>
        <v>1331</v>
      </c>
      <c r="C1334" s="147">
        <v>46161</v>
      </c>
      <c r="D1334" s="57" t="s">
        <v>968</v>
      </c>
      <c r="E1334" s="57" t="s">
        <v>146</v>
      </c>
      <c r="F1334" s="57" t="s">
        <v>502</v>
      </c>
      <c r="G1334" s="57" t="s">
        <v>257</v>
      </c>
      <c r="H1334" s="140" t="s">
        <v>1367</v>
      </c>
      <c r="I1334" s="57"/>
      <c r="J1334" s="165">
        <f t="shared" ref="J1334:J1335" si="116">L1334/K1334</f>
        <v>20.833333333333332</v>
      </c>
      <c r="K1334" s="57">
        <v>96</v>
      </c>
      <c r="L1334" s="164">
        <v>2000</v>
      </c>
    </row>
    <row r="1335" spans="2:12" x14ac:dyDescent="0.3">
      <c r="B1335" s="57">
        <f t="shared" si="112"/>
        <v>1332</v>
      </c>
      <c r="C1335" s="147">
        <v>46161</v>
      </c>
      <c r="D1335" s="57" t="s">
        <v>968</v>
      </c>
      <c r="E1335" s="57" t="s">
        <v>146</v>
      </c>
      <c r="F1335" s="57" t="s">
        <v>446</v>
      </c>
      <c r="G1335" s="57" t="s">
        <v>354</v>
      </c>
      <c r="H1335" s="140" t="s">
        <v>4089</v>
      </c>
      <c r="I1335" s="57"/>
      <c r="J1335" s="165">
        <f t="shared" si="116"/>
        <v>20.833333333333332</v>
      </c>
      <c r="K1335" s="57">
        <v>96</v>
      </c>
      <c r="L1335" s="164">
        <v>2000</v>
      </c>
    </row>
    <row r="1336" spans="2:12" x14ac:dyDescent="0.3">
      <c r="B1336" s="57">
        <f t="shared" si="112"/>
        <v>1333</v>
      </c>
      <c r="C1336" s="147">
        <v>46161</v>
      </c>
      <c r="D1336" s="57" t="s">
        <v>968</v>
      </c>
      <c r="E1336" s="57" t="s">
        <v>434</v>
      </c>
      <c r="F1336" s="57" t="s">
        <v>446</v>
      </c>
      <c r="G1336" s="57" t="s">
        <v>354</v>
      </c>
      <c r="H1336" s="140" t="s">
        <v>1368</v>
      </c>
      <c r="I1336" s="57"/>
      <c r="J1336" s="57"/>
      <c r="L1336" s="164">
        <v>2500</v>
      </c>
    </row>
    <row r="1337" spans="2:12" x14ac:dyDescent="0.3">
      <c r="B1337" s="57">
        <f t="shared" si="112"/>
        <v>1334</v>
      </c>
      <c r="C1337" s="147">
        <v>46161</v>
      </c>
      <c r="D1337" s="57" t="s">
        <v>968</v>
      </c>
      <c r="E1337" s="57" t="s">
        <v>4128</v>
      </c>
      <c r="F1337" s="57" t="s">
        <v>446</v>
      </c>
      <c r="G1337" s="57" t="s">
        <v>352</v>
      </c>
      <c r="H1337" s="140" t="s">
        <v>1369</v>
      </c>
      <c r="I1337" s="57"/>
      <c r="J1337" s="57"/>
      <c r="L1337" s="164">
        <v>1200</v>
      </c>
    </row>
    <row r="1338" spans="2:12" x14ac:dyDescent="0.3">
      <c r="B1338" s="57">
        <f t="shared" si="112"/>
        <v>1335</v>
      </c>
      <c r="C1338" s="147">
        <v>46161</v>
      </c>
      <c r="D1338" s="57" t="s">
        <v>968</v>
      </c>
      <c r="E1338" s="57" t="s">
        <v>460</v>
      </c>
      <c r="F1338" s="57" t="s">
        <v>446</v>
      </c>
      <c r="G1338" s="57" t="s">
        <v>313</v>
      </c>
      <c r="H1338" s="140" t="s">
        <v>1370</v>
      </c>
      <c r="I1338" s="57"/>
      <c r="J1338" s="57"/>
      <c r="L1338" s="164">
        <v>640</v>
      </c>
    </row>
    <row r="1339" spans="2:12" x14ac:dyDescent="0.3">
      <c r="B1339" s="57">
        <f t="shared" si="112"/>
        <v>1336</v>
      </c>
      <c r="C1339" s="147">
        <v>46161</v>
      </c>
      <c r="D1339" s="57" t="s">
        <v>968</v>
      </c>
      <c r="E1339" s="57" t="s">
        <v>146</v>
      </c>
      <c r="F1339" s="57" t="s">
        <v>683</v>
      </c>
      <c r="G1339" s="57" t="s">
        <v>992</v>
      </c>
      <c r="H1339" s="140" t="s">
        <v>1371</v>
      </c>
      <c r="I1339" s="57"/>
      <c r="J1339" s="165">
        <f t="shared" ref="J1339:J1340" si="117">L1339/K1339</f>
        <v>15.625</v>
      </c>
      <c r="K1339" s="57">
        <v>96</v>
      </c>
      <c r="L1339" s="164">
        <v>1500</v>
      </c>
    </row>
    <row r="1340" spans="2:12" x14ac:dyDescent="0.3">
      <c r="B1340" s="57">
        <f t="shared" si="112"/>
        <v>1337</v>
      </c>
      <c r="C1340" s="147">
        <v>46161</v>
      </c>
      <c r="D1340" s="57" t="s">
        <v>968</v>
      </c>
      <c r="E1340" s="57" t="s">
        <v>146</v>
      </c>
      <c r="F1340" s="57" t="s">
        <v>300</v>
      </c>
      <c r="G1340" s="57" t="s">
        <v>498</v>
      </c>
      <c r="H1340" s="140" t="s">
        <v>4088</v>
      </c>
      <c r="I1340" s="57"/>
      <c r="J1340" s="165">
        <f t="shared" si="117"/>
        <v>54.6875</v>
      </c>
      <c r="K1340" s="57">
        <v>96</v>
      </c>
      <c r="L1340" s="164">
        <v>5250</v>
      </c>
    </row>
    <row r="1341" spans="2:12" x14ac:dyDescent="0.3">
      <c r="B1341" s="57">
        <f t="shared" si="112"/>
        <v>1338</v>
      </c>
      <c r="C1341" s="147">
        <v>46161</v>
      </c>
      <c r="D1341" s="57" t="s">
        <v>968</v>
      </c>
      <c r="E1341" s="57" t="s">
        <v>560</v>
      </c>
      <c r="F1341" s="57" t="s">
        <v>300</v>
      </c>
      <c r="G1341" s="57" t="s">
        <v>993</v>
      </c>
      <c r="H1341" s="140" t="s">
        <v>1372</v>
      </c>
      <c r="I1341" s="57"/>
      <c r="J1341" s="57"/>
      <c r="L1341" s="164">
        <v>440</v>
      </c>
    </row>
    <row r="1342" spans="2:12" x14ac:dyDescent="0.3">
      <c r="B1342" s="57">
        <f t="shared" si="112"/>
        <v>1339</v>
      </c>
      <c r="C1342" s="147">
        <v>46161</v>
      </c>
      <c r="D1342" s="57" t="s">
        <v>968</v>
      </c>
      <c r="E1342" s="57" t="s">
        <v>4128</v>
      </c>
      <c r="F1342" s="57" t="s">
        <v>300</v>
      </c>
      <c r="G1342" s="57" t="s">
        <v>530</v>
      </c>
      <c r="H1342" s="140" t="s">
        <v>1373</v>
      </c>
      <c r="I1342" s="57"/>
      <c r="J1342" s="57"/>
      <c r="L1342" s="164">
        <v>4000</v>
      </c>
    </row>
    <row r="1343" spans="2:12" x14ac:dyDescent="0.3">
      <c r="B1343" s="57">
        <f t="shared" si="112"/>
        <v>1340</v>
      </c>
      <c r="C1343" s="147">
        <v>46161</v>
      </c>
      <c r="D1343" s="57" t="s">
        <v>968</v>
      </c>
      <c r="E1343" s="57" t="s">
        <v>574</v>
      </c>
      <c r="F1343" s="57" t="s">
        <v>300</v>
      </c>
      <c r="G1343" s="57" t="s">
        <v>2330</v>
      </c>
      <c r="H1343" s="140" t="s">
        <v>1374</v>
      </c>
      <c r="I1343" s="140" t="s">
        <v>2635</v>
      </c>
      <c r="J1343" s="57">
        <v>4</v>
      </c>
      <c r="K1343" s="167">
        <f>L1343/J1343</f>
        <v>775</v>
      </c>
      <c r="L1343" s="164">
        <v>3100</v>
      </c>
    </row>
    <row r="1344" spans="2:12" x14ac:dyDescent="0.3">
      <c r="B1344" s="57">
        <f t="shared" si="112"/>
        <v>1341</v>
      </c>
      <c r="C1344" s="147">
        <v>46161</v>
      </c>
      <c r="D1344" s="57" t="s">
        <v>968</v>
      </c>
      <c r="E1344" s="57" t="s">
        <v>434</v>
      </c>
      <c r="F1344" s="57" t="s">
        <v>436</v>
      </c>
      <c r="G1344" s="57" t="s">
        <v>270</v>
      </c>
      <c r="H1344" s="140" t="s">
        <v>1375</v>
      </c>
      <c r="I1344" s="57"/>
      <c r="J1344" s="57"/>
      <c r="L1344" s="164">
        <v>270</v>
      </c>
    </row>
    <row r="1345" spans="2:12" x14ac:dyDescent="0.3">
      <c r="B1345" s="57">
        <f t="shared" si="112"/>
        <v>1342</v>
      </c>
      <c r="C1345" s="147">
        <v>46161</v>
      </c>
      <c r="D1345" s="57" t="s">
        <v>968</v>
      </c>
      <c r="E1345" s="57" t="s">
        <v>532</v>
      </c>
      <c r="F1345" s="57" t="s">
        <v>446</v>
      </c>
      <c r="G1345" s="57" t="s">
        <v>354</v>
      </c>
      <c r="H1345" s="140" t="s">
        <v>1376</v>
      </c>
      <c r="I1345" s="57" t="s">
        <v>532</v>
      </c>
      <c r="J1345" s="57">
        <v>30</v>
      </c>
      <c r="K1345" s="168">
        <f>L1345/J1345</f>
        <v>311.66666666666669</v>
      </c>
      <c r="L1345" s="164">
        <v>9350</v>
      </c>
    </row>
    <row r="1346" spans="2:12" x14ac:dyDescent="0.3">
      <c r="B1346" s="57">
        <f t="shared" si="112"/>
        <v>1343</v>
      </c>
      <c r="C1346" s="147">
        <v>46161</v>
      </c>
      <c r="D1346" s="57" t="s">
        <v>968</v>
      </c>
      <c r="E1346" s="57" t="s">
        <v>434</v>
      </c>
      <c r="F1346" s="57" t="s">
        <v>446</v>
      </c>
      <c r="G1346" s="57" t="s">
        <v>354</v>
      </c>
      <c r="H1346" s="140" t="s">
        <v>1368</v>
      </c>
      <c r="I1346" s="57"/>
      <c r="J1346" s="57"/>
      <c r="L1346" s="164">
        <v>1200</v>
      </c>
    </row>
    <row r="1347" spans="2:12" x14ac:dyDescent="0.3">
      <c r="B1347" s="57">
        <f t="shared" si="112"/>
        <v>1344</v>
      </c>
      <c r="C1347" s="147">
        <v>46161</v>
      </c>
      <c r="D1347" s="57" t="s">
        <v>968</v>
      </c>
      <c r="E1347" s="57" t="s">
        <v>986</v>
      </c>
      <c r="F1347" s="57" t="s">
        <v>300</v>
      </c>
      <c r="G1347" s="57" t="s">
        <v>530</v>
      </c>
      <c r="H1347" s="140" t="s">
        <v>1377</v>
      </c>
      <c r="I1347" s="57" t="s">
        <v>986</v>
      </c>
      <c r="J1347" s="57">
        <v>100</v>
      </c>
      <c r="K1347" s="167">
        <f>L1347/J1347</f>
        <v>88</v>
      </c>
      <c r="L1347" s="164">
        <v>8800</v>
      </c>
    </row>
    <row r="1348" spans="2:12" x14ac:dyDescent="0.3">
      <c r="B1348" s="57">
        <f t="shared" si="112"/>
        <v>1345</v>
      </c>
      <c r="C1348" s="147">
        <v>46161</v>
      </c>
      <c r="D1348" s="57" t="s">
        <v>968</v>
      </c>
      <c r="E1348" s="57" t="s">
        <v>590</v>
      </c>
      <c r="F1348" s="57" t="s">
        <v>436</v>
      </c>
      <c r="G1348" s="57" t="s">
        <v>987</v>
      </c>
      <c r="H1348" s="140" t="s">
        <v>1378</v>
      </c>
      <c r="I1348" s="57"/>
      <c r="J1348" s="57"/>
      <c r="L1348" s="164">
        <v>400</v>
      </c>
    </row>
    <row r="1349" spans="2:12" x14ac:dyDescent="0.3">
      <c r="B1349" s="57">
        <f t="shared" si="112"/>
        <v>1346</v>
      </c>
      <c r="C1349" s="147">
        <v>46161</v>
      </c>
      <c r="D1349" s="57" t="s">
        <v>968</v>
      </c>
      <c r="E1349" s="57" t="s">
        <v>460</v>
      </c>
      <c r="F1349" s="57" t="s">
        <v>436</v>
      </c>
      <c r="G1349" s="57" t="s">
        <v>987</v>
      </c>
      <c r="H1349" s="140" t="s">
        <v>1379</v>
      </c>
      <c r="I1349" s="57"/>
      <c r="J1349" s="57"/>
      <c r="L1349" s="164">
        <v>500</v>
      </c>
    </row>
    <row r="1350" spans="2:12" x14ac:dyDescent="0.3">
      <c r="B1350" s="57">
        <f t="shared" ref="B1350:B1413" si="118">+B1349+1</f>
        <v>1347</v>
      </c>
      <c r="C1350" s="147">
        <v>46161</v>
      </c>
      <c r="D1350" s="57" t="s">
        <v>968</v>
      </c>
      <c r="E1350" s="57" t="s">
        <v>146</v>
      </c>
      <c r="F1350" s="57" t="s">
        <v>300</v>
      </c>
      <c r="G1350" s="57" t="s">
        <v>530</v>
      </c>
      <c r="H1350" s="140" t="s">
        <v>4105</v>
      </c>
      <c r="I1350" s="57"/>
      <c r="J1350" s="165">
        <f>L1350/K1350</f>
        <v>36.979166666666664</v>
      </c>
      <c r="K1350" s="57">
        <v>96</v>
      </c>
      <c r="L1350" s="164">
        <v>3550</v>
      </c>
    </row>
    <row r="1351" spans="2:12" x14ac:dyDescent="0.3">
      <c r="B1351" s="57">
        <f t="shared" si="118"/>
        <v>1348</v>
      </c>
      <c r="C1351" s="147">
        <v>46161</v>
      </c>
      <c r="D1351" s="57" t="s">
        <v>968</v>
      </c>
      <c r="E1351" s="57" t="s">
        <v>522</v>
      </c>
      <c r="F1351" s="57" t="s">
        <v>300</v>
      </c>
      <c r="G1351" s="57" t="s">
        <v>530</v>
      </c>
      <c r="H1351" s="140" t="s">
        <v>1380</v>
      </c>
      <c r="I1351" s="57"/>
      <c r="J1351" s="57"/>
      <c r="L1351" s="164">
        <v>2000</v>
      </c>
    </row>
    <row r="1352" spans="2:12" x14ac:dyDescent="0.3">
      <c r="B1352" s="57">
        <f t="shared" si="118"/>
        <v>1349</v>
      </c>
      <c r="C1352" s="147">
        <v>46161</v>
      </c>
      <c r="D1352" s="57" t="s">
        <v>968</v>
      </c>
      <c r="E1352" s="57" t="s">
        <v>481</v>
      </c>
      <c r="F1352" s="57" t="s">
        <v>300</v>
      </c>
      <c r="G1352" s="57" t="s">
        <v>993</v>
      </c>
      <c r="H1352" s="140" t="s">
        <v>1381</v>
      </c>
      <c r="I1352" s="57"/>
      <c r="J1352" s="57"/>
      <c r="L1352" s="164">
        <v>200</v>
      </c>
    </row>
    <row r="1353" spans="2:12" x14ac:dyDescent="0.3">
      <c r="B1353" s="57">
        <f t="shared" si="118"/>
        <v>1350</v>
      </c>
      <c r="C1353" s="143">
        <v>46162</v>
      </c>
      <c r="D1353" s="57" t="s">
        <v>435</v>
      </c>
      <c r="E1353" s="57" t="s">
        <v>434</v>
      </c>
      <c r="F1353" s="57" t="s">
        <v>446</v>
      </c>
      <c r="G1353" s="57" t="s">
        <v>649</v>
      </c>
      <c r="H1353" s="140" t="s">
        <v>648</v>
      </c>
      <c r="I1353" s="57"/>
      <c r="J1353" s="57"/>
      <c r="L1353" s="164">
        <v>2320</v>
      </c>
    </row>
    <row r="1354" spans="2:12" x14ac:dyDescent="0.3">
      <c r="B1354" s="57">
        <f t="shared" si="118"/>
        <v>1351</v>
      </c>
      <c r="C1354" s="143">
        <v>46162</v>
      </c>
      <c r="D1354" s="57" t="s">
        <v>435</v>
      </c>
      <c r="E1354" s="57" t="s">
        <v>146</v>
      </c>
      <c r="F1354" s="57" t="s">
        <v>300</v>
      </c>
      <c r="G1354" s="57" t="s">
        <v>438</v>
      </c>
      <c r="H1354" s="140" t="s">
        <v>4112</v>
      </c>
      <c r="I1354" s="57" t="s">
        <v>146</v>
      </c>
      <c r="J1354" s="165">
        <f>L1354/K1354</f>
        <v>49.793125000000003</v>
      </c>
      <c r="K1354" s="57">
        <v>96</v>
      </c>
      <c r="L1354" s="164">
        <v>4780.1400000000003</v>
      </c>
    </row>
    <row r="1355" spans="2:12" x14ac:dyDescent="0.3">
      <c r="B1355" s="57">
        <f t="shared" si="118"/>
        <v>1352</v>
      </c>
      <c r="C1355" s="143">
        <v>46162</v>
      </c>
      <c r="D1355" s="57" t="s">
        <v>435</v>
      </c>
      <c r="E1355" s="57" t="s">
        <v>574</v>
      </c>
      <c r="F1355" s="57" t="s">
        <v>446</v>
      </c>
      <c r="G1355" s="57" t="s">
        <v>316</v>
      </c>
      <c r="H1355" s="140" t="s">
        <v>646</v>
      </c>
      <c r="I1355" s="140" t="s">
        <v>2635</v>
      </c>
      <c r="J1355" s="57">
        <v>4</v>
      </c>
      <c r="K1355" s="167">
        <f>L1355/J1355</f>
        <v>625</v>
      </c>
      <c r="L1355" s="164">
        <v>2500</v>
      </c>
    </row>
    <row r="1356" spans="2:12" x14ac:dyDescent="0.3">
      <c r="B1356" s="57">
        <f t="shared" si="118"/>
        <v>1353</v>
      </c>
      <c r="C1356" s="147">
        <v>46162</v>
      </c>
      <c r="D1356" s="57" t="s">
        <v>968</v>
      </c>
      <c r="E1356" s="57" t="s">
        <v>146</v>
      </c>
      <c r="F1356" s="57" t="s">
        <v>446</v>
      </c>
      <c r="G1356" s="57" t="s">
        <v>313</v>
      </c>
      <c r="H1356" s="140" t="s">
        <v>1382</v>
      </c>
      <c r="I1356" s="57"/>
      <c r="J1356" s="165">
        <f t="shared" ref="J1356:J1359" si="119">L1356/K1356</f>
        <v>20.833333333333332</v>
      </c>
      <c r="K1356" s="57">
        <v>96</v>
      </c>
      <c r="L1356" s="164">
        <v>2000</v>
      </c>
    </row>
    <row r="1357" spans="2:12" x14ac:dyDescent="0.3">
      <c r="B1357" s="57">
        <f t="shared" si="118"/>
        <v>1354</v>
      </c>
      <c r="C1357" s="147">
        <v>46162</v>
      </c>
      <c r="D1357" s="57" t="s">
        <v>968</v>
      </c>
      <c r="E1357" s="57" t="s">
        <v>146</v>
      </c>
      <c r="F1357" s="57" t="s">
        <v>300</v>
      </c>
      <c r="G1357" s="57" t="s">
        <v>498</v>
      </c>
      <c r="H1357" s="140" t="s">
        <v>1383</v>
      </c>
      <c r="I1357" s="57"/>
      <c r="J1357" s="165">
        <f t="shared" si="119"/>
        <v>44.645833333333336</v>
      </c>
      <c r="K1357" s="57">
        <v>96</v>
      </c>
      <c r="L1357" s="164">
        <v>4286</v>
      </c>
    </row>
    <row r="1358" spans="2:12" x14ac:dyDescent="0.3">
      <c r="B1358" s="57">
        <f t="shared" si="118"/>
        <v>1355</v>
      </c>
      <c r="C1358" s="147">
        <v>46162</v>
      </c>
      <c r="D1358" s="57" t="s">
        <v>968</v>
      </c>
      <c r="E1358" s="57" t="s">
        <v>146</v>
      </c>
      <c r="F1358" s="57" t="s">
        <v>300</v>
      </c>
      <c r="G1358" s="57" t="s">
        <v>2327</v>
      </c>
      <c r="H1358" s="140" t="s">
        <v>1051</v>
      </c>
      <c r="I1358" s="57"/>
      <c r="J1358" s="165">
        <f t="shared" si="119"/>
        <v>48.479166666666664</v>
      </c>
      <c r="K1358" s="57">
        <v>96</v>
      </c>
      <c r="L1358" s="164">
        <v>4654</v>
      </c>
    </row>
    <row r="1359" spans="2:12" x14ac:dyDescent="0.3">
      <c r="B1359" s="57">
        <f t="shared" si="118"/>
        <v>1356</v>
      </c>
      <c r="C1359" s="147">
        <v>46162</v>
      </c>
      <c r="D1359" s="57" t="s">
        <v>968</v>
      </c>
      <c r="E1359" s="57" t="s">
        <v>146</v>
      </c>
      <c r="F1359" s="57" t="s">
        <v>446</v>
      </c>
      <c r="G1359" s="57" t="s">
        <v>352</v>
      </c>
      <c r="H1359" s="140" t="s">
        <v>4092</v>
      </c>
      <c r="I1359" s="57"/>
      <c r="J1359" s="165">
        <f t="shared" si="119"/>
        <v>161.45833333333334</v>
      </c>
      <c r="K1359" s="57">
        <v>96</v>
      </c>
      <c r="L1359" s="164">
        <v>15500</v>
      </c>
    </row>
    <row r="1360" spans="2:12" x14ac:dyDescent="0.3">
      <c r="B1360" s="57">
        <f t="shared" si="118"/>
        <v>1357</v>
      </c>
      <c r="C1360" s="147">
        <v>46162</v>
      </c>
      <c r="D1360" s="57" t="s">
        <v>968</v>
      </c>
      <c r="E1360" s="57" t="s">
        <v>4128</v>
      </c>
      <c r="F1360" s="57" t="s">
        <v>446</v>
      </c>
      <c r="G1360" s="57" t="s">
        <v>352</v>
      </c>
      <c r="H1360" s="140" t="s">
        <v>1384</v>
      </c>
      <c r="I1360" s="57"/>
      <c r="J1360" s="57"/>
      <c r="L1360" s="164">
        <v>1440</v>
      </c>
    </row>
    <row r="1361" spans="2:12" x14ac:dyDescent="0.3">
      <c r="B1361" s="57">
        <f t="shared" si="118"/>
        <v>1358</v>
      </c>
      <c r="C1361" s="147">
        <v>46162</v>
      </c>
      <c r="D1361" s="57" t="s">
        <v>968</v>
      </c>
      <c r="E1361" s="57" t="s">
        <v>958</v>
      </c>
      <c r="F1361" s="57" t="s">
        <v>350</v>
      </c>
      <c r="G1361" s="57" t="s">
        <v>663</v>
      </c>
      <c r="H1361" s="140" t="s">
        <v>1385</v>
      </c>
      <c r="I1361" s="57"/>
      <c r="J1361" s="57"/>
      <c r="L1361" s="164">
        <v>6000</v>
      </c>
    </row>
    <row r="1362" spans="2:12" x14ac:dyDescent="0.3">
      <c r="B1362" s="57">
        <f t="shared" si="118"/>
        <v>1359</v>
      </c>
      <c r="C1362" s="147">
        <v>46162</v>
      </c>
      <c r="D1362" s="57" t="s">
        <v>968</v>
      </c>
      <c r="E1362" s="57" t="s">
        <v>958</v>
      </c>
      <c r="F1362" s="57" t="s">
        <v>300</v>
      </c>
      <c r="G1362" s="57" t="s">
        <v>2330</v>
      </c>
      <c r="H1362" s="140" t="s">
        <v>1386</v>
      </c>
      <c r="I1362" s="57"/>
      <c r="J1362" s="57"/>
      <c r="L1362" s="164">
        <v>2000</v>
      </c>
    </row>
    <row r="1363" spans="2:12" x14ac:dyDescent="0.3">
      <c r="B1363" s="57">
        <f t="shared" si="118"/>
        <v>1360</v>
      </c>
      <c r="C1363" s="147">
        <v>46162</v>
      </c>
      <c r="D1363" s="57" t="s">
        <v>968</v>
      </c>
      <c r="E1363" s="57" t="s">
        <v>146</v>
      </c>
      <c r="F1363" s="57" t="s">
        <v>446</v>
      </c>
      <c r="G1363" s="57" t="s">
        <v>316</v>
      </c>
      <c r="H1363" s="140" t="s">
        <v>1387</v>
      </c>
      <c r="I1363" s="57"/>
      <c r="J1363" s="165">
        <f t="shared" ref="J1363:J1364" si="120">L1363/K1363</f>
        <v>20.833333333333332</v>
      </c>
      <c r="K1363" s="57">
        <v>96</v>
      </c>
      <c r="L1363" s="164">
        <v>2000</v>
      </c>
    </row>
    <row r="1364" spans="2:12" x14ac:dyDescent="0.3">
      <c r="B1364" s="57">
        <f t="shared" si="118"/>
        <v>1361</v>
      </c>
      <c r="C1364" s="147">
        <v>46162</v>
      </c>
      <c r="D1364" s="57" t="s">
        <v>968</v>
      </c>
      <c r="E1364" s="57" t="s">
        <v>146</v>
      </c>
      <c r="F1364" s="57" t="s">
        <v>502</v>
      </c>
      <c r="G1364" s="57" t="s">
        <v>257</v>
      </c>
      <c r="H1364" s="140" t="s">
        <v>1388</v>
      </c>
      <c r="I1364" s="57"/>
      <c r="J1364" s="165">
        <f t="shared" si="120"/>
        <v>31.25</v>
      </c>
      <c r="K1364" s="57">
        <v>96</v>
      </c>
      <c r="L1364" s="164">
        <v>3000</v>
      </c>
    </row>
    <row r="1365" spans="2:12" x14ac:dyDescent="0.3">
      <c r="B1365" s="57">
        <f t="shared" si="118"/>
        <v>1362</v>
      </c>
      <c r="C1365" s="147">
        <v>46162</v>
      </c>
      <c r="D1365" s="57" t="s">
        <v>968</v>
      </c>
      <c r="E1365" s="57" t="s">
        <v>560</v>
      </c>
      <c r="F1365" s="57" t="s">
        <v>300</v>
      </c>
      <c r="G1365" s="57" t="s">
        <v>530</v>
      </c>
      <c r="H1365" s="140" t="s">
        <v>1389</v>
      </c>
      <c r="I1365" s="57"/>
      <c r="J1365" s="57"/>
      <c r="L1365" s="164">
        <v>900</v>
      </c>
    </row>
    <row r="1366" spans="2:12" x14ac:dyDescent="0.3">
      <c r="B1366" s="57">
        <f t="shared" si="118"/>
        <v>1363</v>
      </c>
      <c r="C1366" s="147">
        <v>46162</v>
      </c>
      <c r="D1366" s="57" t="s">
        <v>968</v>
      </c>
      <c r="E1366" s="57" t="s">
        <v>146</v>
      </c>
      <c r="F1366" s="57" t="s">
        <v>300</v>
      </c>
      <c r="G1366" s="57" t="s">
        <v>996</v>
      </c>
      <c r="H1366" s="140" t="s">
        <v>1390</v>
      </c>
      <c r="I1366" s="57"/>
      <c r="J1366" s="165">
        <f>L1366/K1366</f>
        <v>43.697916666666664</v>
      </c>
      <c r="K1366" s="57">
        <v>96</v>
      </c>
      <c r="L1366" s="164">
        <v>4195</v>
      </c>
    </row>
    <row r="1367" spans="2:12" x14ac:dyDescent="0.3">
      <c r="B1367" s="57">
        <f t="shared" si="118"/>
        <v>1364</v>
      </c>
      <c r="C1367" s="147">
        <v>46162</v>
      </c>
      <c r="D1367" s="57" t="s">
        <v>968</v>
      </c>
      <c r="E1367" s="57" t="s">
        <v>767</v>
      </c>
      <c r="F1367" s="57" t="s">
        <v>446</v>
      </c>
      <c r="G1367" s="57" t="s">
        <v>649</v>
      </c>
      <c r="H1367" s="140" t="s">
        <v>1391</v>
      </c>
      <c r="I1367" s="57"/>
      <c r="J1367" s="57"/>
      <c r="L1367" s="164">
        <v>300</v>
      </c>
    </row>
    <row r="1368" spans="2:12" x14ac:dyDescent="0.3">
      <c r="B1368" s="57">
        <f t="shared" si="118"/>
        <v>1365</v>
      </c>
      <c r="C1368" s="147">
        <v>46162</v>
      </c>
      <c r="D1368" s="57" t="s">
        <v>968</v>
      </c>
      <c r="E1368" s="57" t="s">
        <v>146</v>
      </c>
      <c r="F1368" s="57" t="s">
        <v>350</v>
      </c>
      <c r="G1368" s="57" t="s">
        <v>663</v>
      </c>
      <c r="H1368" s="140" t="s">
        <v>4106</v>
      </c>
      <c r="I1368" s="57"/>
      <c r="J1368" s="165">
        <f t="shared" ref="J1368:J1369" si="121">L1368/K1368</f>
        <v>31.25</v>
      </c>
      <c r="K1368" s="57">
        <v>96</v>
      </c>
      <c r="L1368" s="164">
        <v>3000</v>
      </c>
    </row>
    <row r="1369" spans="2:12" x14ac:dyDescent="0.3">
      <c r="B1369" s="57">
        <f t="shared" si="118"/>
        <v>1366</v>
      </c>
      <c r="C1369" s="147">
        <v>46162</v>
      </c>
      <c r="D1369" s="57" t="s">
        <v>968</v>
      </c>
      <c r="E1369" s="57" t="s">
        <v>146</v>
      </c>
      <c r="F1369" s="57" t="s">
        <v>350</v>
      </c>
      <c r="G1369" s="57" t="s">
        <v>663</v>
      </c>
      <c r="H1369" s="140" t="s">
        <v>1392</v>
      </c>
      <c r="I1369" s="57"/>
      <c r="J1369" s="165">
        <f t="shared" si="121"/>
        <v>40.625</v>
      </c>
      <c r="K1369" s="57">
        <v>96</v>
      </c>
      <c r="L1369" s="164">
        <v>3900</v>
      </c>
    </row>
    <row r="1370" spans="2:12" x14ac:dyDescent="0.3">
      <c r="B1370" s="57">
        <f t="shared" si="118"/>
        <v>1367</v>
      </c>
      <c r="C1370" s="143">
        <v>46163</v>
      </c>
      <c r="D1370" s="57" t="s">
        <v>435</v>
      </c>
      <c r="E1370" s="57" t="s">
        <v>574</v>
      </c>
      <c r="F1370" s="57" t="s">
        <v>446</v>
      </c>
      <c r="G1370" s="57" t="s">
        <v>316</v>
      </c>
      <c r="H1370" s="140" t="s">
        <v>647</v>
      </c>
      <c r="I1370" s="140" t="s">
        <v>2635</v>
      </c>
      <c r="J1370" s="57">
        <v>8</v>
      </c>
      <c r="K1370" s="57">
        <f>L1370/J1370</f>
        <v>625</v>
      </c>
      <c r="L1370" s="164">
        <v>5000</v>
      </c>
    </row>
    <row r="1371" spans="2:12" x14ac:dyDescent="0.3">
      <c r="B1371" s="57">
        <f t="shared" si="118"/>
        <v>1368</v>
      </c>
      <c r="C1371" s="143">
        <v>46163</v>
      </c>
      <c r="D1371" s="57" t="s">
        <v>435</v>
      </c>
      <c r="E1371" s="57" t="s">
        <v>574</v>
      </c>
      <c r="F1371" s="57" t="s">
        <v>446</v>
      </c>
      <c r="G1371" s="57" t="s">
        <v>316</v>
      </c>
      <c r="H1371" s="140" t="s">
        <v>592</v>
      </c>
      <c r="I1371" s="140" t="s">
        <v>4081</v>
      </c>
      <c r="J1371" s="57">
        <v>4</v>
      </c>
      <c r="K1371" s="57">
        <f>L1371/J1371</f>
        <v>625</v>
      </c>
      <c r="L1371" s="164">
        <v>2500</v>
      </c>
    </row>
    <row r="1372" spans="2:12" x14ac:dyDescent="0.3">
      <c r="B1372" s="57">
        <f t="shared" si="118"/>
        <v>1369</v>
      </c>
      <c r="C1372" s="147">
        <v>46163</v>
      </c>
      <c r="D1372" s="57" t="s">
        <v>968</v>
      </c>
      <c r="E1372" s="57" t="s">
        <v>532</v>
      </c>
      <c r="F1372" s="57" t="s">
        <v>350</v>
      </c>
      <c r="G1372" s="57" t="s">
        <v>663</v>
      </c>
      <c r="H1372" s="140" t="s">
        <v>1393</v>
      </c>
      <c r="I1372" s="57" t="s">
        <v>532</v>
      </c>
      <c r="J1372" s="57">
        <f>L1372/K1372</f>
        <v>28</v>
      </c>
      <c r="K1372" s="57">
        <v>300</v>
      </c>
      <c r="L1372" s="164">
        <v>8400</v>
      </c>
    </row>
    <row r="1373" spans="2:12" x14ac:dyDescent="0.3">
      <c r="B1373" s="57">
        <f t="shared" si="118"/>
        <v>1370</v>
      </c>
      <c r="C1373" s="147">
        <v>46163</v>
      </c>
      <c r="D1373" s="57" t="s">
        <v>968</v>
      </c>
      <c r="E1373" s="57" t="s">
        <v>434</v>
      </c>
      <c r="F1373" s="57" t="s">
        <v>350</v>
      </c>
      <c r="G1373" s="57" t="s">
        <v>663</v>
      </c>
      <c r="H1373" s="140" t="s">
        <v>1394</v>
      </c>
      <c r="I1373" s="57"/>
      <c r="J1373" s="57"/>
      <c r="L1373" s="164">
        <v>300</v>
      </c>
    </row>
    <row r="1374" spans="2:12" x14ac:dyDescent="0.3">
      <c r="B1374" s="57">
        <f t="shared" si="118"/>
        <v>1371</v>
      </c>
      <c r="C1374" s="147">
        <v>46163</v>
      </c>
      <c r="D1374" s="57" t="s">
        <v>968</v>
      </c>
      <c r="E1374" s="57" t="s">
        <v>767</v>
      </c>
      <c r="F1374" s="57" t="s">
        <v>300</v>
      </c>
      <c r="G1374" s="57" t="s">
        <v>993</v>
      </c>
      <c r="H1374" s="140" t="s">
        <v>1395</v>
      </c>
      <c r="I1374" s="57"/>
      <c r="J1374" s="57"/>
      <c r="L1374" s="164">
        <v>500</v>
      </c>
    </row>
    <row r="1375" spans="2:12" x14ac:dyDescent="0.3">
      <c r="B1375" s="57">
        <f t="shared" si="118"/>
        <v>1372</v>
      </c>
      <c r="C1375" s="147">
        <v>46163</v>
      </c>
      <c r="D1375" s="57" t="s">
        <v>968</v>
      </c>
      <c r="E1375" s="57" t="s">
        <v>590</v>
      </c>
      <c r="F1375" s="57" t="s">
        <v>446</v>
      </c>
      <c r="G1375" s="57" t="s">
        <v>352</v>
      </c>
      <c r="H1375" s="140" t="s">
        <v>1396</v>
      </c>
      <c r="I1375" s="57"/>
      <c r="J1375" s="57"/>
      <c r="L1375" s="164">
        <v>245</v>
      </c>
    </row>
    <row r="1376" spans="2:12" x14ac:dyDescent="0.3">
      <c r="B1376" s="57">
        <f t="shared" si="118"/>
        <v>1373</v>
      </c>
      <c r="C1376" s="147">
        <v>46163</v>
      </c>
      <c r="D1376" s="57" t="s">
        <v>968</v>
      </c>
      <c r="E1376" s="57" t="s">
        <v>146</v>
      </c>
      <c r="F1376" s="57" t="s">
        <v>300</v>
      </c>
      <c r="G1376" s="57" t="s">
        <v>530</v>
      </c>
      <c r="H1376" s="140" t="s">
        <v>1397</v>
      </c>
      <c r="I1376" s="57"/>
      <c r="J1376" s="165">
        <f>L1376/K1376</f>
        <v>38.541666666666664</v>
      </c>
      <c r="K1376" s="57">
        <v>96</v>
      </c>
      <c r="L1376" s="164">
        <v>3700</v>
      </c>
    </row>
    <row r="1377" spans="2:12" x14ac:dyDescent="0.3">
      <c r="B1377" s="57">
        <f t="shared" si="118"/>
        <v>1374</v>
      </c>
      <c r="C1377" s="147">
        <v>46163</v>
      </c>
      <c r="D1377" s="57" t="s">
        <v>968</v>
      </c>
      <c r="E1377" s="57" t="s">
        <v>532</v>
      </c>
      <c r="F1377" s="57" t="s">
        <v>446</v>
      </c>
      <c r="G1377" s="57" t="s">
        <v>352</v>
      </c>
      <c r="H1377" s="140" t="s">
        <v>1398</v>
      </c>
      <c r="I1377" s="57" t="s">
        <v>532</v>
      </c>
      <c r="J1377" s="57">
        <v>30</v>
      </c>
      <c r="K1377" s="167">
        <f>L1377/J1377</f>
        <v>285</v>
      </c>
      <c r="L1377" s="164">
        <v>8550</v>
      </c>
    </row>
    <row r="1378" spans="2:12" x14ac:dyDescent="0.3">
      <c r="B1378" s="57">
        <f t="shared" si="118"/>
        <v>1375</v>
      </c>
      <c r="C1378" s="147">
        <v>46163</v>
      </c>
      <c r="D1378" s="57" t="s">
        <v>968</v>
      </c>
      <c r="E1378" s="57" t="s">
        <v>146</v>
      </c>
      <c r="F1378" s="57" t="s">
        <v>300</v>
      </c>
      <c r="G1378" s="57" t="s">
        <v>438</v>
      </c>
      <c r="H1378" s="140" t="s">
        <v>4110</v>
      </c>
      <c r="I1378" s="57"/>
      <c r="J1378" s="165">
        <f>L1378/K1378</f>
        <v>25.833333333333332</v>
      </c>
      <c r="K1378" s="57">
        <v>96</v>
      </c>
      <c r="L1378" s="164">
        <v>2480</v>
      </c>
    </row>
    <row r="1379" spans="2:12" x14ac:dyDescent="0.3">
      <c r="B1379" s="57">
        <f t="shared" si="118"/>
        <v>1376</v>
      </c>
      <c r="C1379" s="147">
        <v>46163</v>
      </c>
      <c r="D1379" s="57" t="s">
        <v>968</v>
      </c>
      <c r="E1379" s="57" t="s">
        <v>4128</v>
      </c>
      <c r="F1379" s="57" t="s">
        <v>446</v>
      </c>
      <c r="G1379" s="57" t="s">
        <v>352</v>
      </c>
      <c r="H1379" s="140" t="s">
        <v>1399</v>
      </c>
      <c r="I1379" s="57"/>
      <c r="J1379" s="57"/>
      <c r="L1379" s="164">
        <v>1940</v>
      </c>
    </row>
    <row r="1380" spans="2:12" x14ac:dyDescent="0.3">
      <c r="B1380" s="57">
        <f t="shared" si="118"/>
        <v>1377</v>
      </c>
      <c r="C1380" s="147">
        <v>46163</v>
      </c>
      <c r="D1380" s="57" t="s">
        <v>968</v>
      </c>
      <c r="E1380" s="57" t="s">
        <v>434</v>
      </c>
      <c r="F1380" s="57" t="s">
        <v>446</v>
      </c>
      <c r="G1380" s="57" t="s">
        <v>354</v>
      </c>
      <c r="H1380" s="140" t="s">
        <v>1400</v>
      </c>
      <c r="I1380" s="57"/>
      <c r="J1380" s="57"/>
      <c r="L1380" s="164">
        <v>240</v>
      </c>
    </row>
    <row r="1381" spans="2:12" x14ac:dyDescent="0.3">
      <c r="B1381" s="57">
        <f t="shared" si="118"/>
        <v>1378</v>
      </c>
      <c r="C1381" s="147">
        <v>46163</v>
      </c>
      <c r="D1381" s="57" t="s">
        <v>968</v>
      </c>
      <c r="E1381" s="57" t="s">
        <v>434</v>
      </c>
      <c r="F1381" s="57" t="s">
        <v>300</v>
      </c>
      <c r="G1381" s="57" t="s">
        <v>2330</v>
      </c>
      <c r="H1381" s="140" t="s">
        <v>1401</v>
      </c>
      <c r="I1381" s="57"/>
      <c r="J1381" s="57"/>
      <c r="L1381" s="164">
        <v>440</v>
      </c>
    </row>
    <row r="1382" spans="2:12" x14ac:dyDescent="0.3">
      <c r="B1382" s="57">
        <f t="shared" si="118"/>
        <v>1379</v>
      </c>
      <c r="C1382" s="147">
        <v>46164</v>
      </c>
      <c r="D1382" s="57" t="s">
        <v>968</v>
      </c>
      <c r="E1382" s="57" t="s">
        <v>146</v>
      </c>
      <c r="F1382" s="57" t="s">
        <v>446</v>
      </c>
      <c r="G1382" s="57" t="s">
        <v>313</v>
      </c>
      <c r="H1382" s="140" t="s">
        <v>1402</v>
      </c>
      <c r="I1382" s="57"/>
      <c r="J1382" s="165">
        <f>L1382/K1382</f>
        <v>31.25</v>
      </c>
      <c r="K1382" s="57">
        <v>96</v>
      </c>
      <c r="L1382" s="164">
        <v>3000</v>
      </c>
    </row>
    <row r="1383" spans="2:12" x14ac:dyDescent="0.3">
      <c r="B1383" s="57">
        <f t="shared" si="118"/>
        <v>1380</v>
      </c>
      <c r="C1383" s="147">
        <v>46164</v>
      </c>
      <c r="D1383" s="57" t="s">
        <v>968</v>
      </c>
      <c r="E1383" s="57" t="s">
        <v>460</v>
      </c>
      <c r="F1383" s="57" t="s">
        <v>683</v>
      </c>
      <c r="G1383" s="57" t="s">
        <v>992</v>
      </c>
      <c r="H1383" s="140" t="s">
        <v>1403</v>
      </c>
      <c r="I1383" s="57"/>
      <c r="J1383" s="57"/>
      <c r="L1383" s="164">
        <v>1900</v>
      </c>
    </row>
    <row r="1384" spans="2:12" x14ac:dyDescent="0.3">
      <c r="B1384" s="57">
        <f t="shared" si="118"/>
        <v>1381</v>
      </c>
      <c r="C1384" s="147">
        <v>46164</v>
      </c>
      <c r="D1384" s="57" t="s">
        <v>968</v>
      </c>
      <c r="E1384" s="57" t="s">
        <v>434</v>
      </c>
      <c r="F1384" s="57" t="s">
        <v>300</v>
      </c>
      <c r="G1384" s="57" t="s">
        <v>996</v>
      </c>
      <c r="H1384" s="140" t="s">
        <v>1404</v>
      </c>
      <c r="I1384" s="57"/>
      <c r="J1384" s="57"/>
      <c r="L1384" s="164">
        <v>6700</v>
      </c>
    </row>
    <row r="1385" spans="2:12" x14ac:dyDescent="0.3">
      <c r="B1385" s="57">
        <f t="shared" si="118"/>
        <v>1382</v>
      </c>
      <c r="C1385" s="147">
        <v>46164</v>
      </c>
      <c r="D1385" s="57" t="s">
        <v>968</v>
      </c>
      <c r="E1385" s="57" t="s">
        <v>434</v>
      </c>
      <c r="F1385" s="57" t="s">
        <v>300</v>
      </c>
      <c r="G1385" s="57" t="s">
        <v>996</v>
      </c>
      <c r="H1385" s="140" t="s">
        <v>1404</v>
      </c>
      <c r="I1385" s="57"/>
      <c r="J1385" s="57"/>
      <c r="L1385" s="164">
        <v>1090</v>
      </c>
    </row>
    <row r="1386" spans="2:12" x14ac:dyDescent="0.3">
      <c r="B1386" s="57">
        <f t="shared" si="118"/>
        <v>1383</v>
      </c>
      <c r="C1386" s="147">
        <v>46164</v>
      </c>
      <c r="D1386" s="57" t="s">
        <v>968</v>
      </c>
      <c r="E1386" s="57" t="s">
        <v>146</v>
      </c>
      <c r="F1386" s="57" t="s">
        <v>446</v>
      </c>
      <c r="G1386" s="57" t="s">
        <v>313</v>
      </c>
      <c r="H1386" s="140" t="s">
        <v>1405</v>
      </c>
      <c r="I1386" s="57"/>
      <c r="J1386" s="165">
        <f t="shared" ref="J1386:J1388" si="122">L1386/K1386</f>
        <v>10.416666666666666</v>
      </c>
      <c r="K1386" s="57">
        <v>96</v>
      </c>
      <c r="L1386" s="164">
        <v>1000</v>
      </c>
    </row>
    <row r="1387" spans="2:12" x14ac:dyDescent="0.3">
      <c r="B1387" s="57">
        <f t="shared" si="118"/>
        <v>1384</v>
      </c>
      <c r="C1387" s="147">
        <v>46164</v>
      </c>
      <c r="D1387" s="57" t="s">
        <v>968</v>
      </c>
      <c r="E1387" s="57" t="s">
        <v>146</v>
      </c>
      <c r="F1387" s="57" t="s">
        <v>446</v>
      </c>
      <c r="G1387" s="57" t="s">
        <v>990</v>
      </c>
      <c r="H1387" s="140" t="s">
        <v>1406</v>
      </c>
      <c r="I1387" s="57"/>
      <c r="J1387" s="165">
        <f t="shared" si="122"/>
        <v>55.208333333333336</v>
      </c>
      <c r="K1387" s="57">
        <v>96</v>
      </c>
      <c r="L1387" s="164">
        <v>5300</v>
      </c>
    </row>
    <row r="1388" spans="2:12" x14ac:dyDescent="0.3">
      <c r="B1388" s="57">
        <f t="shared" si="118"/>
        <v>1385</v>
      </c>
      <c r="C1388" s="147">
        <v>46164</v>
      </c>
      <c r="D1388" s="57" t="s">
        <v>968</v>
      </c>
      <c r="E1388" s="57" t="s">
        <v>146</v>
      </c>
      <c r="F1388" s="57" t="s">
        <v>446</v>
      </c>
      <c r="G1388" s="57" t="s">
        <v>316</v>
      </c>
      <c r="H1388" s="140" t="s">
        <v>1407</v>
      </c>
      <c r="I1388" s="57"/>
      <c r="J1388" s="165">
        <f t="shared" si="122"/>
        <v>20.833333333333332</v>
      </c>
      <c r="K1388" s="57">
        <v>96</v>
      </c>
      <c r="L1388" s="164">
        <v>2000</v>
      </c>
    </row>
    <row r="1389" spans="2:12" x14ac:dyDescent="0.3">
      <c r="B1389" s="57">
        <f t="shared" si="118"/>
        <v>1386</v>
      </c>
      <c r="C1389" s="147">
        <v>46164</v>
      </c>
      <c r="D1389" s="57" t="s">
        <v>968</v>
      </c>
      <c r="E1389" s="57" t="s">
        <v>574</v>
      </c>
      <c r="F1389" s="57" t="s">
        <v>300</v>
      </c>
      <c r="G1389" s="57" t="s">
        <v>2330</v>
      </c>
      <c r="H1389" s="140" t="s">
        <v>1408</v>
      </c>
      <c r="I1389" s="140" t="s">
        <v>4081</v>
      </c>
      <c r="J1389" s="57">
        <v>4</v>
      </c>
      <c r="K1389" s="167">
        <f>L1389/J1389</f>
        <v>700</v>
      </c>
      <c r="L1389" s="164">
        <v>2800</v>
      </c>
    </row>
    <row r="1390" spans="2:12" x14ac:dyDescent="0.3">
      <c r="B1390" s="57">
        <f t="shared" si="118"/>
        <v>1387</v>
      </c>
      <c r="C1390" s="147">
        <v>46164</v>
      </c>
      <c r="D1390" s="57" t="s">
        <v>968</v>
      </c>
      <c r="E1390" s="57" t="s">
        <v>574</v>
      </c>
      <c r="F1390" s="57" t="s">
        <v>300</v>
      </c>
      <c r="G1390" s="57" t="s">
        <v>996</v>
      </c>
      <c r="H1390" s="140" t="s">
        <v>2634</v>
      </c>
      <c r="I1390" s="140" t="s">
        <v>4081</v>
      </c>
      <c r="J1390" s="57">
        <v>4</v>
      </c>
      <c r="K1390" s="57">
        <f>L1390/J1390</f>
        <v>700</v>
      </c>
      <c r="L1390" s="164">
        <v>2800</v>
      </c>
    </row>
    <row r="1391" spans="2:12" x14ac:dyDescent="0.3">
      <c r="B1391" s="57">
        <f t="shared" si="118"/>
        <v>1388</v>
      </c>
      <c r="C1391" s="147">
        <v>46164</v>
      </c>
      <c r="D1391" s="57" t="s">
        <v>968</v>
      </c>
      <c r="E1391" s="57" t="s">
        <v>434</v>
      </c>
      <c r="F1391" s="57" t="s">
        <v>446</v>
      </c>
      <c r="G1391" s="57" t="s">
        <v>354</v>
      </c>
      <c r="H1391" s="140" t="s">
        <v>1409</v>
      </c>
      <c r="I1391" s="57"/>
      <c r="J1391" s="57"/>
      <c r="L1391" s="164">
        <v>3100</v>
      </c>
    </row>
    <row r="1392" spans="2:12" x14ac:dyDescent="0.3">
      <c r="B1392" s="57">
        <f t="shared" si="118"/>
        <v>1389</v>
      </c>
      <c r="C1392" s="147">
        <v>46164</v>
      </c>
      <c r="D1392" s="57" t="s">
        <v>968</v>
      </c>
      <c r="E1392" s="57" t="s">
        <v>146</v>
      </c>
      <c r="F1392" s="57" t="s">
        <v>300</v>
      </c>
      <c r="G1392" s="57" t="s">
        <v>530</v>
      </c>
      <c r="H1392" s="140" t="s">
        <v>4115</v>
      </c>
      <c r="I1392" s="57"/>
      <c r="J1392" s="165">
        <f t="shared" ref="J1392:J1394" si="123">L1392/K1392</f>
        <v>39.760416666666664</v>
      </c>
      <c r="K1392" s="57">
        <v>96</v>
      </c>
      <c r="L1392" s="164">
        <v>3817</v>
      </c>
    </row>
    <row r="1393" spans="2:13" x14ac:dyDescent="0.3">
      <c r="B1393" s="57">
        <f t="shared" si="118"/>
        <v>1390</v>
      </c>
      <c r="C1393" s="147">
        <v>46164</v>
      </c>
      <c r="D1393" s="57" t="s">
        <v>968</v>
      </c>
      <c r="E1393" s="57" t="s">
        <v>146</v>
      </c>
      <c r="F1393" s="57" t="s">
        <v>300</v>
      </c>
      <c r="G1393" s="57" t="s">
        <v>530</v>
      </c>
      <c r="H1393" s="140" t="s">
        <v>1410</v>
      </c>
      <c r="I1393" s="57"/>
      <c r="J1393" s="165">
        <f t="shared" si="123"/>
        <v>49.53125</v>
      </c>
      <c r="K1393" s="57">
        <v>96</v>
      </c>
      <c r="L1393" s="164">
        <v>4755</v>
      </c>
    </row>
    <row r="1394" spans="2:13" x14ac:dyDescent="0.3">
      <c r="B1394" s="57">
        <f t="shared" si="118"/>
        <v>1391</v>
      </c>
      <c r="C1394" s="147">
        <v>46164</v>
      </c>
      <c r="D1394" s="57" t="s">
        <v>968</v>
      </c>
      <c r="E1394" s="57" t="s">
        <v>146</v>
      </c>
      <c r="F1394" s="57" t="s">
        <v>300</v>
      </c>
      <c r="G1394" s="57" t="s">
        <v>443</v>
      </c>
      <c r="H1394" s="140" t="s">
        <v>1411</v>
      </c>
      <c r="I1394" s="57"/>
      <c r="J1394" s="165">
        <f t="shared" si="123"/>
        <v>39.583333333333336</v>
      </c>
      <c r="K1394" s="57">
        <v>96</v>
      </c>
      <c r="L1394" s="164">
        <v>3800</v>
      </c>
    </row>
    <row r="1395" spans="2:13" x14ac:dyDescent="0.3">
      <c r="B1395" s="57">
        <f t="shared" si="118"/>
        <v>1392</v>
      </c>
      <c r="C1395" s="147">
        <v>46164</v>
      </c>
      <c r="D1395" s="57" t="s">
        <v>968</v>
      </c>
      <c r="E1395" s="57" t="s">
        <v>961</v>
      </c>
      <c r="F1395" s="57" t="s">
        <v>350</v>
      </c>
      <c r="G1395" s="57" t="s">
        <v>663</v>
      </c>
      <c r="H1395" s="140" t="s">
        <v>1412</v>
      </c>
      <c r="I1395" s="57"/>
      <c r="J1395" s="57"/>
      <c r="L1395" s="164">
        <v>13874</v>
      </c>
    </row>
    <row r="1396" spans="2:13" x14ac:dyDescent="0.3">
      <c r="B1396" s="57">
        <f t="shared" si="118"/>
        <v>1393</v>
      </c>
      <c r="C1396" s="147">
        <v>46164</v>
      </c>
      <c r="D1396" s="57" t="s">
        <v>968</v>
      </c>
      <c r="E1396" s="57" t="s">
        <v>4009</v>
      </c>
      <c r="F1396" s="57" t="s">
        <v>300</v>
      </c>
      <c r="G1396" s="57" t="s">
        <v>530</v>
      </c>
      <c r="H1396" s="140" t="s">
        <v>1413</v>
      </c>
      <c r="I1396" s="57"/>
      <c r="J1396" s="57"/>
      <c r="L1396" s="164">
        <v>11500</v>
      </c>
    </row>
    <row r="1397" spans="2:13" x14ac:dyDescent="0.3">
      <c r="B1397" s="57">
        <f t="shared" si="118"/>
        <v>1394</v>
      </c>
      <c r="C1397" s="147">
        <v>46164</v>
      </c>
      <c r="D1397" s="57" t="s">
        <v>968</v>
      </c>
      <c r="E1397" s="57" t="s">
        <v>560</v>
      </c>
      <c r="F1397" s="57" t="s">
        <v>300</v>
      </c>
      <c r="G1397" s="57" t="s">
        <v>530</v>
      </c>
      <c r="H1397" s="140" t="s">
        <v>1414</v>
      </c>
      <c r="I1397" s="57"/>
      <c r="J1397" s="57"/>
      <c r="L1397" s="164">
        <v>1925</v>
      </c>
    </row>
    <row r="1398" spans="2:13" x14ac:dyDescent="0.3">
      <c r="B1398" s="57">
        <f t="shared" si="118"/>
        <v>1395</v>
      </c>
      <c r="C1398" s="147">
        <v>46164</v>
      </c>
      <c r="D1398" s="57" t="s">
        <v>968</v>
      </c>
      <c r="E1398" s="57" t="s">
        <v>4128</v>
      </c>
      <c r="F1398" s="57" t="s">
        <v>446</v>
      </c>
      <c r="G1398" s="57" t="s">
        <v>352</v>
      </c>
      <c r="H1398" s="140" t="s">
        <v>2933</v>
      </c>
      <c r="I1398" s="57"/>
      <c r="J1398" s="57"/>
      <c r="L1398" s="164">
        <v>1940</v>
      </c>
    </row>
    <row r="1399" spans="2:13" x14ac:dyDescent="0.3">
      <c r="B1399" s="57">
        <f t="shared" si="118"/>
        <v>1396</v>
      </c>
      <c r="C1399" s="147">
        <v>46164</v>
      </c>
      <c r="D1399" s="57" t="s">
        <v>968</v>
      </c>
      <c r="E1399" s="57" t="s">
        <v>146</v>
      </c>
      <c r="F1399" s="57" t="s">
        <v>502</v>
      </c>
      <c r="G1399" s="57" t="s">
        <v>257</v>
      </c>
      <c r="H1399" s="140" t="s">
        <v>4100</v>
      </c>
      <c r="I1399" s="57"/>
      <c r="J1399" s="165">
        <f>L1399/K1399</f>
        <v>31.25</v>
      </c>
      <c r="K1399" s="57">
        <v>96</v>
      </c>
      <c r="L1399" s="164">
        <v>3000</v>
      </c>
    </row>
    <row r="1400" spans="2:13" x14ac:dyDescent="0.3">
      <c r="B1400" s="57">
        <f t="shared" si="118"/>
        <v>1397</v>
      </c>
      <c r="C1400" s="147">
        <v>46164</v>
      </c>
      <c r="D1400" s="57" t="s">
        <v>968</v>
      </c>
      <c r="E1400" s="57" t="s">
        <v>574</v>
      </c>
      <c r="F1400" s="57" t="s">
        <v>300</v>
      </c>
      <c r="G1400" s="57" t="s">
        <v>996</v>
      </c>
      <c r="H1400" s="140" t="s">
        <v>2635</v>
      </c>
      <c r="I1400" s="140" t="s">
        <v>2635</v>
      </c>
      <c r="J1400" s="57">
        <v>4</v>
      </c>
      <c r="K1400" s="57">
        <v>700</v>
      </c>
      <c r="L1400" s="164">
        <v>2800</v>
      </c>
    </row>
    <row r="1401" spans="2:13" x14ac:dyDescent="0.3">
      <c r="B1401" s="57">
        <f t="shared" si="118"/>
        <v>1398</v>
      </c>
      <c r="C1401" s="147">
        <v>46164</v>
      </c>
      <c r="D1401" s="57" t="s">
        <v>968</v>
      </c>
      <c r="E1401" s="57" t="s">
        <v>574</v>
      </c>
      <c r="F1401" s="57" t="s">
        <v>300</v>
      </c>
      <c r="G1401" s="57" t="s">
        <v>2330</v>
      </c>
      <c r="H1401" s="140" t="s">
        <v>1415</v>
      </c>
      <c r="I1401" s="140" t="s">
        <v>4081</v>
      </c>
      <c r="J1401" s="57">
        <v>4</v>
      </c>
      <c r="K1401" s="168">
        <f>L1401/J1401</f>
        <v>562.5</v>
      </c>
      <c r="L1401" s="164">
        <v>2250</v>
      </c>
    </row>
    <row r="1402" spans="2:13" x14ac:dyDescent="0.3">
      <c r="B1402" s="57">
        <f t="shared" si="118"/>
        <v>1399</v>
      </c>
      <c r="C1402" s="147">
        <v>46164</v>
      </c>
      <c r="D1402" s="57" t="s">
        <v>968</v>
      </c>
      <c r="E1402" s="57" t="s">
        <v>4128</v>
      </c>
      <c r="F1402" s="57" t="s">
        <v>436</v>
      </c>
      <c r="G1402" s="57" t="s">
        <v>270</v>
      </c>
      <c r="H1402" s="140" t="s">
        <v>1416</v>
      </c>
      <c r="I1402" s="57"/>
      <c r="J1402" s="57"/>
      <c r="L1402" s="164">
        <v>2000</v>
      </c>
    </row>
    <row r="1403" spans="2:13" x14ac:dyDescent="0.3">
      <c r="B1403" s="57">
        <f t="shared" si="118"/>
        <v>1400</v>
      </c>
      <c r="C1403" s="147">
        <v>46164</v>
      </c>
      <c r="D1403" s="57" t="s">
        <v>968</v>
      </c>
      <c r="E1403" s="57" t="s">
        <v>4128</v>
      </c>
      <c r="F1403" s="57" t="s">
        <v>300</v>
      </c>
      <c r="G1403" s="57" t="s">
        <v>996</v>
      </c>
      <c r="H1403" s="140" t="s">
        <v>1417</v>
      </c>
      <c r="I1403" s="57"/>
      <c r="J1403" s="57"/>
      <c r="L1403" s="164">
        <v>500</v>
      </c>
    </row>
    <row r="1404" spans="2:13" s="175" customFormat="1" x14ac:dyDescent="0.3">
      <c r="B1404" s="57">
        <f t="shared" si="118"/>
        <v>1401</v>
      </c>
      <c r="C1404" s="155">
        <v>46164</v>
      </c>
      <c r="D1404" s="173" t="s">
        <v>968</v>
      </c>
      <c r="E1404" s="173" t="s">
        <v>574</v>
      </c>
      <c r="F1404" s="173" t="s">
        <v>300</v>
      </c>
      <c r="G1404" s="173" t="s">
        <v>2330</v>
      </c>
      <c r="H1404" s="181" t="s">
        <v>1415</v>
      </c>
      <c r="I1404" s="181" t="s">
        <v>4081</v>
      </c>
      <c r="J1404" s="173">
        <v>4</v>
      </c>
      <c r="K1404" s="173"/>
      <c r="L1404" s="174">
        <v>300</v>
      </c>
      <c r="M1404" s="173"/>
    </row>
    <row r="1405" spans="2:13" x14ac:dyDescent="0.3">
      <c r="B1405" s="57">
        <f t="shared" si="118"/>
        <v>1402</v>
      </c>
      <c r="C1405" s="147">
        <v>46164</v>
      </c>
      <c r="D1405" s="57" t="s">
        <v>968</v>
      </c>
      <c r="E1405" s="57" t="s">
        <v>560</v>
      </c>
      <c r="F1405" s="57" t="s">
        <v>300</v>
      </c>
      <c r="G1405" s="57" t="s">
        <v>530</v>
      </c>
      <c r="H1405" s="140" t="s">
        <v>1418</v>
      </c>
      <c r="I1405" s="57"/>
      <c r="J1405" s="57"/>
      <c r="L1405" s="164">
        <v>700</v>
      </c>
    </row>
    <row r="1406" spans="2:13" x14ac:dyDescent="0.3">
      <c r="B1406" s="57">
        <f t="shared" si="118"/>
        <v>1403</v>
      </c>
      <c r="C1406" s="147">
        <v>46164</v>
      </c>
      <c r="D1406" s="57" t="s">
        <v>968</v>
      </c>
      <c r="E1406" s="57" t="s">
        <v>434</v>
      </c>
      <c r="F1406" s="57" t="s">
        <v>300</v>
      </c>
      <c r="G1406" s="57" t="s">
        <v>530</v>
      </c>
      <c r="H1406" s="140" t="s">
        <v>1419</v>
      </c>
      <c r="I1406" s="57"/>
      <c r="J1406" s="57"/>
      <c r="L1406" s="164">
        <v>12500</v>
      </c>
    </row>
    <row r="1407" spans="2:13" x14ac:dyDescent="0.3">
      <c r="B1407" s="57">
        <f t="shared" si="118"/>
        <v>1404</v>
      </c>
      <c r="C1407" s="147">
        <v>46164</v>
      </c>
      <c r="D1407" s="57" t="s">
        <v>968</v>
      </c>
      <c r="E1407" s="57" t="s">
        <v>434</v>
      </c>
      <c r="F1407" s="57" t="s">
        <v>300</v>
      </c>
      <c r="G1407" s="57" t="s">
        <v>530</v>
      </c>
      <c r="H1407" s="140" t="s">
        <v>1419</v>
      </c>
      <c r="I1407" s="57"/>
      <c r="J1407" s="57"/>
      <c r="L1407" s="164">
        <v>200</v>
      </c>
    </row>
    <row r="1408" spans="2:13" x14ac:dyDescent="0.3">
      <c r="B1408" s="57">
        <f t="shared" si="118"/>
        <v>1405</v>
      </c>
      <c r="C1408" s="143">
        <v>46165</v>
      </c>
      <c r="D1408" s="57" t="s">
        <v>435</v>
      </c>
      <c r="E1408" s="57" t="s">
        <v>471</v>
      </c>
      <c r="F1408" s="57" t="s">
        <v>436</v>
      </c>
      <c r="G1408" s="57" t="s">
        <v>480</v>
      </c>
      <c r="I1408" s="57"/>
      <c r="J1408" s="57"/>
      <c r="L1408" s="164">
        <v>58700</v>
      </c>
    </row>
    <row r="1409" spans="2:12" x14ac:dyDescent="0.3">
      <c r="B1409" s="57">
        <f t="shared" si="118"/>
        <v>1406</v>
      </c>
      <c r="C1409" s="147">
        <v>46165</v>
      </c>
      <c r="D1409" s="57" t="s">
        <v>968</v>
      </c>
      <c r="E1409" s="57" t="s">
        <v>767</v>
      </c>
      <c r="F1409" s="57" t="s">
        <v>300</v>
      </c>
      <c r="G1409" s="57" t="s">
        <v>498</v>
      </c>
      <c r="H1409" s="140" t="s">
        <v>1420</v>
      </c>
      <c r="I1409" s="57"/>
      <c r="J1409" s="57"/>
      <c r="L1409" s="164">
        <v>150</v>
      </c>
    </row>
    <row r="1410" spans="2:12" x14ac:dyDescent="0.3">
      <c r="B1410" s="57">
        <f t="shared" si="118"/>
        <v>1407</v>
      </c>
      <c r="C1410" s="147">
        <v>46165</v>
      </c>
      <c r="D1410" s="57" t="s">
        <v>968</v>
      </c>
      <c r="E1410" s="57" t="s">
        <v>4128</v>
      </c>
      <c r="F1410" s="57" t="s">
        <v>300</v>
      </c>
      <c r="G1410" s="57" t="s">
        <v>498</v>
      </c>
      <c r="H1410" s="140" t="s">
        <v>1421</v>
      </c>
      <c r="I1410" s="57"/>
      <c r="J1410" s="57"/>
      <c r="L1410" s="164">
        <v>400</v>
      </c>
    </row>
    <row r="1411" spans="2:12" x14ac:dyDescent="0.3">
      <c r="B1411" s="57">
        <f t="shared" si="118"/>
        <v>1408</v>
      </c>
      <c r="C1411" s="147">
        <v>46165</v>
      </c>
      <c r="D1411" s="57" t="s">
        <v>968</v>
      </c>
      <c r="E1411" s="57" t="s">
        <v>986</v>
      </c>
      <c r="F1411" s="57" t="s">
        <v>621</v>
      </c>
      <c r="G1411" s="57" t="s">
        <v>345</v>
      </c>
      <c r="H1411" s="140" t="s">
        <v>1422</v>
      </c>
      <c r="I1411" s="57" t="s">
        <v>986</v>
      </c>
      <c r="J1411" s="57">
        <v>10</v>
      </c>
      <c r="K1411" s="167">
        <f>L1411/J1411</f>
        <v>85</v>
      </c>
      <c r="L1411" s="164">
        <v>850</v>
      </c>
    </row>
    <row r="1412" spans="2:12" x14ac:dyDescent="0.3">
      <c r="B1412" s="57">
        <f t="shared" si="118"/>
        <v>1409</v>
      </c>
      <c r="C1412" s="147">
        <v>46165</v>
      </c>
      <c r="D1412" s="57" t="s">
        <v>968</v>
      </c>
      <c r="E1412" s="57" t="s">
        <v>146</v>
      </c>
      <c r="F1412" s="57" t="s">
        <v>683</v>
      </c>
      <c r="G1412" s="57" t="s">
        <v>992</v>
      </c>
      <c r="H1412" s="140" t="s">
        <v>1423</v>
      </c>
      <c r="I1412" s="57"/>
      <c r="J1412" s="165">
        <f t="shared" ref="J1412:J1414" si="124">L1412/K1412</f>
        <v>2.0833333333333335</v>
      </c>
      <c r="K1412" s="57">
        <v>96</v>
      </c>
      <c r="L1412" s="164">
        <v>200</v>
      </c>
    </row>
    <row r="1413" spans="2:12" x14ac:dyDescent="0.3">
      <c r="B1413" s="57">
        <f t="shared" si="118"/>
        <v>1410</v>
      </c>
      <c r="C1413" s="147">
        <v>46165</v>
      </c>
      <c r="D1413" s="57" t="s">
        <v>968</v>
      </c>
      <c r="E1413" s="57" t="s">
        <v>146</v>
      </c>
      <c r="F1413" s="57" t="s">
        <v>621</v>
      </c>
      <c r="G1413" s="57" t="s">
        <v>345</v>
      </c>
      <c r="H1413" s="140" t="s">
        <v>1424</v>
      </c>
      <c r="I1413" s="57"/>
      <c r="J1413" s="165">
        <f t="shared" si="124"/>
        <v>18.75</v>
      </c>
      <c r="K1413" s="57">
        <v>96</v>
      </c>
      <c r="L1413" s="164">
        <v>1800</v>
      </c>
    </row>
    <row r="1414" spans="2:12" x14ac:dyDescent="0.3">
      <c r="B1414" s="57">
        <f t="shared" ref="B1414:B1477" si="125">+B1413+1</f>
        <v>1411</v>
      </c>
      <c r="C1414" s="147">
        <v>46165</v>
      </c>
      <c r="D1414" s="57" t="s">
        <v>968</v>
      </c>
      <c r="E1414" s="57" t="s">
        <v>146</v>
      </c>
      <c r="F1414" s="57" t="s">
        <v>683</v>
      </c>
      <c r="G1414" s="57" t="s">
        <v>997</v>
      </c>
      <c r="H1414" s="140" t="s">
        <v>1423</v>
      </c>
      <c r="I1414" s="57"/>
      <c r="J1414" s="165">
        <f t="shared" si="124"/>
        <v>31.25</v>
      </c>
      <c r="K1414" s="57">
        <v>96</v>
      </c>
      <c r="L1414" s="164">
        <v>3000</v>
      </c>
    </row>
    <row r="1415" spans="2:12" x14ac:dyDescent="0.3">
      <c r="B1415" s="57">
        <f t="shared" si="125"/>
        <v>1412</v>
      </c>
      <c r="C1415" s="147">
        <v>46165</v>
      </c>
      <c r="D1415" s="57" t="s">
        <v>968</v>
      </c>
      <c r="E1415" s="57" t="s">
        <v>4128</v>
      </c>
      <c r="F1415" s="57" t="s">
        <v>446</v>
      </c>
      <c r="G1415" s="57" t="s">
        <v>352</v>
      </c>
      <c r="H1415" s="140" t="s">
        <v>2934</v>
      </c>
      <c r="I1415" s="57"/>
      <c r="J1415" s="57"/>
      <c r="L1415" s="164">
        <v>1440</v>
      </c>
    </row>
    <row r="1416" spans="2:12" x14ac:dyDescent="0.3">
      <c r="B1416" s="57">
        <f t="shared" si="125"/>
        <v>1413</v>
      </c>
      <c r="C1416" s="147">
        <v>46165</v>
      </c>
      <c r="D1416" s="57" t="s">
        <v>968</v>
      </c>
      <c r="E1416" s="57" t="s">
        <v>434</v>
      </c>
      <c r="F1416" s="57" t="s">
        <v>446</v>
      </c>
      <c r="G1416" s="57" t="s">
        <v>316</v>
      </c>
      <c r="H1416" s="140" t="s">
        <v>1425</v>
      </c>
      <c r="I1416" s="57"/>
      <c r="J1416" s="57"/>
      <c r="L1416" s="164">
        <v>580</v>
      </c>
    </row>
    <row r="1417" spans="2:12" x14ac:dyDescent="0.3">
      <c r="B1417" s="57">
        <f t="shared" si="125"/>
        <v>1414</v>
      </c>
      <c r="C1417" s="147">
        <v>46165</v>
      </c>
      <c r="D1417" s="57" t="s">
        <v>968</v>
      </c>
      <c r="E1417" s="57" t="s">
        <v>146</v>
      </c>
      <c r="F1417" s="57" t="s">
        <v>350</v>
      </c>
      <c r="G1417" s="57" t="s">
        <v>322</v>
      </c>
      <c r="H1417" s="140" t="s">
        <v>1426</v>
      </c>
      <c r="I1417" s="57"/>
      <c r="J1417" s="165">
        <f>L1417/K1417</f>
        <v>31.25</v>
      </c>
      <c r="K1417" s="57">
        <v>96</v>
      </c>
      <c r="L1417" s="164">
        <v>3000</v>
      </c>
    </row>
    <row r="1418" spans="2:12" x14ac:dyDescent="0.3">
      <c r="B1418" s="57">
        <f t="shared" si="125"/>
        <v>1415</v>
      </c>
      <c r="C1418" s="147">
        <v>46165</v>
      </c>
      <c r="D1418" s="57" t="s">
        <v>968</v>
      </c>
      <c r="E1418" s="57" t="s">
        <v>767</v>
      </c>
      <c r="F1418" s="57" t="s">
        <v>446</v>
      </c>
      <c r="G1418" s="57" t="s">
        <v>990</v>
      </c>
      <c r="H1418" s="140" t="s">
        <v>1427</v>
      </c>
      <c r="I1418" s="57"/>
      <c r="J1418" s="57"/>
      <c r="L1418" s="164">
        <v>1170</v>
      </c>
    </row>
    <row r="1419" spans="2:12" x14ac:dyDescent="0.3">
      <c r="B1419" s="57">
        <f t="shared" si="125"/>
        <v>1416</v>
      </c>
      <c r="C1419" s="147">
        <v>46165</v>
      </c>
      <c r="D1419" s="57" t="s">
        <v>968</v>
      </c>
      <c r="E1419" s="57" t="s">
        <v>574</v>
      </c>
      <c r="F1419" s="57" t="s">
        <v>350</v>
      </c>
      <c r="G1419" s="57" t="s">
        <v>322</v>
      </c>
      <c r="H1419" s="140" t="s">
        <v>1428</v>
      </c>
      <c r="I1419" s="140" t="s">
        <v>4127</v>
      </c>
      <c r="J1419" s="57">
        <v>4</v>
      </c>
      <c r="K1419" s="167">
        <f>L1419/J1419</f>
        <v>550</v>
      </c>
      <c r="L1419" s="164">
        <v>2200</v>
      </c>
    </row>
    <row r="1420" spans="2:12" x14ac:dyDescent="0.3">
      <c r="B1420" s="57">
        <f t="shared" si="125"/>
        <v>1417</v>
      </c>
      <c r="C1420" s="147">
        <v>46165</v>
      </c>
      <c r="D1420" s="57" t="s">
        <v>968</v>
      </c>
      <c r="E1420" s="57" t="s">
        <v>767</v>
      </c>
      <c r="F1420" s="57" t="s">
        <v>446</v>
      </c>
      <c r="G1420" s="57" t="s">
        <v>990</v>
      </c>
      <c r="H1420" s="140" t="s">
        <v>1429</v>
      </c>
      <c r="I1420" s="57"/>
      <c r="J1420" s="57"/>
      <c r="L1420" s="164">
        <v>2500</v>
      </c>
    </row>
    <row r="1421" spans="2:12" x14ac:dyDescent="0.3">
      <c r="B1421" s="57">
        <f t="shared" si="125"/>
        <v>1418</v>
      </c>
      <c r="C1421" s="147">
        <v>46165</v>
      </c>
      <c r="D1421" s="57" t="s">
        <v>968</v>
      </c>
      <c r="E1421" s="57" t="s">
        <v>146</v>
      </c>
      <c r="F1421" s="57" t="s">
        <v>446</v>
      </c>
      <c r="G1421" s="57" t="s">
        <v>354</v>
      </c>
      <c r="H1421" s="140" t="s">
        <v>4089</v>
      </c>
      <c r="I1421" s="57"/>
      <c r="J1421" s="165">
        <f>L1421/K1421</f>
        <v>31.020833333333332</v>
      </c>
      <c r="K1421" s="57">
        <v>96</v>
      </c>
      <c r="L1421" s="164">
        <v>2978</v>
      </c>
    </row>
    <row r="1422" spans="2:12" x14ac:dyDescent="0.3">
      <c r="B1422" s="57">
        <f t="shared" si="125"/>
        <v>1419</v>
      </c>
      <c r="C1422" s="147">
        <v>46165</v>
      </c>
      <c r="D1422" s="57" t="s">
        <v>968</v>
      </c>
      <c r="E1422" s="57" t="s">
        <v>532</v>
      </c>
      <c r="F1422" s="57" t="s">
        <v>446</v>
      </c>
      <c r="G1422" s="57" t="s">
        <v>354</v>
      </c>
      <c r="H1422" s="140" t="s">
        <v>1430</v>
      </c>
      <c r="I1422" s="57" t="s">
        <v>532</v>
      </c>
      <c r="J1422" s="57">
        <v>35</v>
      </c>
      <c r="K1422" s="168">
        <f>L1422/J1422</f>
        <v>285.14285714285717</v>
      </c>
      <c r="L1422" s="164">
        <v>9980</v>
      </c>
    </row>
    <row r="1423" spans="2:12" x14ac:dyDescent="0.3">
      <c r="B1423" s="57">
        <f t="shared" si="125"/>
        <v>1420</v>
      </c>
      <c r="C1423" s="147">
        <v>46165</v>
      </c>
      <c r="D1423" s="57" t="s">
        <v>968</v>
      </c>
      <c r="E1423" s="57" t="s">
        <v>574</v>
      </c>
      <c r="F1423" s="57" t="s">
        <v>350</v>
      </c>
      <c r="G1423" s="57" t="s">
        <v>322</v>
      </c>
      <c r="H1423" s="140" t="s">
        <v>1428</v>
      </c>
      <c r="I1423" s="140" t="s">
        <v>4127</v>
      </c>
      <c r="J1423" s="57">
        <v>4</v>
      </c>
      <c r="K1423" s="167">
        <f>L1423/J1423</f>
        <v>520</v>
      </c>
      <c r="L1423" s="164">
        <v>2080</v>
      </c>
    </row>
    <row r="1424" spans="2:12" x14ac:dyDescent="0.3">
      <c r="B1424" s="57">
        <f t="shared" si="125"/>
        <v>1421</v>
      </c>
      <c r="C1424" s="147">
        <v>46165</v>
      </c>
      <c r="D1424" s="57" t="s">
        <v>968</v>
      </c>
      <c r="E1424" s="57" t="s">
        <v>574</v>
      </c>
      <c r="F1424" s="57" t="s">
        <v>300</v>
      </c>
      <c r="G1424" s="57" t="s">
        <v>2330</v>
      </c>
      <c r="H1424" s="140" t="s">
        <v>1431</v>
      </c>
      <c r="I1424" s="140" t="s">
        <v>2635</v>
      </c>
      <c r="J1424" s="57">
        <v>4</v>
      </c>
      <c r="K1424" s="168">
        <f>L1424/J1424</f>
        <v>850</v>
      </c>
      <c r="L1424" s="164">
        <v>3400</v>
      </c>
    </row>
    <row r="1425" spans="2:12" x14ac:dyDescent="0.3">
      <c r="B1425" s="57">
        <f t="shared" si="125"/>
        <v>1422</v>
      </c>
      <c r="C1425" s="147">
        <v>46165</v>
      </c>
      <c r="D1425" s="57" t="s">
        <v>968</v>
      </c>
      <c r="E1425" s="57" t="s">
        <v>434</v>
      </c>
      <c r="F1425" s="57" t="s">
        <v>446</v>
      </c>
      <c r="G1425" s="57" t="s">
        <v>313</v>
      </c>
      <c r="H1425" s="140" t="s">
        <v>1432</v>
      </c>
      <c r="I1425" s="57"/>
      <c r="J1425" s="57"/>
      <c r="L1425" s="164">
        <v>3240</v>
      </c>
    </row>
    <row r="1426" spans="2:12" x14ac:dyDescent="0.3">
      <c r="B1426" s="57">
        <f t="shared" si="125"/>
        <v>1423</v>
      </c>
      <c r="C1426" s="147">
        <v>46165</v>
      </c>
      <c r="D1426" s="57" t="s">
        <v>968</v>
      </c>
      <c r="E1426" s="57" t="s">
        <v>574</v>
      </c>
      <c r="F1426" s="57" t="s">
        <v>350</v>
      </c>
      <c r="G1426" s="57" t="s">
        <v>322</v>
      </c>
      <c r="H1426" s="140" t="s">
        <v>1433</v>
      </c>
      <c r="I1426" s="140" t="s">
        <v>2635</v>
      </c>
      <c r="J1426" s="57">
        <v>4</v>
      </c>
      <c r="K1426" s="167">
        <f>L1426/J1426</f>
        <v>590</v>
      </c>
      <c r="L1426" s="164">
        <v>2360</v>
      </c>
    </row>
    <row r="1427" spans="2:12" x14ac:dyDescent="0.3">
      <c r="B1427" s="57">
        <f t="shared" si="125"/>
        <v>1424</v>
      </c>
      <c r="C1427" s="147">
        <v>46165</v>
      </c>
      <c r="D1427" s="57" t="s">
        <v>968</v>
      </c>
      <c r="E1427" s="57" t="s">
        <v>767</v>
      </c>
      <c r="F1427" s="57" t="s">
        <v>300</v>
      </c>
      <c r="G1427" s="57" t="s">
        <v>498</v>
      </c>
      <c r="H1427" s="140" t="s">
        <v>1434</v>
      </c>
      <c r="I1427" s="57"/>
      <c r="J1427" s="57"/>
      <c r="L1427" s="164">
        <v>150</v>
      </c>
    </row>
    <row r="1428" spans="2:12" x14ac:dyDescent="0.3">
      <c r="B1428" s="57">
        <f t="shared" si="125"/>
        <v>1425</v>
      </c>
      <c r="C1428" s="147">
        <v>46165</v>
      </c>
      <c r="D1428" s="57" t="s">
        <v>968</v>
      </c>
      <c r="E1428" s="57" t="s">
        <v>146</v>
      </c>
      <c r="F1428" s="57" t="s">
        <v>621</v>
      </c>
      <c r="G1428" s="57" t="s">
        <v>345</v>
      </c>
      <c r="H1428" s="140" t="s">
        <v>1424</v>
      </c>
      <c r="I1428" s="57"/>
      <c r="J1428" s="165">
        <f t="shared" ref="J1428:J1430" si="126">L1428/K1428</f>
        <v>41.666666666666664</v>
      </c>
      <c r="K1428" s="57">
        <v>96</v>
      </c>
      <c r="L1428" s="164">
        <v>4000</v>
      </c>
    </row>
    <row r="1429" spans="2:12" x14ac:dyDescent="0.3">
      <c r="B1429" s="57">
        <f t="shared" si="125"/>
        <v>1426</v>
      </c>
      <c r="C1429" s="147">
        <v>46166</v>
      </c>
      <c r="D1429" s="57" t="s">
        <v>968</v>
      </c>
      <c r="E1429" s="57" t="s">
        <v>146</v>
      </c>
      <c r="F1429" s="57" t="s">
        <v>446</v>
      </c>
      <c r="G1429" s="57" t="s">
        <v>313</v>
      </c>
      <c r="H1429" s="140" t="s">
        <v>1435</v>
      </c>
      <c r="I1429" s="57"/>
      <c r="J1429" s="165">
        <f t="shared" si="126"/>
        <v>31.25</v>
      </c>
      <c r="K1429" s="57">
        <v>96</v>
      </c>
      <c r="L1429" s="164">
        <v>3000</v>
      </c>
    </row>
    <row r="1430" spans="2:12" x14ac:dyDescent="0.3">
      <c r="B1430" s="57">
        <f t="shared" si="125"/>
        <v>1427</v>
      </c>
      <c r="C1430" s="147">
        <v>46166</v>
      </c>
      <c r="D1430" s="57" t="s">
        <v>968</v>
      </c>
      <c r="E1430" s="57" t="s">
        <v>146</v>
      </c>
      <c r="F1430" s="57" t="s">
        <v>446</v>
      </c>
      <c r="G1430" s="57" t="s">
        <v>352</v>
      </c>
      <c r="H1430" s="140" t="s">
        <v>4092</v>
      </c>
      <c r="I1430" s="57"/>
      <c r="J1430" s="165">
        <f t="shared" si="126"/>
        <v>142.86458333333334</v>
      </c>
      <c r="K1430" s="57">
        <v>96</v>
      </c>
      <c r="L1430" s="164">
        <v>13715</v>
      </c>
    </row>
    <row r="1431" spans="2:12" x14ac:dyDescent="0.3">
      <c r="B1431" s="57">
        <f t="shared" si="125"/>
        <v>1428</v>
      </c>
      <c r="C1431" s="147">
        <v>46166</v>
      </c>
      <c r="D1431" s="57" t="s">
        <v>968</v>
      </c>
      <c r="E1431" s="57" t="s">
        <v>574</v>
      </c>
      <c r="F1431" s="57" t="s">
        <v>350</v>
      </c>
      <c r="G1431" s="57" t="s">
        <v>322</v>
      </c>
      <c r="H1431" s="140" t="s">
        <v>1436</v>
      </c>
      <c r="I1431" s="140" t="s">
        <v>2635</v>
      </c>
      <c r="J1431" s="57">
        <v>4</v>
      </c>
      <c r="K1431" s="167">
        <f>L1431/J1431</f>
        <v>575</v>
      </c>
      <c r="L1431" s="164">
        <v>2300</v>
      </c>
    </row>
    <row r="1432" spans="2:12" x14ac:dyDescent="0.3">
      <c r="B1432" s="57">
        <f t="shared" si="125"/>
        <v>1429</v>
      </c>
      <c r="C1432" s="147">
        <v>46166</v>
      </c>
      <c r="D1432" s="57" t="s">
        <v>968</v>
      </c>
      <c r="E1432" s="57" t="s">
        <v>574</v>
      </c>
      <c r="F1432" s="57" t="s">
        <v>350</v>
      </c>
      <c r="G1432" s="57" t="s">
        <v>322</v>
      </c>
      <c r="H1432" s="140" t="s">
        <v>1437</v>
      </c>
      <c r="I1432" s="140" t="s">
        <v>4081</v>
      </c>
      <c r="J1432" s="57">
        <v>4</v>
      </c>
      <c r="K1432" s="57">
        <f>L1432/J1432</f>
        <v>537.5</v>
      </c>
      <c r="L1432" s="164">
        <v>2150</v>
      </c>
    </row>
    <row r="1433" spans="2:12" x14ac:dyDescent="0.3">
      <c r="B1433" s="57">
        <f t="shared" si="125"/>
        <v>1430</v>
      </c>
      <c r="C1433" s="147">
        <v>46166</v>
      </c>
      <c r="D1433" s="57" t="s">
        <v>968</v>
      </c>
      <c r="E1433" s="57" t="s">
        <v>146</v>
      </c>
      <c r="F1433" s="57" t="s">
        <v>446</v>
      </c>
      <c r="G1433" s="57" t="s">
        <v>649</v>
      </c>
      <c r="H1433" s="140" t="s">
        <v>879</v>
      </c>
      <c r="I1433" s="57"/>
      <c r="J1433" s="165">
        <f t="shared" ref="J1433:J1435" si="127">L1433/K1433</f>
        <v>20.833333333333332</v>
      </c>
      <c r="K1433" s="57">
        <v>96</v>
      </c>
      <c r="L1433" s="164">
        <v>2000</v>
      </c>
    </row>
    <row r="1434" spans="2:12" x14ac:dyDescent="0.3">
      <c r="B1434" s="57">
        <f t="shared" si="125"/>
        <v>1431</v>
      </c>
      <c r="C1434" s="147">
        <v>46166</v>
      </c>
      <c r="D1434" s="57" t="s">
        <v>968</v>
      </c>
      <c r="E1434" s="57" t="s">
        <v>146</v>
      </c>
      <c r="F1434" s="57" t="s">
        <v>446</v>
      </c>
      <c r="G1434" s="57" t="s">
        <v>649</v>
      </c>
      <c r="H1434" s="140" t="s">
        <v>879</v>
      </c>
      <c r="I1434" s="57"/>
      <c r="J1434" s="165">
        <f t="shared" si="127"/>
        <v>3.125</v>
      </c>
      <c r="K1434" s="57">
        <v>96</v>
      </c>
      <c r="L1434" s="164">
        <v>300</v>
      </c>
    </row>
    <row r="1435" spans="2:12" x14ac:dyDescent="0.3">
      <c r="B1435" s="57">
        <f t="shared" si="125"/>
        <v>1432</v>
      </c>
      <c r="C1435" s="147">
        <v>46166</v>
      </c>
      <c r="D1435" s="57" t="s">
        <v>968</v>
      </c>
      <c r="E1435" s="57" t="s">
        <v>146</v>
      </c>
      <c r="F1435" s="57" t="s">
        <v>502</v>
      </c>
      <c r="G1435" s="57" t="s">
        <v>257</v>
      </c>
      <c r="H1435" s="140" t="s">
        <v>1438</v>
      </c>
      <c r="I1435" s="57"/>
      <c r="J1435" s="165">
        <f t="shared" si="127"/>
        <v>10.416666666666666</v>
      </c>
      <c r="K1435" s="57">
        <v>96</v>
      </c>
      <c r="L1435" s="164">
        <v>1000</v>
      </c>
    </row>
    <row r="1436" spans="2:12" x14ac:dyDescent="0.3">
      <c r="B1436" s="57">
        <f t="shared" si="125"/>
        <v>1433</v>
      </c>
      <c r="C1436" s="147">
        <v>46166</v>
      </c>
      <c r="D1436" s="57" t="s">
        <v>968</v>
      </c>
      <c r="E1436" s="57" t="s">
        <v>532</v>
      </c>
      <c r="F1436" s="57" t="s">
        <v>300</v>
      </c>
      <c r="G1436" s="57" t="s">
        <v>530</v>
      </c>
      <c r="H1436" s="140" t="s">
        <v>1439</v>
      </c>
      <c r="I1436" s="57" t="s">
        <v>532</v>
      </c>
      <c r="J1436" s="57">
        <v>50</v>
      </c>
      <c r="K1436" s="57">
        <v>260</v>
      </c>
      <c r="L1436" s="164">
        <v>13000</v>
      </c>
    </row>
    <row r="1437" spans="2:12" x14ac:dyDescent="0.3">
      <c r="B1437" s="57">
        <f t="shared" si="125"/>
        <v>1434</v>
      </c>
      <c r="C1437" s="147">
        <v>46166</v>
      </c>
      <c r="D1437" s="57" t="s">
        <v>968</v>
      </c>
      <c r="E1437" s="57" t="s">
        <v>146</v>
      </c>
      <c r="F1437" s="57" t="s">
        <v>436</v>
      </c>
      <c r="G1437" s="57" t="s">
        <v>270</v>
      </c>
      <c r="H1437" s="140" t="s">
        <v>4112</v>
      </c>
      <c r="I1437" s="57" t="s">
        <v>146</v>
      </c>
      <c r="J1437" s="165">
        <f>L1437/K1437</f>
        <v>20.833333333333332</v>
      </c>
      <c r="K1437" s="57">
        <v>96</v>
      </c>
      <c r="L1437" s="164">
        <v>2000</v>
      </c>
    </row>
    <row r="1438" spans="2:12" x14ac:dyDescent="0.3">
      <c r="B1438" s="57">
        <f t="shared" si="125"/>
        <v>1435</v>
      </c>
      <c r="C1438" s="147">
        <v>46166</v>
      </c>
      <c r="D1438" s="57" t="s">
        <v>968</v>
      </c>
      <c r="E1438" s="57" t="s">
        <v>574</v>
      </c>
      <c r="F1438" s="57" t="s">
        <v>350</v>
      </c>
      <c r="G1438" s="57" t="s">
        <v>322</v>
      </c>
      <c r="H1438" s="140" t="s">
        <v>1437</v>
      </c>
      <c r="I1438" s="140" t="s">
        <v>4081</v>
      </c>
      <c r="J1438" s="57">
        <v>4</v>
      </c>
      <c r="K1438" s="168">
        <f>L1438/J1438</f>
        <v>537.5</v>
      </c>
      <c r="L1438" s="164">
        <v>2150</v>
      </c>
    </row>
    <row r="1439" spans="2:12" x14ac:dyDescent="0.3">
      <c r="B1439" s="57">
        <f t="shared" si="125"/>
        <v>1436</v>
      </c>
      <c r="C1439" s="147">
        <v>46166</v>
      </c>
      <c r="D1439" s="57" t="s">
        <v>968</v>
      </c>
      <c r="E1439" s="57" t="s">
        <v>4128</v>
      </c>
      <c r="F1439" s="57" t="s">
        <v>446</v>
      </c>
      <c r="G1439" s="57" t="s">
        <v>313</v>
      </c>
      <c r="H1439" s="140" t="s">
        <v>1440</v>
      </c>
      <c r="I1439" s="57"/>
      <c r="J1439" s="57"/>
      <c r="L1439" s="164">
        <v>1500</v>
      </c>
    </row>
    <row r="1440" spans="2:12" x14ac:dyDescent="0.3">
      <c r="B1440" s="57">
        <f t="shared" si="125"/>
        <v>1437</v>
      </c>
      <c r="C1440" s="147">
        <v>46166</v>
      </c>
      <c r="D1440" s="57" t="s">
        <v>968</v>
      </c>
      <c r="E1440" s="57" t="s">
        <v>4128</v>
      </c>
      <c r="F1440" s="57" t="s">
        <v>446</v>
      </c>
      <c r="G1440" s="57" t="s">
        <v>313</v>
      </c>
      <c r="H1440" s="140" t="s">
        <v>1441</v>
      </c>
      <c r="I1440" s="57"/>
      <c r="J1440" s="57"/>
      <c r="L1440" s="164">
        <v>500</v>
      </c>
    </row>
    <row r="1441" spans="2:12" x14ac:dyDescent="0.3">
      <c r="B1441" s="57">
        <f t="shared" si="125"/>
        <v>1438</v>
      </c>
      <c r="C1441" s="147">
        <v>46166</v>
      </c>
      <c r="D1441" s="57" t="s">
        <v>968</v>
      </c>
      <c r="E1441" s="57" t="s">
        <v>574</v>
      </c>
      <c r="F1441" s="57" t="s">
        <v>652</v>
      </c>
      <c r="G1441" s="57" t="s">
        <v>998</v>
      </c>
      <c r="H1441" s="140" t="s">
        <v>1442</v>
      </c>
      <c r="I1441" s="140" t="s">
        <v>4081</v>
      </c>
      <c r="J1441" s="57">
        <v>16</v>
      </c>
      <c r="K1441" s="168">
        <f>L1441/J1441</f>
        <v>723.5</v>
      </c>
      <c r="L1441" s="164">
        <v>11576</v>
      </c>
    </row>
    <row r="1442" spans="2:12" x14ac:dyDescent="0.3">
      <c r="B1442" s="57">
        <f t="shared" si="125"/>
        <v>1439</v>
      </c>
      <c r="C1442" s="147">
        <v>46166</v>
      </c>
      <c r="D1442" s="57" t="s">
        <v>968</v>
      </c>
      <c r="E1442" s="57" t="s">
        <v>522</v>
      </c>
      <c r="F1442" s="57" t="s">
        <v>652</v>
      </c>
      <c r="G1442" s="57" t="s">
        <v>651</v>
      </c>
      <c r="H1442" s="140" t="s">
        <v>1443</v>
      </c>
      <c r="I1442" s="57"/>
      <c r="J1442" s="57"/>
      <c r="L1442" s="164">
        <v>4500</v>
      </c>
    </row>
    <row r="1443" spans="2:12" x14ac:dyDescent="0.3">
      <c r="B1443" s="57">
        <f t="shared" si="125"/>
        <v>1440</v>
      </c>
      <c r="C1443" s="147">
        <v>46166</v>
      </c>
      <c r="D1443" s="57" t="s">
        <v>968</v>
      </c>
      <c r="E1443" s="57" t="s">
        <v>146</v>
      </c>
      <c r="F1443" s="57" t="s">
        <v>652</v>
      </c>
      <c r="G1443" s="57" t="s">
        <v>651</v>
      </c>
      <c r="H1443" s="140" t="s">
        <v>1444</v>
      </c>
      <c r="I1443" s="57"/>
      <c r="J1443" s="165">
        <f>L1443/K1443</f>
        <v>2.0833333333333335</v>
      </c>
      <c r="K1443" s="57">
        <v>96</v>
      </c>
      <c r="L1443" s="164">
        <v>200</v>
      </c>
    </row>
    <row r="1444" spans="2:12" x14ac:dyDescent="0.3">
      <c r="B1444" s="57">
        <f t="shared" si="125"/>
        <v>1441</v>
      </c>
      <c r="C1444" s="147">
        <v>46166</v>
      </c>
      <c r="D1444" s="57" t="s">
        <v>968</v>
      </c>
      <c r="E1444" s="57" t="s">
        <v>4128</v>
      </c>
      <c r="F1444" s="57" t="s">
        <v>446</v>
      </c>
      <c r="G1444" s="57" t="s">
        <v>313</v>
      </c>
      <c r="H1444" s="140" t="s">
        <v>1445</v>
      </c>
      <c r="I1444" s="57"/>
      <c r="J1444" s="57"/>
      <c r="L1444" s="164">
        <v>1500</v>
      </c>
    </row>
    <row r="1445" spans="2:12" x14ac:dyDescent="0.3">
      <c r="B1445" s="57">
        <f t="shared" si="125"/>
        <v>1442</v>
      </c>
      <c r="C1445" s="147">
        <v>46166</v>
      </c>
      <c r="D1445" s="57" t="s">
        <v>968</v>
      </c>
      <c r="E1445" s="57" t="s">
        <v>434</v>
      </c>
      <c r="F1445" s="57" t="s">
        <v>446</v>
      </c>
      <c r="G1445" s="57" t="s">
        <v>316</v>
      </c>
      <c r="H1445" s="140" t="s">
        <v>1446</v>
      </c>
      <c r="I1445" s="57"/>
      <c r="J1445" s="57"/>
      <c r="L1445" s="164">
        <v>600</v>
      </c>
    </row>
    <row r="1446" spans="2:12" x14ac:dyDescent="0.3">
      <c r="B1446" s="57">
        <f t="shared" si="125"/>
        <v>1443</v>
      </c>
      <c r="C1446" s="147">
        <v>46166</v>
      </c>
      <c r="D1446" s="57" t="s">
        <v>968</v>
      </c>
      <c r="E1446" s="57" t="s">
        <v>767</v>
      </c>
      <c r="F1446" s="57" t="s">
        <v>300</v>
      </c>
      <c r="G1446" s="57" t="s">
        <v>443</v>
      </c>
      <c r="H1446" s="140" t="s">
        <v>1447</v>
      </c>
      <c r="I1446" s="57"/>
      <c r="J1446" s="57"/>
      <c r="L1446" s="164">
        <v>850</v>
      </c>
    </row>
    <row r="1447" spans="2:12" x14ac:dyDescent="0.3">
      <c r="B1447" s="57">
        <f t="shared" si="125"/>
        <v>1444</v>
      </c>
      <c r="C1447" s="147">
        <v>46166</v>
      </c>
      <c r="D1447" s="57" t="s">
        <v>968</v>
      </c>
      <c r="E1447" s="57" t="s">
        <v>146</v>
      </c>
      <c r="F1447" s="57" t="s">
        <v>300</v>
      </c>
      <c r="G1447" s="57" t="s">
        <v>993</v>
      </c>
      <c r="H1447" s="140" t="s">
        <v>4109</v>
      </c>
      <c r="I1447" s="57"/>
      <c r="J1447" s="165">
        <f>L1447/K1447</f>
        <v>36.46875</v>
      </c>
      <c r="K1447" s="57">
        <v>96</v>
      </c>
      <c r="L1447" s="164">
        <v>3501</v>
      </c>
    </row>
    <row r="1448" spans="2:12" x14ac:dyDescent="0.3">
      <c r="B1448" s="57">
        <f t="shared" si="125"/>
        <v>1445</v>
      </c>
      <c r="C1448" s="147">
        <v>46166</v>
      </c>
      <c r="D1448" s="57" t="s">
        <v>968</v>
      </c>
      <c r="E1448" s="57" t="s">
        <v>434</v>
      </c>
      <c r="F1448" s="57" t="s">
        <v>683</v>
      </c>
      <c r="G1448" s="57" t="s">
        <v>999</v>
      </c>
      <c r="H1448" s="140" t="s">
        <v>1448</v>
      </c>
      <c r="I1448" s="57"/>
      <c r="J1448" s="57"/>
      <c r="L1448" s="164">
        <v>1030</v>
      </c>
    </row>
    <row r="1449" spans="2:12" x14ac:dyDescent="0.3">
      <c r="B1449" s="57">
        <f t="shared" si="125"/>
        <v>1446</v>
      </c>
      <c r="C1449" s="147">
        <v>46166</v>
      </c>
      <c r="D1449" s="57" t="s">
        <v>968</v>
      </c>
      <c r="E1449" s="57" t="s">
        <v>4128</v>
      </c>
      <c r="F1449" s="57" t="s">
        <v>300</v>
      </c>
      <c r="G1449" s="57" t="s">
        <v>530</v>
      </c>
      <c r="H1449" s="140" t="s">
        <v>2935</v>
      </c>
      <c r="I1449" s="57"/>
      <c r="J1449" s="57"/>
      <c r="L1449" s="164">
        <v>10200</v>
      </c>
    </row>
    <row r="1450" spans="2:12" x14ac:dyDescent="0.3">
      <c r="B1450" s="57">
        <f t="shared" si="125"/>
        <v>1447</v>
      </c>
      <c r="C1450" s="147">
        <v>46166</v>
      </c>
      <c r="D1450" s="57" t="s">
        <v>968</v>
      </c>
      <c r="E1450" s="57" t="s">
        <v>4128</v>
      </c>
      <c r="F1450" s="57" t="s">
        <v>446</v>
      </c>
      <c r="G1450" s="57" t="s">
        <v>316</v>
      </c>
      <c r="H1450" s="140" t="s">
        <v>1449</v>
      </c>
      <c r="I1450" s="57"/>
      <c r="J1450" s="57"/>
      <c r="L1450" s="164">
        <v>2100</v>
      </c>
    </row>
    <row r="1451" spans="2:12" x14ac:dyDescent="0.3">
      <c r="B1451" s="57">
        <f t="shared" si="125"/>
        <v>1448</v>
      </c>
      <c r="C1451" s="147">
        <v>46166</v>
      </c>
      <c r="D1451" s="57" t="s">
        <v>968</v>
      </c>
      <c r="E1451" s="57" t="s">
        <v>522</v>
      </c>
      <c r="F1451" s="57" t="s">
        <v>300</v>
      </c>
      <c r="G1451" s="57" t="s">
        <v>530</v>
      </c>
      <c r="H1451" s="140" t="s">
        <v>1450</v>
      </c>
      <c r="I1451" s="57"/>
      <c r="J1451" s="57"/>
      <c r="L1451" s="164">
        <v>6000</v>
      </c>
    </row>
    <row r="1452" spans="2:12" x14ac:dyDescent="0.3">
      <c r="B1452" s="57">
        <f t="shared" si="125"/>
        <v>1449</v>
      </c>
      <c r="C1452" s="147">
        <v>46166</v>
      </c>
      <c r="D1452" s="57" t="s">
        <v>968</v>
      </c>
      <c r="E1452" s="57" t="s">
        <v>532</v>
      </c>
      <c r="F1452" s="57" t="s">
        <v>621</v>
      </c>
      <c r="G1452" s="57" t="s">
        <v>345</v>
      </c>
      <c r="H1452" s="140" t="s">
        <v>1451</v>
      </c>
      <c r="I1452" s="57" t="s">
        <v>532</v>
      </c>
      <c r="J1452" s="57">
        <v>100</v>
      </c>
      <c r="K1452" s="167">
        <f>L1452/J1452</f>
        <v>265</v>
      </c>
      <c r="L1452" s="164">
        <v>26500</v>
      </c>
    </row>
    <row r="1453" spans="2:12" x14ac:dyDescent="0.3">
      <c r="B1453" s="57">
        <f t="shared" si="125"/>
        <v>1450</v>
      </c>
      <c r="C1453" s="143">
        <v>46167</v>
      </c>
      <c r="D1453" s="57" t="s">
        <v>435</v>
      </c>
      <c r="E1453" s="57" t="s">
        <v>477</v>
      </c>
      <c r="F1453" s="57" t="s">
        <v>300</v>
      </c>
      <c r="G1453" s="57" t="s">
        <v>654</v>
      </c>
      <c r="H1453" s="140" t="s">
        <v>653</v>
      </c>
      <c r="I1453" s="57"/>
      <c r="J1453" s="57"/>
      <c r="L1453" s="164">
        <v>20000</v>
      </c>
    </row>
    <row r="1454" spans="2:12" x14ac:dyDescent="0.3">
      <c r="B1454" s="57">
        <f t="shared" si="125"/>
        <v>1451</v>
      </c>
      <c r="C1454" s="143">
        <v>46167</v>
      </c>
      <c r="D1454" s="57" t="s">
        <v>435</v>
      </c>
      <c r="E1454" s="57" t="s">
        <v>551</v>
      </c>
      <c r="F1454" s="57" t="s">
        <v>652</v>
      </c>
      <c r="G1454" s="57" t="s">
        <v>651</v>
      </c>
      <c r="H1454" s="140" t="s">
        <v>650</v>
      </c>
      <c r="I1454" s="57"/>
      <c r="J1454" s="57"/>
      <c r="L1454" s="164">
        <f>1350*30.8</f>
        <v>41580</v>
      </c>
    </row>
    <row r="1455" spans="2:12" x14ac:dyDescent="0.3">
      <c r="B1455" s="57">
        <f t="shared" si="125"/>
        <v>1452</v>
      </c>
      <c r="C1455" s="147">
        <v>46167</v>
      </c>
      <c r="D1455" s="57" t="s">
        <v>968</v>
      </c>
      <c r="E1455" s="57" t="s">
        <v>4128</v>
      </c>
      <c r="F1455" s="57" t="s">
        <v>446</v>
      </c>
      <c r="G1455" s="57" t="s">
        <v>352</v>
      </c>
      <c r="H1455" s="140" t="s">
        <v>2936</v>
      </c>
      <c r="I1455" s="57"/>
      <c r="J1455" s="57"/>
      <c r="L1455" s="164">
        <v>2440</v>
      </c>
    </row>
    <row r="1456" spans="2:12" x14ac:dyDescent="0.3">
      <c r="B1456" s="57">
        <f t="shared" si="125"/>
        <v>1453</v>
      </c>
      <c r="C1456" s="147">
        <v>46167</v>
      </c>
      <c r="D1456" s="57" t="s">
        <v>968</v>
      </c>
      <c r="E1456" s="57" t="s">
        <v>4128</v>
      </c>
      <c r="F1456" s="57" t="s">
        <v>446</v>
      </c>
      <c r="G1456" s="57" t="s">
        <v>352</v>
      </c>
      <c r="H1456" s="140" t="s">
        <v>2937</v>
      </c>
      <c r="I1456" s="57"/>
      <c r="J1456" s="57"/>
      <c r="L1456" s="164">
        <v>1440</v>
      </c>
    </row>
    <row r="1457" spans="2:12" x14ac:dyDescent="0.3">
      <c r="B1457" s="57">
        <f t="shared" si="125"/>
        <v>1454</v>
      </c>
      <c r="C1457" s="147">
        <v>46167</v>
      </c>
      <c r="D1457" s="57" t="s">
        <v>968</v>
      </c>
      <c r="E1457" s="57" t="s">
        <v>560</v>
      </c>
      <c r="F1457" s="57" t="s">
        <v>446</v>
      </c>
      <c r="G1457" s="57" t="s">
        <v>352</v>
      </c>
      <c r="H1457" s="140" t="s">
        <v>1452</v>
      </c>
      <c r="I1457" s="57"/>
      <c r="J1457" s="57"/>
      <c r="L1457" s="164">
        <v>1200</v>
      </c>
    </row>
    <row r="1458" spans="2:12" x14ac:dyDescent="0.3">
      <c r="B1458" s="57">
        <f t="shared" si="125"/>
        <v>1455</v>
      </c>
      <c r="C1458" s="147">
        <v>46167</v>
      </c>
      <c r="D1458" s="57" t="s">
        <v>968</v>
      </c>
      <c r="E1458" s="57" t="s">
        <v>767</v>
      </c>
      <c r="F1458" s="57" t="s">
        <v>446</v>
      </c>
      <c r="G1458" s="57" t="s">
        <v>313</v>
      </c>
      <c r="H1458" s="140" t="s">
        <v>1453</v>
      </c>
      <c r="I1458" s="57"/>
      <c r="J1458" s="57"/>
      <c r="L1458" s="164">
        <v>600</v>
      </c>
    </row>
    <row r="1459" spans="2:12" x14ac:dyDescent="0.3">
      <c r="B1459" s="57">
        <f t="shared" si="125"/>
        <v>1456</v>
      </c>
      <c r="C1459" s="147">
        <v>46167</v>
      </c>
      <c r="D1459" s="57" t="s">
        <v>968</v>
      </c>
      <c r="E1459" s="57" t="s">
        <v>146</v>
      </c>
      <c r="F1459" s="57" t="s">
        <v>502</v>
      </c>
      <c r="G1459" s="57" t="s">
        <v>257</v>
      </c>
      <c r="H1459" s="140" t="s">
        <v>1454</v>
      </c>
      <c r="I1459" s="57"/>
      <c r="J1459" s="165">
        <f t="shared" ref="J1459:J1460" si="128">L1459/K1459</f>
        <v>20.833333333333332</v>
      </c>
      <c r="K1459" s="57">
        <v>96</v>
      </c>
      <c r="L1459" s="164">
        <v>2000</v>
      </c>
    </row>
    <row r="1460" spans="2:12" x14ac:dyDescent="0.3">
      <c r="B1460" s="57">
        <f t="shared" si="125"/>
        <v>1457</v>
      </c>
      <c r="C1460" s="147">
        <v>46167</v>
      </c>
      <c r="D1460" s="57" t="s">
        <v>968</v>
      </c>
      <c r="E1460" s="57" t="s">
        <v>146</v>
      </c>
      <c r="F1460" s="57" t="s">
        <v>300</v>
      </c>
      <c r="G1460" s="57" t="s">
        <v>530</v>
      </c>
      <c r="H1460" s="140" t="s">
        <v>4095</v>
      </c>
      <c r="I1460" s="57"/>
      <c r="J1460" s="165">
        <f t="shared" si="128"/>
        <v>44.416666666666664</v>
      </c>
      <c r="K1460" s="57">
        <v>96</v>
      </c>
      <c r="L1460" s="164">
        <v>4264</v>
      </c>
    </row>
    <row r="1461" spans="2:12" x14ac:dyDescent="0.3">
      <c r="B1461" s="57">
        <f t="shared" si="125"/>
        <v>1458</v>
      </c>
      <c r="C1461" s="147">
        <v>46167</v>
      </c>
      <c r="D1461" s="57" t="s">
        <v>968</v>
      </c>
      <c r="E1461" s="57" t="s">
        <v>767</v>
      </c>
      <c r="F1461" s="57" t="s">
        <v>300</v>
      </c>
      <c r="G1461" s="57" t="s">
        <v>498</v>
      </c>
      <c r="H1461" s="140" t="s">
        <v>1455</v>
      </c>
      <c r="I1461" s="57"/>
      <c r="J1461" s="57"/>
      <c r="L1461" s="164">
        <v>150</v>
      </c>
    </row>
    <row r="1462" spans="2:12" x14ac:dyDescent="0.3">
      <c r="B1462" s="57">
        <f t="shared" si="125"/>
        <v>1459</v>
      </c>
      <c r="C1462" s="147">
        <v>46167</v>
      </c>
      <c r="D1462" s="57" t="s">
        <v>968</v>
      </c>
      <c r="E1462" s="57" t="s">
        <v>574</v>
      </c>
      <c r="F1462" s="57" t="s">
        <v>350</v>
      </c>
      <c r="G1462" s="57" t="s">
        <v>322</v>
      </c>
      <c r="H1462" s="140" t="s">
        <v>1456</v>
      </c>
      <c r="I1462" s="140" t="s">
        <v>4081</v>
      </c>
      <c r="J1462" s="57">
        <v>4</v>
      </c>
      <c r="K1462" s="167">
        <f>L1462/J1462</f>
        <v>505</v>
      </c>
      <c r="L1462" s="164">
        <v>2020</v>
      </c>
    </row>
    <row r="1463" spans="2:12" x14ac:dyDescent="0.3">
      <c r="B1463" s="57">
        <f t="shared" si="125"/>
        <v>1460</v>
      </c>
      <c r="C1463" s="147">
        <v>46167</v>
      </c>
      <c r="D1463" s="57" t="s">
        <v>968</v>
      </c>
      <c r="E1463" s="57" t="s">
        <v>146</v>
      </c>
      <c r="F1463" s="57" t="s">
        <v>300</v>
      </c>
      <c r="G1463" s="57" t="s">
        <v>438</v>
      </c>
      <c r="H1463" s="140" t="s">
        <v>4110</v>
      </c>
      <c r="I1463" s="57"/>
      <c r="J1463" s="165">
        <f>L1463/K1463</f>
        <v>31.25</v>
      </c>
      <c r="K1463" s="57">
        <v>96</v>
      </c>
      <c r="L1463" s="164">
        <v>3000</v>
      </c>
    </row>
    <row r="1464" spans="2:12" x14ac:dyDescent="0.3">
      <c r="B1464" s="57">
        <f t="shared" si="125"/>
        <v>1461</v>
      </c>
      <c r="C1464" s="147">
        <v>46167</v>
      </c>
      <c r="D1464" s="57" t="s">
        <v>968</v>
      </c>
      <c r="E1464" s="57" t="s">
        <v>434</v>
      </c>
      <c r="F1464" s="57" t="s">
        <v>300</v>
      </c>
      <c r="G1464" s="57" t="s">
        <v>530</v>
      </c>
      <c r="H1464" s="140" t="s">
        <v>1457</v>
      </c>
      <c r="I1464" s="57"/>
      <c r="J1464" s="57"/>
      <c r="L1464" s="164">
        <v>15000</v>
      </c>
    </row>
    <row r="1465" spans="2:12" x14ac:dyDescent="0.3">
      <c r="B1465" s="57">
        <f t="shared" si="125"/>
        <v>1462</v>
      </c>
      <c r="C1465" s="147">
        <v>46167</v>
      </c>
      <c r="D1465" s="57" t="s">
        <v>968</v>
      </c>
      <c r="E1465" s="57" t="s">
        <v>574</v>
      </c>
      <c r="F1465" s="57" t="s">
        <v>350</v>
      </c>
      <c r="G1465" s="57" t="s">
        <v>322</v>
      </c>
      <c r="H1465" s="140" t="s">
        <v>1458</v>
      </c>
      <c r="I1465" s="140" t="s">
        <v>2635</v>
      </c>
      <c r="J1465" s="57">
        <v>4</v>
      </c>
      <c r="K1465" s="167">
        <f>L1465/J1465</f>
        <v>505</v>
      </c>
      <c r="L1465" s="164">
        <v>2020</v>
      </c>
    </row>
    <row r="1466" spans="2:12" x14ac:dyDescent="0.3">
      <c r="B1466" s="57">
        <f t="shared" si="125"/>
        <v>1463</v>
      </c>
      <c r="C1466" s="147">
        <v>46167</v>
      </c>
      <c r="D1466" s="57" t="s">
        <v>968</v>
      </c>
      <c r="E1466" s="57" t="s">
        <v>522</v>
      </c>
      <c r="F1466" s="57" t="s">
        <v>621</v>
      </c>
      <c r="G1466" s="57" t="s">
        <v>345</v>
      </c>
      <c r="H1466" s="140" t="s">
        <v>1459</v>
      </c>
      <c r="I1466" s="57"/>
      <c r="J1466" s="57"/>
      <c r="L1466" s="164">
        <v>11000</v>
      </c>
    </row>
    <row r="1467" spans="2:12" x14ac:dyDescent="0.3">
      <c r="B1467" s="57">
        <f t="shared" si="125"/>
        <v>1464</v>
      </c>
      <c r="C1467" s="147">
        <v>46167</v>
      </c>
      <c r="D1467" s="57" t="s">
        <v>968</v>
      </c>
      <c r="E1467" s="57" t="s">
        <v>522</v>
      </c>
      <c r="F1467" s="57" t="s">
        <v>350</v>
      </c>
      <c r="G1467" s="57" t="s">
        <v>663</v>
      </c>
      <c r="H1467" s="140" t="s">
        <v>1460</v>
      </c>
      <c r="I1467" s="57"/>
      <c r="J1467" s="57"/>
      <c r="L1467" s="164">
        <v>6000</v>
      </c>
    </row>
    <row r="1468" spans="2:12" x14ac:dyDescent="0.3">
      <c r="B1468" s="57">
        <f t="shared" si="125"/>
        <v>1465</v>
      </c>
      <c r="C1468" s="147">
        <v>46167</v>
      </c>
      <c r="D1468" s="57" t="s">
        <v>968</v>
      </c>
      <c r="E1468" s="57" t="s">
        <v>434</v>
      </c>
      <c r="F1468" s="57" t="s">
        <v>446</v>
      </c>
      <c r="G1468" s="57" t="s">
        <v>313</v>
      </c>
      <c r="H1468" s="140" t="s">
        <v>1461</v>
      </c>
      <c r="I1468" s="57"/>
      <c r="J1468" s="57"/>
      <c r="L1468" s="164">
        <v>1680</v>
      </c>
    </row>
    <row r="1469" spans="2:12" x14ac:dyDescent="0.3">
      <c r="B1469" s="57">
        <f t="shared" si="125"/>
        <v>1466</v>
      </c>
      <c r="C1469" s="147">
        <v>46167</v>
      </c>
      <c r="D1469" s="57" t="s">
        <v>968</v>
      </c>
      <c r="E1469" s="57" t="s">
        <v>146</v>
      </c>
      <c r="F1469" s="57" t="s">
        <v>446</v>
      </c>
      <c r="G1469" s="57" t="s">
        <v>313</v>
      </c>
      <c r="H1469" s="140" t="s">
        <v>1462</v>
      </c>
      <c r="I1469" s="57"/>
      <c r="J1469" s="165">
        <f>L1469/K1469</f>
        <v>26.041666666666668</v>
      </c>
      <c r="K1469" s="57">
        <v>96</v>
      </c>
      <c r="L1469" s="164">
        <v>2500</v>
      </c>
    </row>
    <row r="1470" spans="2:12" x14ac:dyDescent="0.3">
      <c r="B1470" s="57">
        <f t="shared" si="125"/>
        <v>1467</v>
      </c>
      <c r="C1470" s="147">
        <v>46167</v>
      </c>
      <c r="D1470" s="57" t="s">
        <v>968</v>
      </c>
      <c r="E1470" s="57" t="s">
        <v>434</v>
      </c>
      <c r="F1470" s="57" t="s">
        <v>446</v>
      </c>
      <c r="G1470" s="57" t="s">
        <v>313</v>
      </c>
      <c r="H1470" s="140" t="s">
        <v>1463</v>
      </c>
      <c r="I1470" s="57"/>
      <c r="J1470" s="57"/>
      <c r="L1470" s="164">
        <v>10000</v>
      </c>
    </row>
    <row r="1471" spans="2:12" x14ac:dyDescent="0.3">
      <c r="B1471" s="57">
        <f t="shared" si="125"/>
        <v>1468</v>
      </c>
      <c r="C1471" s="147">
        <v>46167</v>
      </c>
      <c r="D1471" s="57" t="s">
        <v>968</v>
      </c>
      <c r="E1471" s="57" t="s">
        <v>434</v>
      </c>
      <c r="F1471" s="57" t="s">
        <v>446</v>
      </c>
      <c r="G1471" s="57" t="s">
        <v>313</v>
      </c>
      <c r="H1471" s="140" t="s">
        <v>1464</v>
      </c>
      <c r="I1471" s="57"/>
      <c r="J1471" s="57"/>
      <c r="L1471" s="164">
        <v>200</v>
      </c>
    </row>
    <row r="1472" spans="2:12" x14ac:dyDescent="0.3">
      <c r="B1472" s="57">
        <f t="shared" si="125"/>
        <v>1469</v>
      </c>
      <c r="C1472" s="147">
        <v>46167</v>
      </c>
      <c r="D1472" s="57" t="s">
        <v>968</v>
      </c>
      <c r="E1472" s="57" t="s">
        <v>2022</v>
      </c>
      <c r="F1472" s="57" t="s">
        <v>683</v>
      </c>
      <c r="G1472" s="57" t="s">
        <v>997</v>
      </c>
      <c r="H1472" s="140" t="s">
        <v>1465</v>
      </c>
      <c r="I1472" s="57"/>
      <c r="J1472" s="57"/>
      <c r="L1472" s="164">
        <v>10795</v>
      </c>
    </row>
    <row r="1473" spans="2:12" x14ac:dyDescent="0.3">
      <c r="B1473" s="57">
        <f t="shared" si="125"/>
        <v>1470</v>
      </c>
      <c r="C1473" s="147">
        <v>46167</v>
      </c>
      <c r="D1473" s="57" t="s">
        <v>968</v>
      </c>
      <c r="E1473" s="57" t="s">
        <v>146</v>
      </c>
      <c r="F1473" s="57" t="s">
        <v>436</v>
      </c>
      <c r="G1473" s="57" t="s">
        <v>270</v>
      </c>
      <c r="H1473" s="140" t="s">
        <v>4112</v>
      </c>
      <c r="I1473" s="57" t="s">
        <v>146</v>
      </c>
      <c r="J1473" s="165">
        <f>L1473/K1473</f>
        <v>39.583333333333336</v>
      </c>
      <c r="K1473" s="57">
        <v>96</v>
      </c>
      <c r="L1473" s="164">
        <v>3800</v>
      </c>
    </row>
    <row r="1474" spans="2:12" x14ac:dyDescent="0.3">
      <c r="B1474" s="57">
        <f t="shared" si="125"/>
        <v>1471</v>
      </c>
      <c r="C1474" s="147">
        <v>46167</v>
      </c>
      <c r="D1474" s="57" t="s">
        <v>968</v>
      </c>
      <c r="E1474" s="57" t="s">
        <v>4128</v>
      </c>
      <c r="F1474" s="57" t="s">
        <v>621</v>
      </c>
      <c r="G1474" s="57" t="s">
        <v>345</v>
      </c>
      <c r="H1474" s="140" t="s">
        <v>1466</v>
      </c>
      <c r="I1474" s="57"/>
      <c r="J1474" s="57"/>
      <c r="L1474" s="164">
        <v>500</v>
      </c>
    </row>
    <row r="1475" spans="2:12" x14ac:dyDescent="0.3">
      <c r="B1475" s="57">
        <f t="shared" si="125"/>
        <v>1472</v>
      </c>
      <c r="C1475" s="147">
        <v>46167</v>
      </c>
      <c r="D1475" s="57" t="s">
        <v>968</v>
      </c>
      <c r="E1475" s="57" t="s">
        <v>590</v>
      </c>
      <c r="F1475" s="57" t="s">
        <v>350</v>
      </c>
      <c r="G1475" s="57" t="s">
        <v>663</v>
      </c>
      <c r="H1475" s="140" t="s">
        <v>1467</v>
      </c>
      <c r="I1475" s="57"/>
      <c r="J1475" s="57"/>
      <c r="L1475" s="164">
        <v>120</v>
      </c>
    </row>
    <row r="1476" spans="2:12" x14ac:dyDescent="0.3">
      <c r="B1476" s="57">
        <f t="shared" si="125"/>
        <v>1473</v>
      </c>
      <c r="C1476" s="143">
        <v>46168</v>
      </c>
      <c r="D1476" s="57" t="s">
        <v>435</v>
      </c>
      <c r="E1476" s="57" t="s">
        <v>2390</v>
      </c>
      <c r="F1476" s="57" t="s">
        <v>300</v>
      </c>
      <c r="G1476" s="57" t="s">
        <v>438</v>
      </c>
      <c r="H1476" s="140" t="s">
        <v>656</v>
      </c>
      <c r="I1476" s="57"/>
      <c r="J1476" s="57"/>
      <c r="L1476" s="164">
        <v>80000</v>
      </c>
    </row>
    <row r="1477" spans="2:12" x14ac:dyDescent="0.3">
      <c r="B1477" s="57">
        <f t="shared" si="125"/>
        <v>1474</v>
      </c>
      <c r="C1477" s="143">
        <v>46168</v>
      </c>
      <c r="D1477" s="57" t="s">
        <v>435</v>
      </c>
      <c r="E1477" s="57" t="s">
        <v>473</v>
      </c>
      <c r="F1477" s="57" t="s">
        <v>300</v>
      </c>
      <c r="G1477" s="57" t="s">
        <v>654</v>
      </c>
      <c r="H1477" s="140" t="s">
        <v>655</v>
      </c>
      <c r="I1477" s="57"/>
      <c r="J1477" s="57"/>
      <c r="L1477" s="164">
        <v>20354</v>
      </c>
    </row>
    <row r="1478" spans="2:12" x14ac:dyDescent="0.3">
      <c r="B1478" s="57">
        <f t="shared" ref="B1478:B1541" si="129">+B1477+1</f>
        <v>1475</v>
      </c>
      <c r="C1478" s="147">
        <v>46168</v>
      </c>
      <c r="D1478" s="57" t="s">
        <v>968</v>
      </c>
      <c r="E1478" s="57" t="s">
        <v>2022</v>
      </c>
      <c r="F1478" s="57" t="s">
        <v>621</v>
      </c>
      <c r="G1478" s="57" t="s">
        <v>345</v>
      </c>
      <c r="H1478" s="140" t="s">
        <v>1468</v>
      </c>
      <c r="I1478" s="57"/>
      <c r="J1478" s="57"/>
      <c r="L1478" s="164">
        <v>2690</v>
      </c>
    </row>
    <row r="1479" spans="2:12" x14ac:dyDescent="0.3">
      <c r="B1479" s="57">
        <f t="shared" si="129"/>
        <v>1476</v>
      </c>
      <c r="C1479" s="147">
        <v>46168</v>
      </c>
      <c r="D1479" s="57" t="s">
        <v>968</v>
      </c>
      <c r="E1479" s="57" t="s">
        <v>2022</v>
      </c>
      <c r="F1479" s="57" t="s">
        <v>300</v>
      </c>
      <c r="G1479" s="57" t="s">
        <v>993</v>
      </c>
      <c r="H1479" s="140" t="s">
        <v>1469</v>
      </c>
      <c r="I1479" s="57"/>
      <c r="J1479" s="57"/>
      <c r="L1479" s="164">
        <v>600</v>
      </c>
    </row>
    <row r="1480" spans="2:12" x14ac:dyDescent="0.3">
      <c r="B1480" s="57">
        <f t="shared" si="129"/>
        <v>1477</v>
      </c>
      <c r="C1480" s="147">
        <v>46168</v>
      </c>
      <c r="D1480" s="57" t="s">
        <v>968</v>
      </c>
      <c r="E1480" s="57" t="s">
        <v>434</v>
      </c>
      <c r="F1480" s="57" t="s">
        <v>350</v>
      </c>
      <c r="G1480" s="57" t="s">
        <v>663</v>
      </c>
      <c r="H1480" s="140" t="s">
        <v>1470</v>
      </c>
      <c r="I1480" s="57"/>
      <c r="J1480" s="57"/>
      <c r="L1480" s="164">
        <v>1560</v>
      </c>
    </row>
    <row r="1481" spans="2:12" x14ac:dyDescent="0.3">
      <c r="B1481" s="57">
        <f t="shared" si="129"/>
        <v>1478</v>
      </c>
      <c r="C1481" s="147">
        <v>46168</v>
      </c>
      <c r="D1481" s="57" t="s">
        <v>968</v>
      </c>
      <c r="E1481" s="57" t="s">
        <v>146</v>
      </c>
      <c r="F1481" s="57" t="s">
        <v>683</v>
      </c>
      <c r="G1481" s="57" t="s">
        <v>999</v>
      </c>
      <c r="H1481" s="140" t="s">
        <v>1471</v>
      </c>
      <c r="I1481" s="57"/>
      <c r="J1481" s="165">
        <f t="shared" ref="J1481:J1483" si="130">L1481/K1481</f>
        <v>35.416666666666664</v>
      </c>
      <c r="K1481" s="57">
        <v>96</v>
      </c>
      <c r="L1481" s="164">
        <v>3400</v>
      </c>
    </row>
    <row r="1482" spans="2:12" x14ac:dyDescent="0.3">
      <c r="B1482" s="57">
        <f t="shared" si="129"/>
        <v>1479</v>
      </c>
      <c r="C1482" s="147">
        <v>46168</v>
      </c>
      <c r="D1482" s="57" t="s">
        <v>968</v>
      </c>
      <c r="E1482" s="57" t="s">
        <v>146</v>
      </c>
      <c r="F1482" s="57" t="s">
        <v>300</v>
      </c>
      <c r="G1482" s="57" t="s">
        <v>498</v>
      </c>
      <c r="H1482" s="140" t="s">
        <v>4088</v>
      </c>
      <c r="I1482" s="57"/>
      <c r="J1482" s="165">
        <f t="shared" si="130"/>
        <v>60.416666666666664</v>
      </c>
      <c r="K1482" s="57">
        <v>96</v>
      </c>
      <c r="L1482" s="164">
        <v>5800</v>
      </c>
    </row>
    <row r="1483" spans="2:12" x14ac:dyDescent="0.3">
      <c r="B1483" s="57">
        <f t="shared" si="129"/>
        <v>1480</v>
      </c>
      <c r="C1483" s="147">
        <v>46168</v>
      </c>
      <c r="D1483" s="57" t="s">
        <v>968</v>
      </c>
      <c r="E1483" s="57" t="s">
        <v>146</v>
      </c>
      <c r="F1483" s="57" t="s">
        <v>300</v>
      </c>
      <c r="G1483" s="57" t="s">
        <v>530</v>
      </c>
      <c r="H1483" s="140" t="s">
        <v>1472</v>
      </c>
      <c r="I1483" s="57"/>
      <c r="J1483" s="165">
        <f t="shared" si="130"/>
        <v>46.5625</v>
      </c>
      <c r="K1483" s="57">
        <v>96</v>
      </c>
      <c r="L1483" s="164">
        <v>4470</v>
      </c>
    </row>
    <row r="1484" spans="2:12" x14ac:dyDescent="0.3">
      <c r="B1484" s="57">
        <f t="shared" si="129"/>
        <v>1481</v>
      </c>
      <c r="C1484" s="147">
        <v>46168</v>
      </c>
      <c r="D1484" s="57" t="s">
        <v>968</v>
      </c>
      <c r="E1484" s="57" t="s">
        <v>574</v>
      </c>
      <c r="F1484" s="57" t="s">
        <v>350</v>
      </c>
      <c r="G1484" s="57" t="s">
        <v>322</v>
      </c>
      <c r="H1484" s="140" t="s">
        <v>1473</v>
      </c>
      <c r="I1484" s="140" t="s">
        <v>2635</v>
      </c>
      <c r="J1484" s="57">
        <v>4</v>
      </c>
      <c r="K1484" s="167">
        <f>L1484/J1484</f>
        <v>615</v>
      </c>
      <c r="L1484" s="164">
        <v>2460</v>
      </c>
    </row>
    <row r="1485" spans="2:12" x14ac:dyDescent="0.3">
      <c r="B1485" s="57">
        <f t="shared" si="129"/>
        <v>1482</v>
      </c>
      <c r="C1485" s="147">
        <v>46168</v>
      </c>
      <c r="D1485" s="57" t="s">
        <v>968</v>
      </c>
      <c r="E1485" s="57" t="s">
        <v>962</v>
      </c>
      <c r="F1485" s="57" t="s">
        <v>436</v>
      </c>
      <c r="G1485" s="57" t="s">
        <v>987</v>
      </c>
      <c r="H1485" s="140" t="s">
        <v>1474</v>
      </c>
      <c r="I1485" s="57"/>
      <c r="J1485" s="57"/>
      <c r="L1485" s="164">
        <v>9520</v>
      </c>
    </row>
    <row r="1486" spans="2:12" x14ac:dyDescent="0.3">
      <c r="B1486" s="57">
        <f t="shared" si="129"/>
        <v>1483</v>
      </c>
      <c r="C1486" s="147">
        <v>46168</v>
      </c>
      <c r="D1486" s="57" t="s">
        <v>968</v>
      </c>
      <c r="E1486" s="57" t="s">
        <v>146</v>
      </c>
      <c r="F1486" s="57" t="s">
        <v>502</v>
      </c>
      <c r="G1486" s="57" t="s">
        <v>257</v>
      </c>
      <c r="H1486" s="140" t="s">
        <v>4100</v>
      </c>
      <c r="I1486" s="57"/>
      <c r="J1486" s="165">
        <f t="shared" ref="J1486:J1487" si="131">L1486/K1486</f>
        <v>31.25</v>
      </c>
      <c r="K1486" s="57">
        <v>96</v>
      </c>
      <c r="L1486" s="164">
        <v>3000</v>
      </c>
    </row>
    <row r="1487" spans="2:12" x14ac:dyDescent="0.3">
      <c r="B1487" s="57">
        <f t="shared" si="129"/>
        <v>1484</v>
      </c>
      <c r="C1487" s="147">
        <v>46168</v>
      </c>
      <c r="D1487" s="57" t="s">
        <v>968</v>
      </c>
      <c r="E1487" s="57" t="s">
        <v>146</v>
      </c>
      <c r="F1487" s="57" t="s">
        <v>446</v>
      </c>
      <c r="G1487" s="57" t="s">
        <v>990</v>
      </c>
      <c r="H1487" s="140" t="s">
        <v>885</v>
      </c>
      <c r="I1487" s="57"/>
      <c r="J1487" s="165">
        <f t="shared" si="131"/>
        <v>20.833333333333332</v>
      </c>
      <c r="K1487" s="57">
        <v>96</v>
      </c>
      <c r="L1487" s="164">
        <v>2000</v>
      </c>
    </row>
    <row r="1488" spans="2:12" x14ac:dyDescent="0.3">
      <c r="B1488" s="57">
        <f t="shared" si="129"/>
        <v>1485</v>
      </c>
      <c r="C1488" s="147">
        <v>46168</v>
      </c>
      <c r="D1488" s="57" t="s">
        <v>968</v>
      </c>
      <c r="E1488" s="57" t="s">
        <v>767</v>
      </c>
      <c r="F1488" s="57" t="s">
        <v>300</v>
      </c>
      <c r="G1488" s="57" t="s">
        <v>994</v>
      </c>
      <c r="H1488" s="140" t="s">
        <v>1475</v>
      </c>
      <c r="I1488" s="57"/>
      <c r="J1488" s="57"/>
      <c r="L1488" s="164">
        <v>1100</v>
      </c>
    </row>
    <row r="1489" spans="2:12" x14ac:dyDescent="0.3">
      <c r="B1489" s="57">
        <f t="shared" si="129"/>
        <v>1486</v>
      </c>
      <c r="C1489" s="147">
        <v>46168</v>
      </c>
      <c r="D1489" s="57" t="s">
        <v>968</v>
      </c>
      <c r="E1489" s="57" t="s">
        <v>146</v>
      </c>
      <c r="F1489" s="57" t="s">
        <v>350</v>
      </c>
      <c r="G1489" s="57" t="s">
        <v>322</v>
      </c>
      <c r="H1489" s="140" t="s">
        <v>1476</v>
      </c>
      <c r="I1489" s="57"/>
      <c r="J1489" s="165">
        <f>L1489/K1489</f>
        <v>31.25</v>
      </c>
      <c r="K1489" s="57">
        <v>96</v>
      </c>
      <c r="L1489" s="164">
        <v>3000</v>
      </c>
    </row>
    <row r="1490" spans="2:12" x14ac:dyDescent="0.3">
      <c r="B1490" s="57">
        <f t="shared" si="129"/>
        <v>1487</v>
      </c>
      <c r="C1490" s="147">
        <v>46168</v>
      </c>
      <c r="D1490" s="57" t="s">
        <v>968</v>
      </c>
      <c r="E1490" s="57" t="s">
        <v>434</v>
      </c>
      <c r="F1490" s="57" t="s">
        <v>300</v>
      </c>
      <c r="G1490" s="57" t="s">
        <v>530</v>
      </c>
      <c r="H1490" s="140" t="s">
        <v>1477</v>
      </c>
      <c r="I1490" s="57"/>
      <c r="J1490" s="57"/>
      <c r="L1490" s="164">
        <v>7700</v>
      </c>
    </row>
    <row r="1491" spans="2:12" x14ac:dyDescent="0.3">
      <c r="B1491" s="57">
        <f t="shared" si="129"/>
        <v>1488</v>
      </c>
      <c r="C1491" s="147">
        <v>46168</v>
      </c>
      <c r="D1491" s="57" t="s">
        <v>968</v>
      </c>
      <c r="E1491" s="57" t="s">
        <v>434</v>
      </c>
      <c r="F1491" s="57" t="s">
        <v>350</v>
      </c>
      <c r="G1491" s="57" t="s">
        <v>322</v>
      </c>
      <c r="H1491" s="140" t="s">
        <v>1478</v>
      </c>
      <c r="I1491" s="57"/>
      <c r="J1491" s="57"/>
      <c r="L1491" s="164">
        <v>2400</v>
      </c>
    </row>
    <row r="1492" spans="2:12" x14ac:dyDescent="0.3">
      <c r="B1492" s="57">
        <f t="shared" si="129"/>
        <v>1489</v>
      </c>
      <c r="C1492" s="147">
        <v>46168</v>
      </c>
      <c r="D1492" s="57" t="s">
        <v>968</v>
      </c>
      <c r="E1492" s="57" t="s">
        <v>574</v>
      </c>
      <c r="F1492" s="57" t="s">
        <v>350</v>
      </c>
      <c r="G1492" s="57" t="s">
        <v>322</v>
      </c>
      <c r="H1492" s="140" t="s">
        <v>1479</v>
      </c>
      <c r="I1492" s="140" t="s">
        <v>4081</v>
      </c>
      <c r="J1492" s="57">
        <v>4</v>
      </c>
      <c r="K1492" s="168">
        <f>L1492/J1492</f>
        <v>497.5</v>
      </c>
      <c r="L1492" s="164">
        <v>1990</v>
      </c>
    </row>
    <row r="1493" spans="2:12" x14ac:dyDescent="0.3">
      <c r="B1493" s="57">
        <f t="shared" si="129"/>
        <v>1490</v>
      </c>
      <c r="C1493" s="147">
        <v>46168</v>
      </c>
      <c r="D1493" s="57" t="s">
        <v>968</v>
      </c>
      <c r="E1493" s="57" t="s">
        <v>574</v>
      </c>
      <c r="F1493" s="57" t="s">
        <v>502</v>
      </c>
      <c r="G1493" s="57" t="s">
        <v>257</v>
      </c>
      <c r="H1493" s="140" t="s">
        <v>1480</v>
      </c>
      <c r="I1493" s="140" t="s">
        <v>4081</v>
      </c>
      <c r="J1493" s="57">
        <v>8</v>
      </c>
      <c r="K1493" s="57">
        <f>L1493/J1493</f>
        <v>681.25</v>
      </c>
      <c r="L1493" s="164">
        <v>5450</v>
      </c>
    </row>
    <row r="1494" spans="2:12" x14ac:dyDescent="0.3">
      <c r="B1494" s="57">
        <f t="shared" si="129"/>
        <v>1491</v>
      </c>
      <c r="C1494" s="147">
        <v>46168</v>
      </c>
      <c r="D1494" s="57" t="s">
        <v>968</v>
      </c>
      <c r="E1494" s="57" t="s">
        <v>560</v>
      </c>
      <c r="F1494" s="57" t="s">
        <v>261</v>
      </c>
      <c r="G1494" s="57" t="s">
        <v>709</v>
      </c>
      <c r="H1494" s="140" t="s">
        <v>1481</v>
      </c>
      <c r="I1494" s="57"/>
      <c r="J1494" s="57"/>
      <c r="L1494" s="164">
        <v>360</v>
      </c>
    </row>
    <row r="1495" spans="2:12" x14ac:dyDescent="0.3">
      <c r="B1495" s="57">
        <f t="shared" si="129"/>
        <v>1492</v>
      </c>
      <c r="C1495" s="147">
        <v>46168</v>
      </c>
      <c r="D1495" s="57" t="s">
        <v>968</v>
      </c>
      <c r="E1495" s="57" t="s">
        <v>434</v>
      </c>
      <c r="F1495" s="57" t="s">
        <v>300</v>
      </c>
      <c r="G1495" s="57" t="s">
        <v>498</v>
      </c>
      <c r="H1495" s="140" t="s">
        <v>1482</v>
      </c>
      <c r="I1495" s="57"/>
      <c r="J1495" s="57"/>
      <c r="L1495" s="164">
        <v>160</v>
      </c>
    </row>
    <row r="1496" spans="2:12" x14ac:dyDescent="0.3">
      <c r="B1496" s="57">
        <f t="shared" si="129"/>
        <v>1493</v>
      </c>
      <c r="C1496" s="147">
        <v>46168</v>
      </c>
      <c r="D1496" s="57" t="s">
        <v>968</v>
      </c>
      <c r="E1496" s="57" t="s">
        <v>574</v>
      </c>
      <c r="F1496" s="57" t="s">
        <v>350</v>
      </c>
      <c r="G1496" s="57" t="s">
        <v>322</v>
      </c>
      <c r="H1496" s="140" t="s">
        <v>1483</v>
      </c>
      <c r="I1496" s="140" t="s">
        <v>4081</v>
      </c>
      <c r="J1496" s="57">
        <v>4</v>
      </c>
      <c r="K1496" s="167">
        <f>L1496/J1496</f>
        <v>550</v>
      </c>
      <c r="L1496" s="164">
        <v>2200</v>
      </c>
    </row>
    <row r="1497" spans="2:12" x14ac:dyDescent="0.3">
      <c r="B1497" s="57">
        <f t="shared" si="129"/>
        <v>1494</v>
      </c>
      <c r="C1497" s="147">
        <v>46168</v>
      </c>
      <c r="D1497" s="57" t="s">
        <v>968</v>
      </c>
      <c r="E1497" s="57" t="s">
        <v>532</v>
      </c>
      <c r="F1497" s="57" t="s">
        <v>300</v>
      </c>
      <c r="G1497" s="57" t="s">
        <v>498</v>
      </c>
      <c r="H1497" s="140" t="s">
        <v>1484</v>
      </c>
      <c r="I1497" s="57" t="s">
        <v>532</v>
      </c>
      <c r="J1497" s="57">
        <v>2</v>
      </c>
      <c r="K1497" s="167">
        <f>L1497/J1497</f>
        <v>300</v>
      </c>
      <c r="L1497" s="164">
        <v>600</v>
      </c>
    </row>
    <row r="1498" spans="2:12" x14ac:dyDescent="0.3">
      <c r="B1498" s="57">
        <f t="shared" si="129"/>
        <v>1495</v>
      </c>
      <c r="C1498" s="147">
        <v>46168</v>
      </c>
      <c r="D1498" s="57" t="s">
        <v>968</v>
      </c>
      <c r="E1498" s="57" t="s">
        <v>574</v>
      </c>
      <c r="F1498" s="57" t="s">
        <v>300</v>
      </c>
      <c r="G1498" s="57" t="s">
        <v>2330</v>
      </c>
      <c r="H1498" s="140" t="s">
        <v>1485</v>
      </c>
      <c r="I1498" s="140" t="s">
        <v>2635</v>
      </c>
      <c r="J1498" s="57">
        <v>4</v>
      </c>
      <c r="K1498" s="57">
        <f>L1498/J1498</f>
        <v>825</v>
      </c>
      <c r="L1498" s="164">
        <v>3300</v>
      </c>
    </row>
    <row r="1499" spans="2:12" x14ac:dyDescent="0.3">
      <c r="B1499" s="57">
        <f t="shared" si="129"/>
        <v>1496</v>
      </c>
      <c r="C1499" s="147">
        <v>46168</v>
      </c>
      <c r="D1499" s="57" t="s">
        <v>968</v>
      </c>
      <c r="E1499" s="57" t="s">
        <v>460</v>
      </c>
      <c r="F1499" s="57" t="s">
        <v>446</v>
      </c>
      <c r="G1499" s="57" t="s">
        <v>649</v>
      </c>
      <c r="H1499" s="140" t="s">
        <v>1486</v>
      </c>
      <c r="I1499" s="57"/>
      <c r="J1499" s="57"/>
      <c r="L1499" s="164">
        <v>850</v>
      </c>
    </row>
    <row r="1500" spans="2:12" x14ac:dyDescent="0.3">
      <c r="B1500" s="57">
        <f t="shared" si="129"/>
        <v>1497</v>
      </c>
      <c r="C1500" s="143">
        <v>46168</v>
      </c>
      <c r="D1500" s="57" t="s">
        <v>435</v>
      </c>
      <c r="E1500" s="57" t="s">
        <v>2427</v>
      </c>
      <c r="F1500" s="57" t="s">
        <v>2586</v>
      </c>
      <c r="G1500" s="57" t="s">
        <v>2587</v>
      </c>
      <c r="H1500" s="140" t="s">
        <v>4138</v>
      </c>
      <c r="I1500" s="57" t="s">
        <v>4078</v>
      </c>
      <c r="J1500" s="57">
        <v>1000</v>
      </c>
      <c r="K1500" s="57">
        <v>61</v>
      </c>
      <c r="L1500" s="164">
        <f>J1500*K1500</f>
        <v>61000</v>
      </c>
    </row>
    <row r="1501" spans="2:12" x14ac:dyDescent="0.3">
      <c r="B1501" s="57">
        <f t="shared" si="129"/>
        <v>1498</v>
      </c>
      <c r="C1501" s="143">
        <v>46168</v>
      </c>
      <c r="D1501" s="57" t="s">
        <v>435</v>
      </c>
      <c r="E1501" s="57" t="s">
        <v>2427</v>
      </c>
      <c r="F1501" s="57" t="s">
        <v>2586</v>
      </c>
      <c r="G1501" s="57" t="s">
        <v>2587</v>
      </c>
      <c r="H1501" s="140" t="s">
        <v>4079</v>
      </c>
      <c r="I1501" s="57" t="s">
        <v>4079</v>
      </c>
      <c r="J1501" s="57">
        <v>500</v>
      </c>
      <c r="K1501" s="168">
        <f>L1501/J1501</f>
        <v>62.5</v>
      </c>
      <c r="L1501" s="164">
        <v>31250</v>
      </c>
    </row>
    <row r="1502" spans="2:12" x14ac:dyDescent="0.3">
      <c r="B1502" s="57">
        <f t="shared" si="129"/>
        <v>1499</v>
      </c>
      <c r="C1502" s="143">
        <v>46168</v>
      </c>
      <c r="D1502" s="57" t="s">
        <v>435</v>
      </c>
      <c r="E1502" s="57" t="s">
        <v>2427</v>
      </c>
      <c r="F1502" s="57" t="s">
        <v>2586</v>
      </c>
      <c r="G1502" s="57" t="s">
        <v>2587</v>
      </c>
      <c r="H1502" s="140" t="s">
        <v>4137</v>
      </c>
      <c r="I1502" s="57" t="s">
        <v>4080</v>
      </c>
      <c r="J1502" s="57">
        <v>490</v>
      </c>
      <c r="K1502" s="168">
        <f>L1502/J1502</f>
        <v>62.8</v>
      </c>
      <c r="L1502" s="164">
        <v>30772</v>
      </c>
    </row>
    <row r="1503" spans="2:12" x14ac:dyDescent="0.3">
      <c r="B1503" s="57">
        <f t="shared" si="129"/>
        <v>1500</v>
      </c>
      <c r="C1503" s="143">
        <v>46168</v>
      </c>
      <c r="D1503" s="57" t="s">
        <v>435</v>
      </c>
      <c r="E1503" s="57" t="s">
        <v>986</v>
      </c>
      <c r="F1503" s="57" t="s">
        <v>2586</v>
      </c>
      <c r="G1503" s="57" t="s">
        <v>2587</v>
      </c>
      <c r="H1503" s="140" t="s">
        <v>986</v>
      </c>
      <c r="I1503" s="57" t="s">
        <v>986</v>
      </c>
      <c r="J1503" s="57">
        <v>25</v>
      </c>
      <c r="K1503" s="167">
        <f>L1503/J1503</f>
        <v>90</v>
      </c>
      <c r="L1503" s="164">
        <v>2250</v>
      </c>
    </row>
    <row r="1504" spans="2:12" x14ac:dyDescent="0.3">
      <c r="B1504" s="57">
        <f t="shared" si="129"/>
        <v>1501</v>
      </c>
      <c r="C1504" s="143">
        <v>46168</v>
      </c>
      <c r="D1504" s="57" t="s">
        <v>435</v>
      </c>
      <c r="E1504" s="57" t="s">
        <v>4128</v>
      </c>
      <c r="F1504" s="57" t="s">
        <v>2586</v>
      </c>
      <c r="G1504" s="57" t="s">
        <v>2587</v>
      </c>
      <c r="H1504" s="140" t="s">
        <v>4136</v>
      </c>
      <c r="I1504" s="57"/>
      <c r="J1504" s="57"/>
      <c r="L1504" s="164">
        <v>300</v>
      </c>
    </row>
    <row r="1505" spans="2:13" x14ac:dyDescent="0.3">
      <c r="B1505" s="57">
        <f t="shared" si="129"/>
        <v>1502</v>
      </c>
      <c r="C1505" s="143">
        <v>46168</v>
      </c>
      <c r="D1505" s="57" t="s">
        <v>435</v>
      </c>
      <c r="E1505" s="57" t="s">
        <v>522</v>
      </c>
      <c r="F1505" s="57" t="s">
        <v>2586</v>
      </c>
      <c r="G1505" s="57" t="s">
        <v>2587</v>
      </c>
      <c r="H1505" s="140" t="s">
        <v>2145</v>
      </c>
      <c r="I1505" s="57"/>
      <c r="J1505" s="57"/>
      <c r="L1505" s="164">
        <v>1000</v>
      </c>
    </row>
    <row r="1506" spans="2:13" s="175" customFormat="1" x14ac:dyDescent="0.3">
      <c r="B1506" s="57">
        <f t="shared" si="129"/>
        <v>1503</v>
      </c>
      <c r="C1506" s="156">
        <v>46169</v>
      </c>
      <c r="D1506" s="173" t="s">
        <v>435</v>
      </c>
      <c r="E1506" s="173" t="s">
        <v>660</v>
      </c>
      <c r="F1506" s="173" t="s">
        <v>350</v>
      </c>
      <c r="G1506" s="173" t="s">
        <v>659</v>
      </c>
      <c r="H1506" s="181" t="s">
        <v>392</v>
      </c>
      <c r="I1506" s="173"/>
      <c r="J1506" s="173"/>
      <c r="K1506" s="173"/>
      <c r="L1506" s="174">
        <v>50000</v>
      </c>
      <c r="M1506" s="173"/>
    </row>
    <row r="1507" spans="2:13" x14ac:dyDescent="0.3">
      <c r="B1507" s="57">
        <f t="shared" si="129"/>
        <v>1504</v>
      </c>
      <c r="C1507" s="143">
        <v>46169</v>
      </c>
      <c r="D1507" s="57" t="s">
        <v>435</v>
      </c>
      <c r="E1507" s="57" t="s">
        <v>146</v>
      </c>
      <c r="F1507" s="57" t="s">
        <v>621</v>
      </c>
      <c r="G1507" s="57" t="s">
        <v>345</v>
      </c>
      <c r="H1507" s="140" t="s">
        <v>658</v>
      </c>
      <c r="I1507" s="57"/>
      <c r="J1507" s="165">
        <f t="shared" ref="J1507:J1508" si="132">L1507/K1507</f>
        <v>41.666666666666664</v>
      </c>
      <c r="K1507" s="57">
        <v>96</v>
      </c>
      <c r="L1507" s="164">
        <v>4000</v>
      </c>
    </row>
    <row r="1508" spans="2:13" x14ac:dyDescent="0.3">
      <c r="B1508" s="57">
        <f t="shared" si="129"/>
        <v>1505</v>
      </c>
      <c r="C1508" s="143">
        <v>46169</v>
      </c>
      <c r="D1508" s="57" t="s">
        <v>435</v>
      </c>
      <c r="E1508" s="57" t="s">
        <v>146</v>
      </c>
      <c r="F1508" s="57" t="s">
        <v>446</v>
      </c>
      <c r="G1508" s="57" t="s">
        <v>313</v>
      </c>
      <c r="H1508" s="140" t="s">
        <v>657</v>
      </c>
      <c r="I1508" s="57"/>
      <c r="J1508" s="165">
        <f t="shared" si="132"/>
        <v>42.706145833333331</v>
      </c>
      <c r="K1508" s="57">
        <v>96</v>
      </c>
      <c r="L1508" s="164">
        <v>4099.79</v>
      </c>
    </row>
    <row r="1509" spans="2:13" x14ac:dyDescent="0.3">
      <c r="B1509" s="57">
        <f t="shared" si="129"/>
        <v>1506</v>
      </c>
      <c r="C1509" s="147">
        <v>46169</v>
      </c>
      <c r="D1509" s="57" t="s">
        <v>968</v>
      </c>
      <c r="E1509" s="57" t="s">
        <v>958</v>
      </c>
      <c r="F1509" s="57" t="s">
        <v>300</v>
      </c>
      <c r="G1509" s="57" t="s">
        <v>530</v>
      </c>
      <c r="H1509" s="140" t="s">
        <v>2938</v>
      </c>
      <c r="I1509" s="57"/>
      <c r="J1509" s="57"/>
      <c r="L1509" s="164">
        <v>6500</v>
      </c>
    </row>
    <row r="1510" spans="2:13" x14ac:dyDescent="0.3">
      <c r="B1510" s="57">
        <f t="shared" si="129"/>
        <v>1507</v>
      </c>
      <c r="C1510" s="147">
        <v>46169</v>
      </c>
      <c r="D1510" s="57" t="s">
        <v>968</v>
      </c>
      <c r="E1510" s="57" t="s">
        <v>767</v>
      </c>
      <c r="F1510" s="57" t="s">
        <v>446</v>
      </c>
      <c r="G1510" s="57" t="s">
        <v>359</v>
      </c>
      <c r="H1510" s="140" t="s">
        <v>1487</v>
      </c>
      <c r="I1510" s="57"/>
      <c r="J1510" s="57"/>
      <c r="L1510" s="164">
        <v>450</v>
      </c>
    </row>
    <row r="1511" spans="2:13" x14ac:dyDescent="0.3">
      <c r="B1511" s="57">
        <f t="shared" si="129"/>
        <v>1508</v>
      </c>
      <c r="C1511" s="147">
        <v>46169</v>
      </c>
      <c r="D1511" s="57" t="s">
        <v>968</v>
      </c>
      <c r="E1511" s="57" t="s">
        <v>532</v>
      </c>
      <c r="F1511" s="57" t="s">
        <v>300</v>
      </c>
      <c r="G1511" s="57" t="s">
        <v>996</v>
      </c>
      <c r="H1511" s="140" t="s">
        <v>1488</v>
      </c>
      <c r="I1511" s="57" t="s">
        <v>532</v>
      </c>
      <c r="J1511" s="57">
        <v>50</v>
      </c>
      <c r="K1511" s="167">
        <f>L1511/J1511</f>
        <v>260</v>
      </c>
      <c r="L1511" s="164">
        <v>13000</v>
      </c>
    </row>
    <row r="1512" spans="2:13" x14ac:dyDescent="0.3">
      <c r="B1512" s="57">
        <f t="shared" si="129"/>
        <v>1509</v>
      </c>
      <c r="C1512" s="147">
        <v>46169</v>
      </c>
      <c r="D1512" s="57" t="s">
        <v>968</v>
      </c>
      <c r="E1512" s="57" t="s">
        <v>908</v>
      </c>
      <c r="F1512" s="57" t="s">
        <v>300</v>
      </c>
      <c r="G1512" s="57" t="s">
        <v>530</v>
      </c>
      <c r="H1512" s="140" t="s">
        <v>1489</v>
      </c>
      <c r="I1512" s="57"/>
      <c r="J1512" s="57"/>
      <c r="L1512" s="164">
        <v>10000</v>
      </c>
    </row>
    <row r="1513" spans="2:13" x14ac:dyDescent="0.3">
      <c r="B1513" s="57">
        <f t="shared" si="129"/>
        <v>1510</v>
      </c>
      <c r="C1513" s="147">
        <v>46169</v>
      </c>
      <c r="D1513" s="57" t="s">
        <v>968</v>
      </c>
      <c r="E1513" s="57" t="s">
        <v>146</v>
      </c>
      <c r="F1513" s="57" t="s">
        <v>502</v>
      </c>
      <c r="G1513" s="57" t="s">
        <v>257</v>
      </c>
      <c r="H1513" s="140" t="s">
        <v>1490</v>
      </c>
      <c r="I1513" s="57"/>
      <c r="J1513" s="165">
        <f>L1513/K1513</f>
        <v>20.833333333333332</v>
      </c>
      <c r="K1513" s="57">
        <v>96</v>
      </c>
      <c r="L1513" s="164">
        <v>2000</v>
      </c>
    </row>
    <row r="1514" spans="2:13" x14ac:dyDescent="0.3">
      <c r="B1514" s="57">
        <f t="shared" si="129"/>
        <v>1511</v>
      </c>
      <c r="C1514" s="147">
        <v>46169</v>
      </c>
      <c r="D1514" s="57" t="s">
        <v>968</v>
      </c>
      <c r="E1514" s="57" t="s">
        <v>574</v>
      </c>
      <c r="F1514" s="57" t="s">
        <v>446</v>
      </c>
      <c r="G1514" s="57" t="s">
        <v>316</v>
      </c>
      <c r="H1514" s="140" t="s">
        <v>1491</v>
      </c>
      <c r="I1514" s="140" t="s">
        <v>2635</v>
      </c>
      <c r="J1514" s="57">
        <v>4</v>
      </c>
      <c r="K1514" s="167">
        <f>L1514/J1514</f>
        <v>625</v>
      </c>
      <c r="L1514" s="164">
        <v>2500</v>
      </c>
    </row>
    <row r="1515" spans="2:13" x14ac:dyDescent="0.3">
      <c r="B1515" s="57">
        <f t="shared" si="129"/>
        <v>1512</v>
      </c>
      <c r="C1515" s="147">
        <v>46169</v>
      </c>
      <c r="D1515" s="57" t="s">
        <v>968</v>
      </c>
      <c r="E1515" s="57" t="s">
        <v>986</v>
      </c>
      <c r="F1515" s="57" t="s">
        <v>446</v>
      </c>
      <c r="G1515" s="57" t="s">
        <v>316</v>
      </c>
      <c r="H1515" s="140" t="s">
        <v>1492</v>
      </c>
      <c r="I1515" s="57" t="s">
        <v>986</v>
      </c>
      <c r="J1515" s="57">
        <v>3</v>
      </c>
      <c r="L1515" s="164">
        <v>370</v>
      </c>
    </row>
    <row r="1516" spans="2:13" x14ac:dyDescent="0.3">
      <c r="B1516" s="57">
        <f t="shared" si="129"/>
        <v>1513</v>
      </c>
      <c r="C1516" s="147">
        <v>46169</v>
      </c>
      <c r="D1516" s="57" t="s">
        <v>968</v>
      </c>
      <c r="E1516" s="57" t="s">
        <v>767</v>
      </c>
      <c r="F1516" s="57" t="s">
        <v>300</v>
      </c>
      <c r="G1516" s="57" t="s">
        <v>498</v>
      </c>
      <c r="H1516" s="140" t="s">
        <v>1493</v>
      </c>
      <c r="I1516" s="57"/>
      <c r="J1516" s="57"/>
      <c r="L1516" s="164">
        <v>700</v>
      </c>
    </row>
    <row r="1517" spans="2:13" x14ac:dyDescent="0.3">
      <c r="B1517" s="57">
        <f t="shared" si="129"/>
        <v>1514</v>
      </c>
      <c r="C1517" s="147">
        <v>46169</v>
      </c>
      <c r="D1517" s="57" t="s">
        <v>968</v>
      </c>
      <c r="E1517" s="57" t="s">
        <v>146</v>
      </c>
      <c r="F1517" s="57" t="s">
        <v>446</v>
      </c>
      <c r="G1517" s="57" t="s">
        <v>316</v>
      </c>
      <c r="H1517" s="140" t="s">
        <v>1494</v>
      </c>
      <c r="I1517" s="57"/>
      <c r="J1517" s="165">
        <f>L1517/K1517</f>
        <v>20.833333333333332</v>
      </c>
      <c r="K1517" s="57">
        <v>96</v>
      </c>
      <c r="L1517" s="164">
        <v>2000</v>
      </c>
    </row>
    <row r="1518" spans="2:13" x14ac:dyDescent="0.3">
      <c r="B1518" s="57">
        <f t="shared" si="129"/>
        <v>1515</v>
      </c>
      <c r="C1518" s="147">
        <v>46169</v>
      </c>
      <c r="D1518" s="57" t="s">
        <v>968</v>
      </c>
      <c r="E1518" s="57" t="s">
        <v>434</v>
      </c>
      <c r="F1518" s="57" t="s">
        <v>446</v>
      </c>
      <c r="G1518" s="57" t="s">
        <v>316</v>
      </c>
      <c r="H1518" s="140" t="s">
        <v>1495</v>
      </c>
      <c r="I1518" s="57"/>
      <c r="J1518" s="57"/>
      <c r="L1518" s="164">
        <v>1675</v>
      </c>
    </row>
    <row r="1519" spans="2:13" x14ac:dyDescent="0.3">
      <c r="B1519" s="57">
        <f t="shared" si="129"/>
        <v>1516</v>
      </c>
      <c r="C1519" s="147">
        <v>46169</v>
      </c>
      <c r="D1519" s="57" t="s">
        <v>968</v>
      </c>
      <c r="E1519" s="57" t="s">
        <v>434</v>
      </c>
      <c r="F1519" s="57" t="s">
        <v>683</v>
      </c>
      <c r="G1519" s="57" t="s">
        <v>999</v>
      </c>
      <c r="H1519" s="140" t="s">
        <v>1496</v>
      </c>
      <c r="I1519" s="57"/>
      <c r="J1519" s="57"/>
      <c r="L1519" s="164">
        <v>4830</v>
      </c>
    </row>
    <row r="1520" spans="2:13" x14ac:dyDescent="0.3">
      <c r="B1520" s="57">
        <f t="shared" si="129"/>
        <v>1517</v>
      </c>
      <c r="C1520" s="147">
        <v>46169</v>
      </c>
      <c r="D1520" s="57" t="s">
        <v>968</v>
      </c>
      <c r="E1520" s="57" t="s">
        <v>146</v>
      </c>
      <c r="F1520" s="57" t="s">
        <v>446</v>
      </c>
      <c r="G1520" s="57" t="s">
        <v>316</v>
      </c>
      <c r="H1520" s="140" t="s">
        <v>1497</v>
      </c>
      <c r="I1520" s="57"/>
      <c r="J1520" s="165">
        <f t="shared" ref="J1520:J1521" si="133">L1520/K1520</f>
        <v>5.208333333333333</v>
      </c>
      <c r="K1520" s="57">
        <v>96</v>
      </c>
      <c r="L1520" s="164">
        <v>500</v>
      </c>
    </row>
    <row r="1521" spans="2:12" x14ac:dyDescent="0.3">
      <c r="B1521" s="57">
        <f t="shared" si="129"/>
        <v>1518</v>
      </c>
      <c r="C1521" s="147">
        <v>46169</v>
      </c>
      <c r="D1521" s="57" t="s">
        <v>968</v>
      </c>
      <c r="E1521" s="57" t="s">
        <v>146</v>
      </c>
      <c r="F1521" s="57" t="s">
        <v>350</v>
      </c>
      <c r="G1521" s="57" t="s">
        <v>322</v>
      </c>
      <c r="H1521" s="140" t="s">
        <v>1498</v>
      </c>
      <c r="I1521" s="57"/>
      <c r="J1521" s="165">
        <f t="shared" si="133"/>
        <v>38.489583333333336</v>
      </c>
      <c r="K1521" s="57">
        <v>96</v>
      </c>
      <c r="L1521" s="164">
        <v>3695</v>
      </c>
    </row>
    <row r="1522" spans="2:12" x14ac:dyDescent="0.3">
      <c r="B1522" s="57">
        <f t="shared" si="129"/>
        <v>1519</v>
      </c>
      <c r="C1522" s="147">
        <v>46169</v>
      </c>
      <c r="D1522" s="57" t="s">
        <v>968</v>
      </c>
      <c r="E1522" s="57" t="s">
        <v>434</v>
      </c>
      <c r="F1522" s="57" t="s">
        <v>446</v>
      </c>
      <c r="G1522" s="57" t="s">
        <v>359</v>
      </c>
      <c r="H1522" s="140" t="s">
        <v>1499</v>
      </c>
      <c r="I1522" s="57"/>
      <c r="J1522" s="57"/>
      <c r="L1522" s="164">
        <v>1980</v>
      </c>
    </row>
    <row r="1523" spans="2:12" x14ac:dyDescent="0.3">
      <c r="B1523" s="57">
        <f t="shared" si="129"/>
        <v>1520</v>
      </c>
      <c r="C1523" s="147">
        <v>46169</v>
      </c>
      <c r="D1523" s="57" t="s">
        <v>968</v>
      </c>
      <c r="E1523" s="57" t="s">
        <v>434</v>
      </c>
      <c r="F1523" s="57" t="s">
        <v>683</v>
      </c>
      <c r="G1523" s="57" t="s">
        <v>999</v>
      </c>
      <c r="H1523" s="140" t="s">
        <v>1500</v>
      </c>
      <c r="I1523" s="57"/>
      <c r="J1523" s="57"/>
      <c r="L1523" s="164">
        <v>360</v>
      </c>
    </row>
    <row r="1524" spans="2:12" x14ac:dyDescent="0.3">
      <c r="B1524" s="57">
        <f t="shared" si="129"/>
        <v>1521</v>
      </c>
      <c r="C1524" s="147">
        <v>46169</v>
      </c>
      <c r="D1524" s="57" t="s">
        <v>968</v>
      </c>
      <c r="E1524" s="57" t="s">
        <v>146</v>
      </c>
      <c r="F1524" s="57" t="s">
        <v>446</v>
      </c>
      <c r="G1524" s="57" t="s">
        <v>316</v>
      </c>
      <c r="H1524" s="140" t="s">
        <v>1497</v>
      </c>
      <c r="I1524" s="57"/>
      <c r="J1524" s="165">
        <f>L1524/K1524</f>
        <v>20.833333333333332</v>
      </c>
      <c r="K1524" s="57">
        <v>96</v>
      </c>
      <c r="L1524" s="164">
        <v>2000</v>
      </c>
    </row>
    <row r="1525" spans="2:12" x14ac:dyDescent="0.3">
      <c r="B1525" s="57">
        <f t="shared" si="129"/>
        <v>1522</v>
      </c>
      <c r="C1525" s="147">
        <v>46169</v>
      </c>
      <c r="D1525" s="57" t="s">
        <v>968</v>
      </c>
      <c r="E1525" s="57" t="s">
        <v>574</v>
      </c>
      <c r="F1525" s="57" t="s">
        <v>446</v>
      </c>
      <c r="G1525" s="57" t="s">
        <v>316</v>
      </c>
      <c r="H1525" s="140" t="s">
        <v>1491</v>
      </c>
      <c r="I1525" s="140" t="s">
        <v>2635</v>
      </c>
      <c r="J1525" s="57">
        <v>4</v>
      </c>
      <c r="K1525" s="167">
        <f>L1525/J1525</f>
        <v>575</v>
      </c>
      <c r="L1525" s="164">
        <v>2300</v>
      </c>
    </row>
    <row r="1526" spans="2:12" x14ac:dyDescent="0.3">
      <c r="B1526" s="57">
        <f t="shared" si="129"/>
        <v>1523</v>
      </c>
      <c r="C1526" s="147">
        <v>46169</v>
      </c>
      <c r="D1526" s="57" t="s">
        <v>968</v>
      </c>
      <c r="E1526" s="57" t="s">
        <v>146</v>
      </c>
      <c r="F1526" s="57" t="s">
        <v>446</v>
      </c>
      <c r="G1526" s="57" t="s">
        <v>649</v>
      </c>
      <c r="H1526" s="140" t="s">
        <v>879</v>
      </c>
      <c r="I1526" s="57"/>
      <c r="J1526" s="165">
        <f>L1526/K1526</f>
        <v>20.833333333333332</v>
      </c>
      <c r="K1526" s="57">
        <v>96</v>
      </c>
      <c r="L1526" s="164">
        <v>2000</v>
      </c>
    </row>
    <row r="1527" spans="2:12" x14ac:dyDescent="0.3">
      <c r="B1527" s="57">
        <f t="shared" si="129"/>
        <v>1524</v>
      </c>
      <c r="C1527" s="147">
        <v>46169</v>
      </c>
      <c r="D1527" s="57" t="s">
        <v>968</v>
      </c>
      <c r="E1527" s="57" t="s">
        <v>574</v>
      </c>
      <c r="F1527" s="57" t="s">
        <v>502</v>
      </c>
      <c r="G1527" s="57" t="s">
        <v>257</v>
      </c>
      <c r="H1527" s="140" t="s">
        <v>1501</v>
      </c>
      <c r="I1527" s="140" t="s">
        <v>2635</v>
      </c>
      <c r="J1527" s="57">
        <v>6</v>
      </c>
      <c r="K1527" s="167">
        <f>L1527/J1527</f>
        <v>808.33333333333337</v>
      </c>
      <c r="L1527" s="164">
        <v>4850</v>
      </c>
    </row>
    <row r="1528" spans="2:12" x14ac:dyDescent="0.3">
      <c r="B1528" s="57">
        <f t="shared" si="129"/>
        <v>1525</v>
      </c>
      <c r="C1528" s="147">
        <v>46169</v>
      </c>
      <c r="D1528" s="57" t="s">
        <v>968</v>
      </c>
      <c r="E1528" s="57" t="s">
        <v>146</v>
      </c>
      <c r="F1528" s="57" t="s">
        <v>652</v>
      </c>
      <c r="G1528" s="57" t="s">
        <v>998</v>
      </c>
      <c r="H1528" s="140" t="s">
        <v>1502</v>
      </c>
      <c r="I1528" s="57"/>
      <c r="J1528" s="165">
        <f>L1528/K1528</f>
        <v>41.666666666666664</v>
      </c>
      <c r="K1528" s="57">
        <v>96</v>
      </c>
      <c r="L1528" s="164">
        <v>4000</v>
      </c>
    </row>
    <row r="1529" spans="2:12" x14ac:dyDescent="0.3">
      <c r="B1529" s="57">
        <f t="shared" si="129"/>
        <v>1526</v>
      </c>
      <c r="C1529" s="147">
        <v>46169</v>
      </c>
      <c r="D1529" s="57" t="s">
        <v>968</v>
      </c>
      <c r="E1529" s="57" t="s">
        <v>574</v>
      </c>
      <c r="F1529" s="57" t="s">
        <v>446</v>
      </c>
      <c r="G1529" s="57" t="s">
        <v>316</v>
      </c>
      <c r="H1529" s="140" t="s">
        <v>1503</v>
      </c>
      <c r="I1529" s="140" t="s">
        <v>4081</v>
      </c>
      <c r="J1529" s="57">
        <v>4</v>
      </c>
      <c r="K1529" s="167">
        <f>L1529/J1529</f>
        <v>575</v>
      </c>
      <c r="L1529" s="164">
        <v>2300</v>
      </c>
    </row>
    <row r="1530" spans="2:12" x14ac:dyDescent="0.3">
      <c r="B1530" s="57">
        <f t="shared" si="129"/>
        <v>1527</v>
      </c>
      <c r="C1530" s="147">
        <v>46169</v>
      </c>
      <c r="D1530" s="57" t="s">
        <v>968</v>
      </c>
      <c r="E1530" s="57" t="s">
        <v>146</v>
      </c>
      <c r="F1530" s="57" t="s">
        <v>446</v>
      </c>
      <c r="G1530" s="57" t="s">
        <v>316</v>
      </c>
      <c r="H1530" s="140" t="s">
        <v>1504</v>
      </c>
      <c r="I1530" s="57"/>
      <c r="J1530" s="165">
        <f>L1530/K1530</f>
        <v>10.416666666666666</v>
      </c>
      <c r="K1530" s="57">
        <v>96</v>
      </c>
      <c r="L1530" s="164">
        <v>1000</v>
      </c>
    </row>
    <row r="1531" spans="2:12" x14ac:dyDescent="0.3">
      <c r="B1531" s="57">
        <f t="shared" si="129"/>
        <v>1528</v>
      </c>
      <c r="C1531" s="147">
        <v>46169</v>
      </c>
      <c r="D1531" s="57" t="s">
        <v>968</v>
      </c>
      <c r="E1531" s="57" t="s">
        <v>434</v>
      </c>
      <c r="F1531" s="57" t="s">
        <v>300</v>
      </c>
      <c r="G1531" s="57" t="s">
        <v>443</v>
      </c>
      <c r="H1531" s="140" t="s">
        <v>1505</v>
      </c>
      <c r="I1531" s="57"/>
      <c r="J1531" s="57"/>
      <c r="L1531" s="164">
        <v>7800</v>
      </c>
    </row>
    <row r="1532" spans="2:12" x14ac:dyDescent="0.3">
      <c r="B1532" s="57">
        <f t="shared" si="129"/>
        <v>1529</v>
      </c>
      <c r="C1532" s="147">
        <v>46169</v>
      </c>
      <c r="D1532" s="57" t="s">
        <v>968</v>
      </c>
      <c r="E1532" s="57" t="s">
        <v>146</v>
      </c>
      <c r="F1532" s="57" t="s">
        <v>446</v>
      </c>
      <c r="G1532" s="57" t="s">
        <v>1000</v>
      </c>
      <c r="H1532" s="140" t="s">
        <v>1506</v>
      </c>
      <c r="I1532" s="57"/>
      <c r="J1532" s="165">
        <f t="shared" ref="J1532:J1534" si="134">L1532/K1532</f>
        <v>20.833333333333332</v>
      </c>
      <c r="K1532" s="57">
        <v>96</v>
      </c>
      <c r="L1532" s="164">
        <v>2000</v>
      </c>
    </row>
    <row r="1533" spans="2:12" x14ac:dyDescent="0.3">
      <c r="B1533" s="57">
        <f t="shared" si="129"/>
        <v>1530</v>
      </c>
      <c r="C1533" s="147">
        <v>46169</v>
      </c>
      <c r="D1533" s="57" t="s">
        <v>968</v>
      </c>
      <c r="E1533" s="57" t="s">
        <v>146</v>
      </c>
      <c r="F1533" s="57" t="s">
        <v>446</v>
      </c>
      <c r="G1533" s="57" t="s">
        <v>352</v>
      </c>
      <c r="H1533" s="140" t="s">
        <v>4089</v>
      </c>
      <c r="I1533" s="57"/>
      <c r="J1533" s="165">
        <f t="shared" si="134"/>
        <v>44.270833333333336</v>
      </c>
      <c r="K1533" s="57">
        <v>96</v>
      </c>
      <c r="L1533" s="164">
        <v>4250</v>
      </c>
    </row>
    <row r="1534" spans="2:12" x14ac:dyDescent="0.3">
      <c r="B1534" s="57">
        <f t="shared" si="129"/>
        <v>1531</v>
      </c>
      <c r="C1534" s="143">
        <v>46170</v>
      </c>
      <c r="D1534" s="57" t="s">
        <v>435</v>
      </c>
      <c r="E1534" s="57" t="s">
        <v>146</v>
      </c>
      <c r="F1534" s="57" t="s">
        <v>300</v>
      </c>
      <c r="G1534" s="57" t="s">
        <v>438</v>
      </c>
      <c r="H1534" s="140" t="s">
        <v>4092</v>
      </c>
      <c r="I1534" s="57"/>
      <c r="J1534" s="165">
        <f t="shared" si="134"/>
        <v>148.64072916666666</v>
      </c>
      <c r="K1534" s="57">
        <v>96</v>
      </c>
      <c r="L1534" s="164">
        <v>14269.51</v>
      </c>
    </row>
    <row r="1535" spans="2:12" x14ac:dyDescent="0.3">
      <c r="B1535" s="57">
        <f t="shared" si="129"/>
        <v>1532</v>
      </c>
      <c r="C1535" s="147">
        <v>46170</v>
      </c>
      <c r="D1535" s="57" t="s">
        <v>968</v>
      </c>
      <c r="E1535" s="57" t="s">
        <v>2022</v>
      </c>
      <c r="F1535" s="57" t="s">
        <v>446</v>
      </c>
      <c r="G1535" s="57" t="s">
        <v>649</v>
      </c>
      <c r="H1535" s="140" t="s">
        <v>1507</v>
      </c>
      <c r="I1535" s="57"/>
      <c r="J1535" s="57"/>
      <c r="L1535" s="164">
        <v>2700</v>
      </c>
    </row>
    <row r="1536" spans="2:12" x14ac:dyDescent="0.3">
      <c r="B1536" s="57">
        <f t="shared" si="129"/>
        <v>1533</v>
      </c>
      <c r="C1536" s="147">
        <v>46170</v>
      </c>
      <c r="D1536" s="57" t="s">
        <v>968</v>
      </c>
      <c r="E1536" s="57" t="s">
        <v>532</v>
      </c>
      <c r="F1536" s="57" t="s">
        <v>350</v>
      </c>
      <c r="G1536" s="57" t="s">
        <v>322</v>
      </c>
      <c r="H1536" s="140" t="s">
        <v>1508</v>
      </c>
      <c r="I1536" s="57" t="s">
        <v>532</v>
      </c>
      <c r="J1536" s="57">
        <v>20</v>
      </c>
      <c r="K1536" s="167">
        <f>L1536/J1536</f>
        <v>270</v>
      </c>
      <c r="L1536" s="164">
        <v>5400</v>
      </c>
    </row>
    <row r="1537" spans="2:12" x14ac:dyDescent="0.3">
      <c r="B1537" s="57">
        <f t="shared" si="129"/>
        <v>1534</v>
      </c>
      <c r="C1537" s="147">
        <v>46170</v>
      </c>
      <c r="D1537" s="57" t="s">
        <v>968</v>
      </c>
      <c r="E1537" s="57" t="s">
        <v>146</v>
      </c>
      <c r="F1537" s="57" t="s">
        <v>502</v>
      </c>
      <c r="G1537" s="57" t="s">
        <v>257</v>
      </c>
      <c r="H1537" s="140" t="s">
        <v>1509</v>
      </c>
      <c r="I1537" s="57"/>
      <c r="J1537" s="165">
        <f t="shared" ref="J1537:J1538" si="135">L1537/K1537</f>
        <v>20.833333333333332</v>
      </c>
      <c r="K1537" s="57">
        <v>96</v>
      </c>
      <c r="L1537" s="164">
        <v>2000</v>
      </c>
    </row>
    <row r="1538" spans="2:12" x14ac:dyDescent="0.3">
      <c r="B1538" s="57">
        <f t="shared" si="129"/>
        <v>1535</v>
      </c>
      <c r="C1538" s="147">
        <v>46170</v>
      </c>
      <c r="D1538" s="57" t="s">
        <v>968</v>
      </c>
      <c r="E1538" s="57" t="s">
        <v>146</v>
      </c>
      <c r="F1538" s="57" t="s">
        <v>621</v>
      </c>
      <c r="G1538" s="57" t="s">
        <v>345</v>
      </c>
      <c r="H1538" s="140" t="s">
        <v>4093</v>
      </c>
      <c r="I1538" s="57"/>
      <c r="J1538" s="165">
        <f t="shared" si="135"/>
        <v>43.229166666666664</v>
      </c>
      <c r="K1538" s="57">
        <v>96</v>
      </c>
      <c r="L1538" s="164">
        <v>4150</v>
      </c>
    </row>
    <row r="1539" spans="2:12" x14ac:dyDescent="0.3">
      <c r="B1539" s="57">
        <f t="shared" si="129"/>
        <v>1536</v>
      </c>
      <c r="C1539" s="147">
        <v>46170</v>
      </c>
      <c r="D1539" s="57" t="s">
        <v>968</v>
      </c>
      <c r="E1539" s="57" t="s">
        <v>434</v>
      </c>
      <c r="F1539" s="57" t="s">
        <v>446</v>
      </c>
      <c r="G1539" s="57" t="s">
        <v>316</v>
      </c>
      <c r="H1539" s="140" t="s">
        <v>1510</v>
      </c>
      <c r="I1539" s="57"/>
      <c r="J1539" s="57"/>
      <c r="L1539" s="164">
        <v>350</v>
      </c>
    </row>
    <row r="1540" spans="2:12" x14ac:dyDescent="0.3">
      <c r="B1540" s="57">
        <f t="shared" si="129"/>
        <v>1537</v>
      </c>
      <c r="C1540" s="147">
        <v>46170</v>
      </c>
      <c r="D1540" s="57" t="s">
        <v>968</v>
      </c>
      <c r="E1540" s="57" t="s">
        <v>574</v>
      </c>
      <c r="F1540" s="57" t="s">
        <v>300</v>
      </c>
      <c r="G1540" s="57" t="s">
        <v>2330</v>
      </c>
      <c r="H1540" s="140" t="s">
        <v>1511</v>
      </c>
      <c r="I1540" s="140" t="s">
        <v>4081</v>
      </c>
      <c r="J1540" s="57">
        <v>4</v>
      </c>
      <c r="K1540" s="167">
        <f>L1540/J1540</f>
        <v>600</v>
      </c>
      <c r="L1540" s="164">
        <v>2400</v>
      </c>
    </row>
    <row r="1541" spans="2:12" x14ac:dyDescent="0.3">
      <c r="B1541" s="57">
        <f t="shared" si="129"/>
        <v>1538</v>
      </c>
      <c r="C1541" s="147">
        <v>46170</v>
      </c>
      <c r="D1541" s="57" t="s">
        <v>968</v>
      </c>
      <c r="E1541" s="57" t="s">
        <v>574</v>
      </c>
      <c r="F1541" s="57" t="s">
        <v>502</v>
      </c>
      <c r="G1541" s="57" t="s">
        <v>257</v>
      </c>
      <c r="H1541" s="140" t="s">
        <v>1512</v>
      </c>
      <c r="I1541" s="140" t="s">
        <v>2635</v>
      </c>
      <c r="J1541" s="57">
        <v>4</v>
      </c>
      <c r="K1541" s="167">
        <f>L1541/J1541</f>
        <v>600</v>
      </c>
      <c r="L1541" s="164">
        <v>2400</v>
      </c>
    </row>
    <row r="1542" spans="2:12" x14ac:dyDescent="0.3">
      <c r="B1542" s="57">
        <f t="shared" ref="B1542:B1605" si="136">+B1541+1</f>
        <v>1539</v>
      </c>
      <c r="C1542" s="147">
        <v>46170</v>
      </c>
      <c r="D1542" s="57" t="s">
        <v>968</v>
      </c>
      <c r="E1542" s="57" t="s">
        <v>481</v>
      </c>
      <c r="F1542" s="57" t="s">
        <v>300</v>
      </c>
      <c r="G1542" s="57" t="s">
        <v>443</v>
      </c>
      <c r="H1542" s="140" t="s">
        <v>1513</v>
      </c>
      <c r="I1542" s="57"/>
      <c r="J1542" s="57"/>
      <c r="L1542" s="164">
        <v>200</v>
      </c>
    </row>
    <row r="1543" spans="2:12" x14ac:dyDescent="0.3">
      <c r="B1543" s="57">
        <f t="shared" si="136"/>
        <v>1540</v>
      </c>
      <c r="C1543" s="147">
        <v>46170</v>
      </c>
      <c r="D1543" s="57" t="s">
        <v>968</v>
      </c>
      <c r="E1543" s="57" t="s">
        <v>4128</v>
      </c>
      <c r="F1543" s="57" t="s">
        <v>621</v>
      </c>
      <c r="G1543" s="57" t="s">
        <v>345</v>
      </c>
      <c r="H1543" s="140" t="s">
        <v>1514</v>
      </c>
      <c r="I1543" s="57"/>
      <c r="J1543" s="57"/>
      <c r="L1543" s="164">
        <v>1100</v>
      </c>
    </row>
    <row r="1544" spans="2:12" x14ac:dyDescent="0.3">
      <c r="B1544" s="57">
        <f t="shared" si="136"/>
        <v>1541</v>
      </c>
      <c r="C1544" s="147">
        <v>46170</v>
      </c>
      <c r="D1544" s="57" t="s">
        <v>968</v>
      </c>
      <c r="E1544" s="57" t="s">
        <v>574</v>
      </c>
      <c r="F1544" s="57" t="s">
        <v>300</v>
      </c>
      <c r="G1544" s="57" t="s">
        <v>530</v>
      </c>
      <c r="H1544" s="140" t="s">
        <v>1515</v>
      </c>
      <c r="I1544" s="140" t="s">
        <v>2635</v>
      </c>
      <c r="J1544" s="57">
        <v>8</v>
      </c>
      <c r="K1544" s="167">
        <f>L1544/J1544</f>
        <v>750</v>
      </c>
      <c r="L1544" s="164">
        <v>6000</v>
      </c>
    </row>
    <row r="1545" spans="2:12" x14ac:dyDescent="0.3">
      <c r="B1545" s="57">
        <f t="shared" si="136"/>
        <v>1542</v>
      </c>
      <c r="C1545" s="147">
        <v>46170</v>
      </c>
      <c r="D1545" s="57" t="s">
        <v>968</v>
      </c>
      <c r="E1545" s="57" t="s">
        <v>4128</v>
      </c>
      <c r="F1545" s="57" t="s">
        <v>261</v>
      </c>
      <c r="G1545" s="57" t="s">
        <v>709</v>
      </c>
      <c r="H1545" s="140" t="s">
        <v>1516</v>
      </c>
      <c r="I1545" s="57"/>
      <c r="J1545" s="57"/>
      <c r="L1545" s="164">
        <v>4500</v>
      </c>
    </row>
    <row r="1546" spans="2:12" x14ac:dyDescent="0.3">
      <c r="B1546" s="57">
        <f t="shared" si="136"/>
        <v>1543</v>
      </c>
      <c r="C1546" s="147">
        <v>46170</v>
      </c>
      <c r="D1546" s="57" t="s">
        <v>968</v>
      </c>
      <c r="E1546" s="57" t="s">
        <v>574</v>
      </c>
      <c r="F1546" s="57" t="s">
        <v>350</v>
      </c>
      <c r="G1546" s="57" t="s">
        <v>322</v>
      </c>
      <c r="H1546" s="140" t="s">
        <v>1517</v>
      </c>
      <c r="I1546" s="140" t="s">
        <v>4081</v>
      </c>
      <c r="J1546" s="57">
        <v>4</v>
      </c>
      <c r="K1546" s="167">
        <f>L1546/J1546</f>
        <v>557.5</v>
      </c>
      <c r="L1546" s="164">
        <v>2230</v>
      </c>
    </row>
    <row r="1547" spans="2:12" x14ac:dyDescent="0.3">
      <c r="B1547" s="57">
        <f t="shared" si="136"/>
        <v>1544</v>
      </c>
      <c r="C1547" s="147">
        <v>46170</v>
      </c>
      <c r="D1547" s="57" t="s">
        <v>968</v>
      </c>
      <c r="E1547" s="57" t="s">
        <v>146</v>
      </c>
      <c r="F1547" s="57" t="s">
        <v>300</v>
      </c>
      <c r="G1547" s="57" t="s">
        <v>498</v>
      </c>
      <c r="H1547" s="140" t="s">
        <v>1518</v>
      </c>
      <c r="I1547" s="57"/>
      <c r="J1547" s="165">
        <f>L1547/K1547</f>
        <v>44.4375</v>
      </c>
      <c r="K1547" s="57">
        <v>96</v>
      </c>
      <c r="L1547" s="164">
        <v>4266</v>
      </c>
    </row>
    <row r="1548" spans="2:12" x14ac:dyDescent="0.3">
      <c r="B1548" s="57">
        <f t="shared" si="136"/>
        <v>1545</v>
      </c>
      <c r="C1548" s="147">
        <v>46170</v>
      </c>
      <c r="D1548" s="57" t="s">
        <v>968</v>
      </c>
      <c r="E1548" s="57" t="s">
        <v>957</v>
      </c>
      <c r="F1548" s="57" t="s">
        <v>621</v>
      </c>
      <c r="G1548" s="57" t="s">
        <v>345</v>
      </c>
      <c r="H1548" s="140" t="s">
        <v>1519</v>
      </c>
      <c r="I1548" s="57"/>
      <c r="J1548" s="57"/>
      <c r="L1548" s="164">
        <v>500</v>
      </c>
    </row>
    <row r="1549" spans="2:12" x14ac:dyDescent="0.3">
      <c r="B1549" s="57">
        <f t="shared" si="136"/>
        <v>1546</v>
      </c>
      <c r="C1549" s="147">
        <v>46170</v>
      </c>
      <c r="D1549" s="57" t="s">
        <v>968</v>
      </c>
      <c r="E1549" s="57" t="s">
        <v>590</v>
      </c>
      <c r="F1549" s="57" t="s">
        <v>446</v>
      </c>
      <c r="G1549" s="57" t="s">
        <v>990</v>
      </c>
      <c r="H1549" s="140" t="s">
        <v>1520</v>
      </c>
      <c r="I1549" s="57"/>
      <c r="J1549" s="57"/>
      <c r="L1549" s="164">
        <v>900</v>
      </c>
    </row>
    <row r="1550" spans="2:12" x14ac:dyDescent="0.3">
      <c r="B1550" s="57">
        <f t="shared" si="136"/>
        <v>1547</v>
      </c>
      <c r="C1550" s="147">
        <v>46170</v>
      </c>
      <c r="D1550" s="57" t="s">
        <v>968</v>
      </c>
      <c r="E1550" s="57" t="s">
        <v>4128</v>
      </c>
      <c r="F1550" s="57" t="s">
        <v>446</v>
      </c>
      <c r="G1550" s="57" t="s">
        <v>352</v>
      </c>
      <c r="H1550" s="140" t="s">
        <v>1521</v>
      </c>
      <c r="I1550" s="57"/>
      <c r="J1550" s="57"/>
      <c r="L1550" s="164">
        <v>1000</v>
      </c>
    </row>
    <row r="1551" spans="2:12" x14ac:dyDescent="0.3">
      <c r="B1551" s="57">
        <f t="shared" si="136"/>
        <v>1548</v>
      </c>
      <c r="C1551" s="147">
        <v>46170</v>
      </c>
      <c r="D1551" s="57" t="s">
        <v>968</v>
      </c>
      <c r="E1551" s="57" t="s">
        <v>2022</v>
      </c>
      <c r="F1551" s="57" t="s">
        <v>621</v>
      </c>
      <c r="G1551" s="57" t="s">
        <v>345</v>
      </c>
      <c r="H1551" s="140" t="s">
        <v>1522</v>
      </c>
      <c r="I1551" s="57"/>
      <c r="J1551" s="57"/>
      <c r="L1551" s="164">
        <v>6150</v>
      </c>
    </row>
    <row r="1552" spans="2:12" x14ac:dyDescent="0.3">
      <c r="B1552" s="57">
        <f t="shared" si="136"/>
        <v>1549</v>
      </c>
      <c r="C1552" s="147">
        <v>46170</v>
      </c>
      <c r="D1552" s="57" t="s">
        <v>968</v>
      </c>
      <c r="E1552" s="57" t="s">
        <v>146</v>
      </c>
      <c r="F1552" s="57" t="s">
        <v>300</v>
      </c>
      <c r="G1552" s="57" t="s">
        <v>530</v>
      </c>
      <c r="H1552" s="140" t="s">
        <v>1051</v>
      </c>
      <c r="I1552" s="57"/>
      <c r="J1552" s="165">
        <f>L1552/K1552</f>
        <v>48.166666666666664</v>
      </c>
      <c r="K1552" s="57">
        <v>96</v>
      </c>
      <c r="L1552" s="164">
        <v>4624</v>
      </c>
    </row>
    <row r="1553" spans="2:12" x14ac:dyDescent="0.3">
      <c r="B1553" s="57">
        <f t="shared" si="136"/>
        <v>1550</v>
      </c>
      <c r="C1553" s="147">
        <v>46170</v>
      </c>
      <c r="D1553" s="57" t="s">
        <v>968</v>
      </c>
      <c r="E1553" s="57" t="s">
        <v>4128</v>
      </c>
      <c r="F1553" s="57" t="s">
        <v>446</v>
      </c>
      <c r="G1553" s="57" t="s">
        <v>352</v>
      </c>
      <c r="H1553" s="140" t="s">
        <v>2939</v>
      </c>
      <c r="I1553" s="57"/>
      <c r="J1553" s="57"/>
      <c r="L1553" s="164">
        <v>6620</v>
      </c>
    </row>
    <row r="1554" spans="2:12" x14ac:dyDescent="0.3">
      <c r="B1554" s="57">
        <f t="shared" si="136"/>
        <v>1551</v>
      </c>
      <c r="C1554" s="147">
        <v>46170</v>
      </c>
      <c r="D1554" s="57" t="s">
        <v>968</v>
      </c>
      <c r="E1554" s="57" t="s">
        <v>532</v>
      </c>
      <c r="F1554" s="57" t="s">
        <v>300</v>
      </c>
      <c r="G1554" s="57" t="s">
        <v>530</v>
      </c>
      <c r="H1554" s="140" t="s">
        <v>1523</v>
      </c>
      <c r="I1554" s="57" t="s">
        <v>532</v>
      </c>
      <c r="J1554" s="57">
        <v>75</v>
      </c>
      <c r="K1554" s="167">
        <f>L1554/J1554</f>
        <v>260</v>
      </c>
      <c r="L1554" s="164">
        <v>19500</v>
      </c>
    </row>
    <row r="1555" spans="2:12" x14ac:dyDescent="0.3">
      <c r="B1555" s="57">
        <f t="shared" si="136"/>
        <v>1552</v>
      </c>
      <c r="C1555" s="147">
        <v>46170</v>
      </c>
      <c r="D1555" s="57" t="s">
        <v>968</v>
      </c>
      <c r="E1555" s="57" t="s">
        <v>961</v>
      </c>
      <c r="F1555" s="57" t="s">
        <v>350</v>
      </c>
      <c r="G1555" s="57" t="s">
        <v>663</v>
      </c>
      <c r="H1555" s="140" t="s">
        <v>1524</v>
      </c>
      <c r="I1555" s="57"/>
      <c r="J1555" s="57"/>
      <c r="L1555" s="164">
        <v>15392</v>
      </c>
    </row>
    <row r="1556" spans="2:12" x14ac:dyDescent="0.3">
      <c r="B1556" s="57">
        <f t="shared" si="136"/>
        <v>1553</v>
      </c>
      <c r="C1556" s="147">
        <v>46170</v>
      </c>
      <c r="D1556" s="57" t="s">
        <v>968</v>
      </c>
      <c r="E1556" s="57" t="s">
        <v>532</v>
      </c>
      <c r="F1556" s="57" t="s">
        <v>446</v>
      </c>
      <c r="G1556" s="57" t="s">
        <v>354</v>
      </c>
      <c r="H1556" s="140" t="s">
        <v>1525</v>
      </c>
      <c r="I1556" s="57" t="s">
        <v>532</v>
      </c>
      <c r="J1556" s="57">
        <v>30</v>
      </c>
      <c r="K1556" s="167">
        <f>L1556/J1556</f>
        <v>285</v>
      </c>
      <c r="L1556" s="164">
        <v>8550</v>
      </c>
    </row>
    <row r="1557" spans="2:12" x14ac:dyDescent="0.3">
      <c r="B1557" s="57">
        <f t="shared" si="136"/>
        <v>1554</v>
      </c>
      <c r="C1557" s="147">
        <v>46170</v>
      </c>
      <c r="D1557" s="57" t="s">
        <v>968</v>
      </c>
      <c r="E1557" s="57" t="s">
        <v>434</v>
      </c>
      <c r="F1557" s="57" t="s">
        <v>350</v>
      </c>
      <c r="G1557" s="57" t="s">
        <v>322</v>
      </c>
      <c r="H1557" s="140" t="s">
        <v>1526</v>
      </c>
      <c r="I1557" s="57"/>
      <c r="J1557" s="57"/>
      <c r="L1557" s="164">
        <v>8470</v>
      </c>
    </row>
    <row r="1558" spans="2:12" x14ac:dyDescent="0.3">
      <c r="B1558" s="57">
        <f t="shared" si="136"/>
        <v>1555</v>
      </c>
      <c r="C1558" s="147">
        <v>46171</v>
      </c>
      <c r="D1558" s="57" t="s">
        <v>968</v>
      </c>
      <c r="E1558" s="57" t="s">
        <v>146</v>
      </c>
      <c r="F1558" s="57" t="s">
        <v>621</v>
      </c>
      <c r="G1558" s="57" t="s">
        <v>345</v>
      </c>
      <c r="H1558" s="140" t="s">
        <v>1527</v>
      </c>
      <c r="I1558" s="57"/>
      <c r="J1558" s="165">
        <f>L1558/K1558</f>
        <v>41.666666666666664</v>
      </c>
      <c r="K1558" s="57">
        <v>96</v>
      </c>
      <c r="L1558" s="164">
        <v>4000</v>
      </c>
    </row>
    <row r="1559" spans="2:12" x14ac:dyDescent="0.3">
      <c r="B1559" s="57">
        <f t="shared" si="136"/>
        <v>1556</v>
      </c>
      <c r="C1559" s="147">
        <v>46171</v>
      </c>
      <c r="D1559" s="57" t="s">
        <v>968</v>
      </c>
      <c r="E1559" s="57" t="s">
        <v>4128</v>
      </c>
      <c r="F1559" s="57" t="s">
        <v>300</v>
      </c>
      <c r="G1559" s="57" t="s">
        <v>530</v>
      </c>
      <c r="H1559" s="140" t="s">
        <v>2940</v>
      </c>
      <c r="I1559" s="57"/>
      <c r="J1559" s="57"/>
      <c r="L1559" s="164">
        <v>2700</v>
      </c>
    </row>
    <row r="1560" spans="2:12" x14ac:dyDescent="0.3">
      <c r="B1560" s="57">
        <f t="shared" si="136"/>
        <v>1557</v>
      </c>
      <c r="C1560" s="147">
        <v>46171</v>
      </c>
      <c r="D1560" s="57" t="s">
        <v>968</v>
      </c>
      <c r="E1560" s="57" t="s">
        <v>146</v>
      </c>
      <c r="F1560" s="57" t="s">
        <v>502</v>
      </c>
      <c r="G1560" s="57" t="s">
        <v>257</v>
      </c>
      <c r="H1560" s="140" t="s">
        <v>4100</v>
      </c>
      <c r="I1560" s="57"/>
      <c r="J1560" s="165">
        <f t="shared" ref="J1560:J1561" si="137">L1560/K1560</f>
        <v>31.25</v>
      </c>
      <c r="K1560" s="57">
        <v>96</v>
      </c>
      <c r="L1560" s="164">
        <v>3000</v>
      </c>
    </row>
    <row r="1561" spans="2:12" x14ac:dyDescent="0.3">
      <c r="B1561" s="57">
        <f t="shared" si="136"/>
        <v>1558</v>
      </c>
      <c r="C1561" s="147">
        <v>46171</v>
      </c>
      <c r="D1561" s="57" t="s">
        <v>968</v>
      </c>
      <c r="E1561" s="57" t="s">
        <v>146</v>
      </c>
      <c r="F1561" s="57" t="s">
        <v>300</v>
      </c>
      <c r="G1561" s="57" t="s">
        <v>530</v>
      </c>
      <c r="H1561" s="140" t="s">
        <v>4095</v>
      </c>
      <c r="I1561" s="57"/>
      <c r="J1561" s="165">
        <f t="shared" si="137"/>
        <v>41.947916666666664</v>
      </c>
      <c r="K1561" s="57">
        <v>96</v>
      </c>
      <c r="L1561" s="164">
        <v>4027</v>
      </c>
    </row>
    <row r="1562" spans="2:12" x14ac:dyDescent="0.3">
      <c r="B1562" s="57">
        <f t="shared" si="136"/>
        <v>1559</v>
      </c>
      <c r="C1562" s="147">
        <v>46171</v>
      </c>
      <c r="D1562" s="57" t="s">
        <v>968</v>
      </c>
      <c r="E1562" s="57" t="s">
        <v>434</v>
      </c>
      <c r="F1562" s="57" t="s">
        <v>300</v>
      </c>
      <c r="G1562" s="57" t="s">
        <v>530</v>
      </c>
      <c r="H1562" s="140" t="s">
        <v>1528</v>
      </c>
      <c r="I1562" s="57"/>
      <c r="J1562" s="57"/>
      <c r="L1562" s="164">
        <v>5700</v>
      </c>
    </row>
    <row r="1563" spans="2:12" x14ac:dyDescent="0.3">
      <c r="B1563" s="57">
        <f t="shared" si="136"/>
        <v>1560</v>
      </c>
      <c r="C1563" s="147">
        <v>46171</v>
      </c>
      <c r="D1563" s="57" t="s">
        <v>968</v>
      </c>
      <c r="E1563" s="57" t="s">
        <v>532</v>
      </c>
      <c r="F1563" s="57" t="s">
        <v>350</v>
      </c>
      <c r="G1563" s="57" t="s">
        <v>663</v>
      </c>
      <c r="H1563" s="140" t="s">
        <v>1529</v>
      </c>
      <c r="I1563" s="57" t="s">
        <v>532</v>
      </c>
      <c r="J1563" s="57">
        <v>20</v>
      </c>
      <c r="K1563" s="167">
        <f>L1563/J1563</f>
        <v>290</v>
      </c>
      <c r="L1563" s="164">
        <v>5800</v>
      </c>
    </row>
    <row r="1564" spans="2:12" x14ac:dyDescent="0.3">
      <c r="B1564" s="57">
        <f t="shared" si="136"/>
        <v>1561</v>
      </c>
      <c r="C1564" s="147">
        <v>46171</v>
      </c>
      <c r="D1564" s="57" t="s">
        <v>968</v>
      </c>
      <c r="E1564" s="57" t="s">
        <v>146</v>
      </c>
      <c r="F1564" s="57" t="s">
        <v>300</v>
      </c>
      <c r="G1564" s="57" t="s">
        <v>991</v>
      </c>
      <c r="H1564" s="140" t="s">
        <v>894</v>
      </c>
      <c r="I1564" s="57"/>
      <c r="J1564" s="165">
        <f>L1564/K1564</f>
        <v>31.25</v>
      </c>
      <c r="K1564" s="57">
        <v>96</v>
      </c>
      <c r="L1564" s="164">
        <v>3000</v>
      </c>
    </row>
    <row r="1565" spans="2:12" x14ac:dyDescent="0.3">
      <c r="B1565" s="57">
        <f t="shared" si="136"/>
        <v>1562</v>
      </c>
      <c r="C1565" s="147">
        <v>46171</v>
      </c>
      <c r="D1565" s="57" t="s">
        <v>968</v>
      </c>
      <c r="E1565" s="57" t="s">
        <v>434</v>
      </c>
      <c r="F1565" s="57" t="s">
        <v>446</v>
      </c>
      <c r="G1565" s="57" t="s">
        <v>316</v>
      </c>
      <c r="H1565" s="140" t="s">
        <v>1530</v>
      </c>
      <c r="I1565" s="57"/>
      <c r="J1565" s="57"/>
      <c r="L1565" s="164">
        <v>1800</v>
      </c>
    </row>
    <row r="1566" spans="2:12" x14ac:dyDescent="0.3">
      <c r="B1566" s="57">
        <f t="shared" si="136"/>
        <v>1563</v>
      </c>
      <c r="C1566" s="147">
        <v>46171</v>
      </c>
      <c r="D1566" s="57" t="s">
        <v>968</v>
      </c>
      <c r="E1566" s="57" t="s">
        <v>4009</v>
      </c>
      <c r="F1566" s="57" t="s">
        <v>350</v>
      </c>
      <c r="G1566" s="57" t="s">
        <v>322</v>
      </c>
      <c r="H1566" s="140" t="s">
        <v>1531</v>
      </c>
      <c r="I1566" s="57"/>
      <c r="J1566" s="57"/>
      <c r="L1566" s="164">
        <v>2940</v>
      </c>
    </row>
    <row r="1567" spans="2:12" x14ac:dyDescent="0.3">
      <c r="B1567" s="57">
        <f t="shared" si="136"/>
        <v>1564</v>
      </c>
      <c r="C1567" s="147">
        <v>46171</v>
      </c>
      <c r="D1567" s="57" t="s">
        <v>968</v>
      </c>
      <c r="E1567" s="57" t="s">
        <v>4128</v>
      </c>
      <c r="F1567" s="57" t="s">
        <v>300</v>
      </c>
      <c r="G1567" s="57" t="s">
        <v>530</v>
      </c>
      <c r="H1567" s="140" t="s">
        <v>1532</v>
      </c>
      <c r="I1567" s="57"/>
      <c r="J1567" s="57"/>
      <c r="L1567" s="164">
        <v>2000</v>
      </c>
    </row>
    <row r="1568" spans="2:12" x14ac:dyDescent="0.3">
      <c r="B1568" s="57">
        <f t="shared" si="136"/>
        <v>1565</v>
      </c>
      <c r="C1568" s="147">
        <v>46171</v>
      </c>
      <c r="D1568" s="57" t="s">
        <v>968</v>
      </c>
      <c r="E1568" s="57" t="s">
        <v>2334</v>
      </c>
      <c r="F1568" s="57" t="s">
        <v>683</v>
      </c>
      <c r="G1568" s="57" t="s">
        <v>999</v>
      </c>
      <c r="H1568" s="140" t="s">
        <v>1533</v>
      </c>
      <c r="I1568" s="57"/>
      <c r="J1568" s="57"/>
      <c r="L1568" s="164">
        <v>4700</v>
      </c>
    </row>
    <row r="1569" spans="2:12" x14ac:dyDescent="0.3">
      <c r="B1569" s="57">
        <f t="shared" si="136"/>
        <v>1566</v>
      </c>
      <c r="C1569" s="147">
        <v>46171</v>
      </c>
      <c r="D1569" s="57" t="s">
        <v>968</v>
      </c>
      <c r="E1569" s="57" t="s">
        <v>574</v>
      </c>
      <c r="F1569" s="57" t="s">
        <v>502</v>
      </c>
      <c r="G1569" s="57" t="s">
        <v>257</v>
      </c>
      <c r="H1569" s="140" t="s">
        <v>1534</v>
      </c>
      <c r="I1569" s="140" t="s">
        <v>4081</v>
      </c>
      <c r="J1569" s="57">
        <v>5</v>
      </c>
      <c r="K1569" s="167">
        <f>L1569/J1569</f>
        <v>540</v>
      </c>
      <c r="L1569" s="164">
        <v>2700</v>
      </c>
    </row>
    <row r="1570" spans="2:12" x14ac:dyDescent="0.3">
      <c r="B1570" s="57">
        <f t="shared" si="136"/>
        <v>1567</v>
      </c>
      <c r="C1570" s="147">
        <v>46171</v>
      </c>
      <c r="D1570" s="57" t="s">
        <v>968</v>
      </c>
      <c r="E1570" s="57" t="s">
        <v>532</v>
      </c>
      <c r="F1570" s="57" t="s">
        <v>350</v>
      </c>
      <c r="G1570" s="57" t="s">
        <v>322</v>
      </c>
      <c r="H1570" s="140" t="s">
        <v>1535</v>
      </c>
      <c r="I1570" s="57" t="s">
        <v>532</v>
      </c>
      <c r="J1570" s="57">
        <v>20</v>
      </c>
      <c r="K1570" s="167">
        <f>L1570/J1570</f>
        <v>270</v>
      </c>
      <c r="L1570" s="164">
        <v>5400</v>
      </c>
    </row>
    <row r="1571" spans="2:12" x14ac:dyDescent="0.3">
      <c r="B1571" s="57">
        <f t="shared" si="136"/>
        <v>1568</v>
      </c>
      <c r="C1571" s="147">
        <v>46171</v>
      </c>
      <c r="D1571" s="57" t="s">
        <v>968</v>
      </c>
      <c r="E1571" s="57" t="s">
        <v>727</v>
      </c>
      <c r="F1571" s="57" t="s">
        <v>300</v>
      </c>
      <c r="G1571" s="57" t="s">
        <v>530</v>
      </c>
      <c r="H1571" s="140" t="s">
        <v>1536</v>
      </c>
      <c r="I1571" s="57"/>
      <c r="J1571" s="57"/>
      <c r="L1571" s="164">
        <v>300</v>
      </c>
    </row>
    <row r="1572" spans="2:12" x14ac:dyDescent="0.3">
      <c r="B1572" s="57">
        <f t="shared" si="136"/>
        <v>1569</v>
      </c>
      <c r="C1572" s="147">
        <v>46171</v>
      </c>
      <c r="D1572" s="57" t="s">
        <v>968</v>
      </c>
      <c r="E1572" s="57" t="s">
        <v>146</v>
      </c>
      <c r="F1572" s="57" t="s">
        <v>446</v>
      </c>
      <c r="G1572" s="57" t="s">
        <v>990</v>
      </c>
      <c r="H1572" s="140" t="s">
        <v>1537</v>
      </c>
      <c r="I1572" s="57"/>
      <c r="J1572" s="165">
        <f t="shared" ref="J1572:J1573" si="138">L1572/K1572</f>
        <v>20.833333333333332</v>
      </c>
      <c r="K1572" s="57">
        <v>96</v>
      </c>
      <c r="L1572" s="164">
        <v>2000</v>
      </c>
    </row>
    <row r="1573" spans="2:12" x14ac:dyDescent="0.3">
      <c r="B1573" s="57">
        <f t="shared" si="136"/>
        <v>1570</v>
      </c>
      <c r="C1573" s="147">
        <v>46171</v>
      </c>
      <c r="D1573" s="57" t="s">
        <v>968</v>
      </c>
      <c r="E1573" s="57" t="s">
        <v>146</v>
      </c>
      <c r="F1573" s="57" t="s">
        <v>446</v>
      </c>
      <c r="G1573" s="57" t="s">
        <v>316</v>
      </c>
      <c r="H1573" s="140" t="s">
        <v>1538</v>
      </c>
      <c r="I1573" s="57"/>
      <c r="J1573" s="165">
        <f t="shared" si="138"/>
        <v>20.833333333333332</v>
      </c>
      <c r="K1573" s="57">
        <v>96</v>
      </c>
      <c r="L1573" s="164">
        <v>2000</v>
      </c>
    </row>
    <row r="1574" spans="2:12" x14ac:dyDescent="0.3">
      <c r="B1574" s="57">
        <f t="shared" si="136"/>
        <v>1571</v>
      </c>
      <c r="C1574" s="147">
        <v>46171</v>
      </c>
      <c r="D1574" s="57" t="s">
        <v>968</v>
      </c>
      <c r="E1574" s="57" t="s">
        <v>4009</v>
      </c>
      <c r="F1574" s="57" t="s">
        <v>652</v>
      </c>
      <c r="G1574" s="57" t="s">
        <v>998</v>
      </c>
      <c r="H1574" s="140" t="s">
        <v>1539</v>
      </c>
      <c r="I1574" s="57"/>
      <c r="J1574" s="57"/>
      <c r="L1574" s="164">
        <v>3300</v>
      </c>
    </row>
    <row r="1575" spans="2:12" x14ac:dyDescent="0.3">
      <c r="B1575" s="57">
        <f t="shared" si="136"/>
        <v>1572</v>
      </c>
      <c r="C1575" s="147">
        <v>46172</v>
      </c>
      <c r="D1575" s="57" t="s">
        <v>968</v>
      </c>
      <c r="E1575" s="57" t="s">
        <v>146</v>
      </c>
      <c r="F1575" s="57" t="s">
        <v>300</v>
      </c>
      <c r="G1575" s="57" t="s">
        <v>530</v>
      </c>
      <c r="H1575" s="140" t="s">
        <v>4115</v>
      </c>
      <c r="I1575" s="57"/>
      <c r="J1575" s="165">
        <f t="shared" ref="J1575:J1576" si="139">L1575/K1575</f>
        <v>40.270833333333336</v>
      </c>
      <c r="K1575" s="57">
        <v>96</v>
      </c>
      <c r="L1575" s="164">
        <v>3866</v>
      </c>
    </row>
    <row r="1576" spans="2:12" x14ac:dyDescent="0.3">
      <c r="B1576" s="57">
        <f t="shared" si="136"/>
        <v>1573</v>
      </c>
      <c r="C1576" s="147">
        <v>46172</v>
      </c>
      <c r="D1576" s="57" t="s">
        <v>968</v>
      </c>
      <c r="E1576" s="57" t="s">
        <v>146</v>
      </c>
      <c r="F1576" s="57" t="s">
        <v>446</v>
      </c>
      <c r="G1576" s="57" t="s">
        <v>990</v>
      </c>
      <c r="H1576" s="140" t="s">
        <v>885</v>
      </c>
      <c r="I1576" s="57"/>
      <c r="J1576" s="165">
        <f t="shared" si="139"/>
        <v>20.833333333333332</v>
      </c>
      <c r="K1576" s="57">
        <v>96</v>
      </c>
      <c r="L1576" s="164">
        <v>2000</v>
      </c>
    </row>
    <row r="1577" spans="2:12" x14ac:dyDescent="0.3">
      <c r="B1577" s="57">
        <f t="shared" si="136"/>
        <v>1574</v>
      </c>
      <c r="C1577" s="147">
        <v>46172</v>
      </c>
      <c r="D1577" s="57" t="s">
        <v>968</v>
      </c>
      <c r="E1577" s="57" t="s">
        <v>574</v>
      </c>
      <c r="F1577" s="57" t="s">
        <v>300</v>
      </c>
      <c r="G1577" s="57" t="s">
        <v>2330</v>
      </c>
      <c r="H1577" s="140" t="s">
        <v>1540</v>
      </c>
      <c r="I1577" s="140" t="s">
        <v>4081</v>
      </c>
      <c r="J1577" s="57">
        <v>4.8</v>
      </c>
      <c r="K1577" s="167">
        <f>L1577/J1577</f>
        <v>648.95833333333337</v>
      </c>
      <c r="L1577" s="164">
        <v>3115</v>
      </c>
    </row>
    <row r="1578" spans="2:12" x14ac:dyDescent="0.3">
      <c r="B1578" s="57">
        <f t="shared" si="136"/>
        <v>1575</v>
      </c>
      <c r="C1578" s="147">
        <v>46172</v>
      </c>
      <c r="D1578" s="57" t="s">
        <v>968</v>
      </c>
      <c r="E1578" s="57" t="s">
        <v>146</v>
      </c>
      <c r="F1578" s="57" t="s">
        <v>436</v>
      </c>
      <c r="G1578" s="57" t="s">
        <v>987</v>
      </c>
      <c r="H1578" s="140" t="s">
        <v>1541</v>
      </c>
      <c r="I1578" s="57"/>
      <c r="J1578" s="165">
        <f>L1578/K1578</f>
        <v>31.25</v>
      </c>
      <c r="K1578" s="57">
        <v>96</v>
      </c>
      <c r="L1578" s="164">
        <v>3000</v>
      </c>
    </row>
    <row r="1579" spans="2:12" x14ac:dyDescent="0.3">
      <c r="B1579" s="57">
        <f t="shared" si="136"/>
        <v>1576</v>
      </c>
      <c r="C1579" s="147">
        <v>46172</v>
      </c>
      <c r="D1579" s="57" t="s">
        <v>968</v>
      </c>
      <c r="E1579" s="57" t="s">
        <v>532</v>
      </c>
      <c r="F1579" s="57" t="s">
        <v>446</v>
      </c>
      <c r="G1579" s="57" t="s">
        <v>354</v>
      </c>
      <c r="H1579" s="140" t="s">
        <v>1542</v>
      </c>
      <c r="I1579" s="57" t="s">
        <v>532</v>
      </c>
      <c r="J1579" s="57">
        <v>13</v>
      </c>
      <c r="K1579" s="168">
        <f>L1579/J1579</f>
        <v>285.38461538461536</v>
      </c>
      <c r="L1579" s="164">
        <v>3710</v>
      </c>
    </row>
    <row r="1580" spans="2:12" x14ac:dyDescent="0.3">
      <c r="B1580" s="57">
        <f t="shared" si="136"/>
        <v>1577</v>
      </c>
      <c r="C1580" s="147">
        <v>46172</v>
      </c>
      <c r="D1580" s="57" t="s">
        <v>968</v>
      </c>
      <c r="E1580" s="57" t="s">
        <v>986</v>
      </c>
      <c r="F1580" s="57" t="s">
        <v>446</v>
      </c>
      <c r="G1580" s="57" t="s">
        <v>316</v>
      </c>
      <c r="H1580" s="140" t="s">
        <v>1543</v>
      </c>
      <c r="I1580" s="57" t="s">
        <v>986</v>
      </c>
      <c r="J1580" s="57">
        <v>5</v>
      </c>
      <c r="L1580" s="164">
        <v>450</v>
      </c>
    </row>
    <row r="1581" spans="2:12" x14ac:dyDescent="0.3">
      <c r="B1581" s="57">
        <f t="shared" si="136"/>
        <v>1578</v>
      </c>
      <c r="C1581" s="147">
        <v>46172</v>
      </c>
      <c r="D1581" s="57" t="s">
        <v>968</v>
      </c>
      <c r="E1581" s="57" t="s">
        <v>590</v>
      </c>
      <c r="F1581" s="57" t="s">
        <v>2328</v>
      </c>
      <c r="G1581" s="57" t="s">
        <v>1002</v>
      </c>
      <c r="H1581" s="140" t="s">
        <v>1544</v>
      </c>
      <c r="I1581" s="57"/>
      <c r="J1581" s="57"/>
      <c r="L1581" s="164">
        <v>680</v>
      </c>
    </row>
    <row r="1582" spans="2:12" x14ac:dyDescent="0.3">
      <c r="B1582" s="57">
        <f t="shared" si="136"/>
        <v>1579</v>
      </c>
      <c r="C1582" s="147">
        <v>46172</v>
      </c>
      <c r="D1582" s="57" t="s">
        <v>968</v>
      </c>
      <c r="E1582" s="57" t="s">
        <v>146</v>
      </c>
      <c r="F1582" s="57" t="s">
        <v>300</v>
      </c>
      <c r="G1582" s="57" t="s">
        <v>438</v>
      </c>
      <c r="H1582" s="140" t="s">
        <v>4110</v>
      </c>
      <c r="I1582" s="57"/>
      <c r="J1582" s="165">
        <f t="shared" ref="J1582:J1584" si="140">L1582/K1582</f>
        <v>29.208333333333332</v>
      </c>
      <c r="K1582" s="57">
        <v>96</v>
      </c>
      <c r="L1582" s="164">
        <v>2804</v>
      </c>
    </row>
    <row r="1583" spans="2:12" x14ac:dyDescent="0.3">
      <c r="B1583" s="57">
        <f t="shared" si="136"/>
        <v>1580</v>
      </c>
      <c r="C1583" s="147">
        <v>46172</v>
      </c>
      <c r="D1583" s="57" t="s">
        <v>968</v>
      </c>
      <c r="E1583" s="57" t="s">
        <v>146</v>
      </c>
      <c r="F1583" s="57" t="s">
        <v>350</v>
      </c>
      <c r="G1583" s="57" t="s">
        <v>663</v>
      </c>
      <c r="H1583" s="140" t="s">
        <v>4106</v>
      </c>
      <c r="I1583" s="57"/>
      <c r="J1583" s="165">
        <f t="shared" si="140"/>
        <v>31.25</v>
      </c>
      <c r="K1583" s="57">
        <v>96</v>
      </c>
      <c r="L1583" s="164">
        <v>3000</v>
      </c>
    </row>
    <row r="1584" spans="2:12" x14ac:dyDescent="0.3">
      <c r="B1584" s="57">
        <f t="shared" si="136"/>
        <v>1581</v>
      </c>
      <c r="C1584" s="147">
        <v>46172</v>
      </c>
      <c r="D1584" s="57" t="s">
        <v>968</v>
      </c>
      <c r="E1584" s="57" t="s">
        <v>146</v>
      </c>
      <c r="F1584" s="57" t="s">
        <v>436</v>
      </c>
      <c r="G1584" s="57" t="s">
        <v>270</v>
      </c>
      <c r="H1584" s="140" t="s">
        <v>4112</v>
      </c>
      <c r="I1584" s="57" t="s">
        <v>146</v>
      </c>
      <c r="J1584" s="165">
        <f t="shared" si="140"/>
        <v>26.041666666666668</v>
      </c>
      <c r="K1584" s="57">
        <v>96</v>
      </c>
      <c r="L1584" s="164">
        <v>2500</v>
      </c>
    </row>
    <row r="1585" spans="2:12" x14ac:dyDescent="0.3">
      <c r="B1585" s="57">
        <f t="shared" si="136"/>
        <v>1582</v>
      </c>
      <c r="C1585" s="147">
        <v>46172</v>
      </c>
      <c r="D1585" s="57" t="s">
        <v>968</v>
      </c>
      <c r="E1585" s="57" t="s">
        <v>590</v>
      </c>
      <c r="F1585" s="57" t="s">
        <v>350</v>
      </c>
      <c r="G1585" s="57" t="s">
        <v>663</v>
      </c>
      <c r="H1585" s="140" t="s">
        <v>1545</v>
      </c>
      <c r="I1585" s="57"/>
      <c r="J1585" s="57"/>
      <c r="L1585" s="164">
        <v>1360</v>
      </c>
    </row>
    <row r="1586" spans="2:12" x14ac:dyDescent="0.3">
      <c r="B1586" s="57">
        <f t="shared" si="136"/>
        <v>1583</v>
      </c>
      <c r="C1586" s="147">
        <v>46172</v>
      </c>
      <c r="D1586" s="57" t="s">
        <v>968</v>
      </c>
      <c r="E1586" s="57" t="s">
        <v>532</v>
      </c>
      <c r="F1586" s="57" t="s">
        <v>350</v>
      </c>
      <c r="G1586" s="57" t="s">
        <v>663</v>
      </c>
      <c r="H1586" s="140" t="s">
        <v>1546</v>
      </c>
      <c r="I1586" s="57" t="s">
        <v>532</v>
      </c>
      <c r="J1586" s="57">
        <v>30</v>
      </c>
      <c r="K1586" s="167">
        <f>L1586/J1586</f>
        <v>266</v>
      </c>
      <c r="L1586" s="164">
        <v>7980</v>
      </c>
    </row>
    <row r="1587" spans="2:12" x14ac:dyDescent="0.3">
      <c r="B1587" s="57">
        <f t="shared" si="136"/>
        <v>1584</v>
      </c>
      <c r="C1587" s="147">
        <v>46172</v>
      </c>
      <c r="D1587" s="57" t="s">
        <v>968</v>
      </c>
      <c r="E1587" s="57" t="s">
        <v>146</v>
      </c>
      <c r="F1587" s="57" t="s">
        <v>446</v>
      </c>
      <c r="G1587" s="57" t="s">
        <v>990</v>
      </c>
      <c r="H1587" s="140" t="s">
        <v>879</v>
      </c>
      <c r="I1587" s="57"/>
      <c r="J1587" s="165">
        <f>L1587/K1587</f>
        <v>20.833333333333332</v>
      </c>
      <c r="K1587" s="57">
        <v>96</v>
      </c>
      <c r="L1587" s="164">
        <v>2000</v>
      </c>
    </row>
    <row r="1588" spans="2:12" x14ac:dyDescent="0.3">
      <c r="B1588" s="57">
        <f t="shared" si="136"/>
        <v>1585</v>
      </c>
      <c r="C1588" s="147">
        <v>46172</v>
      </c>
      <c r="D1588" s="57" t="s">
        <v>968</v>
      </c>
      <c r="E1588" s="57" t="s">
        <v>590</v>
      </c>
      <c r="F1588" s="57" t="s">
        <v>2328</v>
      </c>
      <c r="G1588" s="57" t="s">
        <v>1002</v>
      </c>
      <c r="H1588" s="140" t="s">
        <v>1547</v>
      </c>
      <c r="I1588" s="57"/>
      <c r="J1588" s="57"/>
      <c r="L1588" s="164">
        <v>1280</v>
      </c>
    </row>
    <row r="1589" spans="2:12" x14ac:dyDescent="0.3">
      <c r="B1589" s="57">
        <f t="shared" si="136"/>
        <v>1586</v>
      </c>
      <c r="C1589" s="147">
        <v>46172</v>
      </c>
      <c r="D1589" s="57" t="s">
        <v>968</v>
      </c>
      <c r="E1589" s="57" t="s">
        <v>963</v>
      </c>
      <c r="F1589" s="57" t="s">
        <v>446</v>
      </c>
      <c r="G1589" s="57" t="s">
        <v>354</v>
      </c>
      <c r="H1589" s="140" t="s">
        <v>1548</v>
      </c>
      <c r="I1589" s="57"/>
      <c r="J1589" s="165">
        <f>L1589/K1589</f>
        <v>81.666666666666671</v>
      </c>
      <c r="K1589" s="57">
        <v>30</v>
      </c>
      <c r="L1589" s="164">
        <v>2450</v>
      </c>
    </row>
    <row r="1590" spans="2:12" x14ac:dyDescent="0.3">
      <c r="B1590" s="57">
        <f t="shared" si="136"/>
        <v>1587</v>
      </c>
      <c r="C1590" s="147">
        <v>46172</v>
      </c>
      <c r="D1590" s="57" t="s">
        <v>968</v>
      </c>
      <c r="E1590" s="57" t="s">
        <v>434</v>
      </c>
      <c r="F1590" s="57" t="s">
        <v>621</v>
      </c>
      <c r="G1590" s="57" t="s">
        <v>345</v>
      </c>
      <c r="H1590" s="140" t="s">
        <v>1549</v>
      </c>
      <c r="I1590" s="57"/>
      <c r="J1590" s="57"/>
      <c r="L1590" s="164">
        <v>250</v>
      </c>
    </row>
    <row r="1591" spans="2:12" x14ac:dyDescent="0.3">
      <c r="B1591" s="57">
        <f t="shared" si="136"/>
        <v>1588</v>
      </c>
      <c r="C1591" s="147">
        <v>46172</v>
      </c>
      <c r="D1591" s="57" t="s">
        <v>968</v>
      </c>
      <c r="E1591" s="57" t="s">
        <v>2022</v>
      </c>
      <c r="F1591" s="57" t="s">
        <v>300</v>
      </c>
      <c r="G1591" s="57" t="s">
        <v>530</v>
      </c>
      <c r="H1591" s="140" t="s">
        <v>1550</v>
      </c>
      <c r="I1591" s="57"/>
      <c r="J1591" s="57"/>
      <c r="L1591" s="164">
        <v>150</v>
      </c>
    </row>
    <row r="1592" spans="2:12" x14ac:dyDescent="0.3">
      <c r="B1592" s="57">
        <f t="shared" si="136"/>
        <v>1589</v>
      </c>
      <c r="C1592" s="147">
        <v>46172</v>
      </c>
      <c r="D1592" s="57" t="s">
        <v>968</v>
      </c>
      <c r="E1592" s="57" t="s">
        <v>481</v>
      </c>
      <c r="F1592" s="57" t="s">
        <v>300</v>
      </c>
      <c r="G1592" s="57" t="s">
        <v>530</v>
      </c>
      <c r="H1592" s="140" t="s">
        <v>1551</v>
      </c>
      <c r="I1592" s="57"/>
      <c r="J1592" s="57"/>
      <c r="L1592" s="164">
        <v>500</v>
      </c>
    </row>
    <row r="1593" spans="2:12" x14ac:dyDescent="0.3">
      <c r="B1593" s="57">
        <f t="shared" si="136"/>
        <v>1590</v>
      </c>
      <c r="C1593" s="147">
        <v>46172</v>
      </c>
      <c r="D1593" s="57" t="s">
        <v>968</v>
      </c>
      <c r="E1593" s="57" t="s">
        <v>590</v>
      </c>
      <c r="F1593" s="57" t="s">
        <v>350</v>
      </c>
      <c r="G1593" s="57" t="s">
        <v>663</v>
      </c>
      <c r="H1593" s="140" t="s">
        <v>1552</v>
      </c>
      <c r="I1593" s="57"/>
      <c r="J1593" s="57"/>
      <c r="L1593" s="164">
        <v>945</v>
      </c>
    </row>
    <row r="1594" spans="2:12" x14ac:dyDescent="0.3">
      <c r="B1594" s="57">
        <f t="shared" si="136"/>
        <v>1591</v>
      </c>
      <c r="C1594" s="147">
        <v>46172</v>
      </c>
      <c r="D1594" s="57" t="s">
        <v>968</v>
      </c>
      <c r="E1594" s="57" t="s">
        <v>4009</v>
      </c>
      <c r="F1594" s="57" t="s">
        <v>300</v>
      </c>
      <c r="G1594" s="57" t="s">
        <v>530</v>
      </c>
      <c r="H1594" s="140" t="s">
        <v>1553</v>
      </c>
      <c r="I1594" s="57"/>
      <c r="J1594" s="57"/>
      <c r="L1594" s="164">
        <v>9500</v>
      </c>
    </row>
    <row r="1595" spans="2:12" x14ac:dyDescent="0.3">
      <c r="B1595" s="57">
        <f t="shared" si="136"/>
        <v>1592</v>
      </c>
      <c r="C1595" s="147">
        <v>46172</v>
      </c>
      <c r="D1595" s="57" t="s">
        <v>968</v>
      </c>
      <c r="E1595" s="57" t="s">
        <v>434</v>
      </c>
      <c r="F1595" s="57" t="s">
        <v>446</v>
      </c>
      <c r="G1595" s="57" t="s">
        <v>649</v>
      </c>
      <c r="H1595" s="140" t="s">
        <v>1554</v>
      </c>
      <c r="I1595" s="57"/>
      <c r="J1595" s="57"/>
      <c r="L1595" s="164">
        <v>3310</v>
      </c>
    </row>
    <row r="1596" spans="2:12" x14ac:dyDescent="0.3">
      <c r="B1596" s="57">
        <f t="shared" si="136"/>
        <v>1593</v>
      </c>
      <c r="C1596" s="147">
        <v>46172</v>
      </c>
      <c r="D1596" s="57" t="s">
        <v>968</v>
      </c>
      <c r="E1596" s="57" t="s">
        <v>532</v>
      </c>
      <c r="F1596" s="57" t="s">
        <v>300</v>
      </c>
      <c r="G1596" s="57" t="s">
        <v>530</v>
      </c>
      <c r="H1596" s="140" t="s">
        <v>1555</v>
      </c>
      <c r="I1596" s="57" t="s">
        <v>532</v>
      </c>
      <c r="J1596" s="57">
        <v>50</v>
      </c>
      <c r="K1596" s="57">
        <v>260</v>
      </c>
      <c r="L1596" s="164">
        <v>13000</v>
      </c>
    </row>
    <row r="1597" spans="2:12" x14ac:dyDescent="0.3">
      <c r="B1597" s="57">
        <f t="shared" si="136"/>
        <v>1594</v>
      </c>
      <c r="C1597" s="143">
        <v>46173</v>
      </c>
      <c r="D1597" s="57" t="s">
        <v>435</v>
      </c>
      <c r="E1597" s="57" t="s">
        <v>560</v>
      </c>
      <c r="F1597" s="57" t="s">
        <v>300</v>
      </c>
      <c r="G1597" s="57" t="s">
        <v>438</v>
      </c>
      <c r="H1597" s="140" t="s">
        <v>661</v>
      </c>
      <c r="I1597" s="57"/>
      <c r="J1597" s="57"/>
      <c r="L1597" s="164">
        <v>2200</v>
      </c>
    </row>
    <row r="1598" spans="2:12" x14ac:dyDescent="0.3">
      <c r="B1598" s="57">
        <f t="shared" si="136"/>
        <v>1595</v>
      </c>
      <c r="C1598" s="147">
        <v>46173</v>
      </c>
      <c r="D1598" s="57" t="s">
        <v>968</v>
      </c>
      <c r="E1598" s="57" t="s">
        <v>908</v>
      </c>
      <c r="F1598" s="57" t="s">
        <v>300</v>
      </c>
      <c r="G1598" s="57" t="s">
        <v>530</v>
      </c>
      <c r="H1598" s="140" t="s">
        <v>1556</v>
      </c>
      <c r="I1598" s="57"/>
      <c r="J1598" s="57"/>
      <c r="L1598" s="164">
        <v>10000</v>
      </c>
    </row>
    <row r="1599" spans="2:12" x14ac:dyDescent="0.3">
      <c r="B1599" s="57">
        <f t="shared" si="136"/>
        <v>1596</v>
      </c>
      <c r="C1599" s="147">
        <v>46173</v>
      </c>
      <c r="D1599" s="57" t="s">
        <v>968</v>
      </c>
      <c r="E1599" s="57" t="s">
        <v>146</v>
      </c>
      <c r="F1599" s="57" t="s">
        <v>446</v>
      </c>
      <c r="G1599" s="57" t="s">
        <v>354</v>
      </c>
      <c r="H1599" s="140" t="s">
        <v>4089</v>
      </c>
      <c r="I1599" s="57"/>
      <c r="J1599" s="165">
        <f>L1599/K1599</f>
        <v>31.25</v>
      </c>
      <c r="K1599" s="57">
        <v>96</v>
      </c>
      <c r="L1599" s="164">
        <v>3000</v>
      </c>
    </row>
    <row r="1600" spans="2:12" x14ac:dyDescent="0.3">
      <c r="B1600" s="57">
        <f t="shared" si="136"/>
        <v>1597</v>
      </c>
      <c r="C1600" s="147">
        <v>46173</v>
      </c>
      <c r="D1600" s="57" t="s">
        <v>968</v>
      </c>
      <c r="E1600" s="57" t="s">
        <v>434</v>
      </c>
      <c r="F1600" s="57" t="s">
        <v>683</v>
      </c>
      <c r="G1600" s="57" t="s">
        <v>999</v>
      </c>
      <c r="H1600" s="140" t="s">
        <v>1557</v>
      </c>
      <c r="I1600" s="57"/>
      <c r="J1600" s="57"/>
      <c r="L1600" s="164">
        <v>750</v>
      </c>
    </row>
    <row r="1601" spans="2:12" x14ac:dyDescent="0.3">
      <c r="B1601" s="57">
        <f t="shared" si="136"/>
        <v>1598</v>
      </c>
      <c r="C1601" s="147">
        <v>46173</v>
      </c>
      <c r="D1601" s="57" t="s">
        <v>968</v>
      </c>
      <c r="E1601" s="57" t="s">
        <v>574</v>
      </c>
      <c r="F1601" s="57" t="s">
        <v>300</v>
      </c>
      <c r="G1601" s="57" t="s">
        <v>996</v>
      </c>
      <c r="H1601" s="140" t="s">
        <v>1558</v>
      </c>
      <c r="I1601" s="140" t="s">
        <v>4081</v>
      </c>
      <c r="J1601" s="57">
        <v>4</v>
      </c>
      <c r="K1601" s="167">
        <f>L1601/J1601</f>
        <v>700</v>
      </c>
      <c r="L1601" s="164">
        <v>2800</v>
      </c>
    </row>
    <row r="1602" spans="2:12" x14ac:dyDescent="0.3">
      <c r="B1602" s="57">
        <f t="shared" si="136"/>
        <v>1599</v>
      </c>
      <c r="C1602" s="147">
        <v>46173</v>
      </c>
      <c r="D1602" s="57" t="s">
        <v>968</v>
      </c>
      <c r="E1602" s="57" t="s">
        <v>146</v>
      </c>
      <c r="F1602" s="57" t="s">
        <v>446</v>
      </c>
      <c r="G1602" s="57" t="s">
        <v>359</v>
      </c>
      <c r="H1602" s="140" t="s">
        <v>1559</v>
      </c>
      <c r="I1602" s="57"/>
      <c r="J1602" s="165">
        <f>L1602/K1602</f>
        <v>20.833333333333332</v>
      </c>
      <c r="K1602" s="57">
        <v>96</v>
      </c>
      <c r="L1602" s="164">
        <v>2000</v>
      </c>
    </row>
    <row r="1603" spans="2:12" x14ac:dyDescent="0.3">
      <c r="B1603" s="57">
        <f t="shared" si="136"/>
        <v>1600</v>
      </c>
      <c r="C1603" s="147">
        <v>46173</v>
      </c>
      <c r="D1603" s="57" t="s">
        <v>968</v>
      </c>
      <c r="E1603" s="57" t="s">
        <v>958</v>
      </c>
      <c r="F1603" s="57" t="s">
        <v>446</v>
      </c>
      <c r="G1603" s="57" t="s">
        <v>359</v>
      </c>
      <c r="H1603" s="140" t="s">
        <v>1560</v>
      </c>
      <c r="I1603" s="57"/>
      <c r="J1603" s="57"/>
      <c r="L1603" s="164">
        <v>4000</v>
      </c>
    </row>
    <row r="1604" spans="2:12" x14ac:dyDescent="0.3">
      <c r="B1604" s="57">
        <f t="shared" si="136"/>
        <v>1601</v>
      </c>
      <c r="C1604" s="147">
        <v>46173</v>
      </c>
      <c r="D1604" s="57" t="s">
        <v>968</v>
      </c>
      <c r="E1604" s="57" t="s">
        <v>146</v>
      </c>
      <c r="F1604" s="57" t="s">
        <v>446</v>
      </c>
      <c r="G1604" s="57" t="s">
        <v>313</v>
      </c>
      <c r="H1604" s="140" t="s">
        <v>1561</v>
      </c>
      <c r="I1604" s="57"/>
      <c r="J1604" s="165">
        <f>L1604/K1604</f>
        <v>31.25</v>
      </c>
      <c r="K1604" s="57">
        <v>96</v>
      </c>
      <c r="L1604" s="164">
        <v>3000</v>
      </c>
    </row>
    <row r="1605" spans="2:12" x14ac:dyDescent="0.3">
      <c r="B1605" s="57">
        <f t="shared" si="136"/>
        <v>1602</v>
      </c>
      <c r="C1605" s="147">
        <v>46173</v>
      </c>
      <c r="D1605" s="57" t="s">
        <v>968</v>
      </c>
      <c r="E1605" s="57" t="s">
        <v>574</v>
      </c>
      <c r="F1605" s="57" t="s">
        <v>446</v>
      </c>
      <c r="G1605" s="57" t="s">
        <v>316</v>
      </c>
      <c r="H1605" s="140" t="s">
        <v>1562</v>
      </c>
      <c r="I1605" s="140" t="s">
        <v>4081</v>
      </c>
      <c r="J1605" s="57">
        <v>8</v>
      </c>
      <c r="K1605" s="167">
        <f>L1605/J1605</f>
        <v>575</v>
      </c>
      <c r="L1605" s="164">
        <v>4600</v>
      </c>
    </row>
    <row r="1606" spans="2:12" x14ac:dyDescent="0.3">
      <c r="B1606" s="57">
        <f t="shared" ref="B1606:B1669" si="141">+B1605+1</f>
        <v>1603</v>
      </c>
      <c r="C1606" s="147">
        <v>46173</v>
      </c>
      <c r="D1606" s="57" t="s">
        <v>968</v>
      </c>
      <c r="E1606" s="57" t="s">
        <v>4128</v>
      </c>
      <c r="F1606" s="57" t="s">
        <v>446</v>
      </c>
      <c r="G1606" s="57" t="s">
        <v>313</v>
      </c>
      <c r="H1606" s="140" t="s">
        <v>2941</v>
      </c>
      <c r="I1606" s="57"/>
      <c r="J1606" s="57"/>
      <c r="L1606" s="164">
        <v>1500</v>
      </c>
    </row>
    <row r="1607" spans="2:12" x14ac:dyDescent="0.3">
      <c r="B1607" s="57">
        <f t="shared" si="141"/>
        <v>1604</v>
      </c>
      <c r="C1607" s="147">
        <v>46173</v>
      </c>
      <c r="D1607" s="57" t="s">
        <v>968</v>
      </c>
      <c r="E1607" s="57" t="s">
        <v>146</v>
      </c>
      <c r="F1607" s="57" t="s">
        <v>300</v>
      </c>
      <c r="G1607" s="57" t="s">
        <v>996</v>
      </c>
      <c r="H1607" s="140" t="s">
        <v>1563</v>
      </c>
      <c r="I1607" s="57"/>
      <c r="J1607" s="165">
        <f t="shared" ref="J1607:J1611" si="142">L1607/K1607</f>
        <v>48.760416666666664</v>
      </c>
      <c r="K1607" s="57">
        <v>96</v>
      </c>
      <c r="L1607" s="164">
        <v>4681</v>
      </c>
    </row>
    <row r="1608" spans="2:12" x14ac:dyDescent="0.3">
      <c r="B1608" s="57">
        <f t="shared" si="141"/>
        <v>1605</v>
      </c>
      <c r="C1608" s="147">
        <v>46173</v>
      </c>
      <c r="D1608" s="57" t="s">
        <v>968</v>
      </c>
      <c r="E1608" s="57" t="s">
        <v>146</v>
      </c>
      <c r="F1608" s="57" t="s">
        <v>300</v>
      </c>
      <c r="G1608" s="57" t="s">
        <v>443</v>
      </c>
      <c r="H1608" s="140" t="s">
        <v>1564</v>
      </c>
      <c r="I1608" s="57"/>
      <c r="J1608" s="165">
        <f t="shared" si="142"/>
        <v>54.375</v>
      </c>
      <c r="K1608" s="57">
        <v>96</v>
      </c>
      <c r="L1608" s="164">
        <v>5220</v>
      </c>
    </row>
    <row r="1609" spans="2:12" x14ac:dyDescent="0.3">
      <c r="B1609" s="57">
        <f t="shared" si="141"/>
        <v>1606</v>
      </c>
      <c r="C1609" s="147">
        <v>46173</v>
      </c>
      <c r="D1609" s="57" t="s">
        <v>968</v>
      </c>
      <c r="E1609" s="57" t="s">
        <v>146</v>
      </c>
      <c r="F1609" s="57" t="s">
        <v>652</v>
      </c>
      <c r="G1609" s="57" t="s">
        <v>998</v>
      </c>
      <c r="H1609" s="140" t="s">
        <v>1502</v>
      </c>
      <c r="I1609" s="57"/>
      <c r="J1609" s="165">
        <f t="shared" si="142"/>
        <v>41.666666666666664</v>
      </c>
      <c r="K1609" s="57">
        <v>96</v>
      </c>
      <c r="L1609" s="164">
        <v>4000</v>
      </c>
    </row>
    <row r="1610" spans="2:12" x14ac:dyDescent="0.3">
      <c r="B1610" s="57">
        <f t="shared" si="141"/>
        <v>1607</v>
      </c>
      <c r="C1610" s="147">
        <v>46173</v>
      </c>
      <c r="D1610" s="57" t="s">
        <v>968</v>
      </c>
      <c r="E1610" s="57" t="s">
        <v>146</v>
      </c>
      <c r="F1610" s="57" t="s">
        <v>350</v>
      </c>
      <c r="G1610" s="57" t="s">
        <v>322</v>
      </c>
      <c r="H1610" s="140" t="s">
        <v>1565</v>
      </c>
      <c r="I1610" s="57"/>
      <c r="J1610" s="165">
        <f t="shared" si="142"/>
        <v>31.25</v>
      </c>
      <c r="K1610" s="57">
        <v>96</v>
      </c>
      <c r="L1610" s="164">
        <v>3000</v>
      </c>
    </row>
    <row r="1611" spans="2:12" x14ac:dyDescent="0.3">
      <c r="B1611" s="57">
        <f t="shared" si="141"/>
        <v>1608</v>
      </c>
      <c r="C1611" s="147">
        <v>46173</v>
      </c>
      <c r="D1611" s="57" t="s">
        <v>968</v>
      </c>
      <c r="E1611" s="57" t="s">
        <v>146</v>
      </c>
      <c r="F1611" s="57" t="s">
        <v>683</v>
      </c>
      <c r="G1611" s="57" t="s">
        <v>999</v>
      </c>
      <c r="H1611" s="140" t="s">
        <v>1566</v>
      </c>
      <c r="I1611" s="57"/>
      <c r="J1611" s="165">
        <f t="shared" si="142"/>
        <v>26.041666666666668</v>
      </c>
      <c r="K1611" s="57">
        <v>96</v>
      </c>
      <c r="L1611" s="164">
        <v>2500</v>
      </c>
    </row>
    <row r="1612" spans="2:12" x14ac:dyDescent="0.3">
      <c r="B1612" s="57">
        <f t="shared" si="141"/>
        <v>1609</v>
      </c>
      <c r="C1612" s="147">
        <v>46173</v>
      </c>
      <c r="D1612" s="57" t="s">
        <v>968</v>
      </c>
      <c r="E1612" s="57" t="s">
        <v>986</v>
      </c>
      <c r="F1612" s="57" t="s">
        <v>683</v>
      </c>
      <c r="G1612" s="57" t="s">
        <v>999</v>
      </c>
      <c r="H1612" s="140" t="s">
        <v>1567</v>
      </c>
      <c r="I1612" s="57" t="s">
        <v>986</v>
      </c>
      <c r="J1612" s="57">
        <v>25</v>
      </c>
      <c r="K1612" s="167">
        <f>L1612/J1612</f>
        <v>95</v>
      </c>
      <c r="L1612" s="164">
        <v>2375</v>
      </c>
    </row>
    <row r="1613" spans="2:12" x14ac:dyDescent="0.3">
      <c r="B1613" s="57">
        <f t="shared" si="141"/>
        <v>1610</v>
      </c>
      <c r="C1613" s="147">
        <v>46173</v>
      </c>
      <c r="D1613" s="57" t="s">
        <v>968</v>
      </c>
      <c r="E1613" s="57" t="s">
        <v>767</v>
      </c>
      <c r="F1613" s="57" t="s">
        <v>446</v>
      </c>
      <c r="G1613" s="57" t="s">
        <v>359</v>
      </c>
      <c r="H1613" s="140" t="s">
        <v>1568</v>
      </c>
      <c r="I1613" s="57"/>
      <c r="J1613" s="57"/>
      <c r="L1613" s="164">
        <v>300</v>
      </c>
    </row>
    <row r="1614" spans="2:12" x14ac:dyDescent="0.3">
      <c r="B1614" s="57">
        <f t="shared" si="141"/>
        <v>1611</v>
      </c>
      <c r="C1614" s="147">
        <v>46173</v>
      </c>
      <c r="D1614" s="57" t="s">
        <v>968</v>
      </c>
      <c r="E1614" s="57" t="s">
        <v>4128</v>
      </c>
      <c r="F1614" s="57" t="s">
        <v>446</v>
      </c>
      <c r="G1614" s="57" t="s">
        <v>316</v>
      </c>
      <c r="H1614" s="140" t="s">
        <v>1569</v>
      </c>
      <c r="I1614" s="57"/>
      <c r="J1614" s="57"/>
      <c r="K1614" s="167"/>
      <c r="L1614" s="164">
        <v>6000</v>
      </c>
    </row>
    <row r="1615" spans="2:12" x14ac:dyDescent="0.3">
      <c r="B1615" s="57">
        <f t="shared" si="141"/>
        <v>1612</v>
      </c>
      <c r="C1615" s="147">
        <v>46173</v>
      </c>
      <c r="D1615" s="57" t="s">
        <v>968</v>
      </c>
      <c r="E1615" s="57" t="s">
        <v>767</v>
      </c>
      <c r="F1615" s="57" t="s">
        <v>683</v>
      </c>
      <c r="G1615" s="57" t="s">
        <v>999</v>
      </c>
      <c r="H1615" s="140" t="s">
        <v>1570</v>
      </c>
      <c r="I1615" s="57"/>
      <c r="J1615" s="57"/>
      <c r="L1615" s="164">
        <v>900</v>
      </c>
    </row>
    <row r="1616" spans="2:12" x14ac:dyDescent="0.3">
      <c r="B1616" s="57">
        <f t="shared" si="141"/>
        <v>1613</v>
      </c>
      <c r="C1616" s="147">
        <v>46173</v>
      </c>
      <c r="D1616" s="57" t="s">
        <v>968</v>
      </c>
      <c r="E1616" s="57" t="s">
        <v>434</v>
      </c>
      <c r="F1616" s="57" t="s">
        <v>621</v>
      </c>
      <c r="G1616" s="57" t="s">
        <v>345</v>
      </c>
      <c r="H1616" s="140" t="s">
        <v>1571</v>
      </c>
      <c r="I1616" s="57"/>
      <c r="J1616" s="57"/>
      <c r="L1616" s="164">
        <v>5050</v>
      </c>
    </row>
    <row r="1617" spans="2:12" x14ac:dyDescent="0.3">
      <c r="B1617" s="57">
        <f t="shared" si="141"/>
        <v>1614</v>
      </c>
      <c r="C1617" s="147">
        <v>46173</v>
      </c>
      <c r="D1617" s="57" t="s">
        <v>968</v>
      </c>
      <c r="E1617" s="57" t="s">
        <v>961</v>
      </c>
      <c r="F1617" s="57" t="s">
        <v>502</v>
      </c>
      <c r="G1617" s="57" t="s">
        <v>773</v>
      </c>
      <c r="H1617" s="140" t="s">
        <v>1572</v>
      </c>
      <c r="I1617" s="57"/>
      <c r="J1617" s="57"/>
      <c r="L1617" s="164">
        <v>18360</v>
      </c>
    </row>
    <row r="1618" spans="2:12" x14ac:dyDescent="0.3">
      <c r="B1618" s="57">
        <f t="shared" si="141"/>
        <v>1615</v>
      </c>
      <c r="C1618" s="146">
        <v>46174</v>
      </c>
      <c r="D1618" s="152" t="s">
        <v>435</v>
      </c>
      <c r="E1618" s="57" t="s">
        <v>782</v>
      </c>
      <c r="F1618" s="57" t="s">
        <v>300</v>
      </c>
      <c r="G1618" s="57" t="s">
        <v>438</v>
      </c>
      <c r="H1618" s="140" t="s">
        <v>979</v>
      </c>
      <c r="I1618" s="57"/>
      <c r="J1618" s="57"/>
      <c r="L1618" s="164">
        <v>1447258</v>
      </c>
    </row>
    <row r="1619" spans="2:12" x14ac:dyDescent="0.3">
      <c r="B1619" s="57">
        <f t="shared" si="141"/>
        <v>1616</v>
      </c>
      <c r="C1619" s="146">
        <v>46174</v>
      </c>
      <c r="D1619" s="152" t="s">
        <v>435</v>
      </c>
      <c r="E1619" s="57" t="s">
        <v>4008</v>
      </c>
      <c r="F1619" s="57" t="s">
        <v>300</v>
      </c>
      <c r="G1619" s="57" t="s">
        <v>438</v>
      </c>
      <c r="H1619" s="140" t="s">
        <v>980</v>
      </c>
      <c r="I1619" s="57"/>
      <c r="J1619" s="57"/>
      <c r="L1619" s="164">
        <v>1027059</v>
      </c>
    </row>
    <row r="1620" spans="2:12" x14ac:dyDescent="0.3">
      <c r="B1620" s="57">
        <f t="shared" si="141"/>
        <v>1617</v>
      </c>
      <c r="C1620" s="147">
        <v>46174</v>
      </c>
      <c r="D1620" s="57" t="s">
        <v>968</v>
      </c>
      <c r="E1620" s="57" t="s">
        <v>146</v>
      </c>
      <c r="F1620" s="57" t="s">
        <v>446</v>
      </c>
      <c r="G1620" s="57" t="s">
        <v>316</v>
      </c>
      <c r="H1620" s="140" t="s">
        <v>4092</v>
      </c>
      <c r="I1620" s="57"/>
      <c r="J1620" s="165">
        <f>L1620/K1620</f>
        <v>151.04166666666666</v>
      </c>
      <c r="K1620" s="57">
        <v>96</v>
      </c>
      <c r="L1620" s="164">
        <v>14500</v>
      </c>
    </row>
    <row r="1621" spans="2:12" x14ac:dyDescent="0.3">
      <c r="B1621" s="57">
        <f t="shared" si="141"/>
        <v>1618</v>
      </c>
      <c r="C1621" s="147">
        <v>46174</v>
      </c>
      <c r="D1621" s="57" t="s">
        <v>968</v>
      </c>
      <c r="E1621" s="57" t="s">
        <v>574</v>
      </c>
      <c r="F1621" s="57" t="s">
        <v>446</v>
      </c>
      <c r="G1621" s="57" t="s">
        <v>359</v>
      </c>
      <c r="H1621" s="140" t="s">
        <v>1573</v>
      </c>
      <c r="I1621" s="140" t="s">
        <v>2635</v>
      </c>
      <c r="J1621" s="57">
        <v>4</v>
      </c>
      <c r="K1621" s="167">
        <f>L1621/J1621</f>
        <v>575</v>
      </c>
      <c r="L1621" s="164">
        <v>2300</v>
      </c>
    </row>
    <row r="1622" spans="2:12" x14ac:dyDescent="0.3">
      <c r="B1622" s="57">
        <f t="shared" si="141"/>
        <v>1619</v>
      </c>
      <c r="C1622" s="147">
        <v>46174</v>
      </c>
      <c r="D1622" s="57" t="s">
        <v>968</v>
      </c>
      <c r="E1622" s="57" t="s">
        <v>146</v>
      </c>
      <c r="F1622" s="57" t="s">
        <v>446</v>
      </c>
      <c r="G1622" s="57" t="s">
        <v>359</v>
      </c>
      <c r="H1622" s="140" t="s">
        <v>1574</v>
      </c>
      <c r="I1622" s="57"/>
      <c r="J1622" s="165">
        <f>L1622/K1622</f>
        <v>48.958333333333336</v>
      </c>
      <c r="K1622" s="57">
        <v>96</v>
      </c>
      <c r="L1622" s="164">
        <v>4700</v>
      </c>
    </row>
    <row r="1623" spans="2:12" x14ac:dyDescent="0.3">
      <c r="B1623" s="57">
        <f t="shared" si="141"/>
        <v>1620</v>
      </c>
      <c r="C1623" s="147">
        <v>46174</v>
      </c>
      <c r="D1623" s="57" t="s">
        <v>968</v>
      </c>
      <c r="E1623" s="57" t="s">
        <v>532</v>
      </c>
      <c r="F1623" s="57" t="s">
        <v>683</v>
      </c>
      <c r="G1623" s="57" t="s">
        <v>999</v>
      </c>
      <c r="H1623" s="140" t="s">
        <v>1575</v>
      </c>
      <c r="I1623" s="57" t="s">
        <v>532</v>
      </c>
      <c r="J1623" s="57">
        <v>1</v>
      </c>
      <c r="K1623" s="57">
        <v>300</v>
      </c>
      <c r="L1623" s="164">
        <v>300</v>
      </c>
    </row>
    <row r="1624" spans="2:12" x14ac:dyDescent="0.3">
      <c r="B1624" s="57">
        <f t="shared" si="141"/>
        <v>1621</v>
      </c>
      <c r="C1624" s="147">
        <v>46174</v>
      </c>
      <c r="D1624" s="57" t="s">
        <v>968</v>
      </c>
      <c r="E1624" s="57" t="s">
        <v>986</v>
      </c>
      <c r="F1624" s="57" t="s">
        <v>300</v>
      </c>
      <c r="G1624" s="57" t="s">
        <v>530</v>
      </c>
      <c r="H1624" s="140" t="s">
        <v>1576</v>
      </c>
      <c r="I1624" s="57" t="s">
        <v>986</v>
      </c>
      <c r="J1624" s="57">
        <v>50</v>
      </c>
      <c r="L1624" s="164">
        <v>5800</v>
      </c>
    </row>
    <row r="1625" spans="2:12" x14ac:dyDescent="0.3">
      <c r="B1625" s="57">
        <f t="shared" si="141"/>
        <v>1622</v>
      </c>
      <c r="C1625" s="147">
        <v>46174</v>
      </c>
      <c r="D1625" s="57" t="s">
        <v>968</v>
      </c>
      <c r="E1625" s="57" t="s">
        <v>574</v>
      </c>
      <c r="F1625" s="57" t="s">
        <v>446</v>
      </c>
      <c r="G1625" s="57" t="s">
        <v>359</v>
      </c>
      <c r="H1625" s="140" t="s">
        <v>1577</v>
      </c>
      <c r="I1625" s="140" t="s">
        <v>2635</v>
      </c>
      <c r="J1625" s="57">
        <v>4</v>
      </c>
      <c r="K1625" s="167">
        <f>L1625/J1625</f>
        <v>575</v>
      </c>
      <c r="L1625" s="164">
        <v>2300</v>
      </c>
    </row>
    <row r="1626" spans="2:12" x14ac:dyDescent="0.3">
      <c r="B1626" s="57">
        <f t="shared" si="141"/>
        <v>1623</v>
      </c>
      <c r="C1626" s="147">
        <v>46174</v>
      </c>
      <c r="D1626" s="57" t="s">
        <v>968</v>
      </c>
      <c r="E1626" s="57" t="s">
        <v>146</v>
      </c>
      <c r="F1626" s="57" t="s">
        <v>502</v>
      </c>
      <c r="G1626" s="57" t="s">
        <v>773</v>
      </c>
      <c r="H1626" s="140" t="s">
        <v>1578</v>
      </c>
      <c r="I1626" s="57"/>
      <c r="J1626" s="165">
        <f>L1626/K1626</f>
        <v>20.833333333333332</v>
      </c>
      <c r="K1626" s="57">
        <v>96</v>
      </c>
      <c r="L1626" s="164">
        <v>2000</v>
      </c>
    </row>
    <row r="1627" spans="2:12" x14ac:dyDescent="0.3">
      <c r="B1627" s="57">
        <f t="shared" si="141"/>
        <v>1624</v>
      </c>
      <c r="C1627" s="147">
        <v>46174</v>
      </c>
      <c r="D1627" s="57" t="s">
        <v>968</v>
      </c>
      <c r="E1627" s="57" t="s">
        <v>574</v>
      </c>
      <c r="F1627" s="57" t="s">
        <v>446</v>
      </c>
      <c r="G1627" s="57" t="s">
        <v>316</v>
      </c>
      <c r="H1627" s="140" t="s">
        <v>1579</v>
      </c>
      <c r="I1627" s="140" t="s">
        <v>4081</v>
      </c>
      <c r="J1627" s="57">
        <v>4</v>
      </c>
      <c r="K1627" s="167">
        <f>L1627/J1627</f>
        <v>575</v>
      </c>
      <c r="L1627" s="164">
        <v>2300</v>
      </c>
    </row>
    <row r="1628" spans="2:12" x14ac:dyDescent="0.3">
      <c r="B1628" s="57">
        <f t="shared" si="141"/>
        <v>1625</v>
      </c>
      <c r="C1628" s="147">
        <v>46174</v>
      </c>
      <c r="D1628" s="57" t="s">
        <v>968</v>
      </c>
      <c r="E1628" s="57" t="s">
        <v>146</v>
      </c>
      <c r="F1628" s="57" t="s">
        <v>446</v>
      </c>
      <c r="G1628" s="57" t="s">
        <v>649</v>
      </c>
      <c r="H1628" s="140" t="s">
        <v>879</v>
      </c>
      <c r="I1628" s="57"/>
      <c r="J1628" s="165">
        <f t="shared" ref="J1628:J1629" si="143">L1628/K1628</f>
        <v>31.25</v>
      </c>
      <c r="K1628" s="57">
        <v>96</v>
      </c>
      <c r="L1628" s="164">
        <v>3000</v>
      </c>
    </row>
    <row r="1629" spans="2:12" x14ac:dyDescent="0.3">
      <c r="B1629" s="57">
        <f t="shared" si="141"/>
        <v>1626</v>
      </c>
      <c r="C1629" s="147">
        <v>46174</v>
      </c>
      <c r="D1629" s="57" t="s">
        <v>968</v>
      </c>
      <c r="E1629" s="57" t="s">
        <v>146</v>
      </c>
      <c r="F1629" s="57" t="s">
        <v>2328</v>
      </c>
      <c r="G1629" s="57" t="s">
        <v>1002</v>
      </c>
      <c r="H1629" s="140" t="s">
        <v>4093</v>
      </c>
      <c r="I1629" s="57"/>
      <c r="J1629" s="165">
        <f t="shared" si="143"/>
        <v>31.25</v>
      </c>
      <c r="K1629" s="57">
        <v>96</v>
      </c>
      <c r="L1629" s="164">
        <v>3000</v>
      </c>
    </row>
    <row r="1630" spans="2:12" x14ac:dyDescent="0.3">
      <c r="B1630" s="57">
        <f t="shared" si="141"/>
        <v>1627</v>
      </c>
      <c r="C1630" s="147">
        <v>46174</v>
      </c>
      <c r="D1630" s="57" t="s">
        <v>968</v>
      </c>
      <c r="E1630" s="57" t="s">
        <v>767</v>
      </c>
      <c r="F1630" s="57" t="s">
        <v>683</v>
      </c>
      <c r="G1630" s="57" t="s">
        <v>999</v>
      </c>
      <c r="H1630" s="140" t="s">
        <v>1580</v>
      </c>
      <c r="I1630" s="57"/>
      <c r="J1630" s="57"/>
      <c r="L1630" s="164">
        <v>300</v>
      </c>
    </row>
    <row r="1631" spans="2:12" x14ac:dyDescent="0.3">
      <c r="B1631" s="57">
        <f t="shared" si="141"/>
        <v>1628</v>
      </c>
      <c r="C1631" s="147">
        <v>46174</v>
      </c>
      <c r="D1631" s="57" t="s">
        <v>968</v>
      </c>
      <c r="E1631" s="57" t="s">
        <v>434</v>
      </c>
      <c r="F1631" s="57" t="s">
        <v>502</v>
      </c>
      <c r="G1631" s="57" t="s">
        <v>773</v>
      </c>
      <c r="H1631" s="140" t="s">
        <v>1581</v>
      </c>
      <c r="I1631" s="57"/>
      <c r="J1631" s="57"/>
      <c r="L1631" s="164">
        <v>6000</v>
      </c>
    </row>
    <row r="1632" spans="2:12" x14ac:dyDescent="0.3">
      <c r="B1632" s="57">
        <f t="shared" si="141"/>
        <v>1629</v>
      </c>
      <c r="C1632" s="147">
        <v>46174</v>
      </c>
      <c r="D1632" s="57" t="s">
        <v>968</v>
      </c>
      <c r="E1632" s="57" t="s">
        <v>146</v>
      </c>
      <c r="F1632" s="57" t="s">
        <v>300</v>
      </c>
      <c r="G1632" s="57" t="s">
        <v>2330</v>
      </c>
      <c r="H1632" s="140" t="s">
        <v>1051</v>
      </c>
      <c r="I1632" s="57"/>
      <c r="J1632" s="165">
        <f>L1632/K1632</f>
        <v>31.25</v>
      </c>
      <c r="K1632" s="57">
        <v>96</v>
      </c>
      <c r="L1632" s="164">
        <v>3000</v>
      </c>
    </row>
    <row r="1633" spans="2:12" x14ac:dyDescent="0.3">
      <c r="B1633" s="57">
        <f t="shared" si="141"/>
        <v>1630</v>
      </c>
      <c r="C1633" s="147">
        <v>46174</v>
      </c>
      <c r="D1633" s="57" t="s">
        <v>968</v>
      </c>
      <c r="E1633" s="57" t="s">
        <v>574</v>
      </c>
      <c r="F1633" s="57" t="s">
        <v>446</v>
      </c>
      <c r="G1633" s="57" t="s">
        <v>359</v>
      </c>
      <c r="H1633" s="140" t="s">
        <v>1582</v>
      </c>
      <c r="I1633" s="140" t="s">
        <v>2635</v>
      </c>
      <c r="J1633" s="57">
        <v>4</v>
      </c>
      <c r="K1633" s="167">
        <f>L1633/J1633</f>
        <v>575</v>
      </c>
      <c r="L1633" s="164">
        <v>2300</v>
      </c>
    </row>
    <row r="1634" spans="2:12" x14ac:dyDescent="0.3">
      <c r="B1634" s="57">
        <f t="shared" si="141"/>
        <v>1631</v>
      </c>
      <c r="C1634" s="147">
        <v>46174</v>
      </c>
      <c r="D1634" s="57" t="s">
        <v>968</v>
      </c>
      <c r="E1634" s="57" t="s">
        <v>434</v>
      </c>
      <c r="F1634" s="57" t="s">
        <v>502</v>
      </c>
      <c r="G1634" s="57" t="s">
        <v>773</v>
      </c>
      <c r="H1634" s="140" t="s">
        <v>1583</v>
      </c>
      <c r="I1634" s="57"/>
      <c r="J1634" s="57"/>
      <c r="L1634" s="164">
        <v>250</v>
      </c>
    </row>
    <row r="1635" spans="2:12" x14ac:dyDescent="0.3">
      <c r="B1635" s="57">
        <f t="shared" si="141"/>
        <v>1632</v>
      </c>
      <c r="C1635" s="147">
        <v>46174</v>
      </c>
      <c r="D1635" s="57" t="s">
        <v>968</v>
      </c>
      <c r="E1635" s="57" t="s">
        <v>574</v>
      </c>
      <c r="F1635" s="57" t="s">
        <v>300</v>
      </c>
      <c r="G1635" s="57" t="s">
        <v>498</v>
      </c>
      <c r="H1635" s="140" t="s">
        <v>1584</v>
      </c>
      <c r="I1635" s="140" t="s">
        <v>2635</v>
      </c>
      <c r="J1635" s="57">
        <v>4</v>
      </c>
      <c r="K1635" s="168">
        <f>L1635/J1635</f>
        <v>890.75</v>
      </c>
      <c r="L1635" s="164">
        <v>3563</v>
      </c>
    </row>
    <row r="1636" spans="2:12" x14ac:dyDescent="0.3">
      <c r="B1636" s="57">
        <f t="shared" si="141"/>
        <v>1633</v>
      </c>
      <c r="C1636" s="147">
        <v>46174</v>
      </c>
      <c r="D1636" s="57" t="s">
        <v>968</v>
      </c>
      <c r="E1636" s="57" t="s">
        <v>574</v>
      </c>
      <c r="F1636" s="57" t="s">
        <v>300</v>
      </c>
      <c r="G1636" s="57" t="s">
        <v>498</v>
      </c>
      <c r="H1636" s="140" t="s">
        <v>1585</v>
      </c>
      <c r="I1636" s="140" t="s">
        <v>4081</v>
      </c>
      <c r="J1636" s="57">
        <v>4</v>
      </c>
      <c r="K1636" s="168">
        <f>L1636/J1636</f>
        <v>908.25</v>
      </c>
      <c r="L1636" s="164">
        <v>3633</v>
      </c>
    </row>
    <row r="1637" spans="2:12" x14ac:dyDescent="0.3">
      <c r="B1637" s="57">
        <f t="shared" si="141"/>
        <v>1634</v>
      </c>
      <c r="C1637" s="147">
        <v>46174</v>
      </c>
      <c r="D1637" s="57" t="s">
        <v>968</v>
      </c>
      <c r="E1637" s="57" t="s">
        <v>434</v>
      </c>
      <c r="F1637" s="57" t="s">
        <v>446</v>
      </c>
      <c r="G1637" s="57" t="s">
        <v>649</v>
      </c>
      <c r="H1637" s="140" t="s">
        <v>1586</v>
      </c>
      <c r="I1637" s="57"/>
      <c r="J1637" s="57"/>
      <c r="L1637" s="164">
        <v>280</v>
      </c>
    </row>
    <row r="1638" spans="2:12" x14ac:dyDescent="0.3">
      <c r="B1638" s="57">
        <f t="shared" si="141"/>
        <v>1635</v>
      </c>
      <c r="C1638" s="147">
        <v>46174</v>
      </c>
      <c r="D1638" s="57" t="s">
        <v>968</v>
      </c>
      <c r="E1638" s="57" t="s">
        <v>767</v>
      </c>
      <c r="F1638" s="57" t="s">
        <v>446</v>
      </c>
      <c r="G1638" s="57" t="s">
        <v>990</v>
      </c>
      <c r="H1638" s="140" t="s">
        <v>1587</v>
      </c>
      <c r="I1638" s="57"/>
      <c r="J1638" s="57"/>
      <c r="L1638" s="164">
        <v>1200</v>
      </c>
    </row>
    <row r="1639" spans="2:12" x14ac:dyDescent="0.3">
      <c r="B1639" s="57">
        <f t="shared" si="141"/>
        <v>1636</v>
      </c>
      <c r="C1639" s="147">
        <v>46174</v>
      </c>
      <c r="D1639" s="57" t="s">
        <v>968</v>
      </c>
      <c r="E1639" s="57" t="s">
        <v>767</v>
      </c>
      <c r="F1639" s="57" t="s">
        <v>446</v>
      </c>
      <c r="G1639" s="57" t="s">
        <v>359</v>
      </c>
      <c r="H1639" s="140" t="s">
        <v>1588</v>
      </c>
      <c r="I1639" s="57"/>
      <c r="J1639" s="57"/>
      <c r="L1639" s="164">
        <v>300</v>
      </c>
    </row>
    <row r="1640" spans="2:12" x14ac:dyDescent="0.3">
      <c r="B1640" s="57">
        <f t="shared" si="141"/>
        <v>1637</v>
      </c>
      <c r="C1640" s="147">
        <v>46174</v>
      </c>
      <c r="D1640" s="57" t="s">
        <v>968</v>
      </c>
      <c r="E1640" s="57" t="s">
        <v>532</v>
      </c>
      <c r="F1640" s="57" t="s">
        <v>446</v>
      </c>
      <c r="G1640" s="57" t="s">
        <v>359</v>
      </c>
      <c r="H1640" s="140" t="s">
        <v>1589</v>
      </c>
      <c r="I1640" s="57" t="s">
        <v>532</v>
      </c>
      <c r="J1640" s="57">
        <v>40</v>
      </c>
      <c r="K1640" s="167">
        <f>L1640/J1640</f>
        <v>275</v>
      </c>
      <c r="L1640" s="164">
        <v>11000</v>
      </c>
    </row>
    <row r="1641" spans="2:12" x14ac:dyDescent="0.3">
      <c r="B1641" s="57">
        <f t="shared" si="141"/>
        <v>1638</v>
      </c>
      <c r="C1641" s="147">
        <v>46174</v>
      </c>
      <c r="D1641" s="57" t="s">
        <v>968</v>
      </c>
      <c r="E1641" s="57" t="s">
        <v>434</v>
      </c>
      <c r="F1641" s="57" t="s">
        <v>300</v>
      </c>
      <c r="G1641" s="57" t="s">
        <v>443</v>
      </c>
      <c r="H1641" s="140" t="s">
        <v>1590</v>
      </c>
      <c r="I1641" s="57"/>
      <c r="J1641" s="57"/>
      <c r="L1641" s="164">
        <v>14570</v>
      </c>
    </row>
    <row r="1642" spans="2:12" x14ac:dyDescent="0.3">
      <c r="B1642" s="57">
        <f t="shared" si="141"/>
        <v>1639</v>
      </c>
      <c r="C1642" s="147">
        <v>46175</v>
      </c>
      <c r="D1642" s="57" t="s">
        <v>968</v>
      </c>
      <c r="E1642" s="57" t="s">
        <v>146</v>
      </c>
      <c r="F1642" s="57" t="s">
        <v>502</v>
      </c>
      <c r="G1642" s="57" t="s">
        <v>257</v>
      </c>
      <c r="H1642" s="140" t="s">
        <v>1591</v>
      </c>
      <c r="I1642" s="57"/>
      <c r="J1642" s="165">
        <f t="shared" ref="J1642:J1643" si="144">L1642/K1642</f>
        <v>31.25</v>
      </c>
      <c r="K1642" s="57">
        <v>96</v>
      </c>
      <c r="L1642" s="164">
        <v>3000</v>
      </c>
    </row>
    <row r="1643" spans="2:12" x14ac:dyDescent="0.3">
      <c r="B1643" s="57">
        <f t="shared" si="141"/>
        <v>1640</v>
      </c>
      <c r="C1643" s="147">
        <v>46175</v>
      </c>
      <c r="D1643" s="57" t="s">
        <v>968</v>
      </c>
      <c r="E1643" s="57" t="s">
        <v>146</v>
      </c>
      <c r="F1643" s="57" t="s">
        <v>502</v>
      </c>
      <c r="G1643" s="57" t="s">
        <v>257</v>
      </c>
      <c r="H1643" s="140" t="s">
        <v>4100</v>
      </c>
      <c r="I1643" s="57"/>
      <c r="J1643" s="165">
        <f t="shared" si="144"/>
        <v>31.25</v>
      </c>
      <c r="K1643" s="57">
        <v>96</v>
      </c>
      <c r="L1643" s="164">
        <v>3000</v>
      </c>
    </row>
    <row r="1644" spans="2:12" x14ac:dyDescent="0.3">
      <c r="B1644" s="57">
        <f t="shared" si="141"/>
        <v>1641</v>
      </c>
      <c r="C1644" s="147">
        <v>46175</v>
      </c>
      <c r="D1644" s="57" t="s">
        <v>968</v>
      </c>
      <c r="E1644" s="57" t="s">
        <v>962</v>
      </c>
      <c r="F1644" s="57" t="s">
        <v>436</v>
      </c>
      <c r="G1644" s="57" t="s">
        <v>987</v>
      </c>
      <c r="H1644" s="140" t="s">
        <v>1592</v>
      </c>
      <c r="I1644" s="57"/>
      <c r="J1644" s="57"/>
      <c r="L1644" s="164">
        <v>2495</v>
      </c>
    </row>
    <row r="1645" spans="2:12" x14ac:dyDescent="0.3">
      <c r="B1645" s="57">
        <f t="shared" si="141"/>
        <v>1642</v>
      </c>
      <c r="C1645" s="147">
        <v>46175</v>
      </c>
      <c r="D1645" s="57" t="s">
        <v>968</v>
      </c>
      <c r="E1645" s="57" t="s">
        <v>532</v>
      </c>
      <c r="F1645" s="57" t="s">
        <v>300</v>
      </c>
      <c r="G1645" s="57" t="s">
        <v>498</v>
      </c>
      <c r="H1645" s="140" t="s">
        <v>1593</v>
      </c>
      <c r="I1645" s="57" t="s">
        <v>532</v>
      </c>
      <c r="J1645" s="57">
        <v>30</v>
      </c>
      <c r="K1645" s="167">
        <f>L1645/J1645</f>
        <v>260</v>
      </c>
      <c r="L1645" s="164">
        <v>7800</v>
      </c>
    </row>
    <row r="1646" spans="2:12" x14ac:dyDescent="0.3">
      <c r="B1646" s="57">
        <f t="shared" si="141"/>
        <v>1643</v>
      </c>
      <c r="C1646" s="147">
        <v>46175</v>
      </c>
      <c r="D1646" s="57" t="s">
        <v>968</v>
      </c>
      <c r="E1646" s="57" t="s">
        <v>2022</v>
      </c>
      <c r="F1646" s="57" t="s">
        <v>261</v>
      </c>
      <c r="G1646" s="57" t="s">
        <v>709</v>
      </c>
      <c r="H1646" s="140" t="s">
        <v>1594</v>
      </c>
      <c r="I1646" s="57"/>
      <c r="J1646" s="57"/>
      <c r="L1646" s="164">
        <v>470</v>
      </c>
    </row>
    <row r="1647" spans="2:12" x14ac:dyDescent="0.3">
      <c r="B1647" s="57">
        <f t="shared" si="141"/>
        <v>1644</v>
      </c>
      <c r="C1647" s="147">
        <v>46175</v>
      </c>
      <c r="D1647" s="57" t="s">
        <v>968</v>
      </c>
      <c r="E1647" s="57" t="s">
        <v>146</v>
      </c>
      <c r="F1647" s="57" t="s">
        <v>683</v>
      </c>
      <c r="G1647" s="57" t="s">
        <v>999</v>
      </c>
      <c r="H1647" s="140" t="s">
        <v>4113</v>
      </c>
      <c r="I1647" s="57" t="s">
        <v>146</v>
      </c>
      <c r="J1647" s="165">
        <f>L1647/K1647</f>
        <v>64.895833333333329</v>
      </c>
      <c r="K1647" s="57">
        <v>96</v>
      </c>
      <c r="L1647" s="164">
        <v>6230</v>
      </c>
    </row>
    <row r="1648" spans="2:12" x14ac:dyDescent="0.3">
      <c r="B1648" s="57">
        <f t="shared" si="141"/>
        <v>1645</v>
      </c>
      <c r="C1648" s="147">
        <v>46175</v>
      </c>
      <c r="D1648" s="57" t="s">
        <v>968</v>
      </c>
      <c r="E1648" s="57" t="s">
        <v>958</v>
      </c>
      <c r="F1648" s="57" t="s">
        <v>446</v>
      </c>
      <c r="G1648" s="57" t="s">
        <v>356</v>
      </c>
      <c r="H1648" s="140" t="s">
        <v>1595</v>
      </c>
      <c r="I1648" s="57"/>
      <c r="J1648" s="57"/>
      <c r="L1648" s="164">
        <v>15000</v>
      </c>
    </row>
    <row r="1649" spans="2:12" x14ac:dyDescent="0.3">
      <c r="B1649" s="57">
        <f t="shared" si="141"/>
        <v>1646</v>
      </c>
      <c r="C1649" s="147">
        <v>46175</v>
      </c>
      <c r="D1649" s="57" t="s">
        <v>968</v>
      </c>
      <c r="E1649" s="57" t="s">
        <v>460</v>
      </c>
      <c r="F1649" s="57" t="s">
        <v>502</v>
      </c>
      <c r="G1649" s="57" t="s">
        <v>773</v>
      </c>
      <c r="H1649" s="140" t="s">
        <v>1596</v>
      </c>
      <c r="I1649" s="57"/>
      <c r="J1649" s="57"/>
      <c r="L1649" s="164">
        <v>215</v>
      </c>
    </row>
    <row r="1650" spans="2:12" x14ac:dyDescent="0.3">
      <c r="B1650" s="57">
        <f t="shared" si="141"/>
        <v>1647</v>
      </c>
      <c r="C1650" s="147">
        <v>46175</v>
      </c>
      <c r="D1650" s="57" t="s">
        <v>968</v>
      </c>
      <c r="E1650" s="57" t="s">
        <v>2022</v>
      </c>
      <c r="F1650" s="57" t="s">
        <v>446</v>
      </c>
      <c r="G1650" s="57" t="s">
        <v>649</v>
      </c>
      <c r="H1650" s="140" t="s">
        <v>1597</v>
      </c>
      <c r="I1650" s="57"/>
      <c r="J1650" s="57"/>
      <c r="L1650" s="164">
        <v>4230</v>
      </c>
    </row>
    <row r="1651" spans="2:12" x14ac:dyDescent="0.3">
      <c r="B1651" s="57">
        <f t="shared" si="141"/>
        <v>1648</v>
      </c>
      <c r="C1651" s="147">
        <v>46175</v>
      </c>
      <c r="D1651" s="57" t="s">
        <v>968</v>
      </c>
      <c r="E1651" s="57" t="s">
        <v>4128</v>
      </c>
      <c r="F1651" s="57" t="s">
        <v>446</v>
      </c>
      <c r="G1651" s="57" t="s">
        <v>354</v>
      </c>
      <c r="H1651" s="140" t="s">
        <v>2942</v>
      </c>
      <c r="I1651" s="57"/>
      <c r="J1651" s="57"/>
      <c r="L1651" s="164">
        <v>3440</v>
      </c>
    </row>
    <row r="1652" spans="2:12" x14ac:dyDescent="0.3">
      <c r="B1652" s="57">
        <f t="shared" si="141"/>
        <v>1649</v>
      </c>
      <c r="C1652" s="147">
        <v>46175</v>
      </c>
      <c r="D1652" s="57" t="s">
        <v>968</v>
      </c>
      <c r="E1652" s="57" t="s">
        <v>2022</v>
      </c>
      <c r="F1652" s="57" t="s">
        <v>652</v>
      </c>
      <c r="G1652" s="57" t="s">
        <v>998</v>
      </c>
      <c r="H1652" s="140" t="s">
        <v>1598</v>
      </c>
      <c r="I1652" s="57"/>
      <c r="J1652" s="57"/>
      <c r="L1652" s="164">
        <v>1290</v>
      </c>
    </row>
    <row r="1653" spans="2:12" x14ac:dyDescent="0.3">
      <c r="B1653" s="57">
        <f t="shared" si="141"/>
        <v>1650</v>
      </c>
      <c r="C1653" s="147">
        <v>46175</v>
      </c>
      <c r="D1653" s="57" t="s">
        <v>968</v>
      </c>
      <c r="E1653" s="57" t="s">
        <v>146</v>
      </c>
      <c r="F1653" s="57" t="s">
        <v>502</v>
      </c>
      <c r="G1653" s="57" t="s">
        <v>257</v>
      </c>
      <c r="H1653" s="140" t="s">
        <v>1599</v>
      </c>
      <c r="I1653" s="57"/>
      <c r="J1653" s="165">
        <f>L1653/K1653</f>
        <v>20.833333333333332</v>
      </c>
      <c r="K1653" s="57">
        <v>96</v>
      </c>
      <c r="L1653" s="164">
        <v>2000</v>
      </c>
    </row>
    <row r="1654" spans="2:12" x14ac:dyDescent="0.3">
      <c r="B1654" s="57">
        <f t="shared" si="141"/>
        <v>1651</v>
      </c>
      <c r="C1654" s="147">
        <v>46175</v>
      </c>
      <c r="D1654" s="57" t="s">
        <v>968</v>
      </c>
      <c r="E1654" s="57" t="s">
        <v>434</v>
      </c>
      <c r="F1654" s="57" t="s">
        <v>502</v>
      </c>
      <c r="G1654" s="57" t="s">
        <v>257</v>
      </c>
      <c r="H1654" s="140" t="s">
        <v>1600</v>
      </c>
      <c r="I1654" s="57"/>
      <c r="J1654" s="57"/>
      <c r="L1654" s="164">
        <v>250</v>
      </c>
    </row>
    <row r="1655" spans="2:12" x14ac:dyDescent="0.3">
      <c r="B1655" s="57">
        <f t="shared" si="141"/>
        <v>1652</v>
      </c>
      <c r="C1655" s="147">
        <v>46175</v>
      </c>
      <c r="D1655" s="57" t="s">
        <v>968</v>
      </c>
      <c r="E1655" s="57" t="s">
        <v>4128</v>
      </c>
      <c r="F1655" s="57" t="s">
        <v>300</v>
      </c>
      <c r="G1655" s="57" t="s">
        <v>530</v>
      </c>
      <c r="H1655" s="140" t="s">
        <v>2943</v>
      </c>
      <c r="I1655" s="57"/>
      <c r="J1655" s="57"/>
      <c r="L1655" s="164">
        <v>9250</v>
      </c>
    </row>
    <row r="1656" spans="2:12" x14ac:dyDescent="0.3">
      <c r="B1656" s="57">
        <f t="shared" si="141"/>
        <v>1653</v>
      </c>
      <c r="C1656" s="147">
        <v>46175</v>
      </c>
      <c r="D1656" s="57" t="s">
        <v>968</v>
      </c>
      <c r="E1656" s="57" t="s">
        <v>146</v>
      </c>
      <c r="F1656" s="57" t="s">
        <v>300</v>
      </c>
      <c r="G1656" s="57" t="s">
        <v>498</v>
      </c>
      <c r="H1656" s="140" t="s">
        <v>4088</v>
      </c>
      <c r="I1656" s="57"/>
      <c r="J1656" s="165">
        <f>L1656/K1656</f>
        <v>65.625</v>
      </c>
      <c r="K1656" s="57">
        <v>96</v>
      </c>
      <c r="L1656" s="164">
        <v>6300</v>
      </c>
    </row>
    <row r="1657" spans="2:12" x14ac:dyDescent="0.3">
      <c r="B1657" s="57">
        <f t="shared" si="141"/>
        <v>1654</v>
      </c>
      <c r="C1657" s="147">
        <v>46175</v>
      </c>
      <c r="D1657" s="57" t="s">
        <v>968</v>
      </c>
      <c r="E1657" s="57" t="s">
        <v>460</v>
      </c>
      <c r="F1657" s="57" t="s">
        <v>446</v>
      </c>
      <c r="G1657" s="57" t="s">
        <v>313</v>
      </c>
      <c r="H1657" s="140" t="s">
        <v>1601</v>
      </c>
      <c r="I1657" s="57"/>
      <c r="J1657" s="57"/>
      <c r="L1657" s="164">
        <v>800</v>
      </c>
    </row>
    <row r="1658" spans="2:12" x14ac:dyDescent="0.3">
      <c r="B1658" s="57">
        <f t="shared" si="141"/>
        <v>1655</v>
      </c>
      <c r="C1658" s="147">
        <v>46175</v>
      </c>
      <c r="D1658" s="57" t="s">
        <v>968</v>
      </c>
      <c r="E1658" s="57" t="s">
        <v>434</v>
      </c>
      <c r="F1658" s="57" t="s">
        <v>683</v>
      </c>
      <c r="G1658" s="57" t="s">
        <v>999</v>
      </c>
      <c r="H1658" s="140" t="s">
        <v>1602</v>
      </c>
      <c r="I1658" s="57"/>
      <c r="J1658" s="57"/>
      <c r="L1658" s="164">
        <v>6000</v>
      </c>
    </row>
    <row r="1659" spans="2:12" x14ac:dyDescent="0.3">
      <c r="B1659" s="57">
        <f t="shared" si="141"/>
        <v>1656</v>
      </c>
      <c r="C1659" s="147">
        <v>46175</v>
      </c>
      <c r="D1659" s="57" t="s">
        <v>968</v>
      </c>
      <c r="E1659" s="57" t="s">
        <v>146</v>
      </c>
      <c r="F1659" s="57" t="s">
        <v>446</v>
      </c>
      <c r="G1659" s="57" t="s">
        <v>313</v>
      </c>
      <c r="H1659" s="140" t="s">
        <v>1603</v>
      </c>
      <c r="I1659" s="57"/>
      <c r="J1659" s="165">
        <f t="shared" ref="J1659:J1660" si="145">L1659/K1659</f>
        <v>36.510416666666664</v>
      </c>
      <c r="K1659" s="57">
        <v>96</v>
      </c>
      <c r="L1659" s="164">
        <v>3505</v>
      </c>
    </row>
    <row r="1660" spans="2:12" x14ac:dyDescent="0.3">
      <c r="B1660" s="57">
        <f t="shared" si="141"/>
        <v>1657</v>
      </c>
      <c r="C1660" s="147">
        <v>46175</v>
      </c>
      <c r="D1660" s="57" t="s">
        <v>968</v>
      </c>
      <c r="E1660" s="57" t="s">
        <v>146</v>
      </c>
      <c r="F1660" s="57" t="s">
        <v>446</v>
      </c>
      <c r="G1660" s="57" t="s">
        <v>313</v>
      </c>
      <c r="H1660" s="140" t="s">
        <v>4089</v>
      </c>
      <c r="I1660" s="57"/>
      <c r="J1660" s="165">
        <f t="shared" si="145"/>
        <v>55.104166666666664</v>
      </c>
      <c r="K1660" s="57">
        <v>96</v>
      </c>
      <c r="L1660" s="164">
        <v>5290</v>
      </c>
    </row>
    <row r="1661" spans="2:12" x14ac:dyDescent="0.3">
      <c r="B1661" s="57">
        <f t="shared" si="141"/>
        <v>1658</v>
      </c>
      <c r="C1661" s="147">
        <v>46175</v>
      </c>
      <c r="D1661" s="57" t="s">
        <v>968</v>
      </c>
      <c r="E1661" s="57" t="s">
        <v>964</v>
      </c>
      <c r="F1661" s="57" t="s">
        <v>300</v>
      </c>
      <c r="G1661" s="57" t="s">
        <v>530</v>
      </c>
      <c r="H1661" s="140" t="s">
        <v>1604</v>
      </c>
      <c r="I1661" s="57"/>
      <c r="J1661" s="57"/>
      <c r="L1661" s="164">
        <v>1000</v>
      </c>
    </row>
    <row r="1662" spans="2:12" x14ac:dyDescent="0.3">
      <c r="B1662" s="57">
        <f t="shared" si="141"/>
        <v>1659</v>
      </c>
      <c r="C1662" s="147">
        <v>46175</v>
      </c>
      <c r="D1662" s="57" t="s">
        <v>968</v>
      </c>
      <c r="E1662" s="57" t="s">
        <v>574</v>
      </c>
      <c r="F1662" s="57" t="s">
        <v>300</v>
      </c>
      <c r="G1662" s="57" t="s">
        <v>498</v>
      </c>
      <c r="H1662" s="140" t="s">
        <v>1605</v>
      </c>
      <c r="I1662" s="140" t="s">
        <v>2635</v>
      </c>
      <c r="J1662" s="57">
        <v>4</v>
      </c>
      <c r="K1662" s="168">
        <f>L1662/J1662</f>
        <v>967.5</v>
      </c>
      <c r="L1662" s="164">
        <v>3870</v>
      </c>
    </row>
    <row r="1663" spans="2:12" x14ac:dyDescent="0.3">
      <c r="B1663" s="57">
        <f t="shared" si="141"/>
        <v>1660</v>
      </c>
      <c r="C1663" s="147">
        <v>46175</v>
      </c>
      <c r="D1663" s="57" t="s">
        <v>968</v>
      </c>
      <c r="E1663" s="57" t="s">
        <v>434</v>
      </c>
      <c r="F1663" s="57" t="s">
        <v>300</v>
      </c>
      <c r="G1663" s="57" t="s">
        <v>498</v>
      </c>
      <c r="H1663" s="140" t="s">
        <v>1606</v>
      </c>
      <c r="I1663" s="57"/>
      <c r="J1663" s="57"/>
      <c r="L1663" s="164">
        <v>3600</v>
      </c>
    </row>
    <row r="1664" spans="2:12" x14ac:dyDescent="0.3">
      <c r="B1664" s="57">
        <f t="shared" si="141"/>
        <v>1661</v>
      </c>
      <c r="C1664" s="147">
        <v>46175</v>
      </c>
      <c r="D1664" s="57" t="s">
        <v>968</v>
      </c>
      <c r="E1664" s="57" t="s">
        <v>590</v>
      </c>
      <c r="F1664" s="57" t="s">
        <v>300</v>
      </c>
      <c r="G1664" s="57" t="s">
        <v>498</v>
      </c>
      <c r="H1664" s="140" t="s">
        <v>1607</v>
      </c>
      <c r="I1664" s="57"/>
      <c r="J1664" s="57"/>
      <c r="L1664" s="164">
        <v>1350</v>
      </c>
    </row>
    <row r="1665" spans="2:12" x14ac:dyDescent="0.3">
      <c r="B1665" s="57">
        <f t="shared" si="141"/>
        <v>1662</v>
      </c>
      <c r="C1665" s="147">
        <v>46175</v>
      </c>
      <c r="D1665" s="57" t="s">
        <v>968</v>
      </c>
      <c r="E1665" s="57" t="s">
        <v>532</v>
      </c>
      <c r="F1665" s="57" t="s">
        <v>300</v>
      </c>
      <c r="G1665" s="57" t="s">
        <v>530</v>
      </c>
      <c r="H1665" s="140" t="s">
        <v>1608</v>
      </c>
      <c r="I1665" s="57" t="s">
        <v>532</v>
      </c>
      <c r="J1665" s="57">
        <v>100</v>
      </c>
      <c r="K1665" s="167">
        <f>L1665/J1665</f>
        <v>260</v>
      </c>
      <c r="L1665" s="164">
        <v>26000</v>
      </c>
    </row>
    <row r="1666" spans="2:12" x14ac:dyDescent="0.3">
      <c r="B1666" s="57">
        <f t="shared" si="141"/>
        <v>1663</v>
      </c>
      <c r="C1666" s="141">
        <v>46175</v>
      </c>
      <c r="D1666" s="57" t="s">
        <v>2021</v>
      </c>
      <c r="E1666" s="57" t="s">
        <v>2036</v>
      </c>
      <c r="F1666" s="57" t="s">
        <v>300</v>
      </c>
      <c r="G1666" s="57" t="s">
        <v>530</v>
      </c>
      <c r="H1666" s="140" t="s">
        <v>2120</v>
      </c>
      <c r="I1666" s="57"/>
      <c r="J1666" s="57"/>
      <c r="L1666" s="164">
        <v>1500</v>
      </c>
    </row>
    <row r="1667" spans="2:12" x14ac:dyDescent="0.3">
      <c r="B1667" s="57">
        <f t="shared" si="141"/>
        <v>1664</v>
      </c>
      <c r="C1667" s="141">
        <v>46175</v>
      </c>
      <c r="D1667" s="57" t="s">
        <v>2021</v>
      </c>
      <c r="E1667" s="57" t="s">
        <v>434</v>
      </c>
      <c r="F1667" s="57" t="s">
        <v>436</v>
      </c>
      <c r="G1667" s="57" t="s">
        <v>987</v>
      </c>
      <c r="H1667" s="140" t="s">
        <v>2259</v>
      </c>
      <c r="I1667" s="57"/>
      <c r="J1667" s="57"/>
      <c r="L1667" s="164">
        <v>2600</v>
      </c>
    </row>
    <row r="1668" spans="2:12" x14ac:dyDescent="0.3">
      <c r="B1668" s="57">
        <f t="shared" si="141"/>
        <v>1665</v>
      </c>
      <c r="C1668" s="141">
        <v>46175</v>
      </c>
      <c r="D1668" s="57" t="s">
        <v>2021</v>
      </c>
      <c r="E1668" s="57" t="s">
        <v>2032</v>
      </c>
      <c r="F1668" s="57" t="s">
        <v>436</v>
      </c>
      <c r="G1668" s="57" t="s">
        <v>987</v>
      </c>
      <c r="H1668" s="140" t="s">
        <v>2260</v>
      </c>
      <c r="I1668" s="57"/>
      <c r="J1668" s="57"/>
      <c r="L1668" s="164">
        <v>1800</v>
      </c>
    </row>
    <row r="1669" spans="2:12" x14ac:dyDescent="0.3">
      <c r="B1669" s="57">
        <f t="shared" si="141"/>
        <v>1666</v>
      </c>
      <c r="C1669" s="141">
        <v>46175</v>
      </c>
      <c r="D1669" s="57" t="s">
        <v>2021</v>
      </c>
      <c r="E1669" s="57" t="s">
        <v>2027</v>
      </c>
      <c r="F1669" s="57" t="s">
        <v>436</v>
      </c>
      <c r="G1669" s="57" t="s">
        <v>987</v>
      </c>
      <c r="H1669" s="140" t="s">
        <v>2261</v>
      </c>
      <c r="I1669" s="57"/>
      <c r="J1669" s="57"/>
      <c r="L1669" s="164">
        <v>1220</v>
      </c>
    </row>
    <row r="1670" spans="2:12" x14ac:dyDescent="0.3">
      <c r="B1670" s="57">
        <f t="shared" ref="B1670:B1733" si="146">+B1669+1</f>
        <v>1667</v>
      </c>
      <c r="C1670" s="141">
        <v>46175</v>
      </c>
      <c r="D1670" s="57" t="s">
        <v>2021</v>
      </c>
      <c r="E1670" s="57" t="s">
        <v>434</v>
      </c>
      <c r="F1670" s="57" t="s">
        <v>300</v>
      </c>
      <c r="G1670" s="57" t="s">
        <v>530</v>
      </c>
      <c r="H1670" s="140" t="s">
        <v>2254</v>
      </c>
      <c r="I1670" s="57"/>
      <c r="J1670" s="57"/>
      <c r="L1670" s="164">
        <v>900</v>
      </c>
    </row>
    <row r="1671" spans="2:12" x14ac:dyDescent="0.3">
      <c r="B1671" s="57">
        <f t="shared" si="146"/>
        <v>1668</v>
      </c>
      <c r="C1671" s="141">
        <v>46175</v>
      </c>
      <c r="D1671" s="57" t="s">
        <v>2021</v>
      </c>
      <c r="E1671" s="57" t="s">
        <v>146</v>
      </c>
      <c r="F1671" s="57" t="s">
        <v>436</v>
      </c>
      <c r="G1671" s="57" t="s">
        <v>987</v>
      </c>
      <c r="H1671" s="140" t="s">
        <v>2262</v>
      </c>
      <c r="I1671" s="57"/>
      <c r="J1671" s="165">
        <f>L1671/K1671</f>
        <v>37.489583333333336</v>
      </c>
      <c r="K1671" s="57">
        <v>96</v>
      </c>
      <c r="L1671" s="164">
        <v>3599</v>
      </c>
    </row>
    <row r="1672" spans="2:12" x14ac:dyDescent="0.3">
      <c r="B1672" s="57">
        <f t="shared" si="146"/>
        <v>1669</v>
      </c>
      <c r="C1672" s="141">
        <v>46175</v>
      </c>
      <c r="D1672" s="57" t="s">
        <v>2021</v>
      </c>
      <c r="E1672" s="57" t="s">
        <v>434</v>
      </c>
      <c r="F1672" s="57" t="s">
        <v>300</v>
      </c>
      <c r="G1672" s="57" t="s">
        <v>530</v>
      </c>
      <c r="H1672" s="140" t="s">
        <v>2263</v>
      </c>
      <c r="I1672" s="57"/>
      <c r="J1672" s="57"/>
      <c r="L1672" s="164">
        <v>2850</v>
      </c>
    </row>
    <row r="1673" spans="2:12" x14ac:dyDescent="0.3">
      <c r="B1673" s="57">
        <f t="shared" si="146"/>
        <v>1670</v>
      </c>
      <c r="C1673" s="141">
        <v>46175</v>
      </c>
      <c r="D1673" s="57" t="s">
        <v>2021</v>
      </c>
      <c r="E1673" s="57" t="s">
        <v>146</v>
      </c>
      <c r="F1673" s="57" t="s">
        <v>300</v>
      </c>
      <c r="G1673" s="57" t="s">
        <v>2327</v>
      </c>
      <c r="H1673" s="140" t="s">
        <v>2030</v>
      </c>
      <c r="I1673" s="57"/>
      <c r="J1673" s="165">
        <f>L1673/K1673</f>
        <v>10.416666666666666</v>
      </c>
      <c r="K1673" s="57">
        <v>96</v>
      </c>
      <c r="L1673" s="164">
        <v>1000</v>
      </c>
    </row>
    <row r="1674" spans="2:12" x14ac:dyDescent="0.3">
      <c r="B1674" s="57">
        <f t="shared" si="146"/>
        <v>1671</v>
      </c>
      <c r="C1674" s="141">
        <v>46175</v>
      </c>
      <c r="D1674" s="57" t="s">
        <v>2021</v>
      </c>
      <c r="E1674" s="57" t="s">
        <v>2022</v>
      </c>
      <c r="F1674" s="57" t="s">
        <v>300</v>
      </c>
      <c r="G1674" s="57" t="s">
        <v>530</v>
      </c>
      <c r="H1674" s="140" t="s">
        <v>2264</v>
      </c>
      <c r="I1674" s="57"/>
      <c r="J1674" s="57"/>
      <c r="L1674" s="164">
        <v>250</v>
      </c>
    </row>
    <row r="1675" spans="2:12" x14ac:dyDescent="0.3">
      <c r="B1675" s="57">
        <f t="shared" si="146"/>
        <v>1672</v>
      </c>
      <c r="C1675" s="141">
        <v>46175</v>
      </c>
      <c r="D1675" s="57" t="s">
        <v>2021</v>
      </c>
      <c r="E1675" s="57" t="s">
        <v>2022</v>
      </c>
      <c r="F1675" s="57" t="s">
        <v>300</v>
      </c>
      <c r="G1675" s="57" t="s">
        <v>530</v>
      </c>
      <c r="H1675" s="140" t="s">
        <v>2265</v>
      </c>
      <c r="I1675" s="57"/>
      <c r="J1675" s="57"/>
      <c r="L1675" s="164">
        <v>690</v>
      </c>
    </row>
    <row r="1676" spans="2:12" x14ac:dyDescent="0.3">
      <c r="B1676" s="57">
        <f t="shared" si="146"/>
        <v>1673</v>
      </c>
      <c r="C1676" s="141">
        <v>46175</v>
      </c>
      <c r="D1676" s="57" t="s">
        <v>2021</v>
      </c>
      <c r="E1676" s="57" t="s">
        <v>4128</v>
      </c>
      <c r="F1676" s="57" t="s">
        <v>300</v>
      </c>
      <c r="G1676" s="57" t="s">
        <v>530</v>
      </c>
      <c r="H1676" s="140" t="s">
        <v>2216</v>
      </c>
      <c r="I1676" s="57"/>
      <c r="J1676" s="57"/>
      <c r="L1676" s="164">
        <v>2000</v>
      </c>
    </row>
    <row r="1677" spans="2:12" x14ac:dyDescent="0.3">
      <c r="B1677" s="57">
        <f t="shared" si="146"/>
        <v>1674</v>
      </c>
      <c r="C1677" s="147">
        <v>46176</v>
      </c>
      <c r="D1677" s="57" t="s">
        <v>968</v>
      </c>
      <c r="E1677" s="57" t="s">
        <v>434</v>
      </c>
      <c r="F1677" s="57" t="s">
        <v>683</v>
      </c>
      <c r="G1677" s="57" t="s">
        <v>999</v>
      </c>
      <c r="H1677" s="140" t="s">
        <v>1609</v>
      </c>
      <c r="I1677" s="57"/>
      <c r="J1677" s="57"/>
      <c r="L1677" s="164">
        <v>1400</v>
      </c>
    </row>
    <row r="1678" spans="2:12" x14ac:dyDescent="0.3">
      <c r="B1678" s="57">
        <f t="shared" si="146"/>
        <v>1675</v>
      </c>
      <c r="C1678" s="147">
        <v>46176</v>
      </c>
      <c r="D1678" s="57" t="s">
        <v>968</v>
      </c>
      <c r="E1678" s="57" t="s">
        <v>434</v>
      </c>
      <c r="F1678" s="57" t="s">
        <v>2328</v>
      </c>
      <c r="G1678" s="57" t="s">
        <v>1002</v>
      </c>
      <c r="H1678" s="140" t="s">
        <v>1610</v>
      </c>
      <c r="I1678" s="57"/>
      <c r="J1678" s="57"/>
      <c r="L1678" s="164">
        <v>980</v>
      </c>
    </row>
    <row r="1679" spans="2:12" x14ac:dyDescent="0.3">
      <c r="B1679" s="57">
        <f t="shared" si="146"/>
        <v>1676</v>
      </c>
      <c r="C1679" s="147">
        <v>46176</v>
      </c>
      <c r="D1679" s="57" t="s">
        <v>968</v>
      </c>
      <c r="E1679" s="57" t="s">
        <v>574</v>
      </c>
      <c r="F1679" s="57" t="s">
        <v>446</v>
      </c>
      <c r="G1679" s="57" t="s">
        <v>313</v>
      </c>
      <c r="H1679" s="140" t="s">
        <v>2635</v>
      </c>
      <c r="I1679" s="140" t="s">
        <v>2635</v>
      </c>
      <c r="J1679" s="57">
        <v>4</v>
      </c>
      <c r="K1679" s="167">
        <f>L1679/J1679</f>
        <v>575</v>
      </c>
      <c r="L1679" s="164">
        <v>2300</v>
      </c>
    </row>
    <row r="1680" spans="2:12" x14ac:dyDescent="0.3">
      <c r="B1680" s="57">
        <f t="shared" si="146"/>
        <v>1677</v>
      </c>
      <c r="C1680" s="147">
        <v>46176</v>
      </c>
      <c r="D1680" s="57" t="s">
        <v>968</v>
      </c>
      <c r="E1680" s="57" t="s">
        <v>574</v>
      </c>
      <c r="F1680" s="57" t="s">
        <v>446</v>
      </c>
      <c r="G1680" s="57" t="s">
        <v>313</v>
      </c>
      <c r="H1680" s="140" t="s">
        <v>2395</v>
      </c>
      <c r="I1680" s="140" t="s">
        <v>4081</v>
      </c>
      <c r="J1680" s="57">
        <v>4</v>
      </c>
      <c r="K1680" s="57">
        <f>L1680/J1680</f>
        <v>575</v>
      </c>
      <c r="L1680" s="164">
        <v>2300</v>
      </c>
    </row>
    <row r="1681" spans="2:12" x14ac:dyDescent="0.3">
      <c r="B1681" s="57">
        <f t="shared" si="146"/>
        <v>1678</v>
      </c>
      <c r="C1681" s="147">
        <v>46176</v>
      </c>
      <c r="D1681" s="57" t="s">
        <v>968</v>
      </c>
      <c r="E1681" s="57" t="s">
        <v>574</v>
      </c>
      <c r="F1681" s="57" t="s">
        <v>300</v>
      </c>
      <c r="G1681" s="57" t="s">
        <v>498</v>
      </c>
      <c r="H1681" s="140" t="s">
        <v>1611</v>
      </c>
      <c r="I1681" s="140" t="s">
        <v>2635</v>
      </c>
      <c r="J1681" s="57">
        <v>4.3</v>
      </c>
      <c r="K1681" s="57">
        <f>L1681/J1681</f>
        <v>846.51162790697674</v>
      </c>
      <c r="L1681" s="164">
        <v>3640</v>
      </c>
    </row>
    <row r="1682" spans="2:12" x14ac:dyDescent="0.3">
      <c r="B1682" s="57">
        <f t="shared" si="146"/>
        <v>1679</v>
      </c>
      <c r="C1682" s="147">
        <v>46176</v>
      </c>
      <c r="D1682" s="57" t="s">
        <v>968</v>
      </c>
      <c r="E1682" s="57" t="s">
        <v>146</v>
      </c>
      <c r="F1682" s="57" t="s">
        <v>300</v>
      </c>
      <c r="G1682" s="57" t="s">
        <v>443</v>
      </c>
      <c r="H1682" s="140" t="s">
        <v>1612</v>
      </c>
      <c r="I1682" s="57"/>
      <c r="J1682" s="165">
        <f>L1682/K1682</f>
        <v>20.833333333333332</v>
      </c>
      <c r="K1682" s="57">
        <v>96</v>
      </c>
      <c r="L1682" s="164">
        <v>2000</v>
      </c>
    </row>
    <row r="1683" spans="2:12" x14ac:dyDescent="0.3">
      <c r="B1683" s="57">
        <f t="shared" si="146"/>
        <v>1680</v>
      </c>
      <c r="C1683" s="147">
        <v>46176</v>
      </c>
      <c r="D1683" s="57" t="s">
        <v>968</v>
      </c>
      <c r="E1683" s="57" t="s">
        <v>961</v>
      </c>
      <c r="F1683" s="57" t="s">
        <v>350</v>
      </c>
      <c r="G1683" s="57" t="s">
        <v>663</v>
      </c>
      <c r="H1683" s="140" t="s">
        <v>1613</v>
      </c>
      <c r="I1683" s="57"/>
      <c r="J1683" s="57"/>
      <c r="L1683" s="164">
        <v>5620</v>
      </c>
    </row>
    <row r="1684" spans="2:12" x14ac:dyDescent="0.3">
      <c r="B1684" s="57">
        <f t="shared" si="146"/>
        <v>1681</v>
      </c>
      <c r="C1684" s="147">
        <v>46176</v>
      </c>
      <c r="D1684" s="57" t="s">
        <v>968</v>
      </c>
      <c r="E1684" s="57" t="s">
        <v>986</v>
      </c>
      <c r="F1684" s="57" t="s">
        <v>300</v>
      </c>
      <c r="G1684" s="57" t="s">
        <v>530</v>
      </c>
      <c r="H1684" s="140" t="s">
        <v>1614</v>
      </c>
      <c r="I1684" s="57" t="s">
        <v>986</v>
      </c>
      <c r="J1684" s="57">
        <v>50</v>
      </c>
      <c r="L1684" s="164">
        <v>5100</v>
      </c>
    </row>
    <row r="1685" spans="2:12" x14ac:dyDescent="0.3">
      <c r="B1685" s="57">
        <f t="shared" si="146"/>
        <v>1682</v>
      </c>
      <c r="C1685" s="147">
        <v>46176</v>
      </c>
      <c r="D1685" s="57" t="s">
        <v>968</v>
      </c>
      <c r="E1685" s="57" t="s">
        <v>595</v>
      </c>
      <c r="F1685" s="57" t="s">
        <v>300</v>
      </c>
      <c r="G1685" s="57" t="s">
        <v>626</v>
      </c>
      <c r="H1685" s="140" t="s">
        <v>1615</v>
      </c>
      <c r="I1685" s="57"/>
      <c r="J1685" s="57"/>
      <c r="L1685" s="164">
        <v>300</v>
      </c>
    </row>
    <row r="1686" spans="2:12" x14ac:dyDescent="0.3">
      <c r="B1686" s="57">
        <f t="shared" si="146"/>
        <v>1683</v>
      </c>
      <c r="C1686" s="147">
        <v>46176</v>
      </c>
      <c r="D1686" s="57" t="s">
        <v>968</v>
      </c>
      <c r="E1686" s="57" t="s">
        <v>532</v>
      </c>
      <c r="F1686" s="57" t="s">
        <v>300</v>
      </c>
      <c r="G1686" s="57" t="s">
        <v>498</v>
      </c>
      <c r="H1686" s="140" t="s">
        <v>1616</v>
      </c>
      <c r="I1686" s="57" t="s">
        <v>532</v>
      </c>
      <c r="J1686" s="57">
        <v>10</v>
      </c>
      <c r="K1686" s="57">
        <v>260</v>
      </c>
      <c r="L1686" s="164">
        <v>2600</v>
      </c>
    </row>
    <row r="1687" spans="2:12" x14ac:dyDescent="0.3">
      <c r="B1687" s="57">
        <f t="shared" si="146"/>
        <v>1684</v>
      </c>
      <c r="C1687" s="147">
        <v>46176</v>
      </c>
      <c r="D1687" s="57" t="s">
        <v>968</v>
      </c>
      <c r="E1687" s="57" t="s">
        <v>460</v>
      </c>
      <c r="F1687" s="57" t="s">
        <v>446</v>
      </c>
      <c r="G1687" s="57" t="s">
        <v>1000</v>
      </c>
      <c r="H1687" s="140" t="s">
        <v>1617</v>
      </c>
      <c r="I1687" s="57"/>
      <c r="J1687" s="57"/>
      <c r="L1687" s="164">
        <v>900</v>
      </c>
    </row>
    <row r="1688" spans="2:12" x14ac:dyDescent="0.3">
      <c r="B1688" s="57">
        <f t="shared" si="146"/>
        <v>1685</v>
      </c>
      <c r="C1688" s="147">
        <v>46176</v>
      </c>
      <c r="D1688" s="57" t="s">
        <v>968</v>
      </c>
      <c r="E1688" s="57" t="s">
        <v>146</v>
      </c>
      <c r="F1688" s="57" t="s">
        <v>261</v>
      </c>
      <c r="G1688" s="57" t="s">
        <v>709</v>
      </c>
      <c r="H1688" s="140" t="s">
        <v>4109</v>
      </c>
      <c r="I1688" s="57"/>
      <c r="J1688" s="165">
        <f>L1688/K1688</f>
        <v>40.625</v>
      </c>
      <c r="K1688" s="57">
        <v>96</v>
      </c>
      <c r="L1688" s="164">
        <v>3900</v>
      </c>
    </row>
    <row r="1689" spans="2:12" x14ac:dyDescent="0.3">
      <c r="B1689" s="57">
        <f t="shared" si="146"/>
        <v>1686</v>
      </c>
      <c r="C1689" s="147">
        <v>46176</v>
      </c>
      <c r="D1689" s="57" t="s">
        <v>968</v>
      </c>
      <c r="E1689" s="57" t="s">
        <v>595</v>
      </c>
      <c r="F1689" s="57" t="s">
        <v>300</v>
      </c>
      <c r="G1689" s="57" t="s">
        <v>626</v>
      </c>
      <c r="H1689" s="140" t="s">
        <v>1618</v>
      </c>
      <c r="I1689" s="57"/>
      <c r="J1689" s="57"/>
      <c r="L1689" s="164">
        <v>120</v>
      </c>
    </row>
    <row r="1690" spans="2:12" x14ac:dyDescent="0.3">
      <c r="B1690" s="57">
        <f t="shared" si="146"/>
        <v>1687</v>
      </c>
      <c r="C1690" s="147">
        <v>46176</v>
      </c>
      <c r="D1690" s="57" t="s">
        <v>968</v>
      </c>
      <c r="E1690" s="57" t="s">
        <v>595</v>
      </c>
      <c r="F1690" s="57" t="s">
        <v>300</v>
      </c>
      <c r="G1690" s="57" t="s">
        <v>626</v>
      </c>
      <c r="H1690" s="140" t="s">
        <v>1619</v>
      </c>
      <c r="I1690" s="57"/>
      <c r="J1690" s="57"/>
      <c r="L1690" s="164">
        <v>250</v>
      </c>
    </row>
    <row r="1691" spans="2:12" x14ac:dyDescent="0.3">
      <c r="B1691" s="57">
        <f t="shared" si="146"/>
        <v>1688</v>
      </c>
      <c r="C1691" s="147">
        <v>46176</v>
      </c>
      <c r="D1691" s="57" t="s">
        <v>968</v>
      </c>
      <c r="E1691" s="57" t="s">
        <v>146</v>
      </c>
      <c r="F1691" s="57" t="s">
        <v>300</v>
      </c>
      <c r="G1691" s="57" t="s">
        <v>530</v>
      </c>
      <c r="H1691" s="140" t="s">
        <v>1620</v>
      </c>
      <c r="I1691" s="57"/>
      <c r="J1691" s="165">
        <f t="shared" ref="J1691:J1692" si="147">L1691/K1691</f>
        <v>157.30208333333334</v>
      </c>
      <c r="K1691" s="57">
        <v>96</v>
      </c>
      <c r="L1691" s="164">
        <v>15101</v>
      </c>
    </row>
    <row r="1692" spans="2:12" x14ac:dyDescent="0.3">
      <c r="B1692" s="57">
        <f t="shared" si="146"/>
        <v>1689</v>
      </c>
      <c r="C1692" s="147">
        <v>46176</v>
      </c>
      <c r="D1692" s="57" t="s">
        <v>968</v>
      </c>
      <c r="E1692" s="57" t="s">
        <v>146</v>
      </c>
      <c r="F1692" s="57" t="s">
        <v>350</v>
      </c>
      <c r="G1692" s="57" t="s">
        <v>322</v>
      </c>
      <c r="H1692" s="140" t="s">
        <v>1621</v>
      </c>
      <c r="I1692" s="57"/>
      <c r="J1692" s="165">
        <f t="shared" si="147"/>
        <v>31.25</v>
      </c>
      <c r="K1692" s="57">
        <v>96</v>
      </c>
      <c r="L1692" s="164">
        <v>3000</v>
      </c>
    </row>
    <row r="1693" spans="2:12" x14ac:dyDescent="0.3">
      <c r="B1693" s="57">
        <f t="shared" si="146"/>
        <v>1690</v>
      </c>
      <c r="C1693" s="147">
        <v>46176</v>
      </c>
      <c r="D1693" s="57" t="s">
        <v>968</v>
      </c>
      <c r="E1693" s="57" t="s">
        <v>532</v>
      </c>
      <c r="F1693" s="57" t="s">
        <v>446</v>
      </c>
      <c r="G1693" s="57" t="s">
        <v>313</v>
      </c>
      <c r="H1693" s="140" t="s">
        <v>1622</v>
      </c>
      <c r="I1693" s="57" t="s">
        <v>532</v>
      </c>
      <c r="J1693" s="57">
        <v>10</v>
      </c>
      <c r="K1693" s="57">
        <v>256</v>
      </c>
      <c r="L1693" s="164">
        <v>2560</v>
      </c>
    </row>
    <row r="1694" spans="2:12" x14ac:dyDescent="0.3">
      <c r="B1694" s="57">
        <f t="shared" si="146"/>
        <v>1691</v>
      </c>
      <c r="C1694" s="147">
        <v>46176</v>
      </c>
      <c r="D1694" s="57" t="s">
        <v>968</v>
      </c>
      <c r="E1694" s="57" t="s">
        <v>532</v>
      </c>
      <c r="F1694" s="57" t="s">
        <v>300</v>
      </c>
      <c r="G1694" s="57" t="s">
        <v>443</v>
      </c>
      <c r="H1694" s="140" t="s">
        <v>1623</v>
      </c>
      <c r="I1694" s="57" t="s">
        <v>532</v>
      </c>
      <c r="J1694" s="57">
        <v>7</v>
      </c>
      <c r="K1694" s="168">
        <f>L1694/J1694</f>
        <v>292.85714285714283</v>
      </c>
      <c r="L1694" s="164">
        <v>2050</v>
      </c>
    </row>
    <row r="1695" spans="2:12" x14ac:dyDescent="0.3">
      <c r="B1695" s="57">
        <f t="shared" si="146"/>
        <v>1692</v>
      </c>
      <c r="C1695" s="147">
        <v>46176</v>
      </c>
      <c r="D1695" s="57" t="s">
        <v>968</v>
      </c>
      <c r="E1695" s="57" t="s">
        <v>146</v>
      </c>
      <c r="F1695" s="57" t="s">
        <v>300</v>
      </c>
      <c r="G1695" s="57" t="s">
        <v>438</v>
      </c>
      <c r="H1695" s="140" t="s">
        <v>4110</v>
      </c>
      <c r="I1695" s="57"/>
      <c r="J1695" s="165">
        <f t="shared" ref="J1695:J1696" si="148">L1695/K1695</f>
        <v>33.25</v>
      </c>
      <c r="K1695" s="57">
        <v>96</v>
      </c>
      <c r="L1695" s="164">
        <v>3192</v>
      </c>
    </row>
    <row r="1696" spans="2:12" x14ac:dyDescent="0.3">
      <c r="B1696" s="57">
        <f t="shared" si="146"/>
        <v>1693</v>
      </c>
      <c r="C1696" s="147">
        <v>46176</v>
      </c>
      <c r="D1696" s="57" t="s">
        <v>968</v>
      </c>
      <c r="E1696" s="57" t="s">
        <v>146</v>
      </c>
      <c r="F1696" s="57" t="s">
        <v>300</v>
      </c>
      <c r="G1696" s="57" t="s">
        <v>498</v>
      </c>
      <c r="H1696" s="140" t="s">
        <v>1624</v>
      </c>
      <c r="I1696" s="57"/>
      <c r="J1696" s="165">
        <f t="shared" si="148"/>
        <v>48.4375</v>
      </c>
      <c r="K1696" s="57">
        <v>96</v>
      </c>
      <c r="L1696" s="164">
        <v>4650</v>
      </c>
    </row>
    <row r="1697" spans="2:12" x14ac:dyDescent="0.3">
      <c r="B1697" s="57">
        <f t="shared" si="146"/>
        <v>1694</v>
      </c>
      <c r="C1697" s="147">
        <v>46176</v>
      </c>
      <c r="D1697" s="57" t="s">
        <v>968</v>
      </c>
      <c r="E1697" s="57" t="s">
        <v>574</v>
      </c>
      <c r="F1697" s="57" t="s">
        <v>446</v>
      </c>
      <c r="G1697" s="57" t="s">
        <v>313</v>
      </c>
      <c r="H1697" s="140" t="s">
        <v>2635</v>
      </c>
      <c r="I1697" s="140" t="s">
        <v>2635</v>
      </c>
      <c r="J1697" s="57">
        <v>4</v>
      </c>
      <c r="K1697" s="167">
        <f>L1697/J1697</f>
        <v>575</v>
      </c>
      <c r="L1697" s="164">
        <v>2300</v>
      </c>
    </row>
    <row r="1698" spans="2:12" x14ac:dyDescent="0.3">
      <c r="B1698" s="57">
        <f t="shared" si="146"/>
        <v>1695</v>
      </c>
      <c r="C1698" s="147">
        <v>46176</v>
      </c>
      <c r="D1698" s="57" t="s">
        <v>968</v>
      </c>
      <c r="E1698" s="57" t="s">
        <v>574</v>
      </c>
      <c r="F1698" s="57" t="s">
        <v>446</v>
      </c>
      <c r="G1698" s="57" t="s">
        <v>313</v>
      </c>
      <c r="H1698" s="140" t="s">
        <v>2395</v>
      </c>
      <c r="I1698" s="140" t="s">
        <v>4081</v>
      </c>
      <c r="J1698" s="57">
        <v>4</v>
      </c>
      <c r="K1698" s="167">
        <f>L1698/J1698</f>
        <v>575</v>
      </c>
      <c r="L1698" s="164">
        <v>2300</v>
      </c>
    </row>
    <row r="1699" spans="2:12" x14ac:dyDescent="0.3">
      <c r="B1699" s="57">
        <f t="shared" si="146"/>
        <v>1696</v>
      </c>
      <c r="C1699" s="147">
        <v>46176</v>
      </c>
      <c r="D1699" s="57" t="s">
        <v>968</v>
      </c>
      <c r="E1699" s="57" t="s">
        <v>434</v>
      </c>
      <c r="F1699" s="57" t="s">
        <v>300</v>
      </c>
      <c r="G1699" s="57" t="s">
        <v>498</v>
      </c>
      <c r="H1699" s="140" t="s">
        <v>1625</v>
      </c>
      <c r="I1699" s="57"/>
      <c r="J1699" s="57"/>
      <c r="L1699" s="164">
        <v>350</v>
      </c>
    </row>
    <row r="1700" spans="2:12" x14ac:dyDescent="0.3">
      <c r="B1700" s="57">
        <f t="shared" si="146"/>
        <v>1697</v>
      </c>
      <c r="C1700" s="147">
        <v>46176</v>
      </c>
      <c r="D1700" s="57" t="s">
        <v>968</v>
      </c>
      <c r="E1700" s="57" t="s">
        <v>986</v>
      </c>
      <c r="F1700" s="57" t="s">
        <v>446</v>
      </c>
      <c r="G1700" s="57" t="s">
        <v>990</v>
      </c>
      <c r="H1700" s="140" t="s">
        <v>1626</v>
      </c>
      <c r="I1700" s="57" t="s">
        <v>986</v>
      </c>
      <c r="J1700" s="57">
        <v>10</v>
      </c>
      <c r="L1700" s="164">
        <v>850</v>
      </c>
    </row>
    <row r="1701" spans="2:12" x14ac:dyDescent="0.3">
      <c r="B1701" s="57">
        <f t="shared" si="146"/>
        <v>1698</v>
      </c>
      <c r="C1701" s="147">
        <v>46176</v>
      </c>
      <c r="D1701" s="57" t="s">
        <v>968</v>
      </c>
      <c r="E1701" s="57" t="s">
        <v>961</v>
      </c>
      <c r="F1701" s="57" t="s">
        <v>350</v>
      </c>
      <c r="G1701" s="57" t="s">
        <v>322</v>
      </c>
      <c r="H1701" s="140" t="s">
        <v>1627</v>
      </c>
      <c r="I1701" s="57"/>
      <c r="J1701" s="57"/>
      <c r="L1701" s="164">
        <v>26500</v>
      </c>
    </row>
    <row r="1702" spans="2:12" x14ac:dyDescent="0.3">
      <c r="B1702" s="57">
        <f t="shared" si="146"/>
        <v>1699</v>
      </c>
      <c r="C1702" s="143">
        <v>46177</v>
      </c>
      <c r="D1702" s="57" t="s">
        <v>435</v>
      </c>
      <c r="E1702" s="57" t="s">
        <v>146</v>
      </c>
      <c r="F1702" s="57" t="s">
        <v>300</v>
      </c>
      <c r="G1702" s="57" t="s">
        <v>438</v>
      </c>
      <c r="H1702" s="140" t="s">
        <v>4092</v>
      </c>
      <c r="I1702" s="57"/>
      <c r="J1702" s="165">
        <f>L1702/K1702</f>
        <v>78.958437500000002</v>
      </c>
      <c r="K1702" s="57">
        <v>96</v>
      </c>
      <c r="L1702" s="164">
        <v>7580.01</v>
      </c>
    </row>
    <row r="1703" spans="2:12" x14ac:dyDescent="0.3">
      <c r="B1703" s="57">
        <f t="shared" si="146"/>
        <v>1700</v>
      </c>
      <c r="C1703" s="147">
        <v>46177</v>
      </c>
      <c r="D1703" s="57" t="s">
        <v>968</v>
      </c>
      <c r="E1703" s="57" t="s">
        <v>237</v>
      </c>
      <c r="F1703" s="57" t="s">
        <v>300</v>
      </c>
      <c r="G1703" s="57" t="s">
        <v>530</v>
      </c>
      <c r="H1703" s="140" t="s">
        <v>1628</v>
      </c>
      <c r="I1703" s="57"/>
      <c r="J1703" s="57"/>
      <c r="L1703" s="164">
        <v>1250</v>
      </c>
    </row>
    <row r="1704" spans="2:12" x14ac:dyDescent="0.3">
      <c r="B1704" s="57">
        <f t="shared" si="146"/>
        <v>1701</v>
      </c>
      <c r="C1704" s="147">
        <v>46177</v>
      </c>
      <c r="D1704" s="57" t="s">
        <v>968</v>
      </c>
      <c r="E1704" s="57" t="s">
        <v>574</v>
      </c>
      <c r="F1704" s="57" t="s">
        <v>300</v>
      </c>
      <c r="G1704" s="57" t="s">
        <v>996</v>
      </c>
      <c r="H1704" s="140" t="s">
        <v>1629</v>
      </c>
      <c r="I1704" s="140" t="s">
        <v>2635</v>
      </c>
      <c r="J1704" s="57">
        <v>4</v>
      </c>
      <c r="K1704" s="167">
        <f>L1704/J1704</f>
        <v>700</v>
      </c>
      <c r="L1704" s="164">
        <v>2800</v>
      </c>
    </row>
    <row r="1705" spans="2:12" x14ac:dyDescent="0.3">
      <c r="B1705" s="57">
        <f t="shared" si="146"/>
        <v>1702</v>
      </c>
      <c r="C1705" s="147">
        <v>46177</v>
      </c>
      <c r="D1705" s="57" t="s">
        <v>968</v>
      </c>
      <c r="E1705" s="57" t="s">
        <v>146</v>
      </c>
      <c r="F1705" s="57" t="s">
        <v>300</v>
      </c>
      <c r="G1705" s="57" t="s">
        <v>616</v>
      </c>
      <c r="H1705" s="140" t="s">
        <v>894</v>
      </c>
      <c r="I1705" s="57"/>
      <c r="J1705" s="165">
        <f t="shared" ref="J1705:J1707" si="149">L1705/K1705</f>
        <v>42.5</v>
      </c>
      <c r="K1705" s="57">
        <v>96</v>
      </c>
      <c r="L1705" s="164">
        <v>4080</v>
      </c>
    </row>
    <row r="1706" spans="2:12" x14ac:dyDescent="0.3">
      <c r="B1706" s="57">
        <f t="shared" si="146"/>
        <v>1703</v>
      </c>
      <c r="C1706" s="147">
        <v>46177</v>
      </c>
      <c r="D1706" s="57" t="s">
        <v>968</v>
      </c>
      <c r="E1706" s="57" t="s">
        <v>146</v>
      </c>
      <c r="F1706" s="57" t="s">
        <v>446</v>
      </c>
      <c r="G1706" s="57" t="s">
        <v>316</v>
      </c>
      <c r="H1706" s="140" t="s">
        <v>1630</v>
      </c>
      <c r="I1706" s="57"/>
      <c r="J1706" s="165">
        <f t="shared" si="149"/>
        <v>20.833333333333332</v>
      </c>
      <c r="K1706" s="57">
        <v>96</v>
      </c>
      <c r="L1706" s="164">
        <v>2000</v>
      </c>
    </row>
    <row r="1707" spans="2:12" x14ac:dyDescent="0.3">
      <c r="B1707" s="57">
        <f t="shared" si="146"/>
        <v>1704</v>
      </c>
      <c r="C1707" s="147">
        <v>46177</v>
      </c>
      <c r="D1707" s="57" t="s">
        <v>968</v>
      </c>
      <c r="E1707" s="57" t="s">
        <v>146</v>
      </c>
      <c r="F1707" s="57" t="s">
        <v>446</v>
      </c>
      <c r="G1707" s="57" t="s">
        <v>990</v>
      </c>
      <c r="H1707" s="140" t="s">
        <v>1631</v>
      </c>
      <c r="I1707" s="57"/>
      <c r="J1707" s="165">
        <f t="shared" si="149"/>
        <v>31.25</v>
      </c>
      <c r="K1707" s="57">
        <v>96</v>
      </c>
      <c r="L1707" s="164">
        <v>3000</v>
      </c>
    </row>
    <row r="1708" spans="2:12" x14ac:dyDescent="0.3">
      <c r="B1708" s="57">
        <f t="shared" si="146"/>
        <v>1705</v>
      </c>
      <c r="C1708" s="147">
        <v>46177</v>
      </c>
      <c r="D1708" s="57" t="s">
        <v>968</v>
      </c>
      <c r="E1708" s="57" t="s">
        <v>574</v>
      </c>
      <c r="F1708" s="57" t="s">
        <v>446</v>
      </c>
      <c r="G1708" s="57" t="s">
        <v>313</v>
      </c>
      <c r="H1708" s="140" t="s">
        <v>2635</v>
      </c>
      <c r="I1708" s="140" t="s">
        <v>2635</v>
      </c>
      <c r="J1708" s="57">
        <v>4</v>
      </c>
      <c r="K1708" s="167">
        <f>L1708/J1708</f>
        <v>575</v>
      </c>
      <c r="L1708" s="164">
        <v>2300</v>
      </c>
    </row>
    <row r="1709" spans="2:12" x14ac:dyDescent="0.3">
      <c r="B1709" s="57">
        <f t="shared" si="146"/>
        <v>1706</v>
      </c>
      <c r="C1709" s="147">
        <v>46177</v>
      </c>
      <c r="D1709" s="57" t="s">
        <v>968</v>
      </c>
      <c r="E1709" s="57" t="s">
        <v>574</v>
      </c>
      <c r="F1709" s="57" t="s">
        <v>446</v>
      </c>
      <c r="G1709" s="57" t="s">
        <v>313</v>
      </c>
      <c r="H1709" s="140" t="s">
        <v>2395</v>
      </c>
      <c r="I1709" s="140" t="s">
        <v>4081</v>
      </c>
      <c r="J1709" s="57">
        <v>4</v>
      </c>
      <c r="K1709" s="57">
        <f>L1709/J1709</f>
        <v>575</v>
      </c>
      <c r="L1709" s="164">
        <v>2300</v>
      </c>
    </row>
    <row r="1710" spans="2:12" x14ac:dyDescent="0.3">
      <c r="B1710" s="57">
        <f t="shared" si="146"/>
        <v>1707</v>
      </c>
      <c r="C1710" s="147">
        <v>46177</v>
      </c>
      <c r="D1710" s="57" t="s">
        <v>968</v>
      </c>
      <c r="E1710" s="57" t="s">
        <v>146</v>
      </c>
      <c r="F1710" s="57" t="s">
        <v>300</v>
      </c>
      <c r="G1710" s="57" t="s">
        <v>530</v>
      </c>
      <c r="H1710" s="140" t="s">
        <v>1632</v>
      </c>
      <c r="I1710" s="57"/>
      <c r="J1710" s="165">
        <f t="shared" ref="J1710:J1712" si="150">L1710/K1710</f>
        <v>36.729166666666664</v>
      </c>
      <c r="K1710" s="57">
        <v>96</v>
      </c>
      <c r="L1710" s="164">
        <v>3526</v>
      </c>
    </row>
    <row r="1711" spans="2:12" x14ac:dyDescent="0.3">
      <c r="B1711" s="57">
        <f t="shared" si="146"/>
        <v>1708</v>
      </c>
      <c r="C1711" s="147">
        <v>46177</v>
      </c>
      <c r="D1711" s="57" t="s">
        <v>968</v>
      </c>
      <c r="E1711" s="57" t="s">
        <v>146</v>
      </c>
      <c r="F1711" s="57" t="s">
        <v>300</v>
      </c>
      <c r="G1711" s="57" t="s">
        <v>530</v>
      </c>
      <c r="H1711" s="140" t="s">
        <v>4095</v>
      </c>
      <c r="I1711" s="57"/>
      <c r="J1711" s="165">
        <f t="shared" si="150"/>
        <v>42.458333333333336</v>
      </c>
      <c r="K1711" s="57">
        <v>96</v>
      </c>
      <c r="L1711" s="164">
        <v>4076</v>
      </c>
    </row>
    <row r="1712" spans="2:12" x14ac:dyDescent="0.3">
      <c r="B1712" s="57">
        <f t="shared" si="146"/>
        <v>1709</v>
      </c>
      <c r="C1712" s="147">
        <v>46177</v>
      </c>
      <c r="D1712" s="57" t="s">
        <v>968</v>
      </c>
      <c r="E1712" s="57" t="s">
        <v>146</v>
      </c>
      <c r="F1712" s="57" t="s">
        <v>350</v>
      </c>
      <c r="G1712" s="57" t="s">
        <v>663</v>
      </c>
      <c r="H1712" s="140" t="s">
        <v>4106</v>
      </c>
      <c r="I1712" s="57"/>
      <c r="J1712" s="165">
        <f t="shared" si="150"/>
        <v>31.25</v>
      </c>
      <c r="K1712" s="57">
        <v>96</v>
      </c>
      <c r="L1712" s="164">
        <v>3000</v>
      </c>
    </row>
    <row r="1713" spans="2:12" x14ac:dyDescent="0.3">
      <c r="B1713" s="57">
        <f t="shared" si="146"/>
        <v>1710</v>
      </c>
      <c r="C1713" s="147">
        <v>46177</v>
      </c>
      <c r="D1713" s="57" t="s">
        <v>968</v>
      </c>
      <c r="E1713" s="57" t="s">
        <v>434</v>
      </c>
      <c r="F1713" s="57" t="s">
        <v>350</v>
      </c>
      <c r="G1713" s="57" t="s">
        <v>663</v>
      </c>
      <c r="H1713" s="140" t="s">
        <v>1633</v>
      </c>
      <c r="I1713" s="57"/>
      <c r="J1713" s="57"/>
      <c r="L1713" s="164">
        <v>260</v>
      </c>
    </row>
    <row r="1714" spans="2:12" x14ac:dyDescent="0.3">
      <c r="B1714" s="57">
        <f t="shared" si="146"/>
        <v>1711</v>
      </c>
      <c r="C1714" s="147">
        <v>46177</v>
      </c>
      <c r="D1714" s="57" t="s">
        <v>968</v>
      </c>
      <c r="E1714" s="57" t="s">
        <v>4008</v>
      </c>
      <c r="F1714" s="57" t="s">
        <v>2328</v>
      </c>
      <c r="G1714" s="57" t="s">
        <v>1002</v>
      </c>
      <c r="H1714" s="140" t="s">
        <v>1634</v>
      </c>
      <c r="I1714" s="57"/>
      <c r="J1714" s="57"/>
      <c r="L1714" s="164">
        <v>2600</v>
      </c>
    </row>
    <row r="1715" spans="2:12" x14ac:dyDescent="0.3">
      <c r="B1715" s="57">
        <f t="shared" si="146"/>
        <v>1712</v>
      </c>
      <c r="C1715" s="147">
        <v>46177</v>
      </c>
      <c r="D1715" s="57" t="s">
        <v>968</v>
      </c>
      <c r="E1715" s="57" t="s">
        <v>146</v>
      </c>
      <c r="F1715" s="57" t="s">
        <v>502</v>
      </c>
      <c r="G1715" s="57" t="s">
        <v>773</v>
      </c>
      <c r="H1715" s="140" t="s">
        <v>1635</v>
      </c>
      <c r="I1715" s="57"/>
      <c r="J1715" s="165">
        <f>L1715/K1715</f>
        <v>20.833333333333332</v>
      </c>
      <c r="K1715" s="57">
        <v>96</v>
      </c>
      <c r="L1715" s="164">
        <v>2000</v>
      </c>
    </row>
    <row r="1716" spans="2:12" x14ac:dyDescent="0.3">
      <c r="B1716" s="57">
        <f t="shared" si="146"/>
        <v>1713</v>
      </c>
      <c r="C1716" s="147">
        <v>46177</v>
      </c>
      <c r="D1716" s="57" t="s">
        <v>968</v>
      </c>
      <c r="E1716" s="57" t="s">
        <v>4128</v>
      </c>
      <c r="F1716" s="57" t="s">
        <v>683</v>
      </c>
      <c r="G1716" s="57" t="s">
        <v>999</v>
      </c>
      <c r="H1716" s="140" t="s">
        <v>2944</v>
      </c>
      <c r="I1716" s="57"/>
      <c r="J1716" s="57"/>
      <c r="L1716" s="164">
        <v>3000</v>
      </c>
    </row>
    <row r="1717" spans="2:12" x14ac:dyDescent="0.3">
      <c r="B1717" s="57">
        <f t="shared" si="146"/>
        <v>1714</v>
      </c>
      <c r="C1717" s="147">
        <v>46177</v>
      </c>
      <c r="D1717" s="57" t="s">
        <v>968</v>
      </c>
      <c r="E1717" s="57" t="s">
        <v>146</v>
      </c>
      <c r="F1717" s="57" t="s">
        <v>446</v>
      </c>
      <c r="G1717" s="57" t="s">
        <v>1003</v>
      </c>
      <c r="H1717" s="140" t="s">
        <v>879</v>
      </c>
      <c r="I1717" s="57"/>
      <c r="J1717" s="165">
        <f>L1717/K1717</f>
        <v>31.25</v>
      </c>
      <c r="K1717" s="57">
        <v>96</v>
      </c>
      <c r="L1717" s="164">
        <v>3000</v>
      </c>
    </row>
    <row r="1718" spans="2:12" x14ac:dyDescent="0.3">
      <c r="B1718" s="57">
        <f t="shared" si="146"/>
        <v>1715</v>
      </c>
      <c r="C1718" s="147">
        <v>46177</v>
      </c>
      <c r="D1718" s="57" t="s">
        <v>968</v>
      </c>
      <c r="E1718" s="57" t="s">
        <v>958</v>
      </c>
      <c r="F1718" s="57" t="s">
        <v>2332</v>
      </c>
      <c r="G1718" s="57" t="s">
        <v>1004</v>
      </c>
      <c r="H1718" s="140" t="s">
        <v>1636</v>
      </c>
      <c r="I1718" s="57"/>
      <c r="J1718" s="57"/>
      <c r="L1718" s="164">
        <v>1800</v>
      </c>
    </row>
    <row r="1719" spans="2:12" x14ac:dyDescent="0.3">
      <c r="B1719" s="57">
        <f t="shared" si="146"/>
        <v>1716</v>
      </c>
      <c r="C1719" s="147">
        <v>46177</v>
      </c>
      <c r="D1719" s="57" t="s">
        <v>968</v>
      </c>
      <c r="E1719" s="57" t="s">
        <v>4128</v>
      </c>
      <c r="F1719" s="57" t="s">
        <v>683</v>
      </c>
      <c r="G1719" s="57" t="s">
        <v>999</v>
      </c>
      <c r="H1719" s="140" t="s">
        <v>2944</v>
      </c>
      <c r="I1719" s="57"/>
      <c r="J1719" s="57"/>
      <c r="L1719" s="164">
        <v>500</v>
      </c>
    </row>
    <row r="1720" spans="2:12" x14ac:dyDescent="0.3">
      <c r="B1720" s="57">
        <f t="shared" si="146"/>
        <v>1717</v>
      </c>
      <c r="C1720" s="147">
        <v>46177</v>
      </c>
      <c r="D1720" s="57" t="s">
        <v>968</v>
      </c>
      <c r="E1720" s="57" t="s">
        <v>146</v>
      </c>
      <c r="F1720" s="57" t="s">
        <v>300</v>
      </c>
      <c r="G1720" s="57" t="s">
        <v>443</v>
      </c>
      <c r="H1720" s="140" t="s">
        <v>1637</v>
      </c>
      <c r="I1720" s="57"/>
      <c r="J1720" s="165">
        <f>L1720/K1720</f>
        <v>15.625</v>
      </c>
      <c r="K1720" s="57">
        <v>96</v>
      </c>
      <c r="L1720" s="164">
        <v>1500</v>
      </c>
    </row>
    <row r="1721" spans="2:12" x14ac:dyDescent="0.3">
      <c r="B1721" s="57">
        <f t="shared" si="146"/>
        <v>1718</v>
      </c>
      <c r="C1721" s="147">
        <v>46177</v>
      </c>
      <c r="D1721" s="57" t="s">
        <v>968</v>
      </c>
      <c r="E1721" s="57" t="s">
        <v>574</v>
      </c>
      <c r="F1721" s="57" t="s">
        <v>350</v>
      </c>
      <c r="G1721" s="57" t="s">
        <v>663</v>
      </c>
      <c r="H1721" s="140" t="s">
        <v>1638</v>
      </c>
      <c r="I1721" s="140" t="s">
        <v>2635</v>
      </c>
      <c r="J1721" s="57">
        <v>4</v>
      </c>
      <c r="K1721" s="167">
        <f>L1721/J1721</f>
        <v>570</v>
      </c>
      <c r="L1721" s="164">
        <v>2280</v>
      </c>
    </row>
    <row r="1722" spans="2:12" x14ac:dyDescent="0.3">
      <c r="B1722" s="57">
        <f t="shared" si="146"/>
        <v>1719</v>
      </c>
      <c r="C1722" s="147">
        <v>46177</v>
      </c>
      <c r="D1722" s="57" t="s">
        <v>968</v>
      </c>
      <c r="E1722" s="57" t="s">
        <v>2022</v>
      </c>
      <c r="F1722" s="57" t="s">
        <v>300</v>
      </c>
      <c r="G1722" s="57" t="s">
        <v>530</v>
      </c>
      <c r="H1722" s="140" t="s">
        <v>1639</v>
      </c>
      <c r="I1722" s="57"/>
      <c r="J1722" s="57"/>
      <c r="L1722" s="164">
        <v>9830</v>
      </c>
    </row>
    <row r="1723" spans="2:12" x14ac:dyDescent="0.3">
      <c r="B1723" s="57">
        <f t="shared" si="146"/>
        <v>1720</v>
      </c>
      <c r="C1723" s="147">
        <v>46177</v>
      </c>
      <c r="D1723" s="57" t="s">
        <v>968</v>
      </c>
      <c r="E1723" s="57" t="s">
        <v>574</v>
      </c>
      <c r="F1723" s="57" t="s">
        <v>350</v>
      </c>
      <c r="G1723" s="57" t="s">
        <v>322</v>
      </c>
      <c r="H1723" s="140" t="s">
        <v>1640</v>
      </c>
      <c r="I1723" s="140" t="s">
        <v>2635</v>
      </c>
      <c r="J1723" s="57">
        <v>4</v>
      </c>
      <c r="K1723" s="167">
        <f>L1723/J1723</f>
        <v>650</v>
      </c>
      <c r="L1723" s="164">
        <v>2600</v>
      </c>
    </row>
    <row r="1724" spans="2:12" x14ac:dyDescent="0.3">
      <c r="B1724" s="57">
        <f t="shared" si="146"/>
        <v>1721</v>
      </c>
      <c r="C1724" s="147">
        <v>46177</v>
      </c>
      <c r="D1724" s="57" t="s">
        <v>968</v>
      </c>
      <c r="E1724" s="57" t="s">
        <v>965</v>
      </c>
      <c r="F1724" s="57" t="s">
        <v>300</v>
      </c>
      <c r="G1724" s="57" t="s">
        <v>443</v>
      </c>
      <c r="H1724" s="140" t="s">
        <v>1641</v>
      </c>
      <c r="I1724" s="57"/>
      <c r="J1724" s="57"/>
      <c r="L1724" s="164">
        <v>300</v>
      </c>
    </row>
    <row r="1725" spans="2:12" x14ac:dyDescent="0.3">
      <c r="B1725" s="57">
        <f t="shared" si="146"/>
        <v>1722</v>
      </c>
      <c r="C1725" s="147">
        <v>46177</v>
      </c>
      <c r="D1725" s="57" t="s">
        <v>968</v>
      </c>
      <c r="E1725" s="57" t="s">
        <v>590</v>
      </c>
      <c r="F1725" s="57" t="s">
        <v>300</v>
      </c>
      <c r="G1725" s="57" t="s">
        <v>530</v>
      </c>
      <c r="H1725" s="140" t="s">
        <v>1642</v>
      </c>
      <c r="I1725" s="57"/>
      <c r="J1725" s="57"/>
      <c r="L1725" s="164">
        <v>1000</v>
      </c>
    </row>
    <row r="1726" spans="2:12" x14ac:dyDescent="0.3">
      <c r="B1726" s="57">
        <f t="shared" si="146"/>
        <v>1723</v>
      </c>
      <c r="C1726" s="147">
        <v>46177</v>
      </c>
      <c r="D1726" s="57" t="s">
        <v>968</v>
      </c>
      <c r="E1726" s="57" t="s">
        <v>237</v>
      </c>
      <c r="F1726" s="57" t="s">
        <v>300</v>
      </c>
      <c r="G1726" s="57" t="s">
        <v>530</v>
      </c>
      <c r="H1726" s="140" t="s">
        <v>1643</v>
      </c>
      <c r="I1726" s="57"/>
      <c r="J1726" s="57"/>
      <c r="L1726" s="164">
        <v>4600</v>
      </c>
    </row>
    <row r="1727" spans="2:12" x14ac:dyDescent="0.3">
      <c r="B1727" s="57">
        <f t="shared" si="146"/>
        <v>1724</v>
      </c>
      <c r="C1727" s="143">
        <v>46178</v>
      </c>
      <c r="D1727" s="152" t="s">
        <v>435</v>
      </c>
      <c r="E1727" s="57" t="s">
        <v>471</v>
      </c>
      <c r="F1727" s="57" t="s">
        <v>350</v>
      </c>
      <c r="G1727" s="57" t="s">
        <v>663</v>
      </c>
      <c r="H1727" s="140" t="s">
        <v>670</v>
      </c>
      <c r="I1727" s="57"/>
      <c r="J1727" s="57"/>
      <c r="L1727" s="164">
        <f>59.5*530</f>
        <v>31535</v>
      </c>
    </row>
    <row r="1728" spans="2:12" x14ac:dyDescent="0.3">
      <c r="B1728" s="57">
        <f t="shared" si="146"/>
        <v>1725</v>
      </c>
      <c r="C1728" s="143">
        <v>46178</v>
      </c>
      <c r="D1728" s="152" t="s">
        <v>435</v>
      </c>
      <c r="E1728" s="57" t="s">
        <v>471</v>
      </c>
      <c r="F1728" s="57" t="s">
        <v>350</v>
      </c>
      <c r="G1728" s="57" t="s">
        <v>663</v>
      </c>
      <c r="H1728" s="140" t="s">
        <v>669</v>
      </c>
      <c r="I1728" s="57"/>
      <c r="J1728" s="57"/>
      <c r="L1728" s="164">
        <f>59.7*1184</f>
        <v>70684.800000000003</v>
      </c>
    </row>
    <row r="1729" spans="2:12" x14ac:dyDescent="0.3">
      <c r="B1729" s="57">
        <f t="shared" si="146"/>
        <v>1726</v>
      </c>
      <c r="C1729" s="143">
        <v>46178</v>
      </c>
      <c r="D1729" s="152" t="s">
        <v>435</v>
      </c>
      <c r="E1729" s="57" t="s">
        <v>471</v>
      </c>
      <c r="F1729" s="57" t="s">
        <v>350</v>
      </c>
      <c r="G1729" s="57" t="s">
        <v>663</v>
      </c>
      <c r="H1729" s="140" t="s">
        <v>668</v>
      </c>
      <c r="I1729" s="57"/>
      <c r="J1729" s="57"/>
      <c r="L1729" s="164">
        <f>61.5*2000</f>
        <v>123000</v>
      </c>
    </row>
    <row r="1730" spans="2:12" x14ac:dyDescent="0.3">
      <c r="B1730" s="57">
        <f t="shared" si="146"/>
        <v>1727</v>
      </c>
      <c r="C1730" s="143">
        <v>46178</v>
      </c>
      <c r="D1730" s="152" t="s">
        <v>435</v>
      </c>
      <c r="E1730" s="57" t="s">
        <v>986</v>
      </c>
      <c r="F1730" s="57" t="s">
        <v>350</v>
      </c>
      <c r="G1730" s="57" t="s">
        <v>663</v>
      </c>
      <c r="H1730" s="140" t="s">
        <v>667</v>
      </c>
      <c r="I1730" s="57" t="s">
        <v>986</v>
      </c>
      <c r="J1730" s="57">
        <v>50</v>
      </c>
      <c r="K1730" s="167">
        <f>L1730/J1730</f>
        <v>76</v>
      </c>
      <c r="L1730" s="164">
        <v>3800</v>
      </c>
    </row>
    <row r="1731" spans="2:12" x14ac:dyDescent="0.3">
      <c r="B1731" s="57">
        <f t="shared" si="146"/>
        <v>1728</v>
      </c>
      <c r="C1731" s="143">
        <v>46178</v>
      </c>
      <c r="D1731" s="152" t="s">
        <v>435</v>
      </c>
      <c r="E1731" s="57" t="s">
        <v>4128</v>
      </c>
      <c r="F1731" s="57" t="s">
        <v>350</v>
      </c>
      <c r="G1731" s="57" t="s">
        <v>663</v>
      </c>
      <c r="H1731" s="140" t="s">
        <v>662</v>
      </c>
      <c r="I1731" s="57"/>
      <c r="J1731" s="57"/>
      <c r="L1731" s="164">
        <v>980</v>
      </c>
    </row>
    <row r="1732" spans="2:12" x14ac:dyDescent="0.3">
      <c r="B1732" s="57">
        <f t="shared" si="146"/>
        <v>1729</v>
      </c>
      <c r="C1732" s="143">
        <v>46178</v>
      </c>
      <c r="D1732" s="152" t="s">
        <v>435</v>
      </c>
      <c r="E1732" s="57" t="s">
        <v>529</v>
      </c>
      <c r="F1732" s="57" t="s">
        <v>300</v>
      </c>
      <c r="G1732" s="57" t="s">
        <v>438</v>
      </c>
      <c r="H1732" s="140" t="s">
        <v>666</v>
      </c>
      <c r="I1732" s="57"/>
      <c r="J1732" s="57"/>
      <c r="L1732" s="164">
        <v>1000</v>
      </c>
    </row>
    <row r="1733" spans="2:12" x14ac:dyDescent="0.3">
      <c r="B1733" s="57">
        <f t="shared" si="146"/>
        <v>1730</v>
      </c>
      <c r="C1733" s="143">
        <v>46178</v>
      </c>
      <c r="D1733" s="57" t="s">
        <v>435</v>
      </c>
      <c r="E1733" s="57" t="s">
        <v>471</v>
      </c>
      <c r="F1733" s="57" t="s">
        <v>350</v>
      </c>
      <c r="G1733" s="57" t="s">
        <v>663</v>
      </c>
      <c r="H1733" s="140" t="s">
        <v>665</v>
      </c>
      <c r="I1733" s="57"/>
      <c r="J1733" s="57"/>
      <c r="L1733" s="164">
        <f>1470*59.5</f>
        <v>87465</v>
      </c>
    </row>
    <row r="1734" spans="2:12" x14ac:dyDescent="0.3">
      <c r="B1734" s="57">
        <f t="shared" ref="B1734:B1797" si="151">+B1733+1</f>
        <v>1731</v>
      </c>
      <c r="C1734" s="143">
        <v>46178</v>
      </c>
      <c r="D1734" s="57" t="s">
        <v>435</v>
      </c>
      <c r="E1734" s="57" t="s">
        <v>471</v>
      </c>
      <c r="F1734" s="57" t="s">
        <v>350</v>
      </c>
      <c r="G1734" s="57" t="s">
        <v>663</v>
      </c>
      <c r="H1734" s="140" t="s">
        <v>664</v>
      </c>
      <c r="I1734" s="57"/>
      <c r="J1734" s="57"/>
      <c r="L1734" s="164">
        <f>816*59.7</f>
        <v>48715.200000000004</v>
      </c>
    </row>
    <row r="1735" spans="2:12" x14ac:dyDescent="0.3">
      <c r="B1735" s="57">
        <f t="shared" si="151"/>
        <v>1732</v>
      </c>
      <c r="C1735" s="143">
        <v>46178</v>
      </c>
      <c r="D1735" s="57" t="s">
        <v>435</v>
      </c>
      <c r="E1735" s="57" t="s">
        <v>4128</v>
      </c>
      <c r="F1735" s="57" t="s">
        <v>350</v>
      </c>
      <c r="G1735" s="57" t="s">
        <v>663</v>
      </c>
      <c r="H1735" s="140" t="s">
        <v>662</v>
      </c>
      <c r="I1735" s="57"/>
      <c r="J1735" s="57"/>
      <c r="L1735" s="164">
        <v>520</v>
      </c>
    </row>
    <row r="1736" spans="2:12" x14ac:dyDescent="0.3">
      <c r="B1736" s="57">
        <f t="shared" si="151"/>
        <v>1733</v>
      </c>
      <c r="C1736" s="147">
        <v>46178</v>
      </c>
      <c r="D1736" s="57" t="s">
        <v>968</v>
      </c>
      <c r="E1736" s="57" t="s">
        <v>146</v>
      </c>
      <c r="F1736" s="57" t="s">
        <v>446</v>
      </c>
      <c r="G1736" s="57" t="s">
        <v>990</v>
      </c>
      <c r="H1736" s="140" t="s">
        <v>885</v>
      </c>
      <c r="I1736" s="57"/>
      <c r="J1736" s="165">
        <f>L1736/K1736</f>
        <v>20.833333333333332</v>
      </c>
      <c r="K1736" s="57">
        <v>96</v>
      </c>
      <c r="L1736" s="164">
        <v>2000</v>
      </c>
    </row>
    <row r="1737" spans="2:12" x14ac:dyDescent="0.3">
      <c r="B1737" s="57">
        <f t="shared" si="151"/>
        <v>1734</v>
      </c>
      <c r="C1737" s="147">
        <v>46178</v>
      </c>
      <c r="D1737" s="57" t="s">
        <v>968</v>
      </c>
      <c r="E1737" s="57" t="s">
        <v>986</v>
      </c>
      <c r="F1737" s="57" t="s">
        <v>300</v>
      </c>
      <c r="G1737" s="57" t="s">
        <v>530</v>
      </c>
      <c r="H1737" s="140" t="s">
        <v>1644</v>
      </c>
      <c r="I1737" s="57" t="s">
        <v>986</v>
      </c>
      <c r="J1737" s="57">
        <v>25</v>
      </c>
      <c r="L1737" s="164">
        <v>2000</v>
      </c>
    </row>
    <row r="1738" spans="2:12" x14ac:dyDescent="0.3">
      <c r="B1738" s="57">
        <f t="shared" si="151"/>
        <v>1735</v>
      </c>
      <c r="C1738" s="147">
        <v>46178</v>
      </c>
      <c r="D1738" s="57" t="s">
        <v>968</v>
      </c>
      <c r="E1738" s="57" t="s">
        <v>146</v>
      </c>
      <c r="F1738" s="57" t="s">
        <v>300</v>
      </c>
      <c r="G1738" s="57" t="s">
        <v>443</v>
      </c>
      <c r="H1738" s="140" t="s">
        <v>1645</v>
      </c>
      <c r="I1738" s="57"/>
      <c r="J1738" s="165">
        <f t="shared" ref="J1738:J1739" si="152">L1738/K1738</f>
        <v>15.625</v>
      </c>
      <c r="K1738" s="57">
        <v>96</v>
      </c>
      <c r="L1738" s="164">
        <v>1500</v>
      </c>
    </row>
    <row r="1739" spans="2:12" x14ac:dyDescent="0.3">
      <c r="B1739" s="57">
        <f t="shared" si="151"/>
        <v>1736</v>
      </c>
      <c r="C1739" s="147">
        <v>46178</v>
      </c>
      <c r="D1739" s="57" t="s">
        <v>968</v>
      </c>
      <c r="E1739" s="57" t="s">
        <v>146</v>
      </c>
      <c r="F1739" s="57" t="s">
        <v>446</v>
      </c>
      <c r="G1739" s="57" t="s">
        <v>313</v>
      </c>
      <c r="H1739" s="140" t="s">
        <v>1646</v>
      </c>
      <c r="I1739" s="57"/>
      <c r="J1739" s="165">
        <f t="shared" si="152"/>
        <v>54.166666666666664</v>
      </c>
      <c r="K1739" s="57">
        <v>96</v>
      </c>
      <c r="L1739" s="164">
        <v>5200</v>
      </c>
    </row>
    <row r="1740" spans="2:12" x14ac:dyDescent="0.3">
      <c r="B1740" s="57">
        <f t="shared" si="151"/>
        <v>1737</v>
      </c>
      <c r="C1740" s="147">
        <v>46178</v>
      </c>
      <c r="D1740" s="57" t="s">
        <v>968</v>
      </c>
      <c r="E1740" s="57" t="s">
        <v>434</v>
      </c>
      <c r="F1740" s="57" t="s">
        <v>446</v>
      </c>
      <c r="G1740" s="57" t="s">
        <v>313</v>
      </c>
      <c r="H1740" s="140" t="s">
        <v>1647</v>
      </c>
      <c r="I1740" s="57"/>
      <c r="J1740" s="57"/>
      <c r="L1740" s="164">
        <v>2400</v>
      </c>
    </row>
    <row r="1741" spans="2:12" x14ac:dyDescent="0.3">
      <c r="B1741" s="57">
        <f t="shared" si="151"/>
        <v>1738</v>
      </c>
      <c r="C1741" s="147">
        <v>46178</v>
      </c>
      <c r="D1741" s="57" t="s">
        <v>968</v>
      </c>
      <c r="E1741" s="57" t="s">
        <v>532</v>
      </c>
      <c r="F1741" s="57" t="s">
        <v>446</v>
      </c>
      <c r="G1741" s="57" t="s">
        <v>313</v>
      </c>
      <c r="H1741" s="140" t="s">
        <v>1648</v>
      </c>
      <c r="I1741" s="57" t="s">
        <v>532</v>
      </c>
      <c r="J1741" s="57">
        <v>11</v>
      </c>
      <c r="K1741" s="167">
        <f>L1741/J1741</f>
        <v>292.72727272727275</v>
      </c>
      <c r="L1741" s="164">
        <v>3220</v>
      </c>
    </row>
    <row r="1742" spans="2:12" x14ac:dyDescent="0.3">
      <c r="B1742" s="57">
        <f t="shared" si="151"/>
        <v>1739</v>
      </c>
      <c r="C1742" s="147">
        <v>46178</v>
      </c>
      <c r="D1742" s="57" t="s">
        <v>968</v>
      </c>
      <c r="E1742" s="57" t="s">
        <v>237</v>
      </c>
      <c r="F1742" s="57" t="s">
        <v>683</v>
      </c>
      <c r="G1742" s="57" t="s">
        <v>999</v>
      </c>
      <c r="H1742" s="140" t="s">
        <v>1649</v>
      </c>
      <c r="I1742" s="57"/>
      <c r="J1742" s="57"/>
      <c r="L1742" s="164">
        <v>5500</v>
      </c>
    </row>
    <row r="1743" spans="2:12" x14ac:dyDescent="0.3">
      <c r="B1743" s="57">
        <f t="shared" si="151"/>
        <v>1740</v>
      </c>
      <c r="C1743" s="147">
        <v>46178</v>
      </c>
      <c r="D1743" s="57" t="s">
        <v>968</v>
      </c>
      <c r="E1743" s="57" t="s">
        <v>574</v>
      </c>
      <c r="F1743" s="57" t="s">
        <v>446</v>
      </c>
      <c r="G1743" s="57" t="s">
        <v>313</v>
      </c>
      <c r="H1743" s="140" t="s">
        <v>1650</v>
      </c>
      <c r="I1743" s="140" t="s">
        <v>2635</v>
      </c>
      <c r="J1743" s="57">
        <v>4</v>
      </c>
      <c r="K1743" s="167">
        <f>L1743/J1743</f>
        <v>575</v>
      </c>
      <c r="L1743" s="164">
        <v>2300</v>
      </c>
    </row>
    <row r="1744" spans="2:12" x14ac:dyDescent="0.3">
      <c r="B1744" s="57">
        <f t="shared" si="151"/>
        <v>1741</v>
      </c>
      <c r="C1744" s="147">
        <v>46178</v>
      </c>
      <c r="D1744" s="57" t="s">
        <v>968</v>
      </c>
      <c r="E1744" s="57" t="s">
        <v>237</v>
      </c>
      <c r="F1744" s="57" t="s">
        <v>683</v>
      </c>
      <c r="G1744" s="57" t="s">
        <v>999</v>
      </c>
      <c r="H1744" s="140" t="s">
        <v>1651</v>
      </c>
      <c r="I1744" s="57"/>
      <c r="J1744" s="57"/>
      <c r="L1744" s="164">
        <v>3500</v>
      </c>
    </row>
    <row r="1745" spans="2:12" x14ac:dyDescent="0.3">
      <c r="B1745" s="57">
        <f t="shared" si="151"/>
        <v>1742</v>
      </c>
      <c r="C1745" s="147">
        <v>46178</v>
      </c>
      <c r="D1745" s="57" t="s">
        <v>968</v>
      </c>
      <c r="E1745" s="57" t="s">
        <v>434</v>
      </c>
      <c r="F1745" s="57" t="s">
        <v>350</v>
      </c>
      <c r="G1745" s="57" t="s">
        <v>337</v>
      </c>
      <c r="H1745" s="140" t="s">
        <v>1652</v>
      </c>
      <c r="I1745" s="57"/>
      <c r="J1745" s="57"/>
      <c r="L1745" s="164">
        <v>4700</v>
      </c>
    </row>
    <row r="1746" spans="2:12" x14ac:dyDescent="0.3">
      <c r="B1746" s="57">
        <f t="shared" si="151"/>
        <v>1743</v>
      </c>
      <c r="C1746" s="147">
        <v>46178</v>
      </c>
      <c r="D1746" s="57" t="s">
        <v>968</v>
      </c>
      <c r="E1746" s="57" t="s">
        <v>237</v>
      </c>
      <c r="F1746" s="57" t="s">
        <v>446</v>
      </c>
      <c r="G1746" s="57" t="s">
        <v>316</v>
      </c>
      <c r="H1746" s="140" t="s">
        <v>1653</v>
      </c>
      <c r="I1746" s="57"/>
      <c r="J1746" s="57"/>
      <c r="L1746" s="164">
        <v>600</v>
      </c>
    </row>
    <row r="1747" spans="2:12" x14ac:dyDescent="0.3">
      <c r="B1747" s="57">
        <f t="shared" si="151"/>
        <v>1744</v>
      </c>
      <c r="C1747" s="147">
        <v>46178</v>
      </c>
      <c r="D1747" s="57" t="s">
        <v>968</v>
      </c>
      <c r="E1747" s="57" t="s">
        <v>958</v>
      </c>
      <c r="F1747" s="57" t="s">
        <v>300</v>
      </c>
      <c r="G1747" s="57" t="s">
        <v>530</v>
      </c>
      <c r="H1747" s="140" t="s">
        <v>1654</v>
      </c>
      <c r="I1747" s="57"/>
      <c r="J1747" s="57"/>
      <c r="L1747" s="164">
        <v>6371</v>
      </c>
    </row>
    <row r="1748" spans="2:12" x14ac:dyDescent="0.3">
      <c r="B1748" s="57">
        <f t="shared" si="151"/>
        <v>1745</v>
      </c>
      <c r="C1748" s="147">
        <v>46178</v>
      </c>
      <c r="D1748" s="57" t="s">
        <v>968</v>
      </c>
      <c r="E1748" s="57" t="s">
        <v>767</v>
      </c>
      <c r="F1748" s="57" t="s">
        <v>446</v>
      </c>
      <c r="G1748" s="57" t="s">
        <v>990</v>
      </c>
      <c r="H1748" s="140" t="s">
        <v>1655</v>
      </c>
      <c r="I1748" s="57"/>
      <c r="J1748" s="57"/>
      <c r="L1748" s="164">
        <v>450</v>
      </c>
    </row>
    <row r="1749" spans="2:12" x14ac:dyDescent="0.3">
      <c r="B1749" s="57">
        <f t="shared" si="151"/>
        <v>1746</v>
      </c>
      <c r="C1749" s="147">
        <v>46178</v>
      </c>
      <c r="D1749" s="57" t="s">
        <v>968</v>
      </c>
      <c r="E1749" s="57" t="s">
        <v>237</v>
      </c>
      <c r="F1749" s="57" t="s">
        <v>446</v>
      </c>
      <c r="G1749" s="57" t="s">
        <v>359</v>
      </c>
      <c r="H1749" s="140" t="s">
        <v>1656</v>
      </c>
      <c r="I1749" s="57"/>
      <c r="J1749" s="57"/>
      <c r="L1749" s="164">
        <v>400</v>
      </c>
    </row>
    <row r="1750" spans="2:12" x14ac:dyDescent="0.3">
      <c r="B1750" s="57">
        <f t="shared" si="151"/>
        <v>1747</v>
      </c>
      <c r="C1750" s="147">
        <v>46178</v>
      </c>
      <c r="D1750" s="57" t="s">
        <v>968</v>
      </c>
      <c r="E1750" s="57" t="s">
        <v>237</v>
      </c>
      <c r="F1750" s="57" t="s">
        <v>300</v>
      </c>
      <c r="G1750" s="57" t="s">
        <v>616</v>
      </c>
      <c r="H1750" s="140" t="s">
        <v>1657</v>
      </c>
      <c r="I1750" s="57"/>
      <c r="J1750" s="57"/>
      <c r="L1750" s="164">
        <v>1015</v>
      </c>
    </row>
    <row r="1751" spans="2:12" x14ac:dyDescent="0.3">
      <c r="B1751" s="57">
        <f t="shared" si="151"/>
        <v>1748</v>
      </c>
      <c r="C1751" s="147">
        <v>46178</v>
      </c>
      <c r="D1751" s="57" t="s">
        <v>968</v>
      </c>
      <c r="E1751" s="57" t="s">
        <v>434</v>
      </c>
      <c r="F1751" s="57" t="s">
        <v>446</v>
      </c>
      <c r="G1751" s="57" t="s">
        <v>313</v>
      </c>
      <c r="H1751" s="140" t="s">
        <v>1658</v>
      </c>
      <c r="I1751" s="57"/>
      <c r="J1751" s="57"/>
      <c r="L1751" s="164">
        <v>3700</v>
      </c>
    </row>
    <row r="1752" spans="2:12" x14ac:dyDescent="0.3">
      <c r="B1752" s="57">
        <f t="shared" si="151"/>
        <v>1749</v>
      </c>
      <c r="C1752" s="147">
        <v>46178</v>
      </c>
      <c r="D1752" s="57" t="s">
        <v>968</v>
      </c>
      <c r="E1752" s="57" t="s">
        <v>434</v>
      </c>
      <c r="F1752" s="57" t="s">
        <v>446</v>
      </c>
      <c r="G1752" s="57" t="s">
        <v>313</v>
      </c>
      <c r="H1752" s="140" t="s">
        <v>1659</v>
      </c>
      <c r="I1752" s="57"/>
      <c r="J1752" s="57"/>
      <c r="L1752" s="164">
        <v>1800</v>
      </c>
    </row>
    <row r="1753" spans="2:12" x14ac:dyDescent="0.3">
      <c r="B1753" s="57">
        <f t="shared" si="151"/>
        <v>1750</v>
      </c>
      <c r="C1753" s="147">
        <v>46178</v>
      </c>
      <c r="D1753" s="57" t="s">
        <v>968</v>
      </c>
      <c r="E1753" s="57" t="s">
        <v>590</v>
      </c>
      <c r="F1753" s="57" t="s">
        <v>621</v>
      </c>
      <c r="G1753" s="57" t="s">
        <v>345</v>
      </c>
      <c r="H1753" s="140" t="s">
        <v>1660</v>
      </c>
      <c r="I1753" s="57"/>
      <c r="J1753" s="57"/>
      <c r="L1753" s="164">
        <v>1550</v>
      </c>
    </row>
    <row r="1754" spans="2:12" x14ac:dyDescent="0.3">
      <c r="B1754" s="57">
        <f t="shared" si="151"/>
        <v>1751</v>
      </c>
      <c r="C1754" s="147">
        <v>46178</v>
      </c>
      <c r="D1754" s="57" t="s">
        <v>968</v>
      </c>
      <c r="E1754" s="57" t="s">
        <v>4128</v>
      </c>
      <c r="F1754" s="57" t="s">
        <v>446</v>
      </c>
      <c r="G1754" s="57" t="s">
        <v>316</v>
      </c>
      <c r="H1754" s="140" t="s">
        <v>2945</v>
      </c>
      <c r="I1754" s="57"/>
      <c r="J1754" s="57"/>
      <c r="L1754" s="164">
        <v>3800</v>
      </c>
    </row>
    <row r="1755" spans="2:12" x14ac:dyDescent="0.3">
      <c r="B1755" s="57">
        <f t="shared" si="151"/>
        <v>1752</v>
      </c>
      <c r="C1755" s="147">
        <v>46178</v>
      </c>
      <c r="D1755" s="57" t="s">
        <v>968</v>
      </c>
      <c r="E1755" s="57" t="s">
        <v>574</v>
      </c>
      <c r="F1755" s="57" t="s">
        <v>446</v>
      </c>
      <c r="G1755" s="57" t="s">
        <v>313</v>
      </c>
      <c r="H1755" s="140" t="s">
        <v>1661</v>
      </c>
      <c r="I1755" s="140" t="s">
        <v>4081</v>
      </c>
      <c r="J1755" s="57">
        <v>4</v>
      </c>
      <c r="K1755" s="167">
        <f>L1755/J1755</f>
        <v>575</v>
      </c>
      <c r="L1755" s="164">
        <v>2300</v>
      </c>
    </row>
    <row r="1756" spans="2:12" x14ac:dyDescent="0.3">
      <c r="B1756" s="57">
        <f t="shared" si="151"/>
        <v>1753</v>
      </c>
      <c r="C1756" s="147">
        <v>46178</v>
      </c>
      <c r="D1756" s="57" t="s">
        <v>968</v>
      </c>
      <c r="E1756" s="57" t="s">
        <v>590</v>
      </c>
      <c r="F1756" s="57" t="s">
        <v>350</v>
      </c>
      <c r="G1756" s="57" t="s">
        <v>663</v>
      </c>
      <c r="H1756" s="140" t="s">
        <v>1662</v>
      </c>
      <c r="I1756" s="57"/>
      <c r="J1756" s="57"/>
      <c r="L1756" s="164">
        <v>900</v>
      </c>
    </row>
    <row r="1757" spans="2:12" x14ac:dyDescent="0.3">
      <c r="B1757" s="57">
        <f t="shared" si="151"/>
        <v>1754</v>
      </c>
      <c r="C1757" s="147">
        <v>46178</v>
      </c>
      <c r="D1757" s="57" t="s">
        <v>968</v>
      </c>
      <c r="E1757" s="57" t="s">
        <v>146</v>
      </c>
      <c r="F1757" s="57" t="s">
        <v>436</v>
      </c>
      <c r="G1757" s="57" t="s">
        <v>270</v>
      </c>
      <c r="H1757" s="140" t="s">
        <v>4112</v>
      </c>
      <c r="I1757" s="57" t="s">
        <v>146</v>
      </c>
      <c r="J1757" s="165">
        <f>L1757/K1757</f>
        <v>31.25</v>
      </c>
      <c r="K1757" s="57">
        <v>96</v>
      </c>
      <c r="L1757" s="164">
        <v>3000</v>
      </c>
    </row>
    <row r="1758" spans="2:12" x14ac:dyDescent="0.3">
      <c r="B1758" s="57">
        <f t="shared" si="151"/>
        <v>1755</v>
      </c>
      <c r="C1758" s="147">
        <v>46178</v>
      </c>
      <c r="D1758" s="57" t="s">
        <v>968</v>
      </c>
      <c r="E1758" s="57" t="s">
        <v>434</v>
      </c>
      <c r="F1758" s="57" t="s">
        <v>350</v>
      </c>
      <c r="G1758" s="57" t="s">
        <v>337</v>
      </c>
      <c r="H1758" s="140" t="s">
        <v>1663</v>
      </c>
      <c r="I1758" s="57"/>
      <c r="J1758" s="57"/>
      <c r="L1758" s="164">
        <v>5860</v>
      </c>
    </row>
    <row r="1759" spans="2:12" x14ac:dyDescent="0.3">
      <c r="B1759" s="57">
        <f t="shared" si="151"/>
        <v>1756</v>
      </c>
      <c r="C1759" s="147">
        <v>46178</v>
      </c>
      <c r="D1759" s="57" t="s">
        <v>968</v>
      </c>
      <c r="E1759" s="57" t="s">
        <v>434</v>
      </c>
      <c r="F1759" s="57" t="s">
        <v>446</v>
      </c>
      <c r="G1759" s="57" t="s">
        <v>313</v>
      </c>
      <c r="H1759" s="140" t="s">
        <v>1664</v>
      </c>
      <c r="I1759" s="57"/>
      <c r="J1759" s="57"/>
      <c r="L1759" s="164">
        <v>2850</v>
      </c>
    </row>
    <row r="1760" spans="2:12" x14ac:dyDescent="0.3">
      <c r="B1760" s="57">
        <f t="shared" si="151"/>
        <v>1757</v>
      </c>
      <c r="C1760" s="147">
        <v>46178</v>
      </c>
      <c r="D1760" s="57" t="s">
        <v>968</v>
      </c>
      <c r="E1760" s="57" t="s">
        <v>434</v>
      </c>
      <c r="F1760" s="57" t="s">
        <v>446</v>
      </c>
      <c r="G1760" s="57" t="s">
        <v>313</v>
      </c>
      <c r="H1760" s="140" t="s">
        <v>1665</v>
      </c>
      <c r="I1760" s="57"/>
      <c r="J1760" s="57"/>
      <c r="L1760" s="164">
        <v>1150</v>
      </c>
    </row>
    <row r="1761" spans="2:12" x14ac:dyDescent="0.3">
      <c r="B1761" s="57">
        <f t="shared" si="151"/>
        <v>1758</v>
      </c>
      <c r="C1761" s="147">
        <v>46178</v>
      </c>
      <c r="D1761" s="57" t="s">
        <v>968</v>
      </c>
      <c r="E1761" s="57" t="s">
        <v>4128</v>
      </c>
      <c r="F1761" s="57" t="s">
        <v>350</v>
      </c>
      <c r="G1761" s="57" t="s">
        <v>322</v>
      </c>
      <c r="H1761" s="140" t="s">
        <v>1666</v>
      </c>
      <c r="I1761" s="57"/>
      <c r="J1761" s="57"/>
      <c r="L1761" s="164">
        <v>2250</v>
      </c>
    </row>
    <row r="1762" spans="2:12" x14ac:dyDescent="0.3">
      <c r="B1762" s="57">
        <f t="shared" si="151"/>
        <v>1759</v>
      </c>
      <c r="C1762" s="147">
        <v>46178</v>
      </c>
      <c r="D1762" s="57" t="s">
        <v>968</v>
      </c>
      <c r="E1762" s="57" t="s">
        <v>237</v>
      </c>
      <c r="F1762" s="57" t="s">
        <v>350</v>
      </c>
      <c r="G1762" s="57" t="s">
        <v>337</v>
      </c>
      <c r="H1762" s="140" t="s">
        <v>1667</v>
      </c>
      <c r="I1762" s="57"/>
      <c r="J1762" s="57"/>
      <c r="L1762" s="164">
        <v>22740</v>
      </c>
    </row>
    <row r="1763" spans="2:12" x14ac:dyDescent="0.3">
      <c r="B1763" s="57">
        <f t="shared" si="151"/>
        <v>1760</v>
      </c>
      <c r="C1763" s="143">
        <v>46179</v>
      </c>
      <c r="D1763" s="152" t="s">
        <v>435</v>
      </c>
      <c r="E1763" s="57" t="s">
        <v>532</v>
      </c>
      <c r="F1763" s="57" t="s">
        <v>350</v>
      </c>
      <c r="G1763" s="57" t="s">
        <v>675</v>
      </c>
      <c r="H1763" s="140" t="s">
        <v>677</v>
      </c>
      <c r="I1763" s="57" t="s">
        <v>532</v>
      </c>
      <c r="J1763" s="57">
        <v>100</v>
      </c>
      <c r="K1763" s="57">
        <v>265</v>
      </c>
      <c r="L1763" s="164">
        <f>265*100</f>
        <v>26500</v>
      </c>
    </row>
    <row r="1764" spans="2:12" x14ac:dyDescent="0.3">
      <c r="B1764" s="57">
        <f t="shared" si="151"/>
        <v>1761</v>
      </c>
      <c r="C1764" s="143">
        <v>46179</v>
      </c>
      <c r="D1764" s="152" t="s">
        <v>435</v>
      </c>
      <c r="E1764" s="57" t="s">
        <v>471</v>
      </c>
      <c r="F1764" s="57" t="s">
        <v>350</v>
      </c>
      <c r="G1764" s="57" t="s">
        <v>675</v>
      </c>
      <c r="H1764" s="140" t="s">
        <v>676</v>
      </c>
      <c r="I1764" s="57"/>
      <c r="J1764" s="57"/>
      <c r="L1764" s="164">
        <v>29150</v>
      </c>
    </row>
    <row r="1765" spans="2:12" x14ac:dyDescent="0.3">
      <c r="B1765" s="57">
        <f t="shared" si="151"/>
        <v>1762</v>
      </c>
      <c r="C1765" s="143">
        <v>46179</v>
      </c>
      <c r="D1765" s="152" t="s">
        <v>435</v>
      </c>
      <c r="E1765" s="57" t="s">
        <v>4128</v>
      </c>
      <c r="F1765" s="57" t="s">
        <v>350</v>
      </c>
      <c r="G1765" s="57" t="s">
        <v>675</v>
      </c>
      <c r="H1765" s="140" t="s">
        <v>674</v>
      </c>
      <c r="I1765" s="57"/>
      <c r="J1765" s="57"/>
      <c r="L1765" s="164">
        <v>850</v>
      </c>
    </row>
    <row r="1766" spans="2:12" x14ac:dyDescent="0.3">
      <c r="B1766" s="57">
        <f t="shared" si="151"/>
        <v>1763</v>
      </c>
      <c r="C1766" s="143">
        <v>46179</v>
      </c>
      <c r="D1766" s="152" t="s">
        <v>435</v>
      </c>
      <c r="E1766" s="57" t="s">
        <v>471</v>
      </c>
      <c r="F1766" s="57" t="s">
        <v>502</v>
      </c>
      <c r="G1766" s="57" t="s">
        <v>257</v>
      </c>
      <c r="H1766" s="140" t="s">
        <v>673</v>
      </c>
      <c r="I1766" s="57"/>
      <c r="J1766" s="57"/>
      <c r="L1766" s="164">
        <f>58*3065</f>
        <v>177770</v>
      </c>
    </row>
    <row r="1767" spans="2:12" x14ac:dyDescent="0.3">
      <c r="B1767" s="57">
        <f t="shared" si="151"/>
        <v>1764</v>
      </c>
      <c r="C1767" s="143">
        <v>46179</v>
      </c>
      <c r="D1767" s="152" t="s">
        <v>435</v>
      </c>
      <c r="E1767" s="57" t="s">
        <v>4128</v>
      </c>
      <c r="F1767" s="57" t="s">
        <v>502</v>
      </c>
      <c r="G1767" s="57" t="s">
        <v>257</v>
      </c>
      <c r="H1767" s="140" t="s">
        <v>662</v>
      </c>
      <c r="I1767" s="57"/>
      <c r="J1767" s="57"/>
      <c r="L1767" s="164">
        <v>2300</v>
      </c>
    </row>
    <row r="1768" spans="2:12" x14ac:dyDescent="0.3">
      <c r="B1768" s="57">
        <f t="shared" si="151"/>
        <v>1765</v>
      </c>
      <c r="C1768" s="147">
        <v>46179</v>
      </c>
      <c r="D1768" s="57" t="s">
        <v>968</v>
      </c>
      <c r="E1768" s="57" t="s">
        <v>146</v>
      </c>
      <c r="F1768" s="57" t="s">
        <v>300</v>
      </c>
      <c r="G1768" s="57" t="s">
        <v>530</v>
      </c>
      <c r="H1768" s="140" t="s">
        <v>4105</v>
      </c>
      <c r="I1768" s="57"/>
      <c r="J1768" s="165">
        <f t="shared" ref="J1768:J1769" si="153">L1768/K1768</f>
        <v>47.708333333333336</v>
      </c>
      <c r="K1768" s="57">
        <v>96</v>
      </c>
      <c r="L1768" s="164">
        <v>4580</v>
      </c>
    </row>
    <row r="1769" spans="2:12" x14ac:dyDescent="0.3">
      <c r="B1769" s="57">
        <f t="shared" si="151"/>
        <v>1766</v>
      </c>
      <c r="C1769" s="147">
        <v>46179</v>
      </c>
      <c r="D1769" s="57" t="s">
        <v>968</v>
      </c>
      <c r="E1769" s="57" t="s">
        <v>146</v>
      </c>
      <c r="F1769" s="57" t="s">
        <v>683</v>
      </c>
      <c r="G1769" s="57" t="s">
        <v>999</v>
      </c>
      <c r="H1769" s="140" t="s">
        <v>1668</v>
      </c>
      <c r="I1769" s="57"/>
      <c r="J1769" s="165">
        <f t="shared" si="153"/>
        <v>41.666666666666664</v>
      </c>
      <c r="K1769" s="57">
        <v>96</v>
      </c>
      <c r="L1769" s="164">
        <v>4000</v>
      </c>
    </row>
    <row r="1770" spans="2:12" x14ac:dyDescent="0.3">
      <c r="B1770" s="57">
        <f t="shared" si="151"/>
        <v>1767</v>
      </c>
      <c r="C1770" s="147">
        <v>46179</v>
      </c>
      <c r="D1770" s="57" t="s">
        <v>968</v>
      </c>
      <c r="E1770" s="57" t="s">
        <v>532</v>
      </c>
      <c r="F1770" s="57" t="s">
        <v>446</v>
      </c>
      <c r="G1770" s="57" t="s">
        <v>313</v>
      </c>
      <c r="H1770" s="140" t="s">
        <v>1669</v>
      </c>
      <c r="I1770" s="57" t="s">
        <v>532</v>
      </c>
      <c r="J1770" s="57">
        <v>10</v>
      </c>
      <c r="K1770" s="168">
        <f>L1770/J1770</f>
        <v>278.5</v>
      </c>
      <c r="L1770" s="164">
        <v>2785</v>
      </c>
    </row>
    <row r="1771" spans="2:12" x14ac:dyDescent="0.3">
      <c r="B1771" s="57">
        <f t="shared" si="151"/>
        <v>1768</v>
      </c>
      <c r="C1771" s="147">
        <v>46179</v>
      </c>
      <c r="D1771" s="57" t="s">
        <v>968</v>
      </c>
      <c r="E1771" s="57" t="s">
        <v>146</v>
      </c>
      <c r="F1771" s="57" t="s">
        <v>446</v>
      </c>
      <c r="G1771" s="57" t="s">
        <v>313</v>
      </c>
      <c r="H1771" s="140" t="s">
        <v>4089</v>
      </c>
      <c r="I1771" s="57"/>
      <c r="J1771" s="165">
        <f>L1771/K1771</f>
        <v>40.104166666666664</v>
      </c>
      <c r="K1771" s="57">
        <v>96</v>
      </c>
      <c r="L1771" s="164">
        <v>3850</v>
      </c>
    </row>
    <row r="1772" spans="2:12" x14ac:dyDescent="0.3">
      <c r="B1772" s="57">
        <f t="shared" si="151"/>
        <v>1769</v>
      </c>
      <c r="C1772" s="147">
        <v>46179</v>
      </c>
      <c r="D1772" s="57" t="s">
        <v>968</v>
      </c>
      <c r="E1772" s="57" t="s">
        <v>434</v>
      </c>
      <c r="F1772" s="57" t="s">
        <v>446</v>
      </c>
      <c r="G1772" s="57" t="s">
        <v>313</v>
      </c>
      <c r="H1772" s="140" t="s">
        <v>1670</v>
      </c>
      <c r="I1772" s="57"/>
      <c r="J1772" s="57"/>
      <c r="L1772" s="164">
        <v>1680</v>
      </c>
    </row>
    <row r="1773" spans="2:12" x14ac:dyDescent="0.3">
      <c r="B1773" s="57">
        <f t="shared" si="151"/>
        <v>1770</v>
      </c>
      <c r="C1773" s="147">
        <v>46179</v>
      </c>
      <c r="D1773" s="57" t="s">
        <v>968</v>
      </c>
      <c r="E1773" s="57" t="s">
        <v>146</v>
      </c>
      <c r="F1773" s="57" t="s">
        <v>300</v>
      </c>
      <c r="G1773" s="57" t="s">
        <v>616</v>
      </c>
      <c r="H1773" s="140" t="s">
        <v>1671</v>
      </c>
      <c r="I1773" s="57"/>
      <c r="J1773" s="165">
        <f>L1773/K1773</f>
        <v>38.75</v>
      </c>
      <c r="K1773" s="57">
        <v>96</v>
      </c>
      <c r="L1773" s="164">
        <v>3720</v>
      </c>
    </row>
    <row r="1774" spans="2:12" x14ac:dyDescent="0.3">
      <c r="B1774" s="57">
        <f t="shared" si="151"/>
        <v>1771</v>
      </c>
      <c r="C1774" s="147">
        <v>46179</v>
      </c>
      <c r="D1774" s="57" t="s">
        <v>968</v>
      </c>
      <c r="E1774" s="57" t="s">
        <v>574</v>
      </c>
      <c r="F1774" s="57" t="s">
        <v>300</v>
      </c>
      <c r="G1774" s="57" t="s">
        <v>498</v>
      </c>
      <c r="H1774" s="140" t="s">
        <v>1672</v>
      </c>
      <c r="I1774" s="140" t="s">
        <v>4124</v>
      </c>
      <c r="J1774" s="57">
        <v>5</v>
      </c>
      <c r="K1774" s="168">
        <f>L1774/J1774</f>
        <v>556</v>
      </c>
      <c r="L1774" s="164">
        <v>2780</v>
      </c>
    </row>
    <row r="1775" spans="2:12" x14ac:dyDescent="0.3">
      <c r="B1775" s="57">
        <f t="shared" si="151"/>
        <v>1772</v>
      </c>
      <c r="C1775" s="147">
        <v>46179</v>
      </c>
      <c r="D1775" s="57" t="s">
        <v>968</v>
      </c>
      <c r="E1775" s="57" t="s">
        <v>146</v>
      </c>
      <c r="F1775" s="57" t="s">
        <v>2328</v>
      </c>
      <c r="G1775" s="57" t="s">
        <v>1002</v>
      </c>
      <c r="H1775" s="140" t="s">
        <v>4093</v>
      </c>
      <c r="I1775" s="57"/>
      <c r="J1775" s="165">
        <f t="shared" ref="J1775:J1778" si="154">L1775/K1775</f>
        <v>52.083333333333336</v>
      </c>
      <c r="K1775" s="57">
        <v>96</v>
      </c>
      <c r="L1775" s="164">
        <v>5000</v>
      </c>
    </row>
    <row r="1776" spans="2:12" x14ac:dyDescent="0.3">
      <c r="B1776" s="57">
        <f t="shared" si="151"/>
        <v>1773</v>
      </c>
      <c r="C1776" s="147">
        <v>46179</v>
      </c>
      <c r="D1776" s="57" t="s">
        <v>968</v>
      </c>
      <c r="E1776" s="57" t="s">
        <v>146</v>
      </c>
      <c r="F1776" s="57" t="s">
        <v>350</v>
      </c>
      <c r="G1776" s="57" t="s">
        <v>322</v>
      </c>
      <c r="H1776" s="140" t="s">
        <v>1673</v>
      </c>
      <c r="I1776" s="57"/>
      <c r="J1776" s="165">
        <f t="shared" si="154"/>
        <v>31.25</v>
      </c>
      <c r="K1776" s="57">
        <v>96</v>
      </c>
      <c r="L1776" s="164">
        <v>3000</v>
      </c>
    </row>
    <row r="1777" spans="2:12" x14ac:dyDescent="0.3">
      <c r="B1777" s="57">
        <f t="shared" si="151"/>
        <v>1774</v>
      </c>
      <c r="C1777" s="147">
        <v>46179</v>
      </c>
      <c r="D1777" s="57" t="s">
        <v>968</v>
      </c>
      <c r="E1777" s="57" t="s">
        <v>146</v>
      </c>
      <c r="F1777" s="57" t="s">
        <v>446</v>
      </c>
      <c r="G1777" s="57" t="s">
        <v>313</v>
      </c>
      <c r="H1777" s="140" t="s">
        <v>1674</v>
      </c>
      <c r="I1777" s="57"/>
      <c r="J1777" s="165">
        <f t="shared" si="154"/>
        <v>46.666666666666664</v>
      </c>
      <c r="K1777" s="57">
        <v>96</v>
      </c>
      <c r="L1777" s="164">
        <v>4480</v>
      </c>
    </row>
    <row r="1778" spans="2:12" x14ac:dyDescent="0.3">
      <c r="B1778" s="57">
        <f t="shared" si="151"/>
        <v>1775</v>
      </c>
      <c r="C1778" s="147">
        <v>46179</v>
      </c>
      <c r="D1778" s="57" t="s">
        <v>968</v>
      </c>
      <c r="E1778" s="57" t="s">
        <v>146</v>
      </c>
      <c r="F1778" s="57" t="s">
        <v>502</v>
      </c>
      <c r="G1778" s="57" t="s">
        <v>773</v>
      </c>
      <c r="H1778" s="140" t="s">
        <v>4106</v>
      </c>
      <c r="I1778" s="57"/>
      <c r="J1778" s="165">
        <f t="shared" si="154"/>
        <v>20.833333333333332</v>
      </c>
      <c r="K1778" s="57">
        <v>96</v>
      </c>
      <c r="L1778" s="164">
        <v>2000</v>
      </c>
    </row>
    <row r="1779" spans="2:12" x14ac:dyDescent="0.3">
      <c r="B1779" s="57">
        <f t="shared" si="151"/>
        <v>1776</v>
      </c>
      <c r="C1779" s="147">
        <v>46179</v>
      </c>
      <c r="D1779" s="57" t="s">
        <v>968</v>
      </c>
      <c r="E1779" s="57" t="s">
        <v>237</v>
      </c>
      <c r="F1779" s="57" t="s">
        <v>300</v>
      </c>
      <c r="G1779" s="57" t="s">
        <v>530</v>
      </c>
      <c r="H1779" s="140" t="s">
        <v>1675</v>
      </c>
      <c r="I1779" s="57"/>
      <c r="J1779" s="57"/>
      <c r="L1779" s="164">
        <v>1750</v>
      </c>
    </row>
    <row r="1780" spans="2:12" x14ac:dyDescent="0.3">
      <c r="B1780" s="57">
        <f t="shared" si="151"/>
        <v>1777</v>
      </c>
      <c r="C1780" s="147">
        <v>46179</v>
      </c>
      <c r="D1780" s="57" t="s">
        <v>968</v>
      </c>
      <c r="E1780" s="57" t="s">
        <v>146</v>
      </c>
      <c r="F1780" s="57" t="s">
        <v>446</v>
      </c>
      <c r="G1780" s="57" t="s">
        <v>359</v>
      </c>
      <c r="H1780" s="140" t="s">
        <v>1676</v>
      </c>
      <c r="I1780" s="57"/>
      <c r="J1780" s="165">
        <f>L1780/K1780</f>
        <v>20.833333333333332</v>
      </c>
      <c r="K1780" s="57">
        <v>96</v>
      </c>
      <c r="L1780" s="164">
        <v>2000</v>
      </c>
    </row>
    <row r="1781" spans="2:12" x14ac:dyDescent="0.3">
      <c r="B1781" s="57">
        <f t="shared" si="151"/>
        <v>1778</v>
      </c>
      <c r="C1781" s="147">
        <v>46179</v>
      </c>
      <c r="D1781" s="57" t="s">
        <v>968</v>
      </c>
      <c r="E1781" s="57" t="s">
        <v>574</v>
      </c>
      <c r="F1781" s="57" t="s">
        <v>446</v>
      </c>
      <c r="G1781" s="57" t="s">
        <v>313</v>
      </c>
      <c r="H1781" s="140" t="s">
        <v>1677</v>
      </c>
      <c r="I1781" s="140" t="s">
        <v>2635</v>
      </c>
      <c r="J1781" s="57">
        <v>4</v>
      </c>
      <c r="K1781" s="167">
        <f>L1781/J1781</f>
        <v>575</v>
      </c>
      <c r="L1781" s="164">
        <v>2300</v>
      </c>
    </row>
    <row r="1782" spans="2:12" x14ac:dyDescent="0.3">
      <c r="B1782" s="57">
        <f t="shared" si="151"/>
        <v>1779</v>
      </c>
      <c r="C1782" s="147">
        <v>46179</v>
      </c>
      <c r="D1782" s="57" t="s">
        <v>968</v>
      </c>
      <c r="E1782" s="57" t="s">
        <v>522</v>
      </c>
      <c r="F1782" s="57" t="s">
        <v>350</v>
      </c>
      <c r="G1782" s="57" t="s">
        <v>350</v>
      </c>
      <c r="H1782" s="140" t="s">
        <v>1678</v>
      </c>
      <c r="I1782" s="57"/>
      <c r="J1782" s="57"/>
      <c r="L1782" s="164">
        <v>1200</v>
      </c>
    </row>
    <row r="1783" spans="2:12" x14ac:dyDescent="0.3">
      <c r="B1783" s="57">
        <f t="shared" si="151"/>
        <v>1780</v>
      </c>
      <c r="C1783" s="147">
        <v>46179</v>
      </c>
      <c r="D1783" s="57" t="s">
        <v>968</v>
      </c>
      <c r="E1783" s="57" t="s">
        <v>460</v>
      </c>
      <c r="F1783" s="57" t="s">
        <v>683</v>
      </c>
      <c r="G1783" s="57" t="s">
        <v>999</v>
      </c>
      <c r="H1783" s="140" t="s">
        <v>1679</v>
      </c>
      <c r="I1783" s="57"/>
      <c r="J1783" s="57"/>
      <c r="L1783" s="164">
        <v>430</v>
      </c>
    </row>
    <row r="1784" spans="2:12" x14ac:dyDescent="0.3">
      <c r="B1784" s="57">
        <f t="shared" si="151"/>
        <v>1781</v>
      </c>
      <c r="C1784" s="147">
        <v>46179</v>
      </c>
      <c r="D1784" s="57" t="s">
        <v>968</v>
      </c>
      <c r="E1784" s="57" t="s">
        <v>574</v>
      </c>
      <c r="F1784" s="57" t="s">
        <v>446</v>
      </c>
      <c r="G1784" s="57" t="s">
        <v>313</v>
      </c>
      <c r="H1784" s="140" t="s">
        <v>1680</v>
      </c>
      <c r="I1784" s="140" t="s">
        <v>4081</v>
      </c>
      <c r="J1784" s="57">
        <v>4</v>
      </c>
      <c r="K1784" s="167">
        <f>L1784/J1784</f>
        <v>575</v>
      </c>
      <c r="L1784" s="164">
        <v>2300</v>
      </c>
    </row>
    <row r="1785" spans="2:12" x14ac:dyDescent="0.3">
      <c r="B1785" s="57">
        <f t="shared" si="151"/>
        <v>1782</v>
      </c>
      <c r="C1785" s="147">
        <v>46179</v>
      </c>
      <c r="D1785" s="57" t="s">
        <v>968</v>
      </c>
      <c r="E1785" s="57" t="s">
        <v>958</v>
      </c>
      <c r="F1785" s="57" t="s">
        <v>350</v>
      </c>
      <c r="G1785" s="57" t="s">
        <v>350</v>
      </c>
      <c r="H1785" s="140" t="s">
        <v>1681</v>
      </c>
      <c r="I1785" s="57"/>
      <c r="J1785" s="57"/>
      <c r="L1785" s="164">
        <v>3500</v>
      </c>
    </row>
    <row r="1786" spans="2:12" x14ac:dyDescent="0.3">
      <c r="B1786" s="57">
        <f t="shared" si="151"/>
        <v>1783</v>
      </c>
      <c r="C1786" s="147">
        <v>46179</v>
      </c>
      <c r="D1786" s="57" t="s">
        <v>968</v>
      </c>
      <c r="E1786" s="57" t="s">
        <v>237</v>
      </c>
      <c r="F1786" s="57" t="s">
        <v>350</v>
      </c>
      <c r="G1786" s="57" t="s">
        <v>714</v>
      </c>
      <c r="H1786" s="140" t="s">
        <v>1682</v>
      </c>
      <c r="I1786" s="57"/>
      <c r="J1786" s="57"/>
      <c r="L1786" s="164">
        <v>2320</v>
      </c>
    </row>
    <row r="1787" spans="2:12" x14ac:dyDescent="0.3">
      <c r="B1787" s="57">
        <f t="shared" si="151"/>
        <v>1784</v>
      </c>
      <c r="C1787" s="147">
        <v>46179</v>
      </c>
      <c r="D1787" s="57" t="s">
        <v>968</v>
      </c>
      <c r="E1787" s="57" t="s">
        <v>590</v>
      </c>
      <c r="F1787" s="57" t="s">
        <v>350</v>
      </c>
      <c r="G1787" s="57" t="s">
        <v>714</v>
      </c>
      <c r="H1787" s="140" t="s">
        <v>1683</v>
      </c>
      <c r="I1787" s="57"/>
      <c r="J1787" s="57"/>
      <c r="L1787" s="164">
        <v>6300</v>
      </c>
    </row>
    <row r="1788" spans="2:12" x14ac:dyDescent="0.3">
      <c r="B1788" s="57">
        <f t="shared" si="151"/>
        <v>1785</v>
      </c>
      <c r="C1788" s="147">
        <v>46179</v>
      </c>
      <c r="D1788" s="57" t="s">
        <v>968</v>
      </c>
      <c r="E1788" s="57" t="s">
        <v>574</v>
      </c>
      <c r="F1788" s="57" t="s">
        <v>350</v>
      </c>
      <c r="G1788" s="57" t="s">
        <v>337</v>
      </c>
      <c r="H1788" s="140" t="s">
        <v>2635</v>
      </c>
      <c r="I1788" s="140" t="s">
        <v>2635</v>
      </c>
      <c r="J1788" s="57">
        <v>23.5</v>
      </c>
      <c r="K1788" s="167">
        <f>L1788/J1788</f>
        <v>744.68085106382978</v>
      </c>
      <c r="L1788" s="164">
        <v>17500</v>
      </c>
    </row>
    <row r="1789" spans="2:12" x14ac:dyDescent="0.3">
      <c r="B1789" s="57">
        <f t="shared" si="151"/>
        <v>1786</v>
      </c>
      <c r="C1789" s="143">
        <v>46180</v>
      </c>
      <c r="D1789" s="152" t="s">
        <v>435</v>
      </c>
      <c r="E1789" s="57" t="s">
        <v>672</v>
      </c>
      <c r="F1789" s="57" t="s">
        <v>300</v>
      </c>
      <c r="G1789" s="57" t="s">
        <v>530</v>
      </c>
      <c r="H1789" s="140" t="s">
        <v>671</v>
      </c>
      <c r="I1789" s="57"/>
      <c r="J1789" s="57"/>
      <c r="L1789" s="164">
        <v>200000</v>
      </c>
    </row>
    <row r="1790" spans="2:12" x14ac:dyDescent="0.3">
      <c r="B1790" s="57">
        <f t="shared" si="151"/>
        <v>1787</v>
      </c>
      <c r="C1790" s="147">
        <v>46180</v>
      </c>
      <c r="D1790" s="57" t="s">
        <v>968</v>
      </c>
      <c r="E1790" s="57" t="s">
        <v>146</v>
      </c>
      <c r="F1790" s="57" t="s">
        <v>502</v>
      </c>
      <c r="G1790" s="57" t="s">
        <v>773</v>
      </c>
      <c r="H1790" s="140" t="s">
        <v>1684</v>
      </c>
      <c r="I1790" s="57"/>
      <c r="J1790" s="165">
        <f>L1790/K1790</f>
        <v>10.416666666666666</v>
      </c>
      <c r="K1790" s="57">
        <v>96</v>
      </c>
      <c r="L1790" s="164">
        <v>1000</v>
      </c>
    </row>
    <row r="1791" spans="2:12" x14ac:dyDescent="0.3">
      <c r="B1791" s="57">
        <f t="shared" si="151"/>
        <v>1788</v>
      </c>
      <c r="C1791" s="147">
        <v>46180</v>
      </c>
      <c r="D1791" s="57" t="s">
        <v>968</v>
      </c>
      <c r="E1791" s="57" t="s">
        <v>532</v>
      </c>
      <c r="F1791" s="57" t="s">
        <v>446</v>
      </c>
      <c r="G1791" s="57" t="s">
        <v>313</v>
      </c>
      <c r="H1791" s="140" t="s">
        <v>1685</v>
      </c>
      <c r="I1791" s="57" t="s">
        <v>532</v>
      </c>
      <c r="J1791" s="57">
        <v>12</v>
      </c>
      <c r="K1791" s="168">
        <f>L1791/J1791</f>
        <v>275.83333333333331</v>
      </c>
      <c r="L1791" s="164">
        <v>3310</v>
      </c>
    </row>
    <row r="1792" spans="2:12" x14ac:dyDescent="0.3">
      <c r="B1792" s="57">
        <f t="shared" si="151"/>
        <v>1789</v>
      </c>
      <c r="C1792" s="147">
        <v>46180</v>
      </c>
      <c r="D1792" s="57" t="s">
        <v>968</v>
      </c>
      <c r="E1792" s="57" t="s">
        <v>146</v>
      </c>
      <c r="F1792" s="57" t="s">
        <v>300</v>
      </c>
      <c r="G1792" s="57" t="s">
        <v>530</v>
      </c>
      <c r="H1792" s="140" t="s">
        <v>4088</v>
      </c>
      <c r="I1792" s="57"/>
      <c r="J1792" s="165">
        <f>L1792/K1792</f>
        <v>40.625</v>
      </c>
      <c r="K1792" s="57">
        <v>96</v>
      </c>
      <c r="L1792" s="164">
        <v>3900</v>
      </c>
    </row>
    <row r="1793" spans="2:12" x14ac:dyDescent="0.3">
      <c r="B1793" s="57">
        <f t="shared" si="151"/>
        <v>1790</v>
      </c>
      <c r="C1793" s="147">
        <v>46180</v>
      </c>
      <c r="D1793" s="57" t="s">
        <v>968</v>
      </c>
      <c r="E1793" s="57" t="s">
        <v>2022</v>
      </c>
      <c r="F1793" s="57" t="s">
        <v>502</v>
      </c>
      <c r="G1793" s="57" t="s">
        <v>773</v>
      </c>
      <c r="H1793" s="140" t="s">
        <v>1686</v>
      </c>
      <c r="I1793" s="57"/>
      <c r="J1793" s="57"/>
      <c r="L1793" s="164">
        <v>1500</v>
      </c>
    </row>
    <row r="1794" spans="2:12" x14ac:dyDescent="0.3">
      <c r="B1794" s="57">
        <f t="shared" si="151"/>
        <v>1791</v>
      </c>
      <c r="C1794" s="147">
        <v>46180</v>
      </c>
      <c r="D1794" s="57" t="s">
        <v>968</v>
      </c>
      <c r="E1794" s="57" t="s">
        <v>532</v>
      </c>
      <c r="F1794" s="57" t="s">
        <v>300</v>
      </c>
      <c r="G1794" s="57" t="s">
        <v>498</v>
      </c>
      <c r="H1794" s="140" t="s">
        <v>1687</v>
      </c>
      <c r="I1794" s="57" t="s">
        <v>532</v>
      </c>
      <c r="J1794" s="57">
        <v>2</v>
      </c>
      <c r="K1794" s="57">
        <v>350</v>
      </c>
      <c r="L1794" s="164">
        <v>700</v>
      </c>
    </row>
    <row r="1795" spans="2:12" x14ac:dyDescent="0.3">
      <c r="B1795" s="57">
        <f t="shared" si="151"/>
        <v>1792</v>
      </c>
      <c r="C1795" s="147">
        <v>46180</v>
      </c>
      <c r="D1795" s="57" t="s">
        <v>968</v>
      </c>
      <c r="E1795" s="57" t="s">
        <v>434</v>
      </c>
      <c r="F1795" s="57" t="s">
        <v>683</v>
      </c>
      <c r="G1795" s="57" t="s">
        <v>999</v>
      </c>
      <c r="H1795" s="140" t="s">
        <v>1688</v>
      </c>
      <c r="I1795" s="57"/>
      <c r="J1795" s="57"/>
      <c r="L1795" s="164">
        <v>870</v>
      </c>
    </row>
    <row r="1796" spans="2:12" x14ac:dyDescent="0.3">
      <c r="B1796" s="57">
        <f t="shared" si="151"/>
        <v>1793</v>
      </c>
      <c r="C1796" s="147">
        <v>46180</v>
      </c>
      <c r="D1796" s="57" t="s">
        <v>968</v>
      </c>
      <c r="E1796" s="57" t="s">
        <v>434</v>
      </c>
      <c r="F1796" s="57" t="s">
        <v>300</v>
      </c>
      <c r="G1796" s="57" t="s">
        <v>2327</v>
      </c>
      <c r="H1796" s="140" t="s">
        <v>1689</v>
      </c>
      <c r="I1796" s="57"/>
      <c r="J1796" s="57"/>
      <c r="L1796" s="164">
        <v>4500</v>
      </c>
    </row>
    <row r="1797" spans="2:12" x14ac:dyDescent="0.3">
      <c r="B1797" s="57">
        <f t="shared" si="151"/>
        <v>1794</v>
      </c>
      <c r="C1797" s="147">
        <v>46179</v>
      </c>
      <c r="D1797" s="57" t="s">
        <v>968</v>
      </c>
      <c r="E1797" s="57" t="s">
        <v>574</v>
      </c>
      <c r="F1797" s="57" t="s">
        <v>350</v>
      </c>
      <c r="G1797" s="57" t="s">
        <v>337</v>
      </c>
      <c r="H1797" s="140" t="s">
        <v>4125</v>
      </c>
      <c r="I1797" s="140" t="s">
        <v>4081</v>
      </c>
      <c r="J1797" s="57">
        <v>23.5</v>
      </c>
      <c r="K1797" s="167">
        <f>L1797/J1797</f>
        <v>744.68085106382978</v>
      </c>
      <c r="L1797" s="164">
        <v>17500</v>
      </c>
    </row>
    <row r="1798" spans="2:12" x14ac:dyDescent="0.3">
      <c r="B1798" s="57">
        <f t="shared" ref="B1798:B1861" si="155">+B1797+1</f>
        <v>1795</v>
      </c>
      <c r="C1798" s="147">
        <v>46180</v>
      </c>
      <c r="D1798" s="57" t="s">
        <v>968</v>
      </c>
      <c r="E1798" s="57" t="s">
        <v>574</v>
      </c>
      <c r="F1798" s="57" t="s">
        <v>446</v>
      </c>
      <c r="G1798" s="57" t="s">
        <v>313</v>
      </c>
      <c r="H1798" s="140" t="s">
        <v>1690</v>
      </c>
      <c r="I1798" s="140" t="s">
        <v>4081</v>
      </c>
      <c r="J1798" s="57">
        <v>4</v>
      </c>
      <c r="K1798" s="167">
        <f>L1798/J1798</f>
        <v>575</v>
      </c>
      <c r="L1798" s="164">
        <v>2300</v>
      </c>
    </row>
    <row r="1799" spans="2:12" x14ac:dyDescent="0.3">
      <c r="B1799" s="57">
        <f t="shared" si="155"/>
        <v>1796</v>
      </c>
      <c r="C1799" s="147">
        <v>46180</v>
      </c>
      <c r="D1799" s="57" t="s">
        <v>968</v>
      </c>
      <c r="E1799" s="57" t="s">
        <v>460</v>
      </c>
      <c r="F1799" s="57" t="s">
        <v>350</v>
      </c>
      <c r="G1799" s="57" t="s">
        <v>663</v>
      </c>
      <c r="H1799" s="140" t="s">
        <v>1691</v>
      </c>
      <c r="I1799" s="57"/>
      <c r="J1799" s="57"/>
      <c r="L1799" s="164">
        <v>930</v>
      </c>
    </row>
    <row r="1800" spans="2:12" x14ac:dyDescent="0.3">
      <c r="B1800" s="57">
        <f t="shared" si="155"/>
        <v>1797</v>
      </c>
      <c r="C1800" s="147">
        <v>46180</v>
      </c>
      <c r="D1800" s="57" t="s">
        <v>968</v>
      </c>
      <c r="E1800" s="57" t="s">
        <v>590</v>
      </c>
      <c r="F1800" s="57" t="s">
        <v>300</v>
      </c>
      <c r="G1800" s="57" t="s">
        <v>2327</v>
      </c>
      <c r="H1800" s="140" t="s">
        <v>1692</v>
      </c>
      <c r="I1800" s="57"/>
      <c r="J1800" s="57"/>
      <c r="L1800" s="164">
        <v>1000</v>
      </c>
    </row>
    <row r="1801" spans="2:12" x14ac:dyDescent="0.3">
      <c r="B1801" s="57">
        <f t="shared" si="155"/>
        <v>1798</v>
      </c>
      <c r="C1801" s="147">
        <v>46180</v>
      </c>
      <c r="D1801" s="57" t="s">
        <v>968</v>
      </c>
      <c r="E1801" s="57" t="s">
        <v>767</v>
      </c>
      <c r="F1801" s="57" t="s">
        <v>446</v>
      </c>
      <c r="G1801" s="57" t="s">
        <v>359</v>
      </c>
      <c r="H1801" s="140" t="s">
        <v>1693</v>
      </c>
      <c r="I1801" s="57"/>
      <c r="J1801" s="57"/>
      <c r="L1801" s="164">
        <v>300</v>
      </c>
    </row>
    <row r="1802" spans="2:12" x14ac:dyDescent="0.3">
      <c r="B1802" s="57">
        <f t="shared" si="155"/>
        <v>1799</v>
      </c>
      <c r="C1802" s="147">
        <v>46180</v>
      </c>
      <c r="D1802" s="57" t="s">
        <v>968</v>
      </c>
      <c r="E1802" s="57" t="s">
        <v>146</v>
      </c>
      <c r="F1802" s="57" t="s">
        <v>446</v>
      </c>
      <c r="G1802" s="57" t="s">
        <v>316</v>
      </c>
      <c r="H1802" s="140" t="s">
        <v>1694</v>
      </c>
      <c r="I1802" s="57"/>
      <c r="J1802" s="165">
        <f>L1802/K1802</f>
        <v>31.25</v>
      </c>
      <c r="K1802" s="57">
        <v>96</v>
      </c>
      <c r="L1802" s="164">
        <v>3000</v>
      </c>
    </row>
    <row r="1803" spans="2:12" x14ac:dyDescent="0.3">
      <c r="B1803" s="57">
        <f t="shared" si="155"/>
        <v>1800</v>
      </c>
      <c r="C1803" s="147">
        <v>46180</v>
      </c>
      <c r="D1803" s="57" t="s">
        <v>968</v>
      </c>
      <c r="E1803" s="57" t="s">
        <v>574</v>
      </c>
      <c r="F1803" s="57" t="s">
        <v>300</v>
      </c>
      <c r="G1803" s="57" t="s">
        <v>498</v>
      </c>
      <c r="H1803" s="140" t="s">
        <v>1695</v>
      </c>
      <c r="I1803" s="140" t="s">
        <v>4124</v>
      </c>
      <c r="J1803" s="57">
        <v>6</v>
      </c>
      <c r="K1803" s="167">
        <f>L1803/J1803</f>
        <v>644</v>
      </c>
      <c r="L1803" s="164">
        <v>3864</v>
      </c>
    </row>
    <row r="1804" spans="2:12" x14ac:dyDescent="0.3">
      <c r="B1804" s="57">
        <f t="shared" si="155"/>
        <v>1801</v>
      </c>
      <c r="C1804" s="147">
        <v>46180</v>
      </c>
      <c r="D1804" s="57" t="s">
        <v>968</v>
      </c>
      <c r="E1804" s="57" t="s">
        <v>767</v>
      </c>
      <c r="F1804" s="57" t="s">
        <v>261</v>
      </c>
      <c r="G1804" s="57" t="s">
        <v>709</v>
      </c>
      <c r="H1804" s="140" t="s">
        <v>1696</v>
      </c>
      <c r="I1804" s="57"/>
      <c r="J1804" s="57"/>
      <c r="L1804" s="164">
        <v>1000</v>
      </c>
    </row>
    <row r="1805" spans="2:12" x14ac:dyDescent="0.3">
      <c r="B1805" s="57">
        <f t="shared" si="155"/>
        <v>1802</v>
      </c>
      <c r="C1805" s="147">
        <v>46180</v>
      </c>
      <c r="D1805" s="57" t="s">
        <v>968</v>
      </c>
      <c r="E1805" s="57" t="s">
        <v>767</v>
      </c>
      <c r="F1805" s="57" t="s">
        <v>300</v>
      </c>
      <c r="G1805" s="57" t="s">
        <v>616</v>
      </c>
      <c r="H1805" s="140" t="s">
        <v>1697</v>
      </c>
      <c r="I1805" s="57"/>
      <c r="J1805" s="57"/>
      <c r="L1805" s="164">
        <v>1400</v>
      </c>
    </row>
    <row r="1806" spans="2:12" x14ac:dyDescent="0.3">
      <c r="B1806" s="57">
        <f t="shared" si="155"/>
        <v>1803</v>
      </c>
      <c r="C1806" s="147">
        <v>46180</v>
      </c>
      <c r="D1806" s="57" t="s">
        <v>968</v>
      </c>
      <c r="E1806" s="57" t="s">
        <v>146</v>
      </c>
      <c r="F1806" s="57" t="s">
        <v>350</v>
      </c>
      <c r="G1806" s="57" t="s">
        <v>663</v>
      </c>
      <c r="H1806" s="140" t="s">
        <v>4106</v>
      </c>
      <c r="I1806" s="57"/>
      <c r="J1806" s="165">
        <f>L1806/K1806</f>
        <v>35.416666666666664</v>
      </c>
      <c r="K1806" s="57">
        <v>96</v>
      </c>
      <c r="L1806" s="164">
        <v>3400</v>
      </c>
    </row>
    <row r="1807" spans="2:12" x14ac:dyDescent="0.3">
      <c r="B1807" s="57">
        <f t="shared" si="155"/>
        <v>1804</v>
      </c>
      <c r="C1807" s="147">
        <v>46180</v>
      </c>
      <c r="D1807" s="57" t="s">
        <v>968</v>
      </c>
      <c r="E1807" s="57" t="s">
        <v>574</v>
      </c>
      <c r="F1807" s="57" t="s">
        <v>446</v>
      </c>
      <c r="G1807" s="57" t="s">
        <v>313</v>
      </c>
      <c r="H1807" s="140" t="s">
        <v>2635</v>
      </c>
      <c r="I1807" s="140" t="s">
        <v>2635</v>
      </c>
      <c r="J1807" s="57">
        <v>4</v>
      </c>
      <c r="K1807" s="167">
        <f>L1807/J1807</f>
        <v>575</v>
      </c>
      <c r="L1807" s="164">
        <v>2300</v>
      </c>
    </row>
    <row r="1808" spans="2:12" x14ac:dyDescent="0.3">
      <c r="B1808" s="57">
        <f t="shared" si="155"/>
        <v>1805</v>
      </c>
      <c r="C1808" s="147">
        <v>46180</v>
      </c>
      <c r="D1808" s="57" t="s">
        <v>968</v>
      </c>
      <c r="E1808" s="57" t="s">
        <v>2022</v>
      </c>
      <c r="F1808" s="57" t="s">
        <v>683</v>
      </c>
      <c r="G1808" s="57" t="s">
        <v>999</v>
      </c>
      <c r="H1808" s="140" t="s">
        <v>1698</v>
      </c>
      <c r="I1808" s="57"/>
      <c r="J1808" s="57"/>
      <c r="L1808" s="164">
        <v>890</v>
      </c>
    </row>
    <row r="1809" spans="2:12" x14ac:dyDescent="0.3">
      <c r="B1809" s="57">
        <f t="shared" si="155"/>
        <v>1806</v>
      </c>
      <c r="C1809" s="147">
        <v>46180</v>
      </c>
      <c r="D1809" s="57" t="s">
        <v>968</v>
      </c>
      <c r="E1809" s="57" t="s">
        <v>4128</v>
      </c>
      <c r="F1809" s="57" t="s">
        <v>300</v>
      </c>
      <c r="G1809" s="57" t="s">
        <v>530</v>
      </c>
      <c r="H1809" s="140" t="s">
        <v>2946</v>
      </c>
      <c r="I1809" s="57"/>
      <c r="J1809" s="57"/>
      <c r="L1809" s="164">
        <v>1775</v>
      </c>
    </row>
    <row r="1810" spans="2:12" x14ac:dyDescent="0.3">
      <c r="B1810" s="57">
        <f t="shared" si="155"/>
        <v>1807</v>
      </c>
      <c r="C1810" s="147">
        <v>46180</v>
      </c>
      <c r="D1810" s="57" t="s">
        <v>968</v>
      </c>
      <c r="E1810" s="57" t="s">
        <v>146</v>
      </c>
      <c r="F1810" s="57" t="s">
        <v>300</v>
      </c>
      <c r="G1810" s="57" t="s">
        <v>498</v>
      </c>
      <c r="H1810" s="140" t="s">
        <v>1051</v>
      </c>
      <c r="I1810" s="57"/>
      <c r="J1810" s="165">
        <f>L1810/K1810</f>
        <v>20.833333333333332</v>
      </c>
      <c r="K1810" s="57">
        <v>96</v>
      </c>
      <c r="L1810" s="164">
        <v>2000</v>
      </c>
    </row>
    <row r="1811" spans="2:12" x14ac:dyDescent="0.3">
      <c r="B1811" s="57">
        <f t="shared" si="155"/>
        <v>1808</v>
      </c>
      <c r="C1811" s="147">
        <v>46180</v>
      </c>
      <c r="D1811" s="57" t="s">
        <v>968</v>
      </c>
      <c r="E1811" s="57" t="s">
        <v>590</v>
      </c>
      <c r="F1811" s="57" t="s">
        <v>300</v>
      </c>
      <c r="G1811" s="57" t="s">
        <v>530</v>
      </c>
      <c r="H1811" s="140" t="s">
        <v>1699</v>
      </c>
      <c r="I1811" s="57"/>
      <c r="J1811" s="57"/>
      <c r="L1811" s="164">
        <v>1660</v>
      </c>
    </row>
    <row r="1812" spans="2:12" x14ac:dyDescent="0.3">
      <c r="B1812" s="57">
        <f t="shared" si="155"/>
        <v>1809</v>
      </c>
      <c r="C1812" s="143">
        <v>46181</v>
      </c>
      <c r="D1812" s="57" t="s">
        <v>435</v>
      </c>
      <c r="E1812" s="57" t="s">
        <v>958</v>
      </c>
      <c r="F1812" s="57" t="s">
        <v>300</v>
      </c>
      <c r="G1812" s="57" t="s">
        <v>530</v>
      </c>
      <c r="H1812" s="140" t="s">
        <v>439</v>
      </c>
      <c r="I1812" s="57"/>
      <c r="J1812" s="57"/>
      <c r="L1812" s="164">
        <v>35000</v>
      </c>
    </row>
    <row r="1813" spans="2:12" x14ac:dyDescent="0.3">
      <c r="B1813" s="57">
        <f t="shared" si="155"/>
        <v>1810</v>
      </c>
      <c r="C1813" s="147">
        <v>46181</v>
      </c>
      <c r="D1813" s="57" t="s">
        <v>968</v>
      </c>
      <c r="E1813" s="57" t="s">
        <v>2022</v>
      </c>
      <c r="F1813" s="57" t="s">
        <v>446</v>
      </c>
      <c r="G1813" s="57" t="s">
        <v>1000</v>
      </c>
      <c r="H1813" s="140" t="s">
        <v>1700</v>
      </c>
      <c r="I1813" s="57"/>
      <c r="J1813" s="57"/>
      <c r="L1813" s="164">
        <v>1690</v>
      </c>
    </row>
    <row r="1814" spans="2:12" x14ac:dyDescent="0.3">
      <c r="B1814" s="57">
        <f t="shared" si="155"/>
        <v>1811</v>
      </c>
      <c r="C1814" s="147">
        <v>46181</v>
      </c>
      <c r="D1814" s="57" t="s">
        <v>968</v>
      </c>
      <c r="E1814" s="57" t="s">
        <v>986</v>
      </c>
      <c r="F1814" s="57" t="s">
        <v>446</v>
      </c>
      <c r="G1814" s="57" t="s">
        <v>1000</v>
      </c>
      <c r="H1814" s="140" t="s">
        <v>1701</v>
      </c>
      <c r="I1814" s="57" t="s">
        <v>986</v>
      </c>
      <c r="J1814" s="57">
        <v>25</v>
      </c>
      <c r="L1814" s="164">
        <v>3200</v>
      </c>
    </row>
    <row r="1815" spans="2:12" x14ac:dyDescent="0.3">
      <c r="B1815" s="57">
        <f t="shared" si="155"/>
        <v>1812</v>
      </c>
      <c r="C1815" s="147">
        <v>46181</v>
      </c>
      <c r="D1815" s="57" t="s">
        <v>968</v>
      </c>
      <c r="E1815" s="57" t="s">
        <v>958</v>
      </c>
      <c r="F1815" s="57" t="s">
        <v>2332</v>
      </c>
      <c r="G1815" s="57" t="s">
        <v>1004</v>
      </c>
      <c r="H1815" s="140" t="s">
        <v>1702</v>
      </c>
      <c r="I1815" s="57"/>
      <c r="J1815" s="57"/>
      <c r="L1815" s="164">
        <v>1300</v>
      </c>
    </row>
    <row r="1816" spans="2:12" x14ac:dyDescent="0.3">
      <c r="B1816" s="57">
        <f t="shared" si="155"/>
        <v>1813</v>
      </c>
      <c r="C1816" s="147">
        <v>46181</v>
      </c>
      <c r="D1816" s="57" t="s">
        <v>968</v>
      </c>
      <c r="E1816" s="57" t="s">
        <v>146</v>
      </c>
      <c r="F1816" s="57" t="s">
        <v>683</v>
      </c>
      <c r="G1816" s="57" t="s">
        <v>999</v>
      </c>
      <c r="H1816" s="140" t="s">
        <v>4113</v>
      </c>
      <c r="I1816" s="57" t="s">
        <v>146</v>
      </c>
      <c r="J1816" s="165">
        <f t="shared" ref="J1816:J1818" si="156">L1816/K1816</f>
        <v>52.083333333333336</v>
      </c>
      <c r="K1816" s="57">
        <v>96</v>
      </c>
      <c r="L1816" s="164">
        <v>5000</v>
      </c>
    </row>
    <row r="1817" spans="2:12" x14ac:dyDescent="0.3">
      <c r="B1817" s="57">
        <f t="shared" si="155"/>
        <v>1814</v>
      </c>
      <c r="C1817" s="147">
        <v>46181</v>
      </c>
      <c r="D1817" s="57" t="s">
        <v>968</v>
      </c>
      <c r="E1817" s="57" t="s">
        <v>146</v>
      </c>
      <c r="F1817" s="57" t="s">
        <v>300</v>
      </c>
      <c r="G1817" s="57" t="s">
        <v>438</v>
      </c>
      <c r="H1817" s="140" t="s">
        <v>4110</v>
      </c>
      <c r="I1817" s="57"/>
      <c r="J1817" s="165">
        <f t="shared" si="156"/>
        <v>31.25</v>
      </c>
      <c r="K1817" s="57">
        <v>96</v>
      </c>
      <c r="L1817" s="164">
        <v>3000</v>
      </c>
    </row>
    <row r="1818" spans="2:12" x14ac:dyDescent="0.3">
      <c r="B1818" s="57">
        <f t="shared" si="155"/>
        <v>1815</v>
      </c>
      <c r="C1818" s="147">
        <v>46181</v>
      </c>
      <c r="D1818" s="57" t="s">
        <v>968</v>
      </c>
      <c r="E1818" s="57" t="s">
        <v>146</v>
      </c>
      <c r="F1818" s="57" t="s">
        <v>300</v>
      </c>
      <c r="G1818" s="57" t="s">
        <v>530</v>
      </c>
      <c r="H1818" s="140" t="s">
        <v>4115</v>
      </c>
      <c r="I1818" s="57"/>
      <c r="J1818" s="165">
        <f t="shared" si="156"/>
        <v>37.177083333333336</v>
      </c>
      <c r="K1818" s="57">
        <v>96</v>
      </c>
      <c r="L1818" s="164">
        <v>3569</v>
      </c>
    </row>
    <row r="1819" spans="2:12" x14ac:dyDescent="0.3">
      <c r="B1819" s="57">
        <f t="shared" si="155"/>
        <v>1816</v>
      </c>
      <c r="C1819" s="147">
        <v>46181</v>
      </c>
      <c r="D1819" s="57" t="s">
        <v>968</v>
      </c>
      <c r="E1819" s="57" t="s">
        <v>532</v>
      </c>
      <c r="F1819" s="57" t="s">
        <v>300</v>
      </c>
      <c r="G1819" s="57" t="s">
        <v>498</v>
      </c>
      <c r="H1819" s="140" t="s">
        <v>1703</v>
      </c>
      <c r="I1819" s="57" t="s">
        <v>532</v>
      </c>
      <c r="J1819" s="57">
        <v>30</v>
      </c>
      <c r="K1819" s="167">
        <f>L1819/J1819</f>
        <v>260</v>
      </c>
      <c r="L1819" s="164">
        <v>7800</v>
      </c>
    </row>
    <row r="1820" spans="2:12" x14ac:dyDescent="0.3">
      <c r="B1820" s="57">
        <f t="shared" si="155"/>
        <v>1817</v>
      </c>
      <c r="C1820" s="147">
        <v>46181</v>
      </c>
      <c r="D1820" s="57" t="s">
        <v>968</v>
      </c>
      <c r="E1820" s="57" t="s">
        <v>434</v>
      </c>
      <c r="F1820" s="57" t="s">
        <v>300</v>
      </c>
      <c r="G1820" s="57" t="s">
        <v>2331</v>
      </c>
      <c r="H1820" s="140" t="s">
        <v>1704</v>
      </c>
      <c r="I1820" s="57"/>
      <c r="J1820" s="57"/>
      <c r="L1820" s="164">
        <v>4000</v>
      </c>
    </row>
    <row r="1821" spans="2:12" x14ac:dyDescent="0.3">
      <c r="B1821" s="57">
        <f t="shared" si="155"/>
        <v>1818</v>
      </c>
      <c r="C1821" s="147">
        <v>46181</v>
      </c>
      <c r="D1821" s="57" t="s">
        <v>968</v>
      </c>
      <c r="E1821" s="57" t="s">
        <v>434</v>
      </c>
      <c r="F1821" s="57" t="s">
        <v>300</v>
      </c>
      <c r="G1821" s="57" t="s">
        <v>2327</v>
      </c>
      <c r="H1821" s="140" t="s">
        <v>1705</v>
      </c>
      <c r="I1821" s="57"/>
      <c r="J1821" s="57"/>
      <c r="L1821" s="164">
        <v>1280</v>
      </c>
    </row>
    <row r="1822" spans="2:12" x14ac:dyDescent="0.3">
      <c r="B1822" s="57">
        <f t="shared" si="155"/>
        <v>1819</v>
      </c>
      <c r="C1822" s="147">
        <v>46181</v>
      </c>
      <c r="D1822" s="57" t="s">
        <v>968</v>
      </c>
      <c r="E1822" s="57" t="s">
        <v>146</v>
      </c>
      <c r="F1822" s="57" t="s">
        <v>446</v>
      </c>
      <c r="G1822" s="57" t="s">
        <v>649</v>
      </c>
      <c r="H1822" s="140" t="s">
        <v>1706</v>
      </c>
      <c r="I1822" s="57"/>
      <c r="J1822" s="165">
        <f>L1822/K1822</f>
        <v>20.833333333333332</v>
      </c>
      <c r="K1822" s="57">
        <v>96</v>
      </c>
      <c r="L1822" s="164">
        <v>2000</v>
      </c>
    </row>
    <row r="1823" spans="2:12" x14ac:dyDescent="0.3">
      <c r="B1823" s="57">
        <f t="shared" si="155"/>
        <v>1820</v>
      </c>
      <c r="C1823" s="147">
        <v>46180</v>
      </c>
      <c r="D1823" s="57" t="s">
        <v>968</v>
      </c>
      <c r="E1823" s="57" t="s">
        <v>574</v>
      </c>
      <c r="F1823" s="57" t="s">
        <v>446</v>
      </c>
      <c r="G1823" s="57" t="s">
        <v>313</v>
      </c>
      <c r="H1823" s="140" t="s">
        <v>4125</v>
      </c>
      <c r="I1823" s="140" t="s">
        <v>4081</v>
      </c>
      <c r="J1823" s="57">
        <v>4</v>
      </c>
      <c r="K1823" s="167">
        <f>L1823/J1823</f>
        <v>575</v>
      </c>
      <c r="L1823" s="164">
        <v>2300</v>
      </c>
    </row>
    <row r="1824" spans="2:12" x14ac:dyDescent="0.3">
      <c r="B1824" s="57">
        <f t="shared" si="155"/>
        <v>1821</v>
      </c>
      <c r="C1824" s="147">
        <v>46181</v>
      </c>
      <c r="D1824" s="57" t="s">
        <v>968</v>
      </c>
      <c r="E1824" s="57" t="s">
        <v>574</v>
      </c>
      <c r="F1824" s="57" t="s">
        <v>350</v>
      </c>
      <c r="G1824" s="57" t="s">
        <v>322</v>
      </c>
      <c r="H1824" s="140" t="s">
        <v>1707</v>
      </c>
      <c r="I1824" s="140" t="s">
        <v>2635</v>
      </c>
      <c r="J1824" s="57">
        <v>10.06</v>
      </c>
      <c r="K1824" s="167">
        <f>L1824/J1824</f>
        <v>858.84691848906562</v>
      </c>
      <c r="L1824" s="164">
        <v>8640</v>
      </c>
    </row>
    <row r="1825" spans="2:12" x14ac:dyDescent="0.3">
      <c r="B1825" s="57">
        <f t="shared" si="155"/>
        <v>1822</v>
      </c>
      <c r="C1825" s="147">
        <v>46181</v>
      </c>
      <c r="D1825" s="57" t="s">
        <v>968</v>
      </c>
      <c r="E1825" s="57" t="s">
        <v>434</v>
      </c>
      <c r="F1825" s="57" t="s">
        <v>683</v>
      </c>
      <c r="G1825" s="57" t="s">
        <v>999</v>
      </c>
      <c r="H1825" s="140" t="s">
        <v>1708</v>
      </c>
      <c r="I1825" s="57"/>
      <c r="J1825" s="57"/>
      <c r="L1825" s="164">
        <v>2640</v>
      </c>
    </row>
    <row r="1826" spans="2:12" x14ac:dyDescent="0.3">
      <c r="B1826" s="57">
        <f t="shared" si="155"/>
        <v>1823</v>
      </c>
      <c r="C1826" s="147">
        <v>46181</v>
      </c>
      <c r="D1826" s="57" t="s">
        <v>968</v>
      </c>
      <c r="E1826" s="57" t="s">
        <v>434</v>
      </c>
      <c r="F1826" s="57" t="s">
        <v>350</v>
      </c>
      <c r="G1826" s="57" t="s">
        <v>337</v>
      </c>
      <c r="H1826" s="140" t="s">
        <v>1709</v>
      </c>
      <c r="I1826" s="57"/>
      <c r="J1826" s="57"/>
      <c r="L1826" s="164">
        <v>7400</v>
      </c>
    </row>
    <row r="1827" spans="2:12" x14ac:dyDescent="0.3">
      <c r="B1827" s="57">
        <f t="shared" si="155"/>
        <v>1824</v>
      </c>
      <c r="C1827" s="147">
        <v>46181</v>
      </c>
      <c r="D1827" s="57" t="s">
        <v>968</v>
      </c>
      <c r="E1827" s="57" t="s">
        <v>986</v>
      </c>
      <c r="F1827" s="57" t="s">
        <v>446</v>
      </c>
      <c r="G1827" s="57" t="s">
        <v>990</v>
      </c>
      <c r="H1827" s="140" t="s">
        <v>1710</v>
      </c>
      <c r="I1827" s="57" t="s">
        <v>986</v>
      </c>
      <c r="J1827" s="57">
        <v>15</v>
      </c>
      <c r="L1827" s="164">
        <v>1275</v>
      </c>
    </row>
    <row r="1828" spans="2:12" x14ac:dyDescent="0.3">
      <c r="B1828" s="57">
        <f t="shared" si="155"/>
        <v>1825</v>
      </c>
      <c r="C1828" s="147">
        <v>46181</v>
      </c>
      <c r="D1828" s="57" t="s">
        <v>968</v>
      </c>
      <c r="E1828" s="57" t="s">
        <v>146</v>
      </c>
      <c r="F1828" s="57" t="s">
        <v>446</v>
      </c>
      <c r="G1828" s="57" t="s">
        <v>359</v>
      </c>
      <c r="H1828" s="140" t="s">
        <v>1711</v>
      </c>
      <c r="I1828" s="57"/>
      <c r="J1828" s="165">
        <f>L1828/K1828</f>
        <v>41.520833333333336</v>
      </c>
      <c r="K1828" s="57">
        <v>96</v>
      </c>
      <c r="L1828" s="164">
        <v>3986</v>
      </c>
    </row>
    <row r="1829" spans="2:12" x14ac:dyDescent="0.3">
      <c r="B1829" s="57">
        <f t="shared" si="155"/>
        <v>1826</v>
      </c>
      <c r="C1829" s="147">
        <v>46181</v>
      </c>
      <c r="D1829" s="57" t="s">
        <v>968</v>
      </c>
      <c r="E1829" s="57" t="s">
        <v>434</v>
      </c>
      <c r="F1829" s="57" t="s">
        <v>300</v>
      </c>
      <c r="G1829" s="57" t="s">
        <v>530</v>
      </c>
      <c r="H1829" s="140" t="s">
        <v>1712</v>
      </c>
      <c r="I1829" s="57"/>
      <c r="J1829" s="57"/>
      <c r="L1829" s="164">
        <v>9000</v>
      </c>
    </row>
    <row r="1830" spans="2:12" x14ac:dyDescent="0.3">
      <c r="B1830" s="57">
        <f t="shared" si="155"/>
        <v>1827</v>
      </c>
      <c r="C1830" s="147">
        <v>46181</v>
      </c>
      <c r="D1830" s="57" t="s">
        <v>968</v>
      </c>
      <c r="E1830" s="57" t="s">
        <v>434</v>
      </c>
      <c r="F1830" s="57" t="s">
        <v>350</v>
      </c>
      <c r="G1830" s="57" t="s">
        <v>350</v>
      </c>
      <c r="H1830" s="140" t="s">
        <v>1713</v>
      </c>
      <c r="I1830" s="57"/>
      <c r="J1830" s="57"/>
      <c r="L1830" s="164">
        <v>6700</v>
      </c>
    </row>
    <row r="1831" spans="2:12" x14ac:dyDescent="0.3">
      <c r="B1831" s="57">
        <f t="shared" si="155"/>
        <v>1828</v>
      </c>
      <c r="C1831" s="147">
        <v>46181</v>
      </c>
      <c r="D1831" s="57" t="s">
        <v>968</v>
      </c>
      <c r="E1831" s="57" t="s">
        <v>460</v>
      </c>
      <c r="F1831" s="57" t="s">
        <v>446</v>
      </c>
      <c r="G1831" s="57" t="s">
        <v>359</v>
      </c>
      <c r="H1831" s="140" t="s">
        <v>1714</v>
      </c>
      <c r="I1831" s="57"/>
      <c r="J1831" s="57"/>
      <c r="L1831" s="164">
        <v>400</v>
      </c>
    </row>
    <row r="1832" spans="2:12" x14ac:dyDescent="0.3">
      <c r="B1832" s="57">
        <f t="shared" si="155"/>
        <v>1829</v>
      </c>
      <c r="C1832" s="147">
        <v>46181</v>
      </c>
      <c r="D1832" s="57" t="s">
        <v>968</v>
      </c>
      <c r="E1832" s="57" t="s">
        <v>146</v>
      </c>
      <c r="F1832" s="57" t="s">
        <v>300</v>
      </c>
      <c r="G1832" s="57" t="s">
        <v>2327</v>
      </c>
      <c r="H1832" s="140" t="s">
        <v>1715</v>
      </c>
      <c r="I1832" s="57"/>
      <c r="J1832" s="165">
        <f t="shared" ref="J1832:J1833" si="157">L1832/K1832</f>
        <v>20.833333333333332</v>
      </c>
      <c r="K1832" s="57">
        <v>96</v>
      </c>
      <c r="L1832" s="164">
        <v>2000</v>
      </c>
    </row>
    <row r="1833" spans="2:12" x14ac:dyDescent="0.3">
      <c r="B1833" s="57">
        <f t="shared" si="155"/>
        <v>1830</v>
      </c>
      <c r="C1833" s="147">
        <v>46181</v>
      </c>
      <c r="D1833" s="57" t="s">
        <v>968</v>
      </c>
      <c r="E1833" s="57" t="s">
        <v>146</v>
      </c>
      <c r="F1833" s="57" t="s">
        <v>446</v>
      </c>
      <c r="G1833" s="57" t="s">
        <v>313</v>
      </c>
      <c r="H1833" s="140" t="s">
        <v>1716</v>
      </c>
      <c r="I1833" s="57"/>
      <c r="J1833" s="165">
        <f t="shared" si="157"/>
        <v>49.322916666666664</v>
      </c>
      <c r="K1833" s="57">
        <v>96</v>
      </c>
      <c r="L1833" s="164">
        <v>4735</v>
      </c>
    </row>
    <row r="1834" spans="2:12" x14ac:dyDescent="0.3">
      <c r="B1834" s="57">
        <f t="shared" si="155"/>
        <v>1831</v>
      </c>
      <c r="C1834" s="147">
        <v>46181</v>
      </c>
      <c r="D1834" s="57" t="s">
        <v>968</v>
      </c>
      <c r="E1834" s="57" t="s">
        <v>574</v>
      </c>
      <c r="F1834" s="57" t="s">
        <v>683</v>
      </c>
      <c r="G1834" s="57" t="s">
        <v>999</v>
      </c>
      <c r="H1834" s="140" t="s">
        <v>1717</v>
      </c>
      <c r="I1834" s="140" t="s">
        <v>2635</v>
      </c>
      <c r="J1834" s="57">
        <v>18.399999999999999</v>
      </c>
      <c r="K1834" s="167">
        <f>L1834/J1834</f>
        <v>844.94565217391312</v>
      </c>
      <c r="L1834" s="164">
        <v>15547</v>
      </c>
    </row>
    <row r="1835" spans="2:12" x14ac:dyDescent="0.3">
      <c r="B1835" s="57">
        <f t="shared" si="155"/>
        <v>1832</v>
      </c>
      <c r="C1835" s="147">
        <v>46181</v>
      </c>
      <c r="D1835" s="57" t="s">
        <v>968</v>
      </c>
      <c r="E1835" s="57" t="s">
        <v>434</v>
      </c>
      <c r="F1835" s="57" t="s">
        <v>683</v>
      </c>
      <c r="G1835" s="57" t="s">
        <v>999</v>
      </c>
      <c r="H1835" s="140" t="s">
        <v>1718</v>
      </c>
      <c r="I1835" s="57"/>
      <c r="J1835" s="57"/>
      <c r="L1835" s="164">
        <v>890</v>
      </c>
    </row>
    <row r="1836" spans="2:12" x14ac:dyDescent="0.3">
      <c r="B1836" s="57">
        <f t="shared" si="155"/>
        <v>1833</v>
      </c>
      <c r="C1836" s="147">
        <v>46181</v>
      </c>
      <c r="D1836" s="57" t="s">
        <v>968</v>
      </c>
      <c r="E1836" s="57" t="s">
        <v>574</v>
      </c>
      <c r="F1836" s="57" t="s">
        <v>300</v>
      </c>
      <c r="G1836" s="57" t="s">
        <v>2327</v>
      </c>
      <c r="H1836" s="140" t="s">
        <v>1719</v>
      </c>
      <c r="I1836" s="140" t="s">
        <v>4118</v>
      </c>
      <c r="J1836" s="57">
        <v>7</v>
      </c>
      <c r="K1836" s="167">
        <f>L1836/J1836</f>
        <v>714.28571428571433</v>
      </c>
      <c r="L1836" s="164">
        <v>5000</v>
      </c>
    </row>
    <row r="1837" spans="2:12" x14ac:dyDescent="0.3">
      <c r="B1837" s="57">
        <f t="shared" si="155"/>
        <v>1834</v>
      </c>
      <c r="C1837" s="147">
        <v>46181</v>
      </c>
      <c r="D1837" s="57" t="s">
        <v>968</v>
      </c>
      <c r="E1837" s="57" t="s">
        <v>590</v>
      </c>
      <c r="F1837" s="57" t="s">
        <v>350</v>
      </c>
      <c r="G1837" s="57" t="s">
        <v>663</v>
      </c>
      <c r="H1837" s="140" t="s">
        <v>1720</v>
      </c>
      <c r="I1837" s="57"/>
      <c r="J1837" s="57"/>
      <c r="L1837" s="164">
        <v>815</v>
      </c>
    </row>
    <row r="1838" spans="2:12" x14ac:dyDescent="0.3">
      <c r="B1838" s="57">
        <f t="shared" si="155"/>
        <v>1835</v>
      </c>
      <c r="C1838" s="147">
        <v>46181</v>
      </c>
      <c r="D1838" s="57" t="s">
        <v>968</v>
      </c>
      <c r="E1838" s="57" t="s">
        <v>574</v>
      </c>
      <c r="F1838" s="57" t="s">
        <v>300</v>
      </c>
      <c r="G1838" s="57" t="s">
        <v>498</v>
      </c>
      <c r="H1838" s="140" t="s">
        <v>1721</v>
      </c>
      <c r="I1838" s="140" t="s">
        <v>2635</v>
      </c>
      <c r="J1838" s="57">
        <v>4</v>
      </c>
      <c r="K1838" s="167">
        <f>L1838/J1838</f>
        <v>712.5</v>
      </c>
      <c r="L1838" s="164">
        <v>2850</v>
      </c>
    </row>
    <row r="1839" spans="2:12" x14ac:dyDescent="0.3">
      <c r="B1839" s="57">
        <f t="shared" si="155"/>
        <v>1836</v>
      </c>
      <c r="C1839" s="147">
        <v>46181</v>
      </c>
      <c r="D1839" s="57" t="s">
        <v>968</v>
      </c>
      <c r="E1839" s="57" t="s">
        <v>146</v>
      </c>
      <c r="F1839" s="57" t="s">
        <v>300</v>
      </c>
      <c r="G1839" s="57" t="s">
        <v>530</v>
      </c>
      <c r="H1839" s="140" t="s">
        <v>4092</v>
      </c>
      <c r="I1839" s="57"/>
      <c r="J1839" s="165">
        <f>L1839/K1839</f>
        <v>114.77083333333333</v>
      </c>
      <c r="K1839" s="57">
        <v>96</v>
      </c>
      <c r="L1839" s="164">
        <v>11018</v>
      </c>
    </row>
    <row r="1840" spans="2:12" x14ac:dyDescent="0.3">
      <c r="B1840" s="57">
        <f t="shared" si="155"/>
        <v>1837</v>
      </c>
      <c r="C1840" s="147">
        <v>46181</v>
      </c>
      <c r="D1840" s="57" t="s">
        <v>968</v>
      </c>
      <c r="E1840" s="57" t="s">
        <v>237</v>
      </c>
      <c r="F1840" s="57" t="s">
        <v>446</v>
      </c>
      <c r="G1840" s="57" t="s">
        <v>313</v>
      </c>
      <c r="H1840" s="140" t="s">
        <v>1722</v>
      </c>
      <c r="I1840" s="57"/>
      <c r="J1840" s="57"/>
      <c r="L1840" s="164">
        <v>1590</v>
      </c>
    </row>
    <row r="1841" spans="2:12" x14ac:dyDescent="0.3">
      <c r="B1841" s="57">
        <f t="shared" si="155"/>
        <v>1838</v>
      </c>
      <c r="C1841" s="147">
        <v>46181</v>
      </c>
      <c r="D1841" s="57" t="s">
        <v>968</v>
      </c>
      <c r="E1841" s="57" t="s">
        <v>146</v>
      </c>
      <c r="F1841" s="57" t="s">
        <v>446</v>
      </c>
      <c r="G1841" s="57" t="s">
        <v>990</v>
      </c>
      <c r="H1841" s="140" t="s">
        <v>885</v>
      </c>
      <c r="I1841" s="57"/>
      <c r="J1841" s="165">
        <f>L1841/K1841</f>
        <v>20.833333333333332</v>
      </c>
      <c r="K1841" s="57">
        <v>96</v>
      </c>
      <c r="L1841" s="164">
        <v>2000</v>
      </c>
    </row>
    <row r="1842" spans="2:12" x14ac:dyDescent="0.3">
      <c r="B1842" s="57">
        <f t="shared" si="155"/>
        <v>1839</v>
      </c>
      <c r="C1842" s="147">
        <v>46181</v>
      </c>
      <c r="D1842" s="57" t="s">
        <v>968</v>
      </c>
      <c r="E1842" s="57" t="s">
        <v>590</v>
      </c>
      <c r="F1842" s="57" t="s">
        <v>446</v>
      </c>
      <c r="G1842" s="57" t="s">
        <v>313</v>
      </c>
      <c r="H1842" s="140" t="s">
        <v>1723</v>
      </c>
      <c r="I1842" s="57"/>
      <c r="J1842" s="57"/>
      <c r="L1842" s="164">
        <v>250</v>
      </c>
    </row>
    <row r="1843" spans="2:12" x14ac:dyDescent="0.3">
      <c r="B1843" s="57">
        <f t="shared" si="155"/>
        <v>1840</v>
      </c>
      <c r="C1843" s="147">
        <v>46182</v>
      </c>
      <c r="D1843" s="57" t="s">
        <v>968</v>
      </c>
      <c r="E1843" s="57" t="s">
        <v>4128</v>
      </c>
      <c r="F1843" s="57" t="s">
        <v>652</v>
      </c>
      <c r="G1843" s="57" t="s">
        <v>651</v>
      </c>
      <c r="H1843" s="140" t="s">
        <v>1724</v>
      </c>
      <c r="I1843" s="57"/>
      <c r="J1843" s="57"/>
      <c r="L1843" s="164">
        <v>4350</v>
      </c>
    </row>
    <row r="1844" spans="2:12" x14ac:dyDescent="0.3">
      <c r="B1844" s="57">
        <f t="shared" si="155"/>
        <v>1841</v>
      </c>
      <c r="C1844" s="147">
        <v>46182</v>
      </c>
      <c r="D1844" s="57" t="s">
        <v>968</v>
      </c>
      <c r="E1844" s="57" t="s">
        <v>4128</v>
      </c>
      <c r="F1844" s="57" t="s">
        <v>300</v>
      </c>
      <c r="G1844" s="57" t="s">
        <v>530</v>
      </c>
      <c r="H1844" s="140" t="s">
        <v>2947</v>
      </c>
      <c r="I1844" s="57"/>
      <c r="J1844" s="57"/>
      <c r="L1844" s="164">
        <v>1100</v>
      </c>
    </row>
    <row r="1845" spans="2:12" x14ac:dyDescent="0.3">
      <c r="B1845" s="57">
        <f t="shared" si="155"/>
        <v>1842</v>
      </c>
      <c r="C1845" s="147">
        <v>46182</v>
      </c>
      <c r="D1845" s="57" t="s">
        <v>968</v>
      </c>
      <c r="E1845" s="57" t="s">
        <v>966</v>
      </c>
      <c r="F1845" s="57" t="s">
        <v>300</v>
      </c>
      <c r="G1845" s="57" t="s">
        <v>530</v>
      </c>
      <c r="H1845" s="140" t="s">
        <v>1725</v>
      </c>
      <c r="I1845" s="57"/>
      <c r="J1845" s="57"/>
      <c r="L1845" s="164">
        <v>9650</v>
      </c>
    </row>
    <row r="1846" spans="2:12" x14ac:dyDescent="0.3">
      <c r="B1846" s="57">
        <f t="shared" si="155"/>
        <v>1843</v>
      </c>
      <c r="C1846" s="147">
        <v>46182</v>
      </c>
      <c r="D1846" s="57" t="s">
        <v>968</v>
      </c>
      <c r="E1846" s="57" t="s">
        <v>146</v>
      </c>
      <c r="F1846" s="57" t="s">
        <v>300</v>
      </c>
      <c r="G1846" s="57" t="s">
        <v>530</v>
      </c>
      <c r="H1846" s="140" t="s">
        <v>4095</v>
      </c>
      <c r="I1846" s="57"/>
      <c r="J1846" s="165">
        <f>L1846/K1846</f>
        <v>39.0625</v>
      </c>
      <c r="K1846" s="57">
        <v>96</v>
      </c>
      <c r="L1846" s="164">
        <v>3750</v>
      </c>
    </row>
    <row r="1847" spans="2:12" x14ac:dyDescent="0.3">
      <c r="B1847" s="57">
        <f t="shared" si="155"/>
        <v>1844</v>
      </c>
      <c r="C1847" s="147">
        <v>46182</v>
      </c>
      <c r="D1847" s="57" t="s">
        <v>968</v>
      </c>
      <c r="E1847" s="57" t="s">
        <v>532</v>
      </c>
      <c r="F1847" s="57" t="s">
        <v>446</v>
      </c>
      <c r="G1847" s="57" t="s">
        <v>313</v>
      </c>
      <c r="H1847" s="140" t="s">
        <v>1726</v>
      </c>
      <c r="I1847" s="57" t="s">
        <v>532</v>
      </c>
      <c r="J1847" s="57">
        <v>10</v>
      </c>
      <c r="K1847" s="167">
        <f>L1847/J1847</f>
        <v>256</v>
      </c>
      <c r="L1847" s="164">
        <v>2560</v>
      </c>
    </row>
    <row r="1848" spans="2:12" x14ac:dyDescent="0.3">
      <c r="B1848" s="57">
        <f t="shared" si="155"/>
        <v>1845</v>
      </c>
      <c r="C1848" s="147">
        <v>46182</v>
      </c>
      <c r="D1848" s="57" t="s">
        <v>968</v>
      </c>
      <c r="E1848" s="57" t="s">
        <v>986</v>
      </c>
      <c r="F1848" s="57" t="s">
        <v>300</v>
      </c>
      <c r="G1848" s="57" t="s">
        <v>530</v>
      </c>
      <c r="H1848" s="140" t="s">
        <v>1727</v>
      </c>
      <c r="I1848" s="57" t="s">
        <v>986</v>
      </c>
      <c r="J1848" s="57">
        <v>50</v>
      </c>
      <c r="L1848" s="164">
        <v>4250</v>
      </c>
    </row>
    <row r="1849" spans="2:12" x14ac:dyDescent="0.3">
      <c r="B1849" s="57">
        <f t="shared" si="155"/>
        <v>1846</v>
      </c>
      <c r="C1849" s="147">
        <v>46182</v>
      </c>
      <c r="D1849" s="57" t="s">
        <v>968</v>
      </c>
      <c r="E1849" s="57" t="s">
        <v>434</v>
      </c>
      <c r="F1849" s="57" t="s">
        <v>300</v>
      </c>
      <c r="G1849" s="57" t="s">
        <v>2327</v>
      </c>
      <c r="H1849" s="140" t="s">
        <v>1728</v>
      </c>
      <c r="I1849" s="57"/>
      <c r="J1849" s="57"/>
      <c r="L1849" s="164">
        <v>1000</v>
      </c>
    </row>
    <row r="1850" spans="2:12" x14ac:dyDescent="0.3">
      <c r="B1850" s="57">
        <f t="shared" si="155"/>
        <v>1847</v>
      </c>
      <c r="C1850" s="147">
        <v>46182</v>
      </c>
      <c r="D1850" s="57" t="s">
        <v>968</v>
      </c>
      <c r="E1850" s="57" t="s">
        <v>146</v>
      </c>
      <c r="F1850" s="57" t="s">
        <v>652</v>
      </c>
      <c r="G1850" s="57" t="s">
        <v>651</v>
      </c>
      <c r="H1850" s="140" t="s">
        <v>1729</v>
      </c>
      <c r="I1850" s="57"/>
      <c r="J1850" s="165">
        <f>L1850/K1850</f>
        <v>39.583333333333336</v>
      </c>
      <c r="K1850" s="57">
        <v>96</v>
      </c>
      <c r="L1850" s="164">
        <v>3800</v>
      </c>
    </row>
    <row r="1851" spans="2:12" x14ac:dyDescent="0.3">
      <c r="B1851" s="57">
        <f t="shared" si="155"/>
        <v>1848</v>
      </c>
      <c r="C1851" s="147">
        <v>46182</v>
      </c>
      <c r="D1851" s="57" t="s">
        <v>968</v>
      </c>
      <c r="E1851" s="57" t="s">
        <v>4128</v>
      </c>
      <c r="F1851" s="57" t="s">
        <v>350</v>
      </c>
      <c r="G1851" s="57" t="s">
        <v>322</v>
      </c>
      <c r="H1851" s="140" t="s">
        <v>2948</v>
      </c>
      <c r="I1851" s="57"/>
      <c r="J1851" s="57"/>
      <c r="L1851" s="164">
        <v>3000</v>
      </c>
    </row>
    <row r="1852" spans="2:12" x14ac:dyDescent="0.3">
      <c r="B1852" s="57">
        <f t="shared" si="155"/>
        <v>1849</v>
      </c>
      <c r="C1852" s="147">
        <v>46182</v>
      </c>
      <c r="D1852" s="57" t="s">
        <v>968</v>
      </c>
      <c r="E1852" s="57" t="s">
        <v>532</v>
      </c>
      <c r="F1852" s="57" t="s">
        <v>350</v>
      </c>
      <c r="G1852" s="57" t="s">
        <v>322</v>
      </c>
      <c r="H1852" s="140" t="s">
        <v>1730</v>
      </c>
      <c r="I1852" s="57" t="s">
        <v>532</v>
      </c>
      <c r="J1852" s="57">
        <v>12</v>
      </c>
      <c r="K1852" s="168">
        <f>L1852/J1852</f>
        <v>270.83333333333331</v>
      </c>
      <c r="L1852" s="164">
        <v>3250</v>
      </c>
    </row>
    <row r="1853" spans="2:12" x14ac:dyDescent="0.3">
      <c r="B1853" s="57">
        <f t="shared" si="155"/>
        <v>1850</v>
      </c>
      <c r="C1853" s="147">
        <v>46182</v>
      </c>
      <c r="D1853" s="57" t="s">
        <v>968</v>
      </c>
      <c r="E1853" s="57" t="s">
        <v>434</v>
      </c>
      <c r="F1853" s="57" t="s">
        <v>300</v>
      </c>
      <c r="G1853" s="57" t="s">
        <v>530</v>
      </c>
      <c r="H1853" s="140" t="s">
        <v>1731</v>
      </c>
      <c r="I1853" s="57"/>
      <c r="J1853" s="57"/>
      <c r="L1853" s="164">
        <v>42000</v>
      </c>
    </row>
    <row r="1854" spans="2:12" x14ac:dyDescent="0.3">
      <c r="B1854" s="57">
        <f t="shared" si="155"/>
        <v>1851</v>
      </c>
      <c r="C1854" s="147">
        <v>46182</v>
      </c>
      <c r="D1854" s="57" t="s">
        <v>968</v>
      </c>
      <c r="E1854" s="57" t="s">
        <v>574</v>
      </c>
      <c r="F1854" s="57" t="s">
        <v>300</v>
      </c>
      <c r="G1854" s="57" t="s">
        <v>996</v>
      </c>
      <c r="H1854" s="140" t="s">
        <v>1732</v>
      </c>
      <c r="I1854" s="140" t="s">
        <v>2635</v>
      </c>
      <c r="J1854" s="57">
        <v>4</v>
      </c>
      <c r="K1854" s="167">
        <f t="shared" ref="K1854:K1856" si="158">L1854/J1854</f>
        <v>700</v>
      </c>
      <c r="L1854" s="164">
        <v>2800</v>
      </c>
    </row>
    <row r="1855" spans="2:12" x14ac:dyDescent="0.3">
      <c r="B1855" s="57">
        <f t="shared" si="155"/>
        <v>1852</v>
      </c>
      <c r="C1855" s="147">
        <v>46182</v>
      </c>
      <c r="D1855" s="57" t="s">
        <v>968</v>
      </c>
      <c r="E1855" s="57" t="s">
        <v>574</v>
      </c>
      <c r="F1855" s="57" t="s">
        <v>446</v>
      </c>
      <c r="G1855" s="57" t="s">
        <v>313</v>
      </c>
      <c r="H1855" s="140" t="s">
        <v>1733</v>
      </c>
      <c r="I1855" s="140" t="s">
        <v>4081</v>
      </c>
      <c r="J1855" s="57">
        <v>4</v>
      </c>
      <c r="K1855" s="167">
        <f t="shared" si="158"/>
        <v>575</v>
      </c>
      <c r="L1855" s="164">
        <v>2300</v>
      </c>
    </row>
    <row r="1856" spans="2:12" x14ac:dyDescent="0.3">
      <c r="B1856" s="57">
        <f t="shared" si="155"/>
        <v>1853</v>
      </c>
      <c r="C1856" s="147">
        <v>46182</v>
      </c>
      <c r="D1856" s="57" t="s">
        <v>968</v>
      </c>
      <c r="E1856" s="57" t="s">
        <v>574</v>
      </c>
      <c r="F1856" s="57" t="s">
        <v>300</v>
      </c>
      <c r="G1856" s="57" t="s">
        <v>2327</v>
      </c>
      <c r="H1856" s="140" t="s">
        <v>1734</v>
      </c>
      <c r="I1856" s="140" t="s">
        <v>4118</v>
      </c>
      <c r="J1856" s="57">
        <v>4</v>
      </c>
      <c r="K1856" s="167">
        <f t="shared" si="158"/>
        <v>625</v>
      </c>
      <c r="L1856" s="164">
        <v>2500</v>
      </c>
    </row>
    <row r="1857" spans="2:12" x14ac:dyDescent="0.3">
      <c r="B1857" s="57">
        <f t="shared" si="155"/>
        <v>1854</v>
      </c>
      <c r="C1857" s="147">
        <v>46182</v>
      </c>
      <c r="D1857" s="57" t="s">
        <v>968</v>
      </c>
      <c r="E1857" s="57" t="s">
        <v>237</v>
      </c>
      <c r="F1857" s="57" t="s">
        <v>300</v>
      </c>
      <c r="G1857" s="57" t="s">
        <v>2327</v>
      </c>
      <c r="H1857" s="140" t="s">
        <v>1735</v>
      </c>
      <c r="I1857" s="57"/>
      <c r="J1857" s="57"/>
      <c r="L1857" s="164">
        <v>420</v>
      </c>
    </row>
    <row r="1858" spans="2:12" x14ac:dyDescent="0.3">
      <c r="B1858" s="57">
        <f t="shared" si="155"/>
        <v>1855</v>
      </c>
      <c r="C1858" s="147">
        <v>46182</v>
      </c>
      <c r="D1858" s="57" t="s">
        <v>968</v>
      </c>
      <c r="E1858" s="57" t="s">
        <v>237</v>
      </c>
      <c r="F1858" s="57" t="s">
        <v>300</v>
      </c>
      <c r="G1858" s="57" t="s">
        <v>498</v>
      </c>
      <c r="H1858" s="140" t="s">
        <v>1736</v>
      </c>
      <c r="I1858" s="57"/>
      <c r="J1858" s="57"/>
      <c r="L1858" s="164">
        <v>200</v>
      </c>
    </row>
    <row r="1859" spans="2:12" x14ac:dyDescent="0.3">
      <c r="B1859" s="57">
        <f t="shared" si="155"/>
        <v>1856</v>
      </c>
      <c r="C1859" s="147">
        <v>46182</v>
      </c>
      <c r="D1859" s="57" t="s">
        <v>968</v>
      </c>
      <c r="E1859" s="57" t="s">
        <v>767</v>
      </c>
      <c r="F1859" s="57" t="s">
        <v>446</v>
      </c>
      <c r="G1859" s="57" t="s">
        <v>359</v>
      </c>
      <c r="H1859" s="140" t="s">
        <v>1737</v>
      </c>
      <c r="I1859" s="57"/>
      <c r="J1859" s="57"/>
      <c r="L1859" s="164">
        <v>300</v>
      </c>
    </row>
    <row r="1860" spans="2:12" x14ac:dyDescent="0.3">
      <c r="B1860" s="57">
        <f t="shared" si="155"/>
        <v>1857</v>
      </c>
      <c r="C1860" s="147">
        <v>46182</v>
      </c>
      <c r="D1860" s="57" t="s">
        <v>968</v>
      </c>
      <c r="E1860" s="57" t="s">
        <v>574</v>
      </c>
      <c r="F1860" s="57" t="s">
        <v>350</v>
      </c>
      <c r="G1860" s="57" t="s">
        <v>714</v>
      </c>
      <c r="H1860" s="140" t="s">
        <v>1738</v>
      </c>
      <c r="I1860" s="140" t="s">
        <v>2635</v>
      </c>
      <c r="J1860" s="57">
        <v>24</v>
      </c>
      <c r="K1860" s="167">
        <f t="shared" ref="K1860:K1861" si="159">L1860/J1860</f>
        <v>848.33333333333337</v>
      </c>
      <c r="L1860" s="164">
        <v>20360</v>
      </c>
    </row>
    <row r="1861" spans="2:12" x14ac:dyDescent="0.3">
      <c r="B1861" s="57">
        <f t="shared" si="155"/>
        <v>1858</v>
      </c>
      <c r="C1861" s="147">
        <v>46182</v>
      </c>
      <c r="D1861" s="57" t="s">
        <v>968</v>
      </c>
      <c r="E1861" s="57" t="s">
        <v>522</v>
      </c>
      <c r="F1861" s="57" t="s">
        <v>350</v>
      </c>
      <c r="G1861" s="57" t="s">
        <v>714</v>
      </c>
      <c r="H1861" s="140" t="s">
        <v>1739</v>
      </c>
      <c r="I1861" s="57"/>
      <c r="J1861" s="57"/>
      <c r="K1861" s="167" t="e">
        <f t="shared" si="159"/>
        <v>#DIV/0!</v>
      </c>
      <c r="L1861" s="164">
        <v>5000</v>
      </c>
    </row>
    <row r="1862" spans="2:12" x14ac:dyDescent="0.3">
      <c r="B1862" s="57">
        <f t="shared" ref="B1862:B1925" si="160">+B1861+1</f>
        <v>1859</v>
      </c>
      <c r="C1862" s="147">
        <v>46182</v>
      </c>
      <c r="D1862" s="57" t="s">
        <v>968</v>
      </c>
      <c r="E1862" s="57" t="s">
        <v>522</v>
      </c>
      <c r="F1862" s="57" t="s">
        <v>300</v>
      </c>
      <c r="G1862" s="57" t="s">
        <v>530</v>
      </c>
      <c r="H1862" s="140" t="s">
        <v>1740</v>
      </c>
      <c r="I1862" s="57"/>
      <c r="J1862" s="57"/>
      <c r="L1862" s="164">
        <v>2800</v>
      </c>
    </row>
    <row r="1863" spans="2:12" x14ac:dyDescent="0.3">
      <c r="B1863" s="57">
        <f t="shared" si="160"/>
        <v>1860</v>
      </c>
      <c r="C1863" s="147">
        <v>46182</v>
      </c>
      <c r="D1863" s="57" t="s">
        <v>968</v>
      </c>
      <c r="E1863" s="57" t="s">
        <v>434</v>
      </c>
      <c r="F1863" s="57" t="s">
        <v>300</v>
      </c>
      <c r="G1863" s="57" t="s">
        <v>530</v>
      </c>
      <c r="H1863" s="140" t="s">
        <v>1741</v>
      </c>
      <c r="I1863" s="57"/>
      <c r="J1863" s="57"/>
      <c r="L1863" s="164">
        <v>50000</v>
      </c>
    </row>
    <row r="1864" spans="2:12" x14ac:dyDescent="0.3">
      <c r="B1864" s="57">
        <f t="shared" si="160"/>
        <v>1861</v>
      </c>
      <c r="C1864" s="143">
        <v>46183</v>
      </c>
      <c r="D1864" s="152" t="s">
        <v>435</v>
      </c>
      <c r="E1864" s="57" t="s">
        <v>636</v>
      </c>
      <c r="F1864" s="57" t="s">
        <v>446</v>
      </c>
      <c r="G1864" s="57" t="s">
        <v>446</v>
      </c>
      <c r="H1864" s="140" t="s">
        <v>635</v>
      </c>
      <c r="I1864" s="57"/>
      <c r="J1864" s="57"/>
      <c r="L1864" s="164">
        <v>200000</v>
      </c>
    </row>
    <row r="1865" spans="2:12" x14ac:dyDescent="0.3">
      <c r="B1865" s="57">
        <f t="shared" si="160"/>
        <v>1862</v>
      </c>
      <c r="C1865" s="146">
        <v>46183</v>
      </c>
      <c r="D1865" s="152" t="s">
        <v>435</v>
      </c>
      <c r="E1865" s="57" t="s">
        <v>4008</v>
      </c>
      <c r="F1865" s="57" t="s">
        <v>300</v>
      </c>
      <c r="G1865" s="57" t="s">
        <v>530</v>
      </c>
      <c r="H1865" s="140" t="s">
        <v>985</v>
      </c>
      <c r="I1865" s="57"/>
      <c r="J1865" s="57"/>
      <c r="L1865" s="164">
        <v>160000</v>
      </c>
    </row>
    <row r="1866" spans="2:12" x14ac:dyDescent="0.3">
      <c r="B1866" s="57">
        <f t="shared" si="160"/>
        <v>1863</v>
      </c>
      <c r="C1866" s="147">
        <v>46183</v>
      </c>
      <c r="D1866" s="57" t="s">
        <v>968</v>
      </c>
      <c r="E1866" s="57" t="s">
        <v>146</v>
      </c>
      <c r="F1866" s="57" t="s">
        <v>446</v>
      </c>
      <c r="G1866" s="57" t="s">
        <v>313</v>
      </c>
      <c r="H1866" s="140" t="s">
        <v>4089</v>
      </c>
      <c r="I1866" s="57"/>
      <c r="J1866" s="165">
        <f>L1866/K1866</f>
        <v>26.041666666666668</v>
      </c>
      <c r="K1866" s="57">
        <v>96</v>
      </c>
      <c r="L1866" s="164">
        <v>2500</v>
      </c>
    </row>
    <row r="1867" spans="2:12" x14ac:dyDescent="0.3">
      <c r="B1867" s="57">
        <f t="shared" si="160"/>
        <v>1864</v>
      </c>
      <c r="C1867" s="147">
        <v>46183</v>
      </c>
      <c r="D1867" s="57" t="s">
        <v>968</v>
      </c>
      <c r="E1867" s="57" t="s">
        <v>532</v>
      </c>
      <c r="F1867" s="57" t="s">
        <v>446</v>
      </c>
      <c r="G1867" s="57" t="s">
        <v>313</v>
      </c>
      <c r="H1867" s="140" t="s">
        <v>1742</v>
      </c>
      <c r="I1867" s="57" t="s">
        <v>532</v>
      </c>
      <c r="J1867" s="57">
        <v>20</v>
      </c>
      <c r="K1867" s="167">
        <f>L1867/J1867</f>
        <v>256</v>
      </c>
      <c r="L1867" s="164">
        <v>5120</v>
      </c>
    </row>
    <row r="1868" spans="2:12" x14ac:dyDescent="0.3">
      <c r="B1868" s="57">
        <f t="shared" si="160"/>
        <v>1865</v>
      </c>
      <c r="C1868" s="147">
        <v>46183</v>
      </c>
      <c r="D1868" s="57" t="s">
        <v>968</v>
      </c>
      <c r="E1868" s="57" t="s">
        <v>146</v>
      </c>
      <c r="F1868" s="57" t="s">
        <v>502</v>
      </c>
      <c r="G1868" s="57" t="s">
        <v>257</v>
      </c>
      <c r="H1868" s="140" t="s">
        <v>4100</v>
      </c>
      <c r="I1868" s="57"/>
      <c r="J1868" s="165">
        <f t="shared" ref="J1868:J1869" si="161">L1868/K1868</f>
        <v>31.25</v>
      </c>
      <c r="K1868" s="57">
        <v>96</v>
      </c>
      <c r="L1868" s="164">
        <v>3000</v>
      </c>
    </row>
    <row r="1869" spans="2:12" x14ac:dyDescent="0.3">
      <c r="B1869" s="57">
        <f t="shared" si="160"/>
        <v>1866</v>
      </c>
      <c r="C1869" s="147">
        <v>46183</v>
      </c>
      <c r="D1869" s="57" t="s">
        <v>968</v>
      </c>
      <c r="E1869" s="57" t="s">
        <v>146</v>
      </c>
      <c r="F1869" s="57" t="s">
        <v>502</v>
      </c>
      <c r="G1869" s="57" t="s">
        <v>257</v>
      </c>
      <c r="H1869" s="140" t="s">
        <v>1743</v>
      </c>
      <c r="I1869" s="57"/>
      <c r="J1869" s="165">
        <f t="shared" si="161"/>
        <v>31.25</v>
      </c>
      <c r="K1869" s="57">
        <v>96</v>
      </c>
      <c r="L1869" s="164">
        <v>3000</v>
      </c>
    </row>
    <row r="1870" spans="2:12" x14ac:dyDescent="0.3">
      <c r="B1870" s="57">
        <f t="shared" si="160"/>
        <v>1867</v>
      </c>
      <c r="C1870" s="147">
        <v>46183</v>
      </c>
      <c r="D1870" s="57" t="s">
        <v>968</v>
      </c>
      <c r="E1870" s="57" t="s">
        <v>434</v>
      </c>
      <c r="F1870" s="57" t="s">
        <v>350</v>
      </c>
      <c r="G1870" s="57" t="s">
        <v>663</v>
      </c>
      <c r="H1870" s="140" t="s">
        <v>1744</v>
      </c>
      <c r="I1870" s="57"/>
      <c r="J1870" s="57"/>
      <c r="L1870" s="164">
        <v>1580</v>
      </c>
    </row>
    <row r="1871" spans="2:12" x14ac:dyDescent="0.3">
      <c r="B1871" s="57">
        <f t="shared" si="160"/>
        <v>1868</v>
      </c>
      <c r="C1871" s="147">
        <v>46183</v>
      </c>
      <c r="D1871" s="57" t="s">
        <v>968</v>
      </c>
      <c r="E1871" s="57" t="s">
        <v>434</v>
      </c>
      <c r="F1871" s="57" t="s">
        <v>300</v>
      </c>
      <c r="G1871" s="57" t="s">
        <v>530</v>
      </c>
      <c r="H1871" s="140" t="s">
        <v>1745</v>
      </c>
      <c r="I1871" s="57"/>
      <c r="J1871" s="57"/>
      <c r="L1871" s="164">
        <v>7000</v>
      </c>
    </row>
    <row r="1872" spans="2:12" x14ac:dyDescent="0.3">
      <c r="B1872" s="57">
        <f t="shared" si="160"/>
        <v>1869</v>
      </c>
      <c r="C1872" s="147">
        <v>46183</v>
      </c>
      <c r="D1872" s="57" t="s">
        <v>968</v>
      </c>
      <c r="E1872" s="57" t="s">
        <v>146</v>
      </c>
      <c r="F1872" s="57" t="s">
        <v>446</v>
      </c>
      <c r="G1872" s="57" t="s">
        <v>316</v>
      </c>
      <c r="H1872" s="140" t="s">
        <v>1746</v>
      </c>
      <c r="I1872" s="57"/>
      <c r="J1872" s="165">
        <f>L1872/K1872</f>
        <v>31.25</v>
      </c>
      <c r="K1872" s="57">
        <v>96</v>
      </c>
      <c r="L1872" s="164">
        <v>3000</v>
      </c>
    </row>
    <row r="1873" spans="2:12" x14ac:dyDescent="0.3">
      <c r="B1873" s="57">
        <f t="shared" si="160"/>
        <v>1870</v>
      </c>
      <c r="C1873" s="147">
        <v>46183</v>
      </c>
      <c r="D1873" s="57" t="s">
        <v>968</v>
      </c>
      <c r="E1873" s="57" t="s">
        <v>574</v>
      </c>
      <c r="F1873" s="57" t="s">
        <v>546</v>
      </c>
      <c r="G1873" s="57" t="s">
        <v>545</v>
      </c>
      <c r="H1873" s="140" t="s">
        <v>1747</v>
      </c>
      <c r="I1873" s="140" t="s">
        <v>4081</v>
      </c>
      <c r="J1873" s="57">
        <v>6.5</v>
      </c>
      <c r="K1873" s="167">
        <f>L1873/J1873</f>
        <v>524.61538461538464</v>
      </c>
      <c r="L1873" s="164">
        <v>3410</v>
      </c>
    </row>
    <row r="1874" spans="2:12" x14ac:dyDescent="0.3">
      <c r="B1874" s="57">
        <f t="shared" si="160"/>
        <v>1871</v>
      </c>
      <c r="C1874" s="147">
        <v>46183</v>
      </c>
      <c r="D1874" s="57" t="s">
        <v>968</v>
      </c>
      <c r="E1874" s="57" t="s">
        <v>146</v>
      </c>
      <c r="F1874" s="57" t="s">
        <v>350</v>
      </c>
      <c r="G1874" s="57" t="s">
        <v>322</v>
      </c>
      <c r="H1874" s="140" t="s">
        <v>1748</v>
      </c>
      <c r="I1874" s="57"/>
      <c r="J1874" s="165">
        <f>L1874/K1874</f>
        <v>31.25</v>
      </c>
      <c r="K1874" s="57">
        <v>96</v>
      </c>
      <c r="L1874" s="164">
        <v>3000</v>
      </c>
    </row>
    <row r="1875" spans="2:12" x14ac:dyDescent="0.3">
      <c r="B1875" s="57">
        <f t="shared" si="160"/>
        <v>1872</v>
      </c>
      <c r="C1875" s="147">
        <v>46183</v>
      </c>
      <c r="D1875" s="57" t="s">
        <v>968</v>
      </c>
      <c r="E1875" s="57" t="s">
        <v>574</v>
      </c>
      <c r="F1875" s="57" t="s">
        <v>502</v>
      </c>
      <c r="G1875" s="57" t="s">
        <v>257</v>
      </c>
      <c r="H1875" s="140" t="s">
        <v>1749</v>
      </c>
      <c r="I1875" s="140" t="s">
        <v>2635</v>
      </c>
      <c r="J1875" s="57">
        <v>6</v>
      </c>
      <c r="K1875" s="167">
        <f t="shared" ref="K1875:K1876" si="162">L1875/J1875</f>
        <v>741.66666666666663</v>
      </c>
      <c r="L1875" s="164">
        <v>4450</v>
      </c>
    </row>
    <row r="1876" spans="2:12" x14ac:dyDescent="0.3">
      <c r="B1876" s="57">
        <f t="shared" si="160"/>
        <v>1873</v>
      </c>
      <c r="C1876" s="147">
        <v>46183</v>
      </c>
      <c r="D1876" s="57" t="s">
        <v>968</v>
      </c>
      <c r="E1876" s="57" t="s">
        <v>574</v>
      </c>
      <c r="F1876" s="57" t="s">
        <v>546</v>
      </c>
      <c r="G1876" s="57" t="s">
        <v>545</v>
      </c>
      <c r="H1876" s="140" t="s">
        <v>1750</v>
      </c>
      <c r="I1876" s="140" t="s">
        <v>4081</v>
      </c>
      <c r="J1876" s="57">
        <v>4</v>
      </c>
      <c r="K1876" s="167">
        <f t="shared" si="162"/>
        <v>500</v>
      </c>
      <c r="L1876" s="164">
        <v>2000</v>
      </c>
    </row>
    <row r="1877" spans="2:12" x14ac:dyDescent="0.3">
      <c r="B1877" s="57">
        <f t="shared" si="160"/>
        <v>1874</v>
      </c>
      <c r="C1877" s="147">
        <v>46183</v>
      </c>
      <c r="D1877" s="57" t="s">
        <v>968</v>
      </c>
      <c r="E1877" s="57" t="s">
        <v>986</v>
      </c>
      <c r="F1877" s="57" t="s">
        <v>446</v>
      </c>
      <c r="G1877" s="57" t="s">
        <v>649</v>
      </c>
      <c r="H1877" s="140" t="s">
        <v>1751</v>
      </c>
      <c r="I1877" s="57" t="s">
        <v>986</v>
      </c>
      <c r="J1877" s="57">
        <v>25</v>
      </c>
      <c r="L1877" s="164">
        <v>3200</v>
      </c>
    </row>
    <row r="1878" spans="2:12" x14ac:dyDescent="0.3">
      <c r="B1878" s="57">
        <f t="shared" si="160"/>
        <v>1875</v>
      </c>
      <c r="C1878" s="147">
        <v>46183</v>
      </c>
      <c r="D1878" s="57" t="s">
        <v>968</v>
      </c>
      <c r="E1878" s="57" t="s">
        <v>574</v>
      </c>
      <c r="F1878" s="57" t="s">
        <v>300</v>
      </c>
      <c r="G1878" s="57" t="s">
        <v>2330</v>
      </c>
      <c r="H1878" s="140" t="s">
        <v>1752</v>
      </c>
      <c r="I1878" s="140" t="s">
        <v>4118</v>
      </c>
      <c r="J1878" s="57">
        <v>4</v>
      </c>
      <c r="K1878" s="167">
        <f>L1878/J1878</f>
        <v>625</v>
      </c>
      <c r="L1878" s="164">
        <v>2500</v>
      </c>
    </row>
    <row r="1879" spans="2:12" x14ac:dyDescent="0.3">
      <c r="B1879" s="57">
        <f t="shared" si="160"/>
        <v>1876</v>
      </c>
      <c r="C1879" s="147">
        <v>46183</v>
      </c>
      <c r="D1879" s="57" t="s">
        <v>968</v>
      </c>
      <c r="E1879" s="57" t="s">
        <v>4128</v>
      </c>
      <c r="F1879" s="57" t="s">
        <v>546</v>
      </c>
      <c r="G1879" s="57" t="s">
        <v>545</v>
      </c>
      <c r="H1879" s="140" t="s">
        <v>1753</v>
      </c>
      <c r="I1879" s="57"/>
      <c r="J1879" s="57"/>
      <c r="L1879" s="164">
        <v>4140</v>
      </c>
    </row>
    <row r="1880" spans="2:12" x14ac:dyDescent="0.3">
      <c r="B1880" s="57">
        <f t="shared" si="160"/>
        <v>1877</v>
      </c>
      <c r="C1880" s="147">
        <v>46183</v>
      </c>
      <c r="D1880" s="57" t="s">
        <v>968</v>
      </c>
      <c r="E1880" s="57" t="s">
        <v>146</v>
      </c>
      <c r="F1880" s="57" t="s">
        <v>300</v>
      </c>
      <c r="G1880" s="57" t="s">
        <v>996</v>
      </c>
      <c r="H1880" s="140" t="s">
        <v>1754</v>
      </c>
      <c r="I1880" s="57"/>
      <c r="J1880" s="165">
        <f t="shared" ref="J1880:J1881" si="163">L1880/K1880</f>
        <v>40.729166666666664</v>
      </c>
      <c r="K1880" s="57">
        <v>96</v>
      </c>
      <c r="L1880" s="164">
        <v>3910</v>
      </c>
    </row>
    <row r="1881" spans="2:12" x14ac:dyDescent="0.3">
      <c r="B1881" s="57">
        <f t="shared" si="160"/>
        <v>1878</v>
      </c>
      <c r="C1881" s="147">
        <v>46183</v>
      </c>
      <c r="D1881" s="57" t="s">
        <v>968</v>
      </c>
      <c r="E1881" s="57" t="s">
        <v>146</v>
      </c>
      <c r="F1881" s="57" t="s">
        <v>300</v>
      </c>
      <c r="G1881" s="57" t="s">
        <v>2327</v>
      </c>
      <c r="H1881" s="140" t="s">
        <v>1051</v>
      </c>
      <c r="I1881" s="57"/>
      <c r="J1881" s="165">
        <f t="shared" si="163"/>
        <v>42.708333333333336</v>
      </c>
      <c r="K1881" s="57">
        <v>96</v>
      </c>
      <c r="L1881" s="164">
        <v>4100</v>
      </c>
    </row>
    <row r="1882" spans="2:12" x14ac:dyDescent="0.3">
      <c r="B1882" s="57">
        <f t="shared" si="160"/>
        <v>1879</v>
      </c>
      <c r="C1882" s="147">
        <v>46183</v>
      </c>
      <c r="D1882" s="57" t="s">
        <v>968</v>
      </c>
      <c r="E1882" s="57" t="s">
        <v>522</v>
      </c>
      <c r="F1882" s="57" t="s">
        <v>652</v>
      </c>
      <c r="G1882" s="57" t="s">
        <v>998</v>
      </c>
      <c r="H1882" s="140" t="s">
        <v>1755</v>
      </c>
      <c r="I1882" s="57"/>
      <c r="J1882" s="57"/>
      <c r="L1882" s="164">
        <v>600</v>
      </c>
    </row>
    <row r="1883" spans="2:12" x14ac:dyDescent="0.3">
      <c r="B1883" s="57">
        <f t="shared" si="160"/>
        <v>1880</v>
      </c>
      <c r="C1883" s="147">
        <v>46183</v>
      </c>
      <c r="D1883" s="57" t="s">
        <v>968</v>
      </c>
      <c r="E1883" s="57" t="s">
        <v>767</v>
      </c>
      <c r="F1883" s="57" t="s">
        <v>683</v>
      </c>
      <c r="G1883" s="57" t="s">
        <v>997</v>
      </c>
      <c r="H1883" s="140" t="s">
        <v>1756</v>
      </c>
      <c r="I1883" s="57"/>
      <c r="J1883" s="57"/>
      <c r="L1883" s="164">
        <v>800</v>
      </c>
    </row>
    <row r="1884" spans="2:12" x14ac:dyDescent="0.3">
      <c r="B1884" s="57">
        <f t="shared" si="160"/>
        <v>1881</v>
      </c>
      <c r="C1884" s="147">
        <v>46183</v>
      </c>
      <c r="D1884" s="57" t="s">
        <v>968</v>
      </c>
      <c r="E1884" s="57" t="s">
        <v>574</v>
      </c>
      <c r="F1884" s="57" t="s">
        <v>502</v>
      </c>
      <c r="G1884" s="57" t="s">
        <v>257</v>
      </c>
      <c r="H1884" s="140" t="s">
        <v>1757</v>
      </c>
      <c r="I1884" s="140" t="s">
        <v>2635</v>
      </c>
      <c r="J1884" s="57">
        <v>5.5</v>
      </c>
      <c r="K1884" s="167">
        <f>L1884/J1884</f>
        <v>800</v>
      </c>
      <c r="L1884" s="164">
        <v>4400</v>
      </c>
    </row>
    <row r="1885" spans="2:12" x14ac:dyDescent="0.3">
      <c r="B1885" s="57">
        <f t="shared" si="160"/>
        <v>1882</v>
      </c>
      <c r="C1885" s="147">
        <v>46183</v>
      </c>
      <c r="D1885" s="57" t="s">
        <v>968</v>
      </c>
      <c r="E1885" s="57" t="s">
        <v>146</v>
      </c>
      <c r="F1885" s="57" t="s">
        <v>300</v>
      </c>
      <c r="G1885" s="57" t="s">
        <v>498</v>
      </c>
      <c r="H1885" s="140" t="s">
        <v>4105</v>
      </c>
      <c r="I1885" s="57"/>
      <c r="J1885" s="165">
        <f>L1885/K1885</f>
        <v>52.604166666666664</v>
      </c>
      <c r="K1885" s="57">
        <v>96</v>
      </c>
      <c r="L1885" s="164">
        <v>5050</v>
      </c>
    </row>
    <row r="1886" spans="2:12" x14ac:dyDescent="0.3">
      <c r="B1886" s="57">
        <f t="shared" si="160"/>
        <v>1883</v>
      </c>
      <c r="C1886" s="147">
        <v>46183</v>
      </c>
      <c r="D1886" s="57" t="s">
        <v>968</v>
      </c>
      <c r="E1886" s="57" t="s">
        <v>574</v>
      </c>
      <c r="F1886" s="57" t="s">
        <v>546</v>
      </c>
      <c r="G1886" s="57" t="s">
        <v>545</v>
      </c>
      <c r="H1886" s="140" t="s">
        <v>1758</v>
      </c>
      <c r="I1886" s="140" t="s">
        <v>2635</v>
      </c>
      <c r="J1886" s="57">
        <v>4</v>
      </c>
      <c r="K1886" s="167">
        <f>L1886/J1886</f>
        <v>752.5</v>
      </c>
      <c r="L1886" s="164">
        <v>3010</v>
      </c>
    </row>
    <row r="1887" spans="2:12" x14ac:dyDescent="0.3">
      <c r="B1887" s="57">
        <f t="shared" si="160"/>
        <v>1884</v>
      </c>
      <c r="C1887" s="147">
        <v>46183</v>
      </c>
      <c r="D1887" s="57" t="s">
        <v>968</v>
      </c>
      <c r="E1887" s="57" t="s">
        <v>4008</v>
      </c>
      <c r="F1887" s="57" t="s">
        <v>546</v>
      </c>
      <c r="G1887" s="57" t="s">
        <v>545</v>
      </c>
      <c r="H1887" s="140" t="s">
        <v>1759</v>
      </c>
      <c r="I1887" s="57"/>
      <c r="J1887" s="57"/>
      <c r="L1887" s="164">
        <v>2000</v>
      </c>
    </row>
    <row r="1888" spans="2:12" x14ac:dyDescent="0.3">
      <c r="B1888" s="57">
        <f t="shared" si="160"/>
        <v>1885</v>
      </c>
      <c r="C1888" s="147">
        <v>46183</v>
      </c>
      <c r="D1888" s="57" t="s">
        <v>968</v>
      </c>
      <c r="E1888" s="57" t="s">
        <v>237</v>
      </c>
      <c r="F1888" s="57" t="s">
        <v>350</v>
      </c>
      <c r="G1888" s="57" t="s">
        <v>322</v>
      </c>
      <c r="H1888" s="140" t="s">
        <v>1760</v>
      </c>
      <c r="I1888" s="57"/>
      <c r="J1888" s="57"/>
      <c r="L1888" s="164">
        <v>6970</v>
      </c>
    </row>
    <row r="1889" spans="2:12" x14ac:dyDescent="0.3">
      <c r="B1889" s="57">
        <f t="shared" si="160"/>
        <v>1886</v>
      </c>
      <c r="C1889" s="147">
        <v>46183</v>
      </c>
      <c r="D1889" s="57" t="s">
        <v>968</v>
      </c>
      <c r="E1889" s="57" t="s">
        <v>146</v>
      </c>
      <c r="F1889" s="57" t="s">
        <v>436</v>
      </c>
      <c r="G1889" s="57" t="s">
        <v>987</v>
      </c>
      <c r="H1889" s="140" t="s">
        <v>1761</v>
      </c>
      <c r="I1889" s="57"/>
      <c r="J1889" s="165">
        <f>L1889/K1889</f>
        <v>20.833333333333332</v>
      </c>
      <c r="K1889" s="57">
        <v>96</v>
      </c>
      <c r="L1889" s="164">
        <v>2000</v>
      </c>
    </row>
    <row r="1890" spans="2:12" x14ac:dyDescent="0.3">
      <c r="B1890" s="57">
        <f t="shared" si="160"/>
        <v>1887</v>
      </c>
      <c r="C1890" s="147">
        <v>46183</v>
      </c>
      <c r="D1890" s="57" t="s">
        <v>968</v>
      </c>
      <c r="E1890" s="57" t="s">
        <v>727</v>
      </c>
      <c r="F1890" s="57" t="s">
        <v>350</v>
      </c>
      <c r="G1890" s="57" t="s">
        <v>714</v>
      </c>
      <c r="H1890" s="140" t="s">
        <v>1762</v>
      </c>
      <c r="I1890" s="57"/>
      <c r="J1890" s="57"/>
      <c r="L1890" s="164">
        <v>600</v>
      </c>
    </row>
    <row r="1891" spans="2:12" x14ac:dyDescent="0.3">
      <c r="B1891" s="57">
        <f t="shared" si="160"/>
        <v>1888</v>
      </c>
      <c r="C1891" s="147">
        <v>46183</v>
      </c>
      <c r="D1891" s="57" t="s">
        <v>968</v>
      </c>
      <c r="E1891" s="57" t="s">
        <v>434</v>
      </c>
      <c r="F1891" s="57" t="s">
        <v>350</v>
      </c>
      <c r="G1891" s="57" t="s">
        <v>714</v>
      </c>
      <c r="H1891" s="140" t="s">
        <v>1763</v>
      </c>
      <c r="I1891" s="57"/>
      <c r="J1891" s="57"/>
      <c r="L1891" s="164">
        <v>1800</v>
      </c>
    </row>
    <row r="1892" spans="2:12" x14ac:dyDescent="0.3">
      <c r="B1892" s="57">
        <f t="shared" si="160"/>
        <v>1889</v>
      </c>
      <c r="C1892" s="147">
        <v>46183</v>
      </c>
      <c r="D1892" s="57" t="s">
        <v>968</v>
      </c>
      <c r="E1892" s="57" t="s">
        <v>767</v>
      </c>
      <c r="F1892" s="57" t="s">
        <v>446</v>
      </c>
      <c r="G1892" s="57" t="s">
        <v>649</v>
      </c>
      <c r="H1892" s="140" t="s">
        <v>1764</v>
      </c>
      <c r="I1892" s="57"/>
      <c r="J1892" s="57"/>
      <c r="L1892" s="164">
        <v>300</v>
      </c>
    </row>
    <row r="1893" spans="2:12" x14ac:dyDescent="0.3">
      <c r="B1893" s="57">
        <f t="shared" si="160"/>
        <v>1890</v>
      </c>
      <c r="C1893" s="143">
        <v>46184</v>
      </c>
      <c r="D1893" s="152" t="s">
        <v>435</v>
      </c>
      <c r="E1893" s="57" t="s">
        <v>4008</v>
      </c>
      <c r="F1893" s="57" t="s">
        <v>300</v>
      </c>
      <c r="G1893" s="57" t="s">
        <v>438</v>
      </c>
      <c r="H1893" s="140" t="s">
        <v>681</v>
      </c>
      <c r="I1893" s="57"/>
      <c r="J1893" s="57"/>
      <c r="L1893" s="164">
        <v>18350</v>
      </c>
    </row>
    <row r="1894" spans="2:12" x14ac:dyDescent="0.3">
      <c r="B1894" s="57">
        <f t="shared" si="160"/>
        <v>1891</v>
      </c>
      <c r="C1894" s="143">
        <v>46184</v>
      </c>
      <c r="D1894" s="152" t="s">
        <v>435</v>
      </c>
      <c r="E1894" s="57" t="s">
        <v>146</v>
      </c>
      <c r="F1894" s="57" t="s">
        <v>300</v>
      </c>
      <c r="G1894" s="57" t="s">
        <v>438</v>
      </c>
      <c r="H1894" s="140" t="s">
        <v>680</v>
      </c>
      <c r="I1894" s="57"/>
      <c r="J1894" s="165">
        <f>L1894/K1894</f>
        <v>139.38218750000001</v>
      </c>
      <c r="K1894" s="57">
        <v>96</v>
      </c>
      <c r="L1894" s="164">
        <v>13380.69</v>
      </c>
    </row>
    <row r="1895" spans="2:12" x14ac:dyDescent="0.3">
      <c r="B1895" s="57">
        <f t="shared" si="160"/>
        <v>1892</v>
      </c>
      <c r="C1895" s="143">
        <v>46184</v>
      </c>
      <c r="D1895" s="152" t="s">
        <v>435</v>
      </c>
      <c r="E1895" s="57" t="s">
        <v>532</v>
      </c>
      <c r="F1895" s="57" t="s">
        <v>300</v>
      </c>
      <c r="G1895" s="57" t="s">
        <v>438</v>
      </c>
      <c r="H1895" s="140" t="s">
        <v>679</v>
      </c>
      <c r="I1895" s="57" t="s">
        <v>532</v>
      </c>
      <c r="J1895" s="57">
        <v>100</v>
      </c>
      <c r="K1895" s="57">
        <v>260</v>
      </c>
      <c r="L1895" s="164">
        <f>260*100</f>
        <v>26000</v>
      </c>
    </row>
    <row r="1896" spans="2:12" x14ac:dyDescent="0.3">
      <c r="B1896" s="57">
        <f t="shared" si="160"/>
        <v>1893</v>
      </c>
      <c r="C1896" s="143">
        <v>46184</v>
      </c>
      <c r="D1896" s="152" t="s">
        <v>435</v>
      </c>
      <c r="E1896" s="57" t="s">
        <v>471</v>
      </c>
      <c r="F1896" s="57" t="s">
        <v>300</v>
      </c>
      <c r="G1896" s="57" t="s">
        <v>438</v>
      </c>
      <c r="H1896" s="140" t="s">
        <v>678</v>
      </c>
      <c r="I1896" s="57"/>
      <c r="J1896" s="57"/>
      <c r="L1896" s="164">
        <v>49068</v>
      </c>
    </row>
    <row r="1897" spans="2:12" x14ac:dyDescent="0.3">
      <c r="B1897" s="57">
        <f t="shared" si="160"/>
        <v>1894</v>
      </c>
      <c r="C1897" s="143">
        <v>46184</v>
      </c>
      <c r="D1897" s="152" t="s">
        <v>435</v>
      </c>
      <c r="E1897" s="57" t="s">
        <v>4128</v>
      </c>
      <c r="F1897" s="57" t="s">
        <v>300</v>
      </c>
      <c r="G1897" s="57" t="s">
        <v>438</v>
      </c>
      <c r="H1897" s="140" t="s">
        <v>674</v>
      </c>
      <c r="I1897" s="57"/>
      <c r="J1897" s="57"/>
      <c r="L1897" s="164">
        <v>49068</v>
      </c>
    </row>
    <row r="1898" spans="2:12" x14ac:dyDescent="0.3">
      <c r="B1898" s="57">
        <f t="shared" si="160"/>
        <v>1895</v>
      </c>
      <c r="C1898" s="147">
        <v>46184</v>
      </c>
      <c r="D1898" s="57" t="s">
        <v>968</v>
      </c>
      <c r="E1898" s="57" t="s">
        <v>574</v>
      </c>
      <c r="F1898" s="57" t="s">
        <v>300</v>
      </c>
      <c r="G1898" s="57" t="s">
        <v>2330</v>
      </c>
      <c r="H1898" s="140" t="s">
        <v>1765</v>
      </c>
      <c r="I1898" s="140" t="s">
        <v>4118</v>
      </c>
      <c r="J1898" s="57">
        <v>4</v>
      </c>
      <c r="K1898" s="167">
        <f>L1898/J1898</f>
        <v>625</v>
      </c>
      <c r="L1898" s="164">
        <v>2500</v>
      </c>
    </row>
    <row r="1899" spans="2:12" x14ac:dyDescent="0.3">
      <c r="B1899" s="57">
        <f t="shared" si="160"/>
        <v>1896</v>
      </c>
      <c r="C1899" s="147">
        <v>46184</v>
      </c>
      <c r="D1899" s="57" t="s">
        <v>968</v>
      </c>
      <c r="E1899" s="57" t="s">
        <v>146</v>
      </c>
      <c r="F1899" s="57" t="s">
        <v>446</v>
      </c>
      <c r="G1899" s="57" t="s">
        <v>990</v>
      </c>
      <c r="H1899" s="140" t="s">
        <v>1766</v>
      </c>
      <c r="I1899" s="57"/>
      <c r="J1899" s="165">
        <f>L1899/K1899</f>
        <v>20.833333333333332</v>
      </c>
      <c r="K1899" s="57">
        <v>96</v>
      </c>
      <c r="L1899" s="164">
        <v>2000</v>
      </c>
    </row>
    <row r="1900" spans="2:12" x14ac:dyDescent="0.3">
      <c r="B1900" s="57">
        <f t="shared" si="160"/>
        <v>1897</v>
      </c>
      <c r="C1900" s="147">
        <v>46184</v>
      </c>
      <c r="D1900" s="57" t="s">
        <v>968</v>
      </c>
      <c r="E1900" s="57" t="s">
        <v>958</v>
      </c>
      <c r="F1900" s="57" t="s">
        <v>446</v>
      </c>
      <c r="G1900" s="57" t="s">
        <v>316</v>
      </c>
      <c r="H1900" s="140" t="s">
        <v>1767</v>
      </c>
      <c r="I1900" s="57"/>
      <c r="J1900" s="57"/>
      <c r="L1900" s="164">
        <v>8000</v>
      </c>
    </row>
    <row r="1901" spans="2:12" x14ac:dyDescent="0.3">
      <c r="B1901" s="57">
        <f t="shared" si="160"/>
        <v>1898</v>
      </c>
      <c r="C1901" s="147">
        <v>46184</v>
      </c>
      <c r="D1901" s="57" t="s">
        <v>968</v>
      </c>
      <c r="E1901" s="57" t="s">
        <v>4128</v>
      </c>
      <c r="F1901" s="57" t="s">
        <v>446</v>
      </c>
      <c r="G1901" s="57" t="s">
        <v>313</v>
      </c>
      <c r="H1901" s="140" t="s">
        <v>2949</v>
      </c>
      <c r="I1901" s="57"/>
      <c r="J1901" s="57"/>
      <c r="L1901" s="164">
        <v>3300</v>
      </c>
    </row>
    <row r="1902" spans="2:12" x14ac:dyDescent="0.3">
      <c r="B1902" s="57">
        <f t="shared" si="160"/>
        <v>1899</v>
      </c>
      <c r="C1902" s="147">
        <v>46184</v>
      </c>
      <c r="D1902" s="57" t="s">
        <v>968</v>
      </c>
      <c r="E1902" s="57" t="s">
        <v>767</v>
      </c>
      <c r="F1902" s="57" t="s">
        <v>300</v>
      </c>
      <c r="G1902" s="57" t="s">
        <v>498</v>
      </c>
      <c r="H1902" s="140" t="s">
        <v>1768</v>
      </c>
      <c r="I1902" s="57"/>
      <c r="J1902" s="57"/>
      <c r="L1902" s="164">
        <v>550</v>
      </c>
    </row>
    <row r="1903" spans="2:12" x14ac:dyDescent="0.3">
      <c r="B1903" s="57">
        <f t="shared" si="160"/>
        <v>1900</v>
      </c>
      <c r="C1903" s="147">
        <v>46184</v>
      </c>
      <c r="D1903" s="57" t="s">
        <v>968</v>
      </c>
      <c r="E1903" s="57" t="s">
        <v>146</v>
      </c>
      <c r="F1903" s="57" t="s">
        <v>300</v>
      </c>
      <c r="G1903" s="57" t="s">
        <v>498</v>
      </c>
      <c r="H1903" s="140" t="s">
        <v>1769</v>
      </c>
      <c r="I1903" s="57"/>
      <c r="J1903" s="165">
        <f>L1903/K1903</f>
        <v>20.833333333333332</v>
      </c>
      <c r="K1903" s="57">
        <v>96</v>
      </c>
      <c r="L1903" s="164">
        <v>2000</v>
      </c>
    </row>
    <row r="1904" spans="2:12" x14ac:dyDescent="0.3">
      <c r="B1904" s="57">
        <f t="shared" si="160"/>
        <v>1901</v>
      </c>
      <c r="C1904" s="147">
        <v>46184</v>
      </c>
      <c r="D1904" s="57" t="s">
        <v>968</v>
      </c>
      <c r="E1904" s="57" t="s">
        <v>237</v>
      </c>
      <c r="F1904" s="57" t="s">
        <v>350</v>
      </c>
      <c r="G1904" s="57" t="s">
        <v>1001</v>
      </c>
      <c r="H1904" s="140" t="s">
        <v>1770</v>
      </c>
      <c r="I1904" s="57"/>
      <c r="J1904" s="57"/>
      <c r="L1904" s="164">
        <v>500</v>
      </c>
    </row>
    <row r="1905" spans="2:12" x14ac:dyDescent="0.3">
      <c r="B1905" s="57">
        <f t="shared" si="160"/>
        <v>1902</v>
      </c>
      <c r="C1905" s="147">
        <v>46184</v>
      </c>
      <c r="D1905" s="57" t="s">
        <v>968</v>
      </c>
      <c r="E1905" s="57" t="s">
        <v>4128</v>
      </c>
      <c r="F1905" s="57" t="s">
        <v>300</v>
      </c>
      <c r="G1905" s="57" t="s">
        <v>530</v>
      </c>
      <c r="H1905" s="140" t="s">
        <v>1771</v>
      </c>
      <c r="I1905" s="57"/>
      <c r="J1905" s="57"/>
      <c r="L1905" s="164">
        <v>3280</v>
      </c>
    </row>
    <row r="1906" spans="2:12" x14ac:dyDescent="0.3">
      <c r="B1906" s="57">
        <f t="shared" si="160"/>
        <v>1903</v>
      </c>
      <c r="C1906" s="147">
        <v>46184</v>
      </c>
      <c r="D1906" s="57" t="s">
        <v>968</v>
      </c>
      <c r="E1906" s="57" t="s">
        <v>146</v>
      </c>
      <c r="F1906" s="57" t="s">
        <v>446</v>
      </c>
      <c r="G1906" s="57" t="s">
        <v>313</v>
      </c>
      <c r="H1906" s="140" t="s">
        <v>1772</v>
      </c>
      <c r="I1906" s="57"/>
      <c r="J1906" s="165">
        <f>L1906/K1906</f>
        <v>47.770833333333336</v>
      </c>
      <c r="K1906" s="57">
        <v>96</v>
      </c>
      <c r="L1906" s="164">
        <v>4586</v>
      </c>
    </row>
    <row r="1907" spans="2:12" x14ac:dyDescent="0.3">
      <c r="B1907" s="57">
        <f t="shared" si="160"/>
        <v>1904</v>
      </c>
      <c r="C1907" s="147">
        <v>46184</v>
      </c>
      <c r="D1907" s="57" t="s">
        <v>968</v>
      </c>
      <c r="E1907" s="57" t="s">
        <v>237</v>
      </c>
      <c r="F1907" s="57" t="s">
        <v>350</v>
      </c>
      <c r="G1907" s="57" t="s">
        <v>322</v>
      </c>
      <c r="H1907" s="140" t="s">
        <v>1773</v>
      </c>
      <c r="I1907" s="57"/>
      <c r="J1907" s="57"/>
      <c r="L1907" s="164">
        <v>7290</v>
      </c>
    </row>
    <row r="1908" spans="2:12" x14ac:dyDescent="0.3">
      <c r="B1908" s="57">
        <f t="shared" si="160"/>
        <v>1905</v>
      </c>
      <c r="C1908" s="147">
        <v>46184</v>
      </c>
      <c r="D1908" s="57" t="s">
        <v>968</v>
      </c>
      <c r="E1908" s="57" t="s">
        <v>532</v>
      </c>
      <c r="F1908" s="57" t="s">
        <v>446</v>
      </c>
      <c r="G1908" s="57" t="s">
        <v>313</v>
      </c>
      <c r="H1908" s="140" t="s">
        <v>1774</v>
      </c>
      <c r="I1908" s="57" t="s">
        <v>532</v>
      </c>
      <c r="J1908" s="57">
        <v>10</v>
      </c>
      <c r="K1908" s="167">
        <f>L1908/J1908</f>
        <v>256</v>
      </c>
      <c r="L1908" s="164">
        <v>2560</v>
      </c>
    </row>
    <row r="1909" spans="2:12" x14ac:dyDescent="0.3">
      <c r="B1909" s="57">
        <f t="shared" si="160"/>
        <v>1906</v>
      </c>
      <c r="C1909" s="147">
        <v>46184</v>
      </c>
      <c r="D1909" s="57" t="s">
        <v>968</v>
      </c>
      <c r="E1909" s="57" t="s">
        <v>460</v>
      </c>
      <c r="F1909" s="57" t="s">
        <v>683</v>
      </c>
      <c r="G1909" s="57" t="s">
        <v>999</v>
      </c>
      <c r="H1909" s="140" t="s">
        <v>1775</v>
      </c>
      <c r="I1909" s="57"/>
      <c r="J1909" s="57"/>
      <c r="L1909" s="164">
        <v>670</v>
      </c>
    </row>
    <row r="1910" spans="2:12" x14ac:dyDescent="0.3">
      <c r="B1910" s="57">
        <f t="shared" si="160"/>
        <v>1907</v>
      </c>
      <c r="C1910" s="147">
        <v>46184</v>
      </c>
      <c r="D1910" s="57" t="s">
        <v>968</v>
      </c>
      <c r="E1910" s="57" t="s">
        <v>986</v>
      </c>
      <c r="F1910" s="57" t="s">
        <v>350</v>
      </c>
      <c r="G1910" s="57" t="s">
        <v>701</v>
      </c>
      <c r="H1910" s="140" t="s">
        <v>1776</v>
      </c>
      <c r="I1910" s="57" t="s">
        <v>986</v>
      </c>
      <c r="J1910" s="57">
        <v>25</v>
      </c>
      <c r="L1910" s="164">
        <v>2175</v>
      </c>
    </row>
    <row r="1911" spans="2:12" x14ac:dyDescent="0.3">
      <c r="B1911" s="57">
        <f t="shared" si="160"/>
        <v>1908</v>
      </c>
      <c r="C1911" s="147">
        <v>46184</v>
      </c>
      <c r="D1911" s="57" t="s">
        <v>968</v>
      </c>
      <c r="E1911" s="57" t="s">
        <v>574</v>
      </c>
      <c r="F1911" s="57" t="s">
        <v>300</v>
      </c>
      <c r="G1911" s="57" t="s">
        <v>498</v>
      </c>
      <c r="H1911" s="140" t="s">
        <v>1777</v>
      </c>
      <c r="I1911" s="140" t="s">
        <v>4126</v>
      </c>
      <c r="J1911" s="57">
        <v>8</v>
      </c>
      <c r="K1911" s="167">
        <f t="shared" ref="K1911:K1912" si="164">L1911/J1911</f>
        <v>583.125</v>
      </c>
      <c r="L1911" s="164">
        <v>4665</v>
      </c>
    </row>
    <row r="1912" spans="2:12" x14ac:dyDescent="0.3">
      <c r="B1912" s="57">
        <f t="shared" si="160"/>
        <v>1909</v>
      </c>
      <c r="C1912" s="147">
        <v>46184</v>
      </c>
      <c r="D1912" s="57" t="s">
        <v>968</v>
      </c>
      <c r="E1912" s="57" t="s">
        <v>574</v>
      </c>
      <c r="F1912" s="57" t="s">
        <v>300</v>
      </c>
      <c r="G1912" s="57" t="s">
        <v>498</v>
      </c>
      <c r="H1912" s="140" t="s">
        <v>1777</v>
      </c>
      <c r="I1912" s="140" t="s">
        <v>4126</v>
      </c>
      <c r="J1912" s="57">
        <v>15</v>
      </c>
      <c r="K1912" s="167">
        <f t="shared" si="164"/>
        <v>563</v>
      </c>
      <c r="L1912" s="164">
        <v>8445</v>
      </c>
    </row>
    <row r="1913" spans="2:12" x14ac:dyDescent="0.3">
      <c r="B1913" s="57">
        <f t="shared" si="160"/>
        <v>1910</v>
      </c>
      <c r="C1913" s="147">
        <v>46184</v>
      </c>
      <c r="D1913" s="57" t="s">
        <v>968</v>
      </c>
      <c r="E1913" s="57" t="s">
        <v>532</v>
      </c>
      <c r="F1913" s="57" t="s">
        <v>300</v>
      </c>
      <c r="G1913" s="57" t="s">
        <v>498</v>
      </c>
      <c r="H1913" s="140" t="s">
        <v>1778</v>
      </c>
      <c r="I1913" s="57" t="s">
        <v>532</v>
      </c>
      <c r="J1913" s="57">
        <v>19</v>
      </c>
      <c r="K1913" s="167">
        <f>L1913/J1913</f>
        <v>260</v>
      </c>
      <c r="L1913" s="164">
        <v>4940</v>
      </c>
    </row>
    <row r="1914" spans="2:12" x14ac:dyDescent="0.3">
      <c r="B1914" s="57">
        <f t="shared" si="160"/>
        <v>1911</v>
      </c>
      <c r="C1914" s="147">
        <v>46184</v>
      </c>
      <c r="D1914" s="57" t="s">
        <v>968</v>
      </c>
      <c r="E1914" s="57" t="s">
        <v>4128</v>
      </c>
      <c r="F1914" s="57" t="s">
        <v>350</v>
      </c>
      <c r="G1914" s="57" t="s">
        <v>337</v>
      </c>
      <c r="H1914" s="140" t="s">
        <v>2950</v>
      </c>
      <c r="I1914" s="57"/>
      <c r="J1914" s="57"/>
      <c r="L1914" s="164">
        <v>1375</v>
      </c>
    </row>
    <row r="1915" spans="2:12" x14ac:dyDescent="0.3">
      <c r="B1915" s="57">
        <f t="shared" si="160"/>
        <v>1912</v>
      </c>
      <c r="C1915" s="147">
        <v>46184</v>
      </c>
      <c r="D1915" s="57" t="s">
        <v>968</v>
      </c>
      <c r="E1915" s="57" t="s">
        <v>958</v>
      </c>
      <c r="F1915" s="57" t="s">
        <v>350</v>
      </c>
      <c r="G1915" s="57" t="s">
        <v>675</v>
      </c>
      <c r="H1915" s="140" t="s">
        <v>1779</v>
      </c>
      <c r="I1915" s="57"/>
      <c r="J1915" s="57"/>
      <c r="L1915" s="164">
        <v>2800</v>
      </c>
    </row>
    <row r="1916" spans="2:12" x14ac:dyDescent="0.3">
      <c r="B1916" s="57">
        <f t="shared" si="160"/>
        <v>1913</v>
      </c>
      <c r="C1916" s="147">
        <v>46184</v>
      </c>
      <c r="D1916" s="57" t="s">
        <v>968</v>
      </c>
      <c r="E1916" s="57" t="s">
        <v>4128</v>
      </c>
      <c r="F1916" s="57" t="s">
        <v>350</v>
      </c>
      <c r="G1916" s="57" t="s">
        <v>675</v>
      </c>
      <c r="H1916" s="140" t="s">
        <v>1780</v>
      </c>
      <c r="I1916" s="57"/>
      <c r="J1916" s="57"/>
      <c r="L1916" s="164">
        <v>6750</v>
      </c>
    </row>
    <row r="1917" spans="2:12" x14ac:dyDescent="0.3">
      <c r="B1917" s="57">
        <f t="shared" si="160"/>
        <v>1914</v>
      </c>
      <c r="C1917" s="147">
        <v>46184</v>
      </c>
      <c r="D1917" s="57" t="s">
        <v>968</v>
      </c>
      <c r="E1917" s="57" t="s">
        <v>434</v>
      </c>
      <c r="F1917" s="57" t="s">
        <v>350</v>
      </c>
      <c r="G1917" s="57" t="s">
        <v>701</v>
      </c>
      <c r="H1917" s="140" t="s">
        <v>1781</v>
      </c>
      <c r="I1917" s="57"/>
      <c r="J1917" s="57"/>
      <c r="L1917" s="164">
        <v>1370</v>
      </c>
    </row>
    <row r="1918" spans="2:12" x14ac:dyDescent="0.3">
      <c r="B1918" s="57">
        <f t="shared" si="160"/>
        <v>1915</v>
      </c>
      <c r="C1918" s="147">
        <v>46184</v>
      </c>
      <c r="D1918" s="57" t="s">
        <v>968</v>
      </c>
      <c r="E1918" s="57" t="s">
        <v>146</v>
      </c>
      <c r="F1918" s="57" t="s">
        <v>350</v>
      </c>
      <c r="G1918" s="57" t="s">
        <v>322</v>
      </c>
      <c r="H1918" s="140" t="s">
        <v>1782</v>
      </c>
      <c r="I1918" s="57"/>
      <c r="J1918" s="165">
        <f>L1918/K1918</f>
        <v>31.25</v>
      </c>
      <c r="K1918" s="57">
        <v>96</v>
      </c>
      <c r="L1918" s="164">
        <v>3000</v>
      </c>
    </row>
    <row r="1919" spans="2:12" x14ac:dyDescent="0.3">
      <c r="B1919" s="57">
        <f t="shared" si="160"/>
        <v>1916</v>
      </c>
      <c r="C1919" s="147">
        <v>46184</v>
      </c>
      <c r="D1919" s="57" t="s">
        <v>968</v>
      </c>
      <c r="E1919" s="57" t="s">
        <v>4128</v>
      </c>
      <c r="F1919" s="57" t="s">
        <v>300</v>
      </c>
      <c r="G1919" s="57" t="s">
        <v>2327</v>
      </c>
      <c r="H1919" s="140" t="s">
        <v>1783</v>
      </c>
      <c r="I1919" s="57"/>
      <c r="J1919" s="57"/>
      <c r="L1919" s="164">
        <v>1100</v>
      </c>
    </row>
    <row r="1920" spans="2:12" x14ac:dyDescent="0.3">
      <c r="B1920" s="57">
        <f t="shared" si="160"/>
        <v>1917</v>
      </c>
      <c r="C1920" s="147">
        <v>46184</v>
      </c>
      <c r="D1920" s="57" t="s">
        <v>968</v>
      </c>
      <c r="E1920" s="57" t="s">
        <v>237</v>
      </c>
      <c r="F1920" s="57" t="s">
        <v>350</v>
      </c>
      <c r="G1920" s="57" t="s">
        <v>322</v>
      </c>
      <c r="H1920" s="140" t="s">
        <v>1784</v>
      </c>
      <c r="I1920" s="57"/>
      <c r="J1920" s="57"/>
      <c r="L1920" s="164">
        <v>12590</v>
      </c>
    </row>
    <row r="1921" spans="2:12" x14ac:dyDescent="0.3">
      <c r="B1921" s="57">
        <f t="shared" si="160"/>
        <v>1918</v>
      </c>
      <c r="C1921" s="147">
        <v>46184</v>
      </c>
      <c r="D1921" s="57" t="s">
        <v>968</v>
      </c>
      <c r="E1921" s="57" t="s">
        <v>146</v>
      </c>
      <c r="F1921" s="57" t="s">
        <v>300</v>
      </c>
      <c r="G1921" s="57" t="s">
        <v>2327</v>
      </c>
      <c r="H1921" s="140" t="s">
        <v>1051</v>
      </c>
      <c r="I1921" s="57"/>
      <c r="J1921" s="165">
        <f>L1921/K1921</f>
        <v>10.416666666666666</v>
      </c>
      <c r="K1921" s="57">
        <v>96</v>
      </c>
      <c r="L1921" s="164">
        <v>1000</v>
      </c>
    </row>
    <row r="1922" spans="2:12" x14ac:dyDescent="0.3">
      <c r="B1922" s="57">
        <f t="shared" si="160"/>
        <v>1919</v>
      </c>
      <c r="C1922" s="147">
        <v>46184</v>
      </c>
      <c r="D1922" s="57" t="s">
        <v>968</v>
      </c>
      <c r="E1922" s="57" t="s">
        <v>237</v>
      </c>
      <c r="F1922" s="57" t="s">
        <v>300</v>
      </c>
      <c r="G1922" s="57" t="s">
        <v>2327</v>
      </c>
      <c r="H1922" s="140" t="s">
        <v>1785</v>
      </c>
      <c r="I1922" s="57"/>
      <c r="J1922" s="57"/>
      <c r="L1922" s="164">
        <v>1060</v>
      </c>
    </row>
    <row r="1923" spans="2:12" x14ac:dyDescent="0.3">
      <c r="B1923" s="57">
        <f t="shared" si="160"/>
        <v>1920</v>
      </c>
      <c r="C1923" s="147">
        <v>46184</v>
      </c>
      <c r="D1923" s="57" t="s">
        <v>968</v>
      </c>
      <c r="E1923" s="57" t="s">
        <v>686</v>
      </c>
      <c r="F1923" s="57" t="s">
        <v>300</v>
      </c>
      <c r="G1923" s="57" t="s">
        <v>530</v>
      </c>
      <c r="H1923" s="140" t="s">
        <v>1786</v>
      </c>
      <c r="I1923" s="57"/>
      <c r="J1923" s="57"/>
      <c r="L1923" s="164">
        <v>10000</v>
      </c>
    </row>
    <row r="1924" spans="2:12" x14ac:dyDescent="0.3">
      <c r="B1924" s="57">
        <f t="shared" si="160"/>
        <v>1921</v>
      </c>
      <c r="C1924" s="147">
        <v>46184</v>
      </c>
      <c r="D1924" s="57" t="s">
        <v>968</v>
      </c>
      <c r="E1924" s="57" t="s">
        <v>146</v>
      </c>
      <c r="F1924" s="57" t="s">
        <v>300</v>
      </c>
      <c r="G1924" s="57" t="s">
        <v>498</v>
      </c>
      <c r="H1924" s="140" t="s">
        <v>4088</v>
      </c>
      <c r="I1924" s="57"/>
      <c r="J1924" s="165">
        <f t="shared" ref="J1924:J1925" si="165">L1924/K1924</f>
        <v>65.1875</v>
      </c>
      <c r="K1924" s="57">
        <v>96</v>
      </c>
      <c r="L1924" s="164">
        <v>6258</v>
      </c>
    </row>
    <row r="1925" spans="2:12" x14ac:dyDescent="0.3">
      <c r="B1925" s="57">
        <f t="shared" si="160"/>
        <v>1922</v>
      </c>
      <c r="C1925" s="143">
        <v>46185</v>
      </c>
      <c r="D1925" s="152" t="s">
        <v>435</v>
      </c>
      <c r="E1925" s="57" t="s">
        <v>146</v>
      </c>
      <c r="F1925" s="57" t="s">
        <v>683</v>
      </c>
      <c r="G1925" s="57" t="s">
        <v>545</v>
      </c>
      <c r="H1925" s="140" t="s">
        <v>441</v>
      </c>
      <c r="I1925" s="57"/>
      <c r="J1925" s="165">
        <f t="shared" si="165"/>
        <v>10.416666666666666</v>
      </c>
      <c r="K1925" s="57">
        <v>96</v>
      </c>
      <c r="L1925" s="164">
        <v>1000</v>
      </c>
    </row>
    <row r="1926" spans="2:12" x14ac:dyDescent="0.3">
      <c r="B1926" s="57">
        <f t="shared" ref="B1926:B1989" si="166">+B1925+1</f>
        <v>1923</v>
      </c>
      <c r="C1926" s="143">
        <v>46185</v>
      </c>
      <c r="D1926" s="152" t="s">
        <v>435</v>
      </c>
      <c r="E1926" s="57" t="s">
        <v>958</v>
      </c>
      <c r="F1926" s="57" t="s">
        <v>300</v>
      </c>
      <c r="G1926" s="57" t="s">
        <v>438</v>
      </c>
      <c r="H1926" s="140" t="s">
        <v>439</v>
      </c>
      <c r="I1926" s="57"/>
      <c r="J1926" s="57"/>
      <c r="L1926" s="164">
        <v>42000</v>
      </c>
    </row>
    <row r="1927" spans="2:12" x14ac:dyDescent="0.3">
      <c r="B1927" s="57">
        <f t="shared" si="166"/>
        <v>1924</v>
      </c>
      <c r="C1927" s="143">
        <v>46185</v>
      </c>
      <c r="D1927" s="152" t="s">
        <v>435</v>
      </c>
      <c r="E1927" s="57" t="s">
        <v>958</v>
      </c>
      <c r="F1927" s="57" t="s">
        <v>350</v>
      </c>
      <c r="G1927" s="57" t="s">
        <v>350</v>
      </c>
      <c r="H1927" s="140" t="s">
        <v>682</v>
      </c>
      <c r="I1927" s="57"/>
      <c r="J1927" s="57"/>
      <c r="L1927" s="164">
        <v>10000</v>
      </c>
    </row>
    <row r="1928" spans="2:12" x14ac:dyDescent="0.3">
      <c r="B1928" s="57">
        <f t="shared" si="166"/>
        <v>1925</v>
      </c>
      <c r="C1928" s="147">
        <v>46185</v>
      </c>
      <c r="D1928" s="57" t="s">
        <v>968</v>
      </c>
      <c r="E1928" s="57" t="s">
        <v>532</v>
      </c>
      <c r="F1928" s="57" t="s">
        <v>546</v>
      </c>
      <c r="G1928" s="57" t="s">
        <v>545</v>
      </c>
      <c r="H1928" s="140" t="s">
        <v>1787</v>
      </c>
      <c r="I1928" s="57" t="s">
        <v>532</v>
      </c>
      <c r="J1928" s="57">
        <v>10</v>
      </c>
      <c r="K1928" s="167">
        <f>L1928/J1928</f>
        <v>275</v>
      </c>
      <c r="L1928" s="164">
        <v>2750</v>
      </c>
    </row>
    <row r="1929" spans="2:12" x14ac:dyDescent="0.3">
      <c r="B1929" s="57">
        <f t="shared" si="166"/>
        <v>1926</v>
      </c>
      <c r="C1929" s="147">
        <v>46185</v>
      </c>
      <c r="D1929" s="57" t="s">
        <v>968</v>
      </c>
      <c r="E1929" s="57" t="s">
        <v>4128</v>
      </c>
      <c r="F1929" s="57" t="s">
        <v>546</v>
      </c>
      <c r="G1929" s="57" t="s">
        <v>545</v>
      </c>
      <c r="H1929" s="140" t="s">
        <v>2951</v>
      </c>
      <c r="I1929" s="57"/>
      <c r="J1929" s="57"/>
      <c r="L1929" s="164">
        <v>2200</v>
      </c>
    </row>
    <row r="1930" spans="2:12" x14ac:dyDescent="0.3">
      <c r="B1930" s="57">
        <f t="shared" si="166"/>
        <v>1927</v>
      </c>
      <c r="C1930" s="147">
        <v>46185</v>
      </c>
      <c r="D1930" s="57" t="s">
        <v>968</v>
      </c>
      <c r="E1930" s="57" t="s">
        <v>146</v>
      </c>
      <c r="F1930" s="57" t="s">
        <v>546</v>
      </c>
      <c r="G1930" s="57" t="s">
        <v>545</v>
      </c>
      <c r="H1930" s="140" t="s">
        <v>1788</v>
      </c>
      <c r="I1930" s="57"/>
      <c r="J1930" s="165">
        <f t="shared" ref="J1930:J1932" si="167">L1930/K1930</f>
        <v>35.416666666666664</v>
      </c>
      <c r="K1930" s="57">
        <v>96</v>
      </c>
      <c r="L1930" s="164">
        <v>3400</v>
      </c>
    </row>
    <row r="1931" spans="2:12" x14ac:dyDescent="0.3">
      <c r="B1931" s="57">
        <f t="shared" si="166"/>
        <v>1928</v>
      </c>
      <c r="C1931" s="147">
        <v>46185</v>
      </c>
      <c r="D1931" s="57" t="s">
        <v>968</v>
      </c>
      <c r="E1931" s="57" t="s">
        <v>146</v>
      </c>
      <c r="F1931" s="57" t="s">
        <v>446</v>
      </c>
      <c r="G1931" s="57" t="s">
        <v>649</v>
      </c>
      <c r="H1931" s="140" t="s">
        <v>885</v>
      </c>
      <c r="I1931" s="57"/>
      <c r="J1931" s="165">
        <f t="shared" si="167"/>
        <v>20.833333333333332</v>
      </c>
      <c r="K1931" s="57">
        <v>96</v>
      </c>
      <c r="L1931" s="164">
        <v>2000</v>
      </c>
    </row>
    <row r="1932" spans="2:12" x14ac:dyDescent="0.3">
      <c r="B1932" s="57">
        <f t="shared" si="166"/>
        <v>1929</v>
      </c>
      <c r="C1932" s="147">
        <v>46185</v>
      </c>
      <c r="D1932" s="57" t="s">
        <v>968</v>
      </c>
      <c r="E1932" s="57" t="s">
        <v>146</v>
      </c>
      <c r="F1932" s="57" t="s">
        <v>350</v>
      </c>
      <c r="G1932" s="57" t="s">
        <v>663</v>
      </c>
      <c r="H1932" s="140" t="s">
        <v>4106</v>
      </c>
      <c r="I1932" s="57"/>
      <c r="J1932" s="165">
        <f t="shared" si="167"/>
        <v>36.458333333333336</v>
      </c>
      <c r="K1932" s="57">
        <v>96</v>
      </c>
      <c r="L1932" s="164">
        <v>3500</v>
      </c>
    </row>
    <row r="1933" spans="2:12" x14ac:dyDescent="0.3">
      <c r="B1933" s="57">
        <f t="shared" si="166"/>
        <v>1930</v>
      </c>
      <c r="C1933" s="147">
        <v>46185</v>
      </c>
      <c r="D1933" s="57" t="s">
        <v>968</v>
      </c>
      <c r="E1933" s="57" t="s">
        <v>434</v>
      </c>
      <c r="F1933" s="57" t="s">
        <v>546</v>
      </c>
      <c r="G1933" s="57" t="s">
        <v>545</v>
      </c>
      <c r="H1933" s="140" t="s">
        <v>1789</v>
      </c>
      <c r="I1933" s="57"/>
      <c r="J1933" s="57"/>
      <c r="L1933" s="164">
        <v>560</v>
      </c>
    </row>
    <row r="1934" spans="2:12" x14ac:dyDescent="0.3">
      <c r="B1934" s="57">
        <f t="shared" si="166"/>
        <v>1931</v>
      </c>
      <c r="C1934" s="147">
        <v>46185</v>
      </c>
      <c r="D1934" s="57" t="s">
        <v>968</v>
      </c>
      <c r="E1934" s="57" t="s">
        <v>434</v>
      </c>
      <c r="F1934" s="57" t="s">
        <v>546</v>
      </c>
      <c r="G1934" s="57" t="s">
        <v>545</v>
      </c>
      <c r="H1934" s="140" t="s">
        <v>1790</v>
      </c>
      <c r="I1934" s="57"/>
      <c r="J1934" s="57"/>
      <c r="L1934" s="164">
        <v>1240</v>
      </c>
    </row>
    <row r="1935" spans="2:12" x14ac:dyDescent="0.3">
      <c r="B1935" s="57">
        <f t="shared" si="166"/>
        <v>1932</v>
      </c>
      <c r="C1935" s="147">
        <v>46185</v>
      </c>
      <c r="D1935" s="57" t="s">
        <v>968</v>
      </c>
      <c r="E1935" s="57" t="s">
        <v>4128</v>
      </c>
      <c r="F1935" s="57" t="s">
        <v>350</v>
      </c>
      <c r="G1935" s="57" t="s">
        <v>322</v>
      </c>
      <c r="H1935" s="140" t="s">
        <v>2952</v>
      </c>
      <c r="I1935" s="57"/>
      <c r="J1935" s="57"/>
      <c r="L1935" s="164">
        <v>3600</v>
      </c>
    </row>
    <row r="1936" spans="2:12" x14ac:dyDescent="0.3">
      <c r="B1936" s="57">
        <f t="shared" si="166"/>
        <v>1933</v>
      </c>
      <c r="C1936" s="147">
        <v>46185</v>
      </c>
      <c r="D1936" s="57" t="s">
        <v>968</v>
      </c>
      <c r="E1936" s="57" t="s">
        <v>146</v>
      </c>
      <c r="F1936" s="57" t="s">
        <v>446</v>
      </c>
      <c r="G1936" s="57" t="s">
        <v>359</v>
      </c>
      <c r="H1936" s="140" t="s">
        <v>1791</v>
      </c>
      <c r="I1936" s="57"/>
      <c r="J1936" s="165">
        <f>L1936/K1936</f>
        <v>31.25</v>
      </c>
      <c r="K1936" s="57">
        <v>96</v>
      </c>
      <c r="L1936" s="164">
        <v>3000</v>
      </c>
    </row>
    <row r="1937" spans="2:12" x14ac:dyDescent="0.3">
      <c r="B1937" s="57">
        <f t="shared" si="166"/>
        <v>1934</v>
      </c>
      <c r="C1937" s="147">
        <v>46185</v>
      </c>
      <c r="D1937" s="57" t="s">
        <v>968</v>
      </c>
      <c r="E1937" s="57" t="s">
        <v>967</v>
      </c>
      <c r="F1937" s="57" t="s">
        <v>300</v>
      </c>
      <c r="G1937" s="57" t="s">
        <v>530</v>
      </c>
      <c r="H1937" s="140" t="s">
        <v>1792</v>
      </c>
      <c r="I1937" s="57"/>
      <c r="J1937" s="57"/>
      <c r="L1937" s="164">
        <v>500</v>
      </c>
    </row>
    <row r="1938" spans="2:12" x14ac:dyDescent="0.3">
      <c r="B1938" s="57">
        <f t="shared" si="166"/>
        <v>1935</v>
      </c>
      <c r="C1938" s="143">
        <v>46186</v>
      </c>
      <c r="D1938" s="152" t="s">
        <v>435</v>
      </c>
      <c r="E1938" s="57" t="s">
        <v>686</v>
      </c>
      <c r="F1938" s="57" t="s">
        <v>300</v>
      </c>
      <c r="G1938" s="57" t="s">
        <v>438</v>
      </c>
      <c r="H1938" s="140" t="s">
        <v>689</v>
      </c>
      <c r="I1938" s="57"/>
      <c r="J1938" s="57"/>
      <c r="L1938" s="164">
        <v>7870</v>
      </c>
    </row>
    <row r="1939" spans="2:12" x14ac:dyDescent="0.3">
      <c r="B1939" s="57">
        <f t="shared" si="166"/>
        <v>1936</v>
      </c>
      <c r="C1939" s="143">
        <v>46186</v>
      </c>
      <c r="D1939" s="152" t="s">
        <v>435</v>
      </c>
      <c r="E1939" s="57" t="s">
        <v>958</v>
      </c>
      <c r="F1939" s="57" t="s">
        <v>350</v>
      </c>
      <c r="G1939" s="57" t="s">
        <v>350</v>
      </c>
      <c r="H1939" s="140" t="s">
        <v>688</v>
      </c>
      <c r="I1939" s="57"/>
      <c r="J1939" s="57"/>
      <c r="L1939" s="164">
        <v>2500</v>
      </c>
    </row>
    <row r="1940" spans="2:12" x14ac:dyDescent="0.3">
      <c r="B1940" s="57">
        <f t="shared" si="166"/>
        <v>1937</v>
      </c>
      <c r="C1940" s="143">
        <v>46186</v>
      </c>
      <c r="D1940" s="152" t="s">
        <v>435</v>
      </c>
      <c r="E1940" s="57" t="s">
        <v>3349</v>
      </c>
      <c r="F1940" s="57" t="s">
        <v>300</v>
      </c>
      <c r="G1940" s="57" t="s">
        <v>300</v>
      </c>
      <c r="H1940" s="140" t="s">
        <v>687</v>
      </c>
      <c r="I1940" s="57"/>
      <c r="J1940" s="57"/>
      <c r="L1940" s="164">
        <v>607</v>
      </c>
    </row>
    <row r="1941" spans="2:12" x14ac:dyDescent="0.3">
      <c r="B1941" s="57">
        <f t="shared" si="166"/>
        <v>1938</v>
      </c>
      <c r="C1941" s="143">
        <v>46186</v>
      </c>
      <c r="D1941" s="152" t="s">
        <v>435</v>
      </c>
      <c r="E1941" s="57" t="s">
        <v>146</v>
      </c>
      <c r="F1941" s="57" t="s">
        <v>300</v>
      </c>
      <c r="G1941" s="57" t="s">
        <v>438</v>
      </c>
      <c r="H1941" s="140" t="s">
        <v>441</v>
      </c>
      <c r="I1941" s="57"/>
      <c r="J1941" s="165">
        <f>L1941/K1941</f>
        <v>31.25</v>
      </c>
      <c r="K1941" s="57">
        <v>96</v>
      </c>
      <c r="L1941" s="164">
        <v>3000</v>
      </c>
    </row>
    <row r="1942" spans="2:12" x14ac:dyDescent="0.3">
      <c r="B1942" s="57">
        <f t="shared" si="166"/>
        <v>1939</v>
      </c>
      <c r="C1942" s="143">
        <v>46186</v>
      </c>
      <c r="D1942" s="152" t="s">
        <v>435</v>
      </c>
      <c r="E1942" s="57" t="s">
        <v>686</v>
      </c>
      <c r="F1942" s="57" t="s">
        <v>300</v>
      </c>
      <c r="G1942" s="57" t="s">
        <v>438</v>
      </c>
      <c r="H1942" s="140" t="s">
        <v>685</v>
      </c>
      <c r="I1942" s="57"/>
      <c r="J1942" s="57"/>
      <c r="L1942" s="164">
        <v>26000</v>
      </c>
    </row>
    <row r="1943" spans="2:12" x14ac:dyDescent="0.3">
      <c r="B1943" s="57">
        <f t="shared" si="166"/>
        <v>1940</v>
      </c>
      <c r="C1943" s="147">
        <v>46186</v>
      </c>
      <c r="D1943" s="57" t="s">
        <v>968</v>
      </c>
      <c r="E1943" s="57" t="s">
        <v>574</v>
      </c>
      <c r="F1943" s="57" t="s">
        <v>300</v>
      </c>
      <c r="G1943" s="57" t="s">
        <v>498</v>
      </c>
      <c r="H1943" s="140" t="s">
        <v>1793</v>
      </c>
      <c r="I1943" s="140" t="s">
        <v>2635</v>
      </c>
      <c r="J1943" s="57">
        <v>8</v>
      </c>
      <c r="K1943" s="167">
        <f>L1943/J1943</f>
        <v>539</v>
      </c>
      <c r="L1943" s="164">
        <v>4312</v>
      </c>
    </row>
    <row r="1944" spans="2:12" x14ac:dyDescent="0.3">
      <c r="B1944" s="57">
        <f t="shared" si="166"/>
        <v>1941</v>
      </c>
      <c r="C1944" s="147">
        <v>46186</v>
      </c>
      <c r="D1944" s="57" t="s">
        <v>968</v>
      </c>
      <c r="E1944" s="57" t="s">
        <v>146</v>
      </c>
      <c r="F1944" s="57" t="s">
        <v>300</v>
      </c>
      <c r="G1944" s="57" t="s">
        <v>616</v>
      </c>
      <c r="H1944" s="140" t="s">
        <v>894</v>
      </c>
      <c r="I1944" s="57"/>
      <c r="J1944" s="165">
        <f>L1944/K1944</f>
        <v>46.052083333333336</v>
      </c>
      <c r="K1944" s="57">
        <v>96</v>
      </c>
      <c r="L1944" s="164">
        <v>4421</v>
      </c>
    </row>
    <row r="1945" spans="2:12" x14ac:dyDescent="0.3">
      <c r="B1945" s="57">
        <f t="shared" si="166"/>
        <v>1942</v>
      </c>
      <c r="C1945" s="147">
        <v>46186</v>
      </c>
      <c r="D1945" s="57" t="s">
        <v>968</v>
      </c>
      <c r="E1945" s="57" t="s">
        <v>532</v>
      </c>
      <c r="F1945" s="57" t="s">
        <v>300</v>
      </c>
      <c r="G1945" s="57" t="s">
        <v>498</v>
      </c>
      <c r="H1945" s="140" t="s">
        <v>1794</v>
      </c>
      <c r="I1945" s="57" t="s">
        <v>532</v>
      </c>
      <c r="J1945" s="57">
        <v>20</v>
      </c>
      <c r="K1945" s="57">
        <v>260</v>
      </c>
      <c r="L1945" s="164">
        <v>5200</v>
      </c>
    </row>
    <row r="1946" spans="2:12" x14ac:dyDescent="0.3">
      <c r="B1946" s="57">
        <f t="shared" si="166"/>
        <v>1943</v>
      </c>
      <c r="C1946" s="147">
        <v>46186</v>
      </c>
      <c r="D1946" s="57" t="s">
        <v>968</v>
      </c>
      <c r="E1946" s="57" t="s">
        <v>434</v>
      </c>
      <c r="F1946" s="57" t="s">
        <v>350</v>
      </c>
      <c r="G1946" s="57" t="s">
        <v>675</v>
      </c>
      <c r="H1946" s="140" t="s">
        <v>1795</v>
      </c>
      <c r="I1946" s="57"/>
      <c r="J1946" s="57"/>
      <c r="L1946" s="164">
        <v>560</v>
      </c>
    </row>
    <row r="1947" spans="2:12" x14ac:dyDescent="0.3">
      <c r="B1947" s="57">
        <f t="shared" si="166"/>
        <v>1944</v>
      </c>
      <c r="C1947" s="147">
        <v>46186</v>
      </c>
      <c r="D1947" s="57" t="s">
        <v>968</v>
      </c>
      <c r="E1947" s="57" t="s">
        <v>481</v>
      </c>
      <c r="F1947" s="57" t="s">
        <v>300</v>
      </c>
      <c r="G1947" s="57" t="s">
        <v>2331</v>
      </c>
      <c r="H1947" s="140" t="s">
        <v>1796</v>
      </c>
      <c r="I1947" s="57"/>
      <c r="J1947" s="57"/>
      <c r="L1947" s="164">
        <v>1000</v>
      </c>
    </row>
    <row r="1948" spans="2:12" x14ac:dyDescent="0.3">
      <c r="B1948" s="57">
        <f t="shared" si="166"/>
        <v>1945</v>
      </c>
      <c r="C1948" s="147">
        <v>46186</v>
      </c>
      <c r="D1948" s="57" t="s">
        <v>968</v>
      </c>
      <c r="E1948" s="57" t="s">
        <v>237</v>
      </c>
      <c r="F1948" s="57" t="s">
        <v>350</v>
      </c>
      <c r="G1948" s="57" t="s">
        <v>322</v>
      </c>
      <c r="H1948" s="140" t="s">
        <v>1797</v>
      </c>
      <c r="I1948" s="57"/>
      <c r="J1948" s="57"/>
      <c r="L1948" s="164">
        <v>7470</v>
      </c>
    </row>
    <row r="1949" spans="2:12" x14ac:dyDescent="0.3">
      <c r="B1949" s="57">
        <f t="shared" si="166"/>
        <v>1946</v>
      </c>
      <c r="C1949" s="147">
        <v>46186</v>
      </c>
      <c r="D1949" s="57" t="s">
        <v>968</v>
      </c>
      <c r="E1949" s="57" t="s">
        <v>474</v>
      </c>
      <c r="F1949" s="57" t="s">
        <v>683</v>
      </c>
      <c r="G1949" s="57" t="s">
        <v>999</v>
      </c>
      <c r="H1949" s="140" t="s">
        <v>1798</v>
      </c>
      <c r="I1949" s="57"/>
      <c r="J1949" s="57"/>
      <c r="L1949" s="164">
        <v>5200</v>
      </c>
    </row>
    <row r="1950" spans="2:12" x14ac:dyDescent="0.3">
      <c r="B1950" s="57">
        <f t="shared" si="166"/>
        <v>1947</v>
      </c>
      <c r="C1950" s="147">
        <v>46186</v>
      </c>
      <c r="D1950" s="57" t="s">
        <v>968</v>
      </c>
      <c r="E1950" s="57" t="s">
        <v>146</v>
      </c>
      <c r="F1950" s="57" t="s">
        <v>350</v>
      </c>
      <c r="G1950" s="57" t="s">
        <v>675</v>
      </c>
      <c r="H1950" s="140" t="s">
        <v>1799</v>
      </c>
      <c r="I1950" s="57"/>
      <c r="J1950" s="165">
        <f>L1950/K1950</f>
        <v>42.197916666666664</v>
      </c>
      <c r="K1950" s="57">
        <v>96</v>
      </c>
      <c r="L1950" s="164">
        <v>4051</v>
      </c>
    </row>
    <row r="1951" spans="2:12" x14ac:dyDescent="0.3">
      <c r="B1951" s="57">
        <f t="shared" si="166"/>
        <v>1948</v>
      </c>
      <c r="C1951" s="147">
        <v>46186</v>
      </c>
      <c r="D1951" s="57" t="s">
        <v>968</v>
      </c>
      <c r="E1951" s="57" t="s">
        <v>434</v>
      </c>
      <c r="F1951" s="57" t="s">
        <v>300</v>
      </c>
      <c r="G1951" s="57" t="s">
        <v>498</v>
      </c>
      <c r="H1951" s="140" t="s">
        <v>1800</v>
      </c>
      <c r="I1951" s="57"/>
      <c r="J1951" s="57"/>
      <c r="L1951" s="164">
        <v>2700</v>
      </c>
    </row>
    <row r="1952" spans="2:12" x14ac:dyDescent="0.3">
      <c r="B1952" s="57">
        <f t="shared" si="166"/>
        <v>1949</v>
      </c>
      <c r="C1952" s="147">
        <v>46186</v>
      </c>
      <c r="D1952" s="57" t="s">
        <v>968</v>
      </c>
      <c r="E1952" s="57" t="s">
        <v>767</v>
      </c>
      <c r="F1952" s="57" t="s">
        <v>683</v>
      </c>
      <c r="G1952" s="57" t="s">
        <v>999</v>
      </c>
      <c r="H1952" s="140" t="s">
        <v>1801</v>
      </c>
      <c r="I1952" s="57"/>
      <c r="J1952" s="57"/>
      <c r="L1952" s="164">
        <v>400</v>
      </c>
    </row>
    <row r="1953" spans="2:12" x14ac:dyDescent="0.3">
      <c r="B1953" s="57">
        <f t="shared" si="166"/>
        <v>1950</v>
      </c>
      <c r="C1953" s="147">
        <v>46186</v>
      </c>
      <c r="D1953" s="57" t="s">
        <v>968</v>
      </c>
      <c r="E1953" s="57" t="s">
        <v>2022</v>
      </c>
      <c r="F1953" s="57" t="s">
        <v>350</v>
      </c>
      <c r="G1953" s="57" t="s">
        <v>337</v>
      </c>
      <c r="H1953" s="140" t="s">
        <v>1802</v>
      </c>
      <c r="I1953" s="57"/>
      <c r="J1953" s="57"/>
      <c r="L1953" s="164">
        <v>2100</v>
      </c>
    </row>
    <row r="1954" spans="2:12" x14ac:dyDescent="0.3">
      <c r="B1954" s="57">
        <f t="shared" si="166"/>
        <v>1951</v>
      </c>
      <c r="C1954" s="147">
        <v>46186</v>
      </c>
      <c r="D1954" s="57" t="s">
        <v>968</v>
      </c>
      <c r="E1954" s="57" t="s">
        <v>532</v>
      </c>
      <c r="F1954" s="57" t="s">
        <v>446</v>
      </c>
      <c r="G1954" s="57" t="s">
        <v>313</v>
      </c>
      <c r="H1954" s="140" t="s">
        <v>1803</v>
      </c>
      <c r="I1954" s="57" t="s">
        <v>532</v>
      </c>
      <c r="J1954" s="57">
        <v>5</v>
      </c>
      <c r="K1954" s="168">
        <f>L1954/J1954</f>
        <v>255</v>
      </c>
      <c r="L1954" s="164">
        <v>1275</v>
      </c>
    </row>
    <row r="1955" spans="2:12" x14ac:dyDescent="0.3">
      <c r="B1955" s="57">
        <f t="shared" si="166"/>
        <v>1952</v>
      </c>
      <c r="C1955" s="147">
        <v>46186</v>
      </c>
      <c r="D1955" s="57" t="s">
        <v>968</v>
      </c>
      <c r="E1955" s="57" t="s">
        <v>532</v>
      </c>
      <c r="F1955" s="57" t="s">
        <v>446</v>
      </c>
      <c r="G1955" s="57" t="s">
        <v>313</v>
      </c>
      <c r="H1955" s="140" t="s">
        <v>1804</v>
      </c>
      <c r="I1955" s="57" t="s">
        <v>532</v>
      </c>
      <c r="J1955" s="57">
        <v>10</v>
      </c>
      <c r="K1955" s="57">
        <f>L1955/J1955</f>
        <v>256</v>
      </c>
      <c r="L1955" s="164">
        <v>2560</v>
      </c>
    </row>
    <row r="1956" spans="2:12" x14ac:dyDescent="0.3">
      <c r="B1956" s="57">
        <f t="shared" si="166"/>
        <v>1953</v>
      </c>
      <c r="C1956" s="147">
        <v>46186</v>
      </c>
      <c r="D1956" s="57" t="s">
        <v>968</v>
      </c>
      <c r="E1956" s="57" t="s">
        <v>146</v>
      </c>
      <c r="F1956" s="57" t="s">
        <v>446</v>
      </c>
      <c r="G1956" s="57" t="s">
        <v>313</v>
      </c>
      <c r="H1956" s="140" t="s">
        <v>4089</v>
      </c>
      <c r="I1956" s="57"/>
      <c r="J1956" s="165">
        <f t="shared" ref="J1956:J1957" si="168">L1956/K1956</f>
        <v>26.041666666666668</v>
      </c>
      <c r="K1956" s="57">
        <v>96</v>
      </c>
      <c r="L1956" s="164">
        <v>2500</v>
      </c>
    </row>
    <row r="1957" spans="2:12" x14ac:dyDescent="0.3">
      <c r="B1957" s="57">
        <f t="shared" si="166"/>
        <v>1954</v>
      </c>
      <c r="C1957" s="147">
        <v>46186</v>
      </c>
      <c r="D1957" s="57" t="s">
        <v>968</v>
      </c>
      <c r="E1957" s="57" t="s">
        <v>146</v>
      </c>
      <c r="F1957" s="57" t="s">
        <v>683</v>
      </c>
      <c r="G1957" s="57" t="s">
        <v>999</v>
      </c>
      <c r="H1957" s="140" t="s">
        <v>4113</v>
      </c>
      <c r="I1957" s="57" t="s">
        <v>146</v>
      </c>
      <c r="J1957" s="165">
        <f t="shared" si="168"/>
        <v>36.458333333333336</v>
      </c>
      <c r="K1957" s="57">
        <v>96</v>
      </c>
      <c r="L1957" s="164">
        <v>3500</v>
      </c>
    </row>
    <row r="1958" spans="2:12" x14ac:dyDescent="0.3">
      <c r="B1958" s="57">
        <f t="shared" si="166"/>
        <v>1955</v>
      </c>
      <c r="C1958" s="147">
        <v>46186</v>
      </c>
      <c r="D1958" s="57" t="s">
        <v>968</v>
      </c>
      <c r="E1958" s="57" t="s">
        <v>237</v>
      </c>
      <c r="F1958" s="57" t="s">
        <v>300</v>
      </c>
      <c r="G1958" s="57" t="s">
        <v>530</v>
      </c>
      <c r="H1958" s="140" t="s">
        <v>1805</v>
      </c>
      <c r="I1958" s="57"/>
      <c r="J1958" s="57"/>
      <c r="L1958" s="164">
        <v>12060</v>
      </c>
    </row>
    <row r="1959" spans="2:12" x14ac:dyDescent="0.3">
      <c r="B1959" s="57">
        <f t="shared" si="166"/>
        <v>1956</v>
      </c>
      <c r="C1959" s="147">
        <v>46186</v>
      </c>
      <c r="D1959" s="57" t="s">
        <v>968</v>
      </c>
      <c r="E1959" s="57" t="s">
        <v>958</v>
      </c>
      <c r="F1959" s="57" t="s">
        <v>350</v>
      </c>
      <c r="G1959" s="57" t="s">
        <v>337</v>
      </c>
      <c r="H1959" s="140" t="s">
        <v>1806</v>
      </c>
      <c r="I1959" s="57"/>
      <c r="J1959" s="57"/>
      <c r="L1959" s="164">
        <v>3500</v>
      </c>
    </row>
    <row r="1960" spans="2:12" x14ac:dyDescent="0.3">
      <c r="B1960" s="57">
        <f t="shared" si="166"/>
        <v>1957</v>
      </c>
      <c r="C1960" s="147">
        <v>46186</v>
      </c>
      <c r="D1960" s="57" t="s">
        <v>968</v>
      </c>
      <c r="E1960" s="57" t="s">
        <v>146</v>
      </c>
      <c r="F1960" s="57" t="s">
        <v>300</v>
      </c>
      <c r="G1960" s="57" t="s">
        <v>616</v>
      </c>
      <c r="H1960" s="140" t="s">
        <v>1807</v>
      </c>
      <c r="I1960" s="57"/>
      <c r="J1960" s="165">
        <f>L1960/K1960</f>
        <v>49.46875</v>
      </c>
      <c r="K1960" s="57">
        <v>96</v>
      </c>
      <c r="L1960" s="164">
        <v>4749</v>
      </c>
    </row>
    <row r="1961" spans="2:12" x14ac:dyDescent="0.3">
      <c r="B1961" s="57">
        <f t="shared" si="166"/>
        <v>1958</v>
      </c>
      <c r="C1961" s="147">
        <v>46186</v>
      </c>
      <c r="D1961" s="57" t="s">
        <v>968</v>
      </c>
      <c r="E1961" s="57" t="s">
        <v>434</v>
      </c>
      <c r="F1961" s="57" t="s">
        <v>446</v>
      </c>
      <c r="G1961" s="57" t="s">
        <v>313</v>
      </c>
      <c r="H1961" s="140" t="s">
        <v>1808</v>
      </c>
      <c r="I1961" s="57"/>
      <c r="J1961" s="57"/>
      <c r="L1961" s="164">
        <v>1200</v>
      </c>
    </row>
    <row r="1962" spans="2:12" x14ac:dyDescent="0.3">
      <c r="B1962" s="57">
        <f t="shared" si="166"/>
        <v>1959</v>
      </c>
      <c r="C1962" s="147">
        <v>46186</v>
      </c>
      <c r="D1962" s="57" t="s">
        <v>968</v>
      </c>
      <c r="E1962" s="57" t="s">
        <v>574</v>
      </c>
      <c r="F1962" s="57" t="s">
        <v>300</v>
      </c>
      <c r="G1962" s="57" t="s">
        <v>530</v>
      </c>
      <c r="H1962" s="140" t="s">
        <v>1809</v>
      </c>
      <c r="I1962" s="140" t="s">
        <v>2635</v>
      </c>
      <c r="J1962" s="57">
        <v>8</v>
      </c>
      <c r="K1962" s="167">
        <f>L1962/J1962</f>
        <v>750</v>
      </c>
      <c r="L1962" s="164">
        <v>6000</v>
      </c>
    </row>
    <row r="1963" spans="2:12" x14ac:dyDescent="0.3">
      <c r="B1963" s="57">
        <f t="shared" si="166"/>
        <v>1960</v>
      </c>
      <c r="C1963" s="147">
        <v>46186</v>
      </c>
      <c r="D1963" s="57" t="s">
        <v>968</v>
      </c>
      <c r="E1963" s="57" t="s">
        <v>532</v>
      </c>
      <c r="F1963" s="57" t="s">
        <v>300</v>
      </c>
      <c r="G1963" s="57" t="s">
        <v>530</v>
      </c>
      <c r="H1963" s="140" t="s">
        <v>1810</v>
      </c>
      <c r="I1963" s="57" t="s">
        <v>532</v>
      </c>
      <c r="J1963" s="57">
        <v>1</v>
      </c>
      <c r="L1963" s="164">
        <v>460</v>
      </c>
    </row>
    <row r="1964" spans="2:12" x14ac:dyDescent="0.3">
      <c r="B1964" s="57">
        <f t="shared" si="166"/>
        <v>1961</v>
      </c>
      <c r="C1964" s="147">
        <v>46186</v>
      </c>
      <c r="D1964" s="57" t="s">
        <v>968</v>
      </c>
      <c r="E1964" s="57" t="s">
        <v>560</v>
      </c>
      <c r="F1964" s="57" t="s">
        <v>300</v>
      </c>
      <c r="G1964" s="57" t="s">
        <v>530</v>
      </c>
      <c r="H1964" s="140" t="s">
        <v>1811</v>
      </c>
      <c r="I1964" s="57"/>
      <c r="J1964" s="57"/>
      <c r="L1964" s="164">
        <v>3400</v>
      </c>
    </row>
    <row r="1965" spans="2:12" x14ac:dyDescent="0.3">
      <c r="B1965" s="57">
        <f t="shared" si="166"/>
        <v>1962</v>
      </c>
      <c r="C1965" s="143">
        <v>46187</v>
      </c>
      <c r="D1965" s="152" t="s">
        <v>435</v>
      </c>
      <c r="E1965" s="57" t="s">
        <v>560</v>
      </c>
      <c r="F1965" s="57" t="s">
        <v>300</v>
      </c>
      <c r="G1965" s="57" t="s">
        <v>438</v>
      </c>
      <c r="H1965" s="140" t="s">
        <v>691</v>
      </c>
      <c r="I1965" s="57"/>
      <c r="J1965" s="57"/>
      <c r="L1965" s="164">
        <f>185+270</f>
        <v>455</v>
      </c>
    </row>
    <row r="1966" spans="2:12" x14ac:dyDescent="0.3">
      <c r="B1966" s="57">
        <f t="shared" si="166"/>
        <v>1963</v>
      </c>
      <c r="C1966" s="143">
        <v>46187</v>
      </c>
      <c r="D1966" s="152" t="s">
        <v>435</v>
      </c>
      <c r="E1966" s="57" t="s">
        <v>686</v>
      </c>
      <c r="F1966" s="57" t="s">
        <v>300</v>
      </c>
      <c r="G1966" s="57" t="s">
        <v>438</v>
      </c>
      <c r="H1966" s="140" t="s">
        <v>690</v>
      </c>
      <c r="I1966" s="57"/>
      <c r="J1966" s="57"/>
      <c r="L1966" s="164">
        <v>25000</v>
      </c>
    </row>
    <row r="1967" spans="2:12" x14ac:dyDescent="0.3">
      <c r="B1967" s="57">
        <f t="shared" si="166"/>
        <v>1964</v>
      </c>
      <c r="C1967" s="147">
        <v>46187</v>
      </c>
      <c r="D1967" s="57" t="s">
        <v>968</v>
      </c>
      <c r="E1967" s="57" t="s">
        <v>560</v>
      </c>
      <c r="F1967" s="57" t="s">
        <v>300</v>
      </c>
      <c r="G1967" s="57" t="s">
        <v>530</v>
      </c>
      <c r="H1967" s="140" t="s">
        <v>1812</v>
      </c>
      <c r="I1967" s="57"/>
      <c r="J1967" s="57"/>
      <c r="L1967" s="164">
        <v>4000</v>
      </c>
    </row>
    <row r="1968" spans="2:12" x14ac:dyDescent="0.3">
      <c r="B1968" s="57">
        <f t="shared" si="166"/>
        <v>1965</v>
      </c>
      <c r="C1968" s="147">
        <v>46187</v>
      </c>
      <c r="D1968" s="57" t="s">
        <v>968</v>
      </c>
      <c r="E1968" s="57" t="s">
        <v>767</v>
      </c>
      <c r="F1968" s="57" t="s">
        <v>300</v>
      </c>
      <c r="G1968" s="57" t="s">
        <v>530</v>
      </c>
      <c r="H1968" s="140" t="s">
        <v>1813</v>
      </c>
      <c r="I1968" s="57"/>
      <c r="J1968" s="57"/>
      <c r="L1968" s="164">
        <v>2650</v>
      </c>
    </row>
    <row r="1969" spans="2:12" x14ac:dyDescent="0.3">
      <c r="B1969" s="57">
        <f t="shared" si="166"/>
        <v>1966</v>
      </c>
      <c r="C1969" s="147">
        <v>46187</v>
      </c>
      <c r="D1969" s="57" t="s">
        <v>968</v>
      </c>
      <c r="E1969" s="57" t="s">
        <v>686</v>
      </c>
      <c r="F1969" s="57" t="s">
        <v>300</v>
      </c>
      <c r="G1969" s="57" t="s">
        <v>530</v>
      </c>
      <c r="H1969" s="140" t="s">
        <v>1814</v>
      </c>
      <c r="I1969" s="57"/>
      <c r="J1969" s="57"/>
      <c r="L1969" s="164">
        <v>9630</v>
      </c>
    </row>
    <row r="1970" spans="2:12" x14ac:dyDescent="0.3">
      <c r="B1970" s="57">
        <f t="shared" si="166"/>
        <v>1967</v>
      </c>
      <c r="C1970" s="147">
        <v>46187</v>
      </c>
      <c r="D1970" s="57" t="s">
        <v>968</v>
      </c>
      <c r="E1970" s="57" t="s">
        <v>146</v>
      </c>
      <c r="F1970" s="57" t="s">
        <v>350</v>
      </c>
      <c r="G1970" s="57" t="s">
        <v>322</v>
      </c>
      <c r="H1970" s="140" t="s">
        <v>1815</v>
      </c>
      <c r="I1970" s="57"/>
      <c r="J1970" s="165">
        <f t="shared" ref="J1970:J1971" si="169">L1970/K1970</f>
        <v>31.25</v>
      </c>
      <c r="K1970" s="57">
        <v>96</v>
      </c>
      <c r="L1970" s="164">
        <v>3000</v>
      </c>
    </row>
    <row r="1971" spans="2:12" x14ac:dyDescent="0.3">
      <c r="B1971" s="57">
        <f t="shared" si="166"/>
        <v>1968</v>
      </c>
      <c r="C1971" s="147">
        <v>46187</v>
      </c>
      <c r="D1971" s="57" t="s">
        <v>968</v>
      </c>
      <c r="E1971" s="57" t="s">
        <v>146</v>
      </c>
      <c r="F1971" s="57" t="s">
        <v>300</v>
      </c>
      <c r="G1971" s="57" t="s">
        <v>498</v>
      </c>
      <c r="H1971" s="140" t="s">
        <v>1816</v>
      </c>
      <c r="I1971" s="57"/>
      <c r="J1971" s="165">
        <f t="shared" si="169"/>
        <v>10.416666666666666</v>
      </c>
      <c r="K1971" s="57">
        <v>96</v>
      </c>
      <c r="L1971" s="164">
        <v>1000</v>
      </c>
    </row>
    <row r="1972" spans="2:12" x14ac:dyDescent="0.3">
      <c r="B1972" s="57">
        <f t="shared" si="166"/>
        <v>1969</v>
      </c>
      <c r="C1972" s="147">
        <v>46187</v>
      </c>
      <c r="D1972" s="57" t="s">
        <v>968</v>
      </c>
      <c r="E1972" s="57" t="s">
        <v>434</v>
      </c>
      <c r="F1972" s="57" t="s">
        <v>350</v>
      </c>
      <c r="G1972" s="57" t="s">
        <v>701</v>
      </c>
      <c r="H1972" s="140" t="s">
        <v>1817</v>
      </c>
      <c r="I1972" s="57"/>
      <c r="J1972" s="57"/>
      <c r="L1972" s="164">
        <v>2360</v>
      </c>
    </row>
    <row r="1973" spans="2:12" x14ac:dyDescent="0.3">
      <c r="B1973" s="57">
        <f t="shared" si="166"/>
        <v>1970</v>
      </c>
      <c r="C1973" s="147">
        <v>46187</v>
      </c>
      <c r="D1973" s="57" t="s">
        <v>968</v>
      </c>
      <c r="E1973" s="57" t="s">
        <v>146</v>
      </c>
      <c r="F1973" s="57" t="s">
        <v>446</v>
      </c>
      <c r="G1973" s="57" t="s">
        <v>649</v>
      </c>
      <c r="H1973" s="140" t="s">
        <v>879</v>
      </c>
      <c r="I1973" s="57"/>
      <c r="J1973" s="165">
        <f t="shared" ref="J1973:J1974" si="170">L1973/K1973</f>
        <v>20.833333333333332</v>
      </c>
      <c r="K1973" s="57">
        <v>96</v>
      </c>
      <c r="L1973" s="164">
        <v>2000</v>
      </c>
    </row>
    <row r="1974" spans="2:12" x14ac:dyDescent="0.3">
      <c r="B1974" s="57">
        <f t="shared" si="166"/>
        <v>1971</v>
      </c>
      <c r="C1974" s="147">
        <v>46187</v>
      </c>
      <c r="D1974" s="57" t="s">
        <v>968</v>
      </c>
      <c r="E1974" s="57" t="s">
        <v>146</v>
      </c>
      <c r="F1974" s="57" t="s">
        <v>2328</v>
      </c>
      <c r="G1974" s="57" t="s">
        <v>1002</v>
      </c>
      <c r="H1974" s="140" t="s">
        <v>1818</v>
      </c>
      <c r="I1974" s="57"/>
      <c r="J1974" s="165">
        <f t="shared" si="170"/>
        <v>20.833333333333332</v>
      </c>
      <c r="K1974" s="57">
        <v>96</v>
      </c>
      <c r="L1974" s="164">
        <v>2000</v>
      </c>
    </row>
    <row r="1975" spans="2:12" x14ac:dyDescent="0.3">
      <c r="B1975" s="57">
        <f t="shared" si="166"/>
        <v>1972</v>
      </c>
      <c r="C1975" s="147">
        <v>46187</v>
      </c>
      <c r="D1975" s="57" t="s">
        <v>968</v>
      </c>
      <c r="E1975" s="57" t="s">
        <v>522</v>
      </c>
      <c r="F1975" s="57" t="s">
        <v>2328</v>
      </c>
      <c r="G1975" s="57" t="s">
        <v>1002</v>
      </c>
      <c r="H1975" s="140" t="s">
        <v>1819</v>
      </c>
      <c r="I1975" s="57"/>
      <c r="J1975" s="57"/>
      <c r="L1975" s="164">
        <v>400</v>
      </c>
    </row>
    <row r="1976" spans="2:12" x14ac:dyDescent="0.3">
      <c r="B1976" s="57">
        <f t="shared" si="166"/>
        <v>1973</v>
      </c>
      <c r="C1976" s="147">
        <v>46187</v>
      </c>
      <c r="D1976" s="57" t="s">
        <v>968</v>
      </c>
      <c r="E1976" s="57" t="s">
        <v>146</v>
      </c>
      <c r="F1976" s="57" t="s">
        <v>300</v>
      </c>
      <c r="G1976" s="57" t="s">
        <v>530</v>
      </c>
      <c r="H1976" s="140" t="s">
        <v>4099</v>
      </c>
      <c r="I1976" s="57"/>
      <c r="J1976" s="165">
        <f t="shared" ref="J1976:J1978" si="171">L1976/K1976</f>
        <v>40.333333333333336</v>
      </c>
      <c r="K1976" s="57">
        <v>96</v>
      </c>
      <c r="L1976" s="164">
        <v>3872</v>
      </c>
    </row>
    <row r="1977" spans="2:12" x14ac:dyDescent="0.3">
      <c r="B1977" s="57">
        <f t="shared" si="166"/>
        <v>1974</v>
      </c>
      <c r="C1977" s="147">
        <v>46188</v>
      </c>
      <c r="D1977" s="57" t="s">
        <v>968</v>
      </c>
      <c r="E1977" s="57" t="s">
        <v>146</v>
      </c>
      <c r="F1977" s="57" t="s">
        <v>300</v>
      </c>
      <c r="G1977" s="57" t="s">
        <v>530</v>
      </c>
      <c r="H1977" s="140" t="s">
        <v>4099</v>
      </c>
      <c r="I1977" s="57"/>
      <c r="J1977" s="165">
        <f t="shared" si="171"/>
        <v>40.333333333333336</v>
      </c>
      <c r="K1977" s="57">
        <v>96</v>
      </c>
      <c r="L1977" s="164">
        <v>3872</v>
      </c>
    </row>
    <row r="1978" spans="2:12" x14ac:dyDescent="0.3">
      <c r="B1978" s="57">
        <f t="shared" si="166"/>
        <v>1975</v>
      </c>
      <c r="C1978" s="147">
        <v>46188</v>
      </c>
      <c r="D1978" s="57" t="s">
        <v>968</v>
      </c>
      <c r="E1978" s="57" t="s">
        <v>146</v>
      </c>
      <c r="F1978" s="57" t="s">
        <v>300</v>
      </c>
      <c r="G1978" s="57" t="s">
        <v>498</v>
      </c>
      <c r="H1978" s="140" t="s">
        <v>1820</v>
      </c>
      <c r="I1978" s="57"/>
      <c r="J1978" s="165">
        <f t="shared" si="171"/>
        <v>20.833333333333332</v>
      </c>
      <c r="K1978" s="57">
        <v>96</v>
      </c>
      <c r="L1978" s="164">
        <v>2000</v>
      </c>
    </row>
    <row r="1979" spans="2:12" x14ac:dyDescent="0.3">
      <c r="B1979" s="57">
        <f t="shared" si="166"/>
        <v>1976</v>
      </c>
      <c r="C1979" s="147">
        <v>46188</v>
      </c>
      <c r="D1979" s="57" t="s">
        <v>968</v>
      </c>
      <c r="E1979" s="57" t="s">
        <v>986</v>
      </c>
      <c r="F1979" s="57" t="s">
        <v>2328</v>
      </c>
      <c r="G1979" s="57" t="s">
        <v>1002</v>
      </c>
      <c r="H1979" s="140" t="s">
        <v>1821</v>
      </c>
      <c r="I1979" s="57" t="s">
        <v>986</v>
      </c>
      <c r="J1979" s="57">
        <v>10</v>
      </c>
      <c r="L1979" s="164">
        <v>950</v>
      </c>
    </row>
    <row r="1980" spans="2:12" x14ac:dyDescent="0.3">
      <c r="B1980" s="57">
        <f t="shared" si="166"/>
        <v>1977</v>
      </c>
      <c r="C1980" s="147">
        <v>46188</v>
      </c>
      <c r="D1980" s="57" t="s">
        <v>968</v>
      </c>
      <c r="E1980" s="57" t="s">
        <v>146</v>
      </c>
      <c r="F1980" s="57" t="s">
        <v>350</v>
      </c>
      <c r="G1980" s="57" t="s">
        <v>337</v>
      </c>
      <c r="H1980" s="140" t="s">
        <v>1822</v>
      </c>
      <c r="I1980" s="57"/>
      <c r="J1980" s="165">
        <f t="shared" ref="J1980:J1982" si="172">L1980/K1980</f>
        <v>31.25</v>
      </c>
      <c r="K1980" s="57">
        <v>96</v>
      </c>
      <c r="L1980" s="164">
        <v>3000</v>
      </c>
    </row>
    <row r="1981" spans="2:12" x14ac:dyDescent="0.3">
      <c r="B1981" s="57">
        <f t="shared" si="166"/>
        <v>1978</v>
      </c>
      <c r="C1981" s="147">
        <v>46188</v>
      </c>
      <c r="D1981" s="57" t="s">
        <v>968</v>
      </c>
      <c r="E1981" s="57" t="s">
        <v>146</v>
      </c>
      <c r="F1981" s="57" t="s">
        <v>446</v>
      </c>
      <c r="G1981" s="57" t="s">
        <v>316</v>
      </c>
      <c r="H1981" s="140" t="s">
        <v>1823</v>
      </c>
      <c r="I1981" s="57"/>
      <c r="J1981" s="165">
        <f t="shared" si="172"/>
        <v>31.25</v>
      </c>
      <c r="K1981" s="57">
        <v>96</v>
      </c>
      <c r="L1981" s="164">
        <v>3000</v>
      </c>
    </row>
    <row r="1982" spans="2:12" x14ac:dyDescent="0.3">
      <c r="B1982" s="57">
        <f t="shared" si="166"/>
        <v>1979</v>
      </c>
      <c r="C1982" s="147">
        <v>46188</v>
      </c>
      <c r="D1982" s="57" t="s">
        <v>968</v>
      </c>
      <c r="E1982" s="57" t="s">
        <v>146</v>
      </c>
      <c r="F1982" s="57" t="s">
        <v>446</v>
      </c>
      <c r="G1982" s="57" t="s">
        <v>359</v>
      </c>
      <c r="H1982" s="140" t="s">
        <v>1824</v>
      </c>
      <c r="I1982" s="57"/>
      <c r="J1982" s="165">
        <f t="shared" si="172"/>
        <v>44.166666666666664</v>
      </c>
      <c r="K1982" s="57">
        <v>96</v>
      </c>
      <c r="L1982" s="164">
        <v>4240</v>
      </c>
    </row>
    <row r="1983" spans="2:12" x14ac:dyDescent="0.3">
      <c r="B1983" s="57">
        <f t="shared" si="166"/>
        <v>1980</v>
      </c>
      <c r="C1983" s="147">
        <v>46188</v>
      </c>
      <c r="D1983" s="57" t="s">
        <v>968</v>
      </c>
      <c r="E1983" s="57" t="s">
        <v>532</v>
      </c>
      <c r="F1983" s="57" t="s">
        <v>300</v>
      </c>
      <c r="G1983" s="57" t="s">
        <v>498</v>
      </c>
      <c r="H1983" s="140" t="s">
        <v>1825</v>
      </c>
      <c r="I1983" s="57" t="s">
        <v>532</v>
      </c>
      <c r="J1983" s="57">
        <v>30</v>
      </c>
      <c r="K1983" s="167">
        <f>L1983/J1983</f>
        <v>260</v>
      </c>
      <c r="L1983" s="164">
        <v>7800</v>
      </c>
    </row>
    <row r="1984" spans="2:12" x14ac:dyDescent="0.3">
      <c r="B1984" s="57">
        <f t="shared" si="166"/>
        <v>1981</v>
      </c>
      <c r="C1984" s="147">
        <v>46188</v>
      </c>
      <c r="D1984" s="57" t="s">
        <v>968</v>
      </c>
      <c r="E1984" s="57" t="s">
        <v>146</v>
      </c>
      <c r="F1984" s="57" t="s">
        <v>502</v>
      </c>
      <c r="G1984" s="57" t="s">
        <v>773</v>
      </c>
      <c r="H1984" s="140" t="s">
        <v>1826</v>
      </c>
      <c r="I1984" s="57"/>
      <c r="J1984" s="165">
        <f t="shared" ref="J1984:J1985" si="173">L1984/K1984</f>
        <v>20.833333333333332</v>
      </c>
      <c r="K1984" s="57">
        <v>96</v>
      </c>
      <c r="L1984" s="164">
        <v>2000</v>
      </c>
    </row>
    <row r="1985" spans="2:12" x14ac:dyDescent="0.3">
      <c r="B1985" s="57">
        <f t="shared" si="166"/>
        <v>1982</v>
      </c>
      <c r="C1985" s="147">
        <v>46188</v>
      </c>
      <c r="D1985" s="57" t="s">
        <v>968</v>
      </c>
      <c r="E1985" s="57" t="s">
        <v>146</v>
      </c>
      <c r="F1985" s="57" t="s">
        <v>446</v>
      </c>
      <c r="G1985" s="57" t="s">
        <v>990</v>
      </c>
      <c r="H1985" s="140" t="s">
        <v>885</v>
      </c>
      <c r="I1985" s="57"/>
      <c r="J1985" s="165">
        <f t="shared" si="173"/>
        <v>20.833333333333332</v>
      </c>
      <c r="K1985" s="57">
        <v>96</v>
      </c>
      <c r="L1985" s="164">
        <v>2000</v>
      </c>
    </row>
    <row r="1986" spans="2:12" x14ac:dyDescent="0.3">
      <c r="B1986" s="57">
        <f t="shared" si="166"/>
        <v>1983</v>
      </c>
      <c r="C1986" s="147">
        <v>46188</v>
      </c>
      <c r="D1986" s="57" t="s">
        <v>968</v>
      </c>
      <c r="E1986" s="57" t="s">
        <v>767</v>
      </c>
      <c r="F1986" s="57" t="s">
        <v>446</v>
      </c>
      <c r="G1986" s="57" t="s">
        <v>990</v>
      </c>
      <c r="H1986" s="140" t="s">
        <v>1827</v>
      </c>
      <c r="I1986" s="57"/>
      <c r="J1986" s="57"/>
      <c r="L1986" s="164">
        <v>1576</v>
      </c>
    </row>
    <row r="1987" spans="2:12" x14ac:dyDescent="0.3">
      <c r="B1987" s="57">
        <f t="shared" si="166"/>
        <v>1984</v>
      </c>
      <c r="C1987" s="147">
        <v>46188</v>
      </c>
      <c r="D1987" s="57" t="s">
        <v>968</v>
      </c>
      <c r="E1987" s="57" t="s">
        <v>522</v>
      </c>
      <c r="F1987" s="57" t="s">
        <v>300</v>
      </c>
      <c r="G1987" s="57" t="s">
        <v>530</v>
      </c>
      <c r="H1987" s="140" t="s">
        <v>1828</v>
      </c>
      <c r="I1987" s="57"/>
      <c r="J1987" s="57"/>
      <c r="L1987" s="164">
        <v>15000</v>
      </c>
    </row>
    <row r="1988" spans="2:12" x14ac:dyDescent="0.3">
      <c r="B1988" s="57">
        <f t="shared" si="166"/>
        <v>1985</v>
      </c>
      <c r="C1988" s="147">
        <v>46188</v>
      </c>
      <c r="D1988" s="57" t="s">
        <v>968</v>
      </c>
      <c r="E1988" s="57" t="s">
        <v>146</v>
      </c>
      <c r="F1988" s="57" t="s">
        <v>446</v>
      </c>
      <c r="G1988" s="57" t="s">
        <v>990</v>
      </c>
      <c r="H1988" s="140" t="s">
        <v>1829</v>
      </c>
      <c r="I1988" s="57"/>
      <c r="J1988" s="165">
        <f t="shared" ref="J1988:J1990" si="174">L1988/K1988</f>
        <v>20.833333333333332</v>
      </c>
      <c r="K1988" s="57">
        <v>96</v>
      </c>
      <c r="L1988" s="164">
        <v>2000</v>
      </c>
    </row>
    <row r="1989" spans="2:12" x14ac:dyDescent="0.3">
      <c r="B1989" s="57">
        <f t="shared" si="166"/>
        <v>1986</v>
      </c>
      <c r="C1989" s="147">
        <v>46188</v>
      </c>
      <c r="D1989" s="57" t="s">
        <v>968</v>
      </c>
      <c r="E1989" s="57" t="s">
        <v>146</v>
      </c>
      <c r="F1989" s="57" t="s">
        <v>300</v>
      </c>
      <c r="G1989" s="57" t="s">
        <v>438</v>
      </c>
      <c r="H1989" s="140" t="s">
        <v>4110</v>
      </c>
      <c r="I1989" s="57"/>
      <c r="J1989" s="165">
        <f t="shared" si="174"/>
        <v>40.208333333333336</v>
      </c>
      <c r="K1989" s="57">
        <v>96</v>
      </c>
      <c r="L1989" s="164">
        <v>3860</v>
      </c>
    </row>
    <row r="1990" spans="2:12" x14ac:dyDescent="0.3">
      <c r="B1990" s="57">
        <f t="shared" ref="B1990:B2053" si="175">+B1989+1</f>
        <v>1987</v>
      </c>
      <c r="C1990" s="147">
        <v>46188</v>
      </c>
      <c r="D1990" s="57" t="s">
        <v>968</v>
      </c>
      <c r="E1990" s="57" t="s">
        <v>146</v>
      </c>
      <c r="F1990" s="57" t="s">
        <v>300</v>
      </c>
      <c r="G1990" s="57" t="s">
        <v>530</v>
      </c>
      <c r="H1990" s="140" t="s">
        <v>4092</v>
      </c>
      <c r="I1990" s="57"/>
      <c r="J1990" s="165">
        <f t="shared" si="174"/>
        <v>162.95833333333334</v>
      </c>
      <c r="K1990" s="57">
        <v>96</v>
      </c>
      <c r="L1990" s="164">
        <v>15644</v>
      </c>
    </row>
    <row r="1991" spans="2:12" x14ac:dyDescent="0.3">
      <c r="B1991" s="57">
        <f t="shared" si="175"/>
        <v>1988</v>
      </c>
      <c r="C1991" s="147">
        <v>46188</v>
      </c>
      <c r="D1991" s="57" t="s">
        <v>968</v>
      </c>
      <c r="E1991" s="57" t="s">
        <v>4008</v>
      </c>
      <c r="F1991" s="57" t="s">
        <v>350</v>
      </c>
      <c r="G1991" s="57" t="s">
        <v>663</v>
      </c>
      <c r="H1991" s="140" t="s">
        <v>1830</v>
      </c>
      <c r="I1991" s="57"/>
      <c r="J1991" s="57"/>
      <c r="L1991" s="164">
        <v>1000</v>
      </c>
    </row>
    <row r="1992" spans="2:12" x14ac:dyDescent="0.3">
      <c r="B1992" s="57">
        <f t="shared" si="175"/>
        <v>1989</v>
      </c>
      <c r="C1992" s="147">
        <v>46188</v>
      </c>
      <c r="D1992" s="57" t="s">
        <v>968</v>
      </c>
      <c r="E1992" s="57" t="s">
        <v>237</v>
      </c>
      <c r="F1992" s="57" t="s">
        <v>350</v>
      </c>
      <c r="G1992" s="57" t="s">
        <v>337</v>
      </c>
      <c r="H1992" s="140" t="s">
        <v>1831</v>
      </c>
      <c r="I1992" s="57"/>
      <c r="J1992" s="57"/>
      <c r="L1992" s="164">
        <v>20400</v>
      </c>
    </row>
    <row r="1993" spans="2:12" x14ac:dyDescent="0.3">
      <c r="B1993" s="57">
        <f t="shared" si="175"/>
        <v>1990</v>
      </c>
      <c r="C1993" s="147">
        <v>46188</v>
      </c>
      <c r="D1993" s="57" t="s">
        <v>968</v>
      </c>
      <c r="E1993" s="57" t="s">
        <v>767</v>
      </c>
      <c r="F1993" s="57" t="s">
        <v>350</v>
      </c>
      <c r="G1993" s="57" t="s">
        <v>663</v>
      </c>
      <c r="H1993" s="140" t="s">
        <v>1832</v>
      </c>
      <c r="I1993" s="57"/>
      <c r="J1993" s="57"/>
      <c r="L1993" s="164">
        <v>800</v>
      </c>
    </row>
    <row r="1994" spans="2:12" x14ac:dyDescent="0.3">
      <c r="B1994" s="57">
        <f t="shared" si="175"/>
        <v>1991</v>
      </c>
      <c r="C1994" s="143">
        <v>46189</v>
      </c>
      <c r="D1994" s="152" t="s">
        <v>435</v>
      </c>
      <c r="E1994" s="57" t="s">
        <v>410</v>
      </c>
      <c r="F1994" s="57" t="s">
        <v>446</v>
      </c>
      <c r="G1994" s="57" t="s">
        <v>359</v>
      </c>
      <c r="H1994" s="140" t="s">
        <v>692</v>
      </c>
      <c r="I1994" s="57"/>
      <c r="J1994" s="57"/>
      <c r="L1994" s="164">
        <v>7000</v>
      </c>
    </row>
    <row r="1995" spans="2:12" x14ac:dyDescent="0.3">
      <c r="B1995" s="57">
        <f t="shared" si="175"/>
        <v>1992</v>
      </c>
      <c r="C1995" s="147">
        <v>46189</v>
      </c>
      <c r="D1995" s="57" t="s">
        <v>968</v>
      </c>
      <c r="E1995" s="57" t="s">
        <v>958</v>
      </c>
      <c r="F1995" s="57" t="s">
        <v>350</v>
      </c>
      <c r="G1995" s="57" t="s">
        <v>663</v>
      </c>
      <c r="H1995" s="140" t="s">
        <v>1833</v>
      </c>
      <c r="I1995" s="57"/>
      <c r="J1995" s="57"/>
      <c r="L1995" s="164">
        <v>3000</v>
      </c>
    </row>
    <row r="1996" spans="2:12" x14ac:dyDescent="0.3">
      <c r="B1996" s="57">
        <f t="shared" si="175"/>
        <v>1993</v>
      </c>
      <c r="C1996" s="147">
        <v>46189</v>
      </c>
      <c r="D1996" s="57" t="s">
        <v>968</v>
      </c>
      <c r="E1996" s="57" t="s">
        <v>460</v>
      </c>
      <c r="F1996" s="57" t="s">
        <v>683</v>
      </c>
      <c r="G1996" s="57" t="s">
        <v>999</v>
      </c>
      <c r="H1996" s="140" t="s">
        <v>1834</v>
      </c>
      <c r="I1996" s="57"/>
      <c r="J1996" s="57"/>
      <c r="L1996" s="164">
        <v>220</v>
      </c>
    </row>
    <row r="1997" spans="2:12" x14ac:dyDescent="0.3">
      <c r="B1997" s="57">
        <f t="shared" si="175"/>
        <v>1994</v>
      </c>
      <c r="C1997" s="147">
        <v>46189</v>
      </c>
      <c r="D1997" s="57" t="s">
        <v>968</v>
      </c>
      <c r="E1997" s="57" t="s">
        <v>237</v>
      </c>
      <c r="F1997" s="57" t="s">
        <v>350</v>
      </c>
      <c r="G1997" s="57" t="s">
        <v>701</v>
      </c>
      <c r="H1997" s="140" t="s">
        <v>1835</v>
      </c>
      <c r="I1997" s="57"/>
      <c r="J1997" s="57"/>
      <c r="L1997" s="164">
        <v>5600</v>
      </c>
    </row>
    <row r="1998" spans="2:12" x14ac:dyDescent="0.3">
      <c r="B1998" s="57">
        <f t="shared" si="175"/>
        <v>1995</v>
      </c>
      <c r="C1998" s="147">
        <v>46189</v>
      </c>
      <c r="D1998" s="57" t="s">
        <v>968</v>
      </c>
      <c r="E1998" s="57" t="s">
        <v>146</v>
      </c>
      <c r="F1998" s="57" t="s">
        <v>436</v>
      </c>
      <c r="G1998" s="57" t="s">
        <v>270</v>
      </c>
      <c r="H1998" s="140" t="s">
        <v>4112</v>
      </c>
      <c r="I1998" s="57" t="s">
        <v>146</v>
      </c>
      <c r="J1998" s="165">
        <f t="shared" ref="J1998:J2001" si="176">L1998/K1998</f>
        <v>36.458333333333336</v>
      </c>
      <c r="K1998" s="57">
        <v>96</v>
      </c>
      <c r="L1998" s="164">
        <v>3500</v>
      </c>
    </row>
    <row r="1999" spans="2:12" x14ac:dyDescent="0.3">
      <c r="B1999" s="57">
        <f t="shared" si="175"/>
        <v>1996</v>
      </c>
      <c r="C1999" s="147">
        <v>46189</v>
      </c>
      <c r="D1999" s="57" t="s">
        <v>968</v>
      </c>
      <c r="E1999" s="57" t="s">
        <v>146</v>
      </c>
      <c r="F1999" s="57" t="s">
        <v>300</v>
      </c>
      <c r="G1999" s="57" t="s">
        <v>530</v>
      </c>
      <c r="H1999" s="140" t="s">
        <v>4115</v>
      </c>
      <c r="I1999" s="57"/>
      <c r="J1999" s="165">
        <f t="shared" si="176"/>
        <v>36.03125</v>
      </c>
      <c r="K1999" s="57">
        <v>96</v>
      </c>
      <c r="L1999" s="164">
        <v>3459</v>
      </c>
    </row>
    <row r="2000" spans="2:12" x14ac:dyDescent="0.3">
      <c r="B2000" s="57">
        <f t="shared" si="175"/>
        <v>1997</v>
      </c>
      <c r="C2000" s="147">
        <v>46189</v>
      </c>
      <c r="D2000" s="57" t="s">
        <v>968</v>
      </c>
      <c r="E2000" s="57" t="s">
        <v>146</v>
      </c>
      <c r="F2000" s="57" t="s">
        <v>300</v>
      </c>
      <c r="G2000" s="57" t="s">
        <v>530</v>
      </c>
      <c r="H2000" s="140" t="s">
        <v>4109</v>
      </c>
      <c r="I2000" s="57"/>
      <c r="J2000" s="165">
        <f t="shared" si="176"/>
        <v>35.739583333333336</v>
      </c>
      <c r="K2000" s="57">
        <v>96</v>
      </c>
      <c r="L2000" s="164">
        <v>3431</v>
      </c>
    </row>
    <row r="2001" spans="2:12" x14ac:dyDescent="0.3">
      <c r="B2001" s="57">
        <f t="shared" si="175"/>
        <v>1998</v>
      </c>
      <c r="C2001" s="147">
        <v>46189</v>
      </c>
      <c r="D2001" s="57" t="s">
        <v>968</v>
      </c>
      <c r="E2001" s="57" t="s">
        <v>146</v>
      </c>
      <c r="F2001" s="57" t="s">
        <v>350</v>
      </c>
      <c r="G2001" s="57" t="s">
        <v>322</v>
      </c>
      <c r="H2001" s="140" t="s">
        <v>1836</v>
      </c>
      <c r="I2001" s="57"/>
      <c r="J2001" s="165">
        <f t="shared" si="176"/>
        <v>20.833333333333332</v>
      </c>
      <c r="K2001" s="57">
        <v>96</v>
      </c>
      <c r="L2001" s="164">
        <v>2000</v>
      </c>
    </row>
    <row r="2002" spans="2:12" x14ac:dyDescent="0.3">
      <c r="B2002" s="57">
        <f t="shared" si="175"/>
        <v>1999</v>
      </c>
      <c r="C2002" s="147">
        <v>46189</v>
      </c>
      <c r="D2002" s="57" t="s">
        <v>968</v>
      </c>
      <c r="E2002" s="57" t="s">
        <v>4128</v>
      </c>
      <c r="F2002" s="57" t="s">
        <v>436</v>
      </c>
      <c r="G2002" s="57" t="s">
        <v>270</v>
      </c>
      <c r="H2002" s="140" t="s">
        <v>2953</v>
      </c>
      <c r="I2002" s="57"/>
      <c r="J2002" s="57"/>
      <c r="L2002" s="164">
        <v>500</v>
      </c>
    </row>
    <row r="2003" spans="2:12" x14ac:dyDescent="0.3">
      <c r="B2003" s="57">
        <f t="shared" si="175"/>
        <v>2000</v>
      </c>
      <c r="C2003" s="147">
        <v>46189</v>
      </c>
      <c r="D2003" s="57" t="s">
        <v>968</v>
      </c>
      <c r="E2003" s="57" t="s">
        <v>4128</v>
      </c>
      <c r="F2003" s="57" t="s">
        <v>436</v>
      </c>
      <c r="G2003" s="57" t="s">
        <v>270</v>
      </c>
      <c r="H2003" s="140" t="s">
        <v>2954</v>
      </c>
      <c r="I2003" s="57"/>
      <c r="J2003" s="57"/>
      <c r="L2003" s="164">
        <v>1900</v>
      </c>
    </row>
    <row r="2004" spans="2:12" x14ac:dyDescent="0.3">
      <c r="B2004" s="57">
        <f t="shared" si="175"/>
        <v>2001</v>
      </c>
      <c r="C2004" s="147">
        <v>46189</v>
      </c>
      <c r="D2004" s="57" t="s">
        <v>968</v>
      </c>
      <c r="E2004" s="57" t="s">
        <v>237</v>
      </c>
      <c r="F2004" s="57" t="s">
        <v>502</v>
      </c>
      <c r="G2004" s="57" t="s">
        <v>257</v>
      </c>
      <c r="H2004" s="140" t="s">
        <v>1837</v>
      </c>
      <c r="I2004" s="57"/>
      <c r="J2004" s="57"/>
      <c r="L2004" s="164">
        <v>3790</v>
      </c>
    </row>
    <row r="2005" spans="2:12" x14ac:dyDescent="0.3">
      <c r="B2005" s="57">
        <f t="shared" si="175"/>
        <v>2002</v>
      </c>
      <c r="C2005" s="147">
        <v>46189</v>
      </c>
      <c r="D2005" s="57" t="s">
        <v>968</v>
      </c>
      <c r="E2005" s="57" t="s">
        <v>146</v>
      </c>
      <c r="F2005" s="57" t="s">
        <v>350</v>
      </c>
      <c r="G2005" s="57" t="s">
        <v>663</v>
      </c>
      <c r="H2005" s="140" t="s">
        <v>4106</v>
      </c>
      <c r="I2005" s="57"/>
      <c r="J2005" s="165">
        <f>L2005/K2005</f>
        <v>20.833333333333332</v>
      </c>
      <c r="K2005" s="57">
        <v>96</v>
      </c>
      <c r="L2005" s="164">
        <v>2000</v>
      </c>
    </row>
    <row r="2006" spans="2:12" x14ac:dyDescent="0.3">
      <c r="B2006" s="57">
        <f t="shared" si="175"/>
        <v>2003</v>
      </c>
      <c r="C2006" s="147">
        <v>46189</v>
      </c>
      <c r="D2006" s="57" t="s">
        <v>968</v>
      </c>
      <c r="E2006" s="57" t="s">
        <v>686</v>
      </c>
      <c r="F2006" s="57" t="s">
        <v>300</v>
      </c>
      <c r="G2006" s="57" t="s">
        <v>530</v>
      </c>
      <c r="H2006" s="140" t="s">
        <v>1838</v>
      </c>
      <c r="I2006" s="57"/>
      <c r="J2006" s="57"/>
      <c r="L2006" s="164">
        <v>19249</v>
      </c>
    </row>
    <row r="2007" spans="2:12" x14ac:dyDescent="0.3">
      <c r="B2007" s="57">
        <f t="shared" si="175"/>
        <v>2004</v>
      </c>
      <c r="C2007" s="147">
        <v>46189</v>
      </c>
      <c r="D2007" s="57" t="s">
        <v>968</v>
      </c>
      <c r="E2007" s="57" t="s">
        <v>4128</v>
      </c>
      <c r="F2007" s="57" t="s">
        <v>300</v>
      </c>
      <c r="G2007" s="57" t="s">
        <v>498</v>
      </c>
      <c r="H2007" s="140" t="s">
        <v>2955</v>
      </c>
      <c r="I2007" s="57"/>
      <c r="J2007" s="57"/>
      <c r="L2007" s="164">
        <v>8400</v>
      </c>
    </row>
    <row r="2008" spans="2:12" x14ac:dyDescent="0.3">
      <c r="B2008" s="57">
        <f t="shared" si="175"/>
        <v>2005</v>
      </c>
      <c r="C2008" s="147">
        <v>46189</v>
      </c>
      <c r="D2008" s="57" t="s">
        <v>968</v>
      </c>
      <c r="E2008" s="57" t="s">
        <v>532</v>
      </c>
      <c r="F2008" s="57" t="s">
        <v>446</v>
      </c>
      <c r="G2008" s="57" t="s">
        <v>313</v>
      </c>
      <c r="H2008" s="140" t="s">
        <v>1839</v>
      </c>
      <c r="I2008" s="57" t="s">
        <v>532</v>
      </c>
      <c r="J2008" s="57">
        <v>15</v>
      </c>
      <c r="K2008" s="167">
        <f>L2008/J2008</f>
        <v>256</v>
      </c>
      <c r="L2008" s="164">
        <v>3840</v>
      </c>
    </row>
    <row r="2009" spans="2:12" x14ac:dyDescent="0.3">
      <c r="B2009" s="57">
        <f t="shared" si="175"/>
        <v>2006</v>
      </c>
      <c r="C2009" s="147">
        <v>46189</v>
      </c>
      <c r="D2009" s="57" t="s">
        <v>968</v>
      </c>
      <c r="E2009" s="57" t="s">
        <v>574</v>
      </c>
      <c r="F2009" s="57" t="s">
        <v>446</v>
      </c>
      <c r="G2009" s="57" t="s">
        <v>313</v>
      </c>
      <c r="H2009" s="140" t="s">
        <v>1840</v>
      </c>
      <c r="I2009" s="140" t="s">
        <v>2635</v>
      </c>
      <c r="J2009" s="57">
        <v>4</v>
      </c>
      <c r="K2009" s="167">
        <f>L2009/J2009</f>
        <v>575</v>
      </c>
      <c r="L2009" s="164">
        <v>2300</v>
      </c>
    </row>
    <row r="2010" spans="2:12" x14ac:dyDescent="0.3">
      <c r="B2010" s="57">
        <f t="shared" si="175"/>
        <v>2007</v>
      </c>
      <c r="C2010" s="147">
        <v>46189</v>
      </c>
      <c r="D2010" s="57" t="s">
        <v>968</v>
      </c>
      <c r="E2010" s="57" t="s">
        <v>767</v>
      </c>
      <c r="F2010" s="57" t="s">
        <v>300</v>
      </c>
      <c r="G2010" s="57" t="s">
        <v>443</v>
      </c>
      <c r="H2010" s="140" t="s">
        <v>1841</v>
      </c>
      <c r="I2010" s="57"/>
      <c r="J2010" s="57"/>
      <c r="L2010" s="164">
        <v>1600</v>
      </c>
    </row>
    <row r="2011" spans="2:12" x14ac:dyDescent="0.3">
      <c r="B2011" s="57">
        <f t="shared" si="175"/>
        <v>2008</v>
      </c>
      <c r="C2011" s="147">
        <v>46189</v>
      </c>
      <c r="D2011" s="57" t="s">
        <v>968</v>
      </c>
      <c r="E2011" s="57" t="s">
        <v>237</v>
      </c>
      <c r="F2011" s="57" t="s">
        <v>502</v>
      </c>
      <c r="G2011" s="57" t="s">
        <v>773</v>
      </c>
      <c r="H2011" s="140" t="s">
        <v>1842</v>
      </c>
      <c r="I2011" s="57"/>
      <c r="J2011" s="57"/>
      <c r="L2011" s="164">
        <v>11140</v>
      </c>
    </row>
    <row r="2012" spans="2:12" x14ac:dyDescent="0.3">
      <c r="B2012" s="57">
        <f t="shared" si="175"/>
        <v>2009</v>
      </c>
      <c r="C2012" s="147">
        <v>46189</v>
      </c>
      <c r="D2012" s="57" t="s">
        <v>968</v>
      </c>
      <c r="E2012" s="57" t="s">
        <v>574</v>
      </c>
      <c r="F2012" s="57" t="s">
        <v>546</v>
      </c>
      <c r="G2012" s="57" t="s">
        <v>545</v>
      </c>
      <c r="H2012" s="140" t="s">
        <v>1843</v>
      </c>
      <c r="I2012" s="140" t="s">
        <v>2635</v>
      </c>
      <c r="J2012" s="57">
        <v>6</v>
      </c>
      <c r="K2012" s="167">
        <f t="shared" ref="K2012:K2013" si="177">L2012/J2012</f>
        <v>651.66666666666663</v>
      </c>
      <c r="L2012" s="164">
        <v>3910</v>
      </c>
    </row>
    <row r="2013" spans="2:12" x14ac:dyDescent="0.3">
      <c r="B2013" s="57">
        <f t="shared" si="175"/>
        <v>2010</v>
      </c>
      <c r="C2013" s="147">
        <v>46189</v>
      </c>
      <c r="D2013" s="57" t="s">
        <v>968</v>
      </c>
      <c r="E2013" s="57" t="s">
        <v>574</v>
      </c>
      <c r="F2013" s="57" t="s">
        <v>300</v>
      </c>
      <c r="G2013" s="57" t="s">
        <v>498</v>
      </c>
      <c r="H2013" s="140" t="s">
        <v>1844</v>
      </c>
      <c r="I2013" s="140" t="s">
        <v>2635</v>
      </c>
      <c r="J2013" s="57">
        <v>6</v>
      </c>
      <c r="K2013" s="167">
        <f t="shared" si="177"/>
        <v>556.16666666666663</v>
      </c>
      <c r="L2013" s="164">
        <v>3337</v>
      </c>
    </row>
    <row r="2014" spans="2:12" x14ac:dyDescent="0.3">
      <c r="B2014" s="57">
        <f t="shared" si="175"/>
        <v>2011</v>
      </c>
      <c r="C2014" s="147">
        <v>46189</v>
      </c>
      <c r="D2014" s="57" t="s">
        <v>968</v>
      </c>
      <c r="E2014" s="57" t="s">
        <v>767</v>
      </c>
      <c r="F2014" s="57" t="s">
        <v>300</v>
      </c>
      <c r="G2014" s="57" t="s">
        <v>530</v>
      </c>
      <c r="H2014" s="140" t="s">
        <v>1845</v>
      </c>
      <c r="I2014" s="57"/>
      <c r="J2014" s="57"/>
      <c r="L2014" s="164">
        <v>500</v>
      </c>
    </row>
    <row r="2015" spans="2:12" x14ac:dyDescent="0.3">
      <c r="B2015" s="57">
        <f t="shared" si="175"/>
        <v>2012</v>
      </c>
      <c r="C2015" s="147">
        <v>46189</v>
      </c>
      <c r="D2015" s="57" t="s">
        <v>968</v>
      </c>
      <c r="E2015" s="57" t="s">
        <v>4128</v>
      </c>
      <c r="F2015" s="57" t="s">
        <v>350</v>
      </c>
      <c r="G2015" s="57" t="s">
        <v>337</v>
      </c>
      <c r="H2015" s="140" t="s">
        <v>2956</v>
      </c>
      <c r="I2015" s="57"/>
      <c r="J2015" s="57"/>
      <c r="L2015" s="164">
        <v>500</v>
      </c>
    </row>
    <row r="2016" spans="2:12" x14ac:dyDescent="0.3">
      <c r="B2016" s="57">
        <f t="shared" si="175"/>
        <v>2013</v>
      </c>
      <c r="C2016" s="147">
        <v>46189</v>
      </c>
      <c r="D2016" s="57" t="s">
        <v>968</v>
      </c>
      <c r="E2016" s="57" t="s">
        <v>986</v>
      </c>
      <c r="F2016" s="57" t="s">
        <v>300</v>
      </c>
      <c r="G2016" s="57" t="s">
        <v>530</v>
      </c>
      <c r="H2016" s="140" t="s">
        <v>1846</v>
      </c>
      <c r="I2016" s="57" t="s">
        <v>986</v>
      </c>
      <c r="J2016" s="57">
        <v>25</v>
      </c>
      <c r="L2016" s="164">
        <v>2000</v>
      </c>
    </row>
    <row r="2017" spans="2:12" x14ac:dyDescent="0.3">
      <c r="B2017" s="57">
        <f t="shared" si="175"/>
        <v>2014</v>
      </c>
      <c r="C2017" s="147">
        <v>46189</v>
      </c>
      <c r="D2017" s="57" t="s">
        <v>968</v>
      </c>
      <c r="E2017" s="57" t="s">
        <v>146</v>
      </c>
      <c r="F2017" s="57" t="s">
        <v>446</v>
      </c>
      <c r="G2017" s="57" t="s">
        <v>313</v>
      </c>
      <c r="H2017" s="140" t="s">
        <v>4089</v>
      </c>
      <c r="I2017" s="57"/>
      <c r="J2017" s="165">
        <f>L2017/K2017</f>
        <v>31.25</v>
      </c>
      <c r="K2017" s="57">
        <v>96</v>
      </c>
      <c r="L2017" s="164">
        <v>3000</v>
      </c>
    </row>
    <row r="2018" spans="2:12" x14ac:dyDescent="0.3">
      <c r="B2018" s="57">
        <f t="shared" si="175"/>
        <v>2015</v>
      </c>
      <c r="C2018" s="147">
        <v>46189</v>
      </c>
      <c r="D2018" s="57" t="s">
        <v>968</v>
      </c>
      <c r="E2018" s="57" t="s">
        <v>727</v>
      </c>
      <c r="F2018" s="57" t="s">
        <v>300</v>
      </c>
      <c r="G2018" s="57" t="s">
        <v>530</v>
      </c>
      <c r="H2018" s="140" t="s">
        <v>1847</v>
      </c>
      <c r="I2018" s="57"/>
      <c r="J2018" s="57"/>
      <c r="L2018" s="164">
        <v>160</v>
      </c>
    </row>
    <row r="2019" spans="2:12" x14ac:dyDescent="0.3">
      <c r="B2019" s="57">
        <f t="shared" si="175"/>
        <v>2016</v>
      </c>
      <c r="C2019" s="147">
        <v>46189</v>
      </c>
      <c r="D2019" s="57" t="s">
        <v>968</v>
      </c>
      <c r="E2019" s="57" t="s">
        <v>434</v>
      </c>
      <c r="F2019" s="57" t="s">
        <v>350</v>
      </c>
      <c r="G2019" s="57" t="s">
        <v>675</v>
      </c>
      <c r="H2019" s="140" t="s">
        <v>1848</v>
      </c>
      <c r="I2019" s="57"/>
      <c r="J2019" s="57"/>
      <c r="L2019" s="164">
        <v>4630</v>
      </c>
    </row>
    <row r="2020" spans="2:12" x14ac:dyDescent="0.3">
      <c r="B2020" s="57">
        <f t="shared" si="175"/>
        <v>2017</v>
      </c>
      <c r="C2020" s="147">
        <v>46189</v>
      </c>
      <c r="D2020" s="57" t="s">
        <v>968</v>
      </c>
      <c r="E2020" s="57" t="s">
        <v>574</v>
      </c>
      <c r="F2020" s="57" t="s">
        <v>300</v>
      </c>
      <c r="G2020" s="57" t="s">
        <v>498</v>
      </c>
      <c r="H2020" s="140" t="s">
        <v>1849</v>
      </c>
      <c r="I2020" s="140" t="s">
        <v>4081</v>
      </c>
      <c r="J2020" s="57">
        <v>6</v>
      </c>
      <c r="K2020" s="167">
        <f>L2020/J2020</f>
        <v>553.66666666666663</v>
      </c>
      <c r="L2020" s="164">
        <v>3322</v>
      </c>
    </row>
    <row r="2021" spans="2:12" x14ac:dyDescent="0.3">
      <c r="B2021" s="57">
        <f t="shared" si="175"/>
        <v>2018</v>
      </c>
      <c r="C2021" s="147">
        <v>46189</v>
      </c>
      <c r="D2021" s="57" t="s">
        <v>968</v>
      </c>
      <c r="E2021" s="57" t="s">
        <v>146</v>
      </c>
      <c r="F2021" s="57" t="s">
        <v>436</v>
      </c>
      <c r="G2021" s="57" t="s">
        <v>987</v>
      </c>
      <c r="H2021" s="140" t="s">
        <v>1850</v>
      </c>
      <c r="I2021" s="57"/>
      <c r="J2021" s="165">
        <f>L2021/K2021</f>
        <v>20.833333333333332</v>
      </c>
      <c r="K2021" s="57">
        <v>96</v>
      </c>
      <c r="L2021" s="164">
        <v>2000</v>
      </c>
    </row>
    <row r="2022" spans="2:12" x14ac:dyDescent="0.3">
      <c r="B2022" s="57">
        <f t="shared" si="175"/>
        <v>2019</v>
      </c>
      <c r="C2022" s="147">
        <v>46189</v>
      </c>
      <c r="D2022" s="57" t="s">
        <v>968</v>
      </c>
      <c r="E2022" s="57" t="s">
        <v>474</v>
      </c>
      <c r="F2022" s="57" t="s">
        <v>300</v>
      </c>
      <c r="G2022" s="57" t="s">
        <v>530</v>
      </c>
      <c r="H2022" s="140" t="s">
        <v>1851</v>
      </c>
      <c r="I2022" s="57"/>
      <c r="J2022" s="57"/>
      <c r="L2022" s="164">
        <v>12100</v>
      </c>
    </row>
    <row r="2023" spans="2:12" x14ac:dyDescent="0.3">
      <c r="B2023" s="57">
        <f t="shared" si="175"/>
        <v>2020</v>
      </c>
      <c r="C2023" s="147">
        <v>46189</v>
      </c>
      <c r="D2023" s="57" t="s">
        <v>968</v>
      </c>
      <c r="E2023" s="57" t="s">
        <v>4128</v>
      </c>
      <c r="F2023" s="57" t="s">
        <v>300</v>
      </c>
      <c r="G2023" s="57" t="s">
        <v>530</v>
      </c>
      <c r="H2023" s="140" t="s">
        <v>1852</v>
      </c>
      <c r="I2023" s="57"/>
      <c r="J2023" s="57"/>
      <c r="L2023" s="164">
        <v>500</v>
      </c>
    </row>
    <row r="2024" spans="2:12" x14ac:dyDescent="0.3">
      <c r="B2024" s="57">
        <f t="shared" si="175"/>
        <v>2021</v>
      </c>
      <c r="C2024" s="147">
        <v>46189</v>
      </c>
      <c r="D2024" s="57" t="s">
        <v>968</v>
      </c>
      <c r="E2024" s="57" t="s">
        <v>237</v>
      </c>
      <c r="F2024" s="57" t="s">
        <v>446</v>
      </c>
      <c r="G2024" s="57" t="s">
        <v>354</v>
      </c>
      <c r="H2024" s="140" t="s">
        <v>1853</v>
      </c>
      <c r="I2024" s="57"/>
      <c r="J2024" s="57"/>
      <c r="L2024" s="164">
        <v>7110</v>
      </c>
    </row>
    <row r="2025" spans="2:12" x14ac:dyDescent="0.3">
      <c r="B2025" s="57">
        <f t="shared" si="175"/>
        <v>2022</v>
      </c>
      <c r="C2025" s="147">
        <v>46189</v>
      </c>
      <c r="D2025" s="57" t="s">
        <v>968</v>
      </c>
      <c r="E2025" s="57" t="s">
        <v>237</v>
      </c>
      <c r="F2025" s="57" t="s">
        <v>446</v>
      </c>
      <c r="G2025" s="57" t="s">
        <v>354</v>
      </c>
      <c r="H2025" s="140" t="s">
        <v>1854</v>
      </c>
      <c r="I2025" s="57"/>
      <c r="J2025" s="57"/>
      <c r="L2025" s="164">
        <v>50000</v>
      </c>
    </row>
    <row r="2026" spans="2:12" x14ac:dyDescent="0.3">
      <c r="B2026" s="57">
        <f t="shared" si="175"/>
        <v>2023</v>
      </c>
      <c r="C2026" s="147">
        <v>46189</v>
      </c>
      <c r="D2026" s="57" t="s">
        <v>968</v>
      </c>
      <c r="E2026" s="57" t="s">
        <v>958</v>
      </c>
      <c r="F2026" s="57" t="s">
        <v>502</v>
      </c>
      <c r="G2026" s="57" t="s">
        <v>257</v>
      </c>
      <c r="H2026" s="140" t="s">
        <v>1855</v>
      </c>
      <c r="I2026" s="57"/>
      <c r="J2026" s="57"/>
      <c r="L2026" s="164">
        <v>5000</v>
      </c>
    </row>
    <row r="2027" spans="2:12" x14ac:dyDescent="0.3">
      <c r="B2027" s="57">
        <f t="shared" si="175"/>
        <v>2024</v>
      </c>
      <c r="C2027" s="147">
        <v>46190</v>
      </c>
      <c r="D2027" s="57" t="s">
        <v>968</v>
      </c>
      <c r="E2027" s="57" t="s">
        <v>574</v>
      </c>
      <c r="F2027" s="57" t="s">
        <v>502</v>
      </c>
      <c r="G2027" s="57" t="s">
        <v>257</v>
      </c>
      <c r="H2027" s="140" t="s">
        <v>1856</v>
      </c>
      <c r="I2027" s="140" t="s">
        <v>2635</v>
      </c>
      <c r="J2027" s="57">
        <v>6</v>
      </c>
      <c r="K2027" s="167">
        <f>L2027/J2027</f>
        <v>733.33333333333337</v>
      </c>
      <c r="L2027" s="164">
        <v>4400</v>
      </c>
    </row>
    <row r="2028" spans="2:12" x14ac:dyDescent="0.3">
      <c r="B2028" s="57">
        <f t="shared" si="175"/>
        <v>2025</v>
      </c>
      <c r="C2028" s="147">
        <v>46190</v>
      </c>
      <c r="D2028" s="57" t="s">
        <v>968</v>
      </c>
      <c r="E2028" s="57" t="s">
        <v>767</v>
      </c>
      <c r="F2028" s="57" t="s">
        <v>446</v>
      </c>
      <c r="G2028" s="57" t="s">
        <v>359</v>
      </c>
      <c r="H2028" s="140" t="s">
        <v>1857</v>
      </c>
      <c r="I2028" s="57"/>
      <c r="J2028" s="57"/>
      <c r="L2028" s="164">
        <v>800</v>
      </c>
    </row>
    <row r="2029" spans="2:12" x14ac:dyDescent="0.3">
      <c r="B2029" s="57">
        <f t="shared" si="175"/>
        <v>2026</v>
      </c>
      <c r="C2029" s="147">
        <v>46190</v>
      </c>
      <c r="D2029" s="57" t="s">
        <v>968</v>
      </c>
      <c r="E2029" s="57" t="s">
        <v>434</v>
      </c>
      <c r="F2029" s="57" t="s">
        <v>446</v>
      </c>
      <c r="G2029" s="57" t="s">
        <v>359</v>
      </c>
      <c r="H2029" s="140" t="s">
        <v>1858</v>
      </c>
      <c r="I2029" s="57"/>
      <c r="J2029" s="57"/>
      <c r="L2029" s="164">
        <v>970</v>
      </c>
    </row>
    <row r="2030" spans="2:12" x14ac:dyDescent="0.3">
      <c r="B2030" s="57">
        <f t="shared" si="175"/>
        <v>2027</v>
      </c>
      <c r="C2030" s="147">
        <v>46190</v>
      </c>
      <c r="D2030" s="57" t="s">
        <v>968</v>
      </c>
      <c r="E2030" s="57" t="s">
        <v>727</v>
      </c>
      <c r="F2030" s="57" t="s">
        <v>2328</v>
      </c>
      <c r="G2030" s="57" t="s">
        <v>1002</v>
      </c>
      <c r="H2030" s="140" t="s">
        <v>1859</v>
      </c>
      <c r="I2030" s="57"/>
      <c r="J2030" s="57"/>
      <c r="L2030" s="164">
        <v>453</v>
      </c>
    </row>
    <row r="2031" spans="2:12" x14ac:dyDescent="0.3">
      <c r="B2031" s="57">
        <f t="shared" si="175"/>
        <v>2028</v>
      </c>
      <c r="C2031" s="147">
        <v>46190</v>
      </c>
      <c r="D2031" s="57" t="s">
        <v>968</v>
      </c>
      <c r="E2031" s="57" t="s">
        <v>4128</v>
      </c>
      <c r="F2031" s="57" t="s">
        <v>350</v>
      </c>
      <c r="G2031" s="57" t="s">
        <v>322</v>
      </c>
      <c r="H2031" s="140" t="s">
        <v>2957</v>
      </c>
      <c r="I2031" s="57"/>
      <c r="J2031" s="57"/>
      <c r="L2031" s="164">
        <v>848</v>
      </c>
    </row>
    <row r="2032" spans="2:12" x14ac:dyDescent="0.3">
      <c r="B2032" s="57">
        <f t="shared" si="175"/>
        <v>2029</v>
      </c>
      <c r="C2032" s="147">
        <v>46190</v>
      </c>
      <c r="D2032" s="57" t="s">
        <v>968</v>
      </c>
      <c r="E2032" s="57" t="s">
        <v>4128</v>
      </c>
      <c r="F2032" s="57" t="s">
        <v>350</v>
      </c>
      <c r="G2032" s="57" t="s">
        <v>663</v>
      </c>
      <c r="H2032" s="140" t="s">
        <v>1860</v>
      </c>
      <c r="I2032" s="57"/>
      <c r="J2032" s="57"/>
      <c r="L2032" s="164">
        <v>1000</v>
      </c>
    </row>
    <row r="2033" spans="2:12" x14ac:dyDescent="0.3">
      <c r="B2033" s="57">
        <f t="shared" si="175"/>
        <v>2030</v>
      </c>
      <c r="C2033" s="147">
        <v>46190</v>
      </c>
      <c r="D2033" s="57" t="s">
        <v>968</v>
      </c>
      <c r="E2033" s="57" t="s">
        <v>767</v>
      </c>
      <c r="F2033" s="57" t="s">
        <v>350</v>
      </c>
      <c r="G2033" s="57" t="s">
        <v>701</v>
      </c>
      <c r="H2033" s="140" t="s">
        <v>1861</v>
      </c>
      <c r="I2033" s="57"/>
      <c r="J2033" s="57"/>
      <c r="L2033" s="164">
        <v>300</v>
      </c>
    </row>
    <row r="2034" spans="2:12" x14ac:dyDescent="0.3">
      <c r="B2034" s="57">
        <f t="shared" si="175"/>
        <v>2031</v>
      </c>
      <c r="C2034" s="147">
        <v>46190</v>
      </c>
      <c r="D2034" s="57" t="s">
        <v>968</v>
      </c>
      <c r="E2034" s="57" t="s">
        <v>434</v>
      </c>
      <c r="F2034" s="57" t="s">
        <v>350</v>
      </c>
      <c r="G2034" s="57" t="s">
        <v>322</v>
      </c>
      <c r="H2034" s="140" t="s">
        <v>1862</v>
      </c>
      <c r="I2034" s="57"/>
      <c r="J2034" s="57"/>
      <c r="L2034" s="164">
        <v>1200</v>
      </c>
    </row>
    <row r="2035" spans="2:12" x14ac:dyDescent="0.3">
      <c r="B2035" s="57">
        <f t="shared" si="175"/>
        <v>2032</v>
      </c>
      <c r="C2035" s="147">
        <v>46190</v>
      </c>
      <c r="D2035" s="57" t="s">
        <v>968</v>
      </c>
      <c r="E2035" s="57" t="s">
        <v>522</v>
      </c>
      <c r="F2035" s="57" t="s">
        <v>350</v>
      </c>
      <c r="G2035" s="57" t="s">
        <v>322</v>
      </c>
      <c r="H2035" s="140" t="s">
        <v>1863</v>
      </c>
      <c r="I2035" s="57"/>
      <c r="J2035" s="57"/>
      <c r="L2035" s="164">
        <v>3500</v>
      </c>
    </row>
    <row r="2036" spans="2:12" x14ac:dyDescent="0.3">
      <c r="B2036" s="57">
        <f t="shared" si="175"/>
        <v>2033</v>
      </c>
      <c r="C2036" s="147">
        <v>46190</v>
      </c>
      <c r="D2036" s="57" t="s">
        <v>968</v>
      </c>
      <c r="E2036" s="57" t="s">
        <v>958</v>
      </c>
      <c r="F2036" s="57" t="s">
        <v>350</v>
      </c>
      <c r="G2036" s="57" t="s">
        <v>322</v>
      </c>
      <c r="H2036" s="140" t="s">
        <v>1864</v>
      </c>
      <c r="I2036" s="57"/>
      <c r="J2036" s="57"/>
      <c r="L2036" s="164">
        <v>2000</v>
      </c>
    </row>
    <row r="2037" spans="2:12" x14ac:dyDescent="0.3">
      <c r="B2037" s="57">
        <f t="shared" si="175"/>
        <v>2034</v>
      </c>
      <c r="C2037" s="147">
        <v>46190</v>
      </c>
      <c r="D2037" s="57" t="s">
        <v>968</v>
      </c>
      <c r="E2037" s="57" t="s">
        <v>237</v>
      </c>
      <c r="F2037" s="57" t="s">
        <v>300</v>
      </c>
      <c r="G2037" s="57" t="s">
        <v>530</v>
      </c>
      <c r="H2037" s="140" t="s">
        <v>1865</v>
      </c>
      <c r="I2037" s="57"/>
      <c r="J2037" s="57"/>
      <c r="L2037" s="164">
        <v>5000</v>
      </c>
    </row>
    <row r="2038" spans="2:12" x14ac:dyDescent="0.3">
      <c r="B2038" s="57">
        <f t="shared" si="175"/>
        <v>2035</v>
      </c>
      <c r="C2038" s="147">
        <v>46190</v>
      </c>
      <c r="D2038" s="57" t="s">
        <v>968</v>
      </c>
      <c r="E2038" s="57" t="s">
        <v>686</v>
      </c>
      <c r="F2038" s="57" t="s">
        <v>300</v>
      </c>
      <c r="G2038" s="57" t="s">
        <v>530</v>
      </c>
      <c r="H2038" s="140" t="s">
        <v>1866</v>
      </c>
      <c r="I2038" s="57"/>
      <c r="J2038" s="57"/>
      <c r="L2038" s="164">
        <v>1100</v>
      </c>
    </row>
    <row r="2039" spans="2:12" x14ac:dyDescent="0.3">
      <c r="B2039" s="57">
        <f t="shared" si="175"/>
        <v>2036</v>
      </c>
      <c r="C2039" s="147">
        <v>46190</v>
      </c>
      <c r="D2039" s="57" t="s">
        <v>968</v>
      </c>
      <c r="E2039" s="57" t="s">
        <v>237</v>
      </c>
      <c r="F2039" s="57" t="s">
        <v>300</v>
      </c>
      <c r="G2039" s="57" t="s">
        <v>2327</v>
      </c>
      <c r="H2039" s="140" t="s">
        <v>1867</v>
      </c>
      <c r="I2039" s="57"/>
      <c r="J2039" s="57"/>
      <c r="L2039" s="164">
        <v>7200</v>
      </c>
    </row>
    <row r="2040" spans="2:12" x14ac:dyDescent="0.3">
      <c r="B2040" s="57">
        <f t="shared" si="175"/>
        <v>2037</v>
      </c>
      <c r="C2040" s="147">
        <v>46190</v>
      </c>
      <c r="D2040" s="57" t="s">
        <v>968</v>
      </c>
      <c r="E2040" s="57" t="s">
        <v>590</v>
      </c>
      <c r="F2040" s="57" t="s">
        <v>300</v>
      </c>
      <c r="G2040" s="57" t="s">
        <v>2327</v>
      </c>
      <c r="H2040" s="140" t="s">
        <v>1868</v>
      </c>
      <c r="I2040" s="57"/>
      <c r="J2040" s="57"/>
      <c r="L2040" s="164">
        <v>220</v>
      </c>
    </row>
    <row r="2041" spans="2:12" x14ac:dyDescent="0.3">
      <c r="B2041" s="57">
        <f t="shared" si="175"/>
        <v>2038</v>
      </c>
      <c r="C2041" s="147">
        <v>46190</v>
      </c>
      <c r="D2041" s="57" t="s">
        <v>968</v>
      </c>
      <c r="E2041" s="57" t="s">
        <v>532</v>
      </c>
      <c r="F2041" s="57" t="s">
        <v>446</v>
      </c>
      <c r="G2041" s="57" t="s">
        <v>313</v>
      </c>
      <c r="H2041" s="140" t="s">
        <v>1869</v>
      </c>
      <c r="I2041" s="57" t="s">
        <v>532</v>
      </c>
      <c r="J2041" s="57">
        <v>15</v>
      </c>
      <c r="K2041" s="57">
        <v>256</v>
      </c>
      <c r="L2041" s="164">
        <v>3840</v>
      </c>
    </row>
    <row r="2042" spans="2:12" x14ac:dyDescent="0.3">
      <c r="B2042" s="57">
        <f t="shared" si="175"/>
        <v>2039</v>
      </c>
      <c r="C2042" s="147">
        <v>46190</v>
      </c>
      <c r="D2042" s="57" t="s">
        <v>968</v>
      </c>
      <c r="E2042" s="57" t="s">
        <v>4128</v>
      </c>
      <c r="F2042" s="57" t="s">
        <v>300</v>
      </c>
      <c r="G2042" s="57" t="s">
        <v>996</v>
      </c>
      <c r="H2042" s="140" t="s">
        <v>1870</v>
      </c>
      <c r="I2042" s="57"/>
      <c r="J2042" s="57"/>
      <c r="L2042" s="164">
        <v>3000</v>
      </c>
    </row>
    <row r="2043" spans="2:12" x14ac:dyDescent="0.3">
      <c r="B2043" s="57">
        <f t="shared" si="175"/>
        <v>2040</v>
      </c>
      <c r="C2043" s="147">
        <v>46190</v>
      </c>
      <c r="D2043" s="57" t="s">
        <v>968</v>
      </c>
      <c r="E2043" s="57" t="s">
        <v>4128</v>
      </c>
      <c r="F2043" s="57" t="s">
        <v>300</v>
      </c>
      <c r="G2043" s="57" t="s">
        <v>530</v>
      </c>
      <c r="H2043" s="140" t="s">
        <v>2958</v>
      </c>
      <c r="I2043" s="57"/>
      <c r="J2043" s="57"/>
      <c r="L2043" s="164">
        <v>3750</v>
      </c>
    </row>
    <row r="2044" spans="2:12" x14ac:dyDescent="0.3">
      <c r="B2044" s="57">
        <f t="shared" si="175"/>
        <v>2041</v>
      </c>
      <c r="C2044" s="147">
        <v>46190</v>
      </c>
      <c r="D2044" s="57" t="s">
        <v>968</v>
      </c>
      <c r="E2044" s="57" t="s">
        <v>986</v>
      </c>
      <c r="F2044" s="57" t="s">
        <v>446</v>
      </c>
      <c r="G2044" s="57" t="s">
        <v>990</v>
      </c>
      <c r="H2044" s="140" t="s">
        <v>1871</v>
      </c>
      <c r="I2044" s="57" t="s">
        <v>986</v>
      </c>
      <c r="J2044" s="57">
        <v>25</v>
      </c>
      <c r="L2044" s="164">
        <v>2000</v>
      </c>
    </row>
    <row r="2045" spans="2:12" x14ac:dyDescent="0.3">
      <c r="B2045" s="57">
        <f t="shared" si="175"/>
        <v>2042</v>
      </c>
      <c r="C2045" s="147">
        <v>46190</v>
      </c>
      <c r="D2045" s="57" t="s">
        <v>968</v>
      </c>
      <c r="E2045" s="57" t="s">
        <v>146</v>
      </c>
      <c r="F2045" s="57" t="s">
        <v>2332</v>
      </c>
      <c r="G2045" s="57" t="s">
        <v>1004</v>
      </c>
      <c r="H2045" s="140" t="s">
        <v>1872</v>
      </c>
      <c r="I2045" s="57"/>
      <c r="J2045" s="165">
        <f t="shared" ref="J2045:J2046" si="178">L2045/K2045</f>
        <v>47.1875</v>
      </c>
      <c r="K2045" s="57">
        <v>96</v>
      </c>
      <c r="L2045" s="164">
        <v>4530</v>
      </c>
    </row>
    <row r="2046" spans="2:12" x14ac:dyDescent="0.3">
      <c r="B2046" s="57">
        <f t="shared" si="175"/>
        <v>2043</v>
      </c>
      <c r="C2046" s="147">
        <v>46190</v>
      </c>
      <c r="D2046" s="57" t="s">
        <v>968</v>
      </c>
      <c r="E2046" s="57" t="s">
        <v>146</v>
      </c>
      <c r="F2046" s="57" t="s">
        <v>350</v>
      </c>
      <c r="G2046" s="57" t="s">
        <v>337</v>
      </c>
      <c r="H2046" s="140" t="s">
        <v>1873</v>
      </c>
      <c r="I2046" s="57"/>
      <c r="J2046" s="165">
        <f t="shared" si="178"/>
        <v>31.25</v>
      </c>
      <c r="K2046" s="57">
        <v>96</v>
      </c>
      <c r="L2046" s="164">
        <v>3000</v>
      </c>
    </row>
    <row r="2047" spans="2:12" x14ac:dyDescent="0.3">
      <c r="B2047" s="57">
        <f t="shared" si="175"/>
        <v>2044</v>
      </c>
      <c r="C2047" s="147">
        <v>46190</v>
      </c>
      <c r="D2047" s="57" t="s">
        <v>968</v>
      </c>
      <c r="E2047" s="57" t="s">
        <v>2022</v>
      </c>
      <c r="F2047" s="57" t="s">
        <v>300</v>
      </c>
      <c r="G2047" s="57" t="s">
        <v>530</v>
      </c>
      <c r="H2047" s="140" t="s">
        <v>1874</v>
      </c>
      <c r="I2047" s="57"/>
      <c r="J2047" s="57"/>
      <c r="L2047" s="164">
        <v>9210</v>
      </c>
    </row>
    <row r="2048" spans="2:12" x14ac:dyDescent="0.3">
      <c r="B2048" s="57">
        <f t="shared" si="175"/>
        <v>2045</v>
      </c>
      <c r="C2048" s="147">
        <v>46190</v>
      </c>
      <c r="D2048" s="57" t="s">
        <v>968</v>
      </c>
      <c r="E2048" s="57" t="s">
        <v>434</v>
      </c>
      <c r="F2048" s="57" t="s">
        <v>350</v>
      </c>
      <c r="G2048" s="57" t="s">
        <v>663</v>
      </c>
      <c r="H2048" s="140" t="s">
        <v>1875</v>
      </c>
      <c r="I2048" s="57"/>
      <c r="J2048" s="57"/>
      <c r="L2048" s="164">
        <v>930</v>
      </c>
    </row>
    <row r="2049" spans="2:12" x14ac:dyDescent="0.3">
      <c r="B2049" s="57">
        <f t="shared" si="175"/>
        <v>2046</v>
      </c>
      <c r="C2049" s="147">
        <v>46190</v>
      </c>
      <c r="D2049" s="57" t="s">
        <v>968</v>
      </c>
      <c r="E2049" s="57" t="s">
        <v>522</v>
      </c>
      <c r="F2049" s="57" t="s">
        <v>446</v>
      </c>
      <c r="G2049" s="57" t="s">
        <v>352</v>
      </c>
      <c r="H2049" s="140" t="s">
        <v>1876</v>
      </c>
      <c r="I2049" s="57"/>
      <c r="J2049" s="57"/>
      <c r="L2049" s="164">
        <v>1400</v>
      </c>
    </row>
    <row r="2050" spans="2:12" x14ac:dyDescent="0.3">
      <c r="B2050" s="57">
        <f t="shared" si="175"/>
        <v>2047</v>
      </c>
      <c r="C2050" s="147">
        <v>46190</v>
      </c>
      <c r="D2050" s="57" t="s">
        <v>968</v>
      </c>
      <c r="E2050" s="57" t="s">
        <v>146</v>
      </c>
      <c r="F2050" s="57" t="s">
        <v>300</v>
      </c>
      <c r="G2050" s="57" t="s">
        <v>530</v>
      </c>
      <c r="H2050" s="140" t="s">
        <v>1877</v>
      </c>
      <c r="I2050" s="57"/>
      <c r="J2050" s="165">
        <f>L2050/K2050</f>
        <v>23.958333333333332</v>
      </c>
      <c r="K2050" s="57">
        <v>96</v>
      </c>
      <c r="L2050" s="164">
        <v>2300</v>
      </c>
    </row>
    <row r="2051" spans="2:12" x14ac:dyDescent="0.3">
      <c r="B2051" s="57">
        <f t="shared" si="175"/>
        <v>2048</v>
      </c>
      <c r="C2051" s="147">
        <v>46190</v>
      </c>
      <c r="D2051" s="57" t="s">
        <v>968</v>
      </c>
      <c r="E2051" s="57" t="s">
        <v>474</v>
      </c>
      <c r="F2051" s="57" t="s">
        <v>300</v>
      </c>
      <c r="G2051" s="57" t="s">
        <v>530</v>
      </c>
      <c r="H2051" s="140" t="s">
        <v>1878</v>
      </c>
      <c r="I2051" s="57"/>
      <c r="J2051" s="57"/>
      <c r="L2051" s="164">
        <v>22800</v>
      </c>
    </row>
    <row r="2052" spans="2:12" x14ac:dyDescent="0.3">
      <c r="B2052" s="57">
        <f t="shared" si="175"/>
        <v>2049</v>
      </c>
      <c r="C2052" s="147">
        <v>46190</v>
      </c>
      <c r="D2052" s="57" t="s">
        <v>968</v>
      </c>
      <c r="E2052" s="57" t="s">
        <v>474</v>
      </c>
      <c r="F2052" s="57" t="s">
        <v>300</v>
      </c>
      <c r="G2052" s="57" t="s">
        <v>530</v>
      </c>
      <c r="H2052" s="140" t="s">
        <v>1878</v>
      </c>
      <c r="I2052" s="57"/>
      <c r="J2052" s="57"/>
      <c r="L2052" s="164">
        <v>2000</v>
      </c>
    </row>
    <row r="2053" spans="2:12" x14ac:dyDescent="0.3">
      <c r="B2053" s="57">
        <f t="shared" si="175"/>
        <v>2050</v>
      </c>
      <c r="C2053" s="147">
        <v>46190</v>
      </c>
      <c r="D2053" s="57" t="s">
        <v>968</v>
      </c>
      <c r="E2053" s="57" t="s">
        <v>146</v>
      </c>
      <c r="F2053" s="57" t="s">
        <v>300</v>
      </c>
      <c r="G2053" s="57" t="s">
        <v>498</v>
      </c>
      <c r="H2053" s="140" t="s">
        <v>1816</v>
      </c>
      <c r="I2053" s="57"/>
      <c r="J2053" s="165">
        <f t="shared" ref="J2053:J2054" si="179">L2053/K2053</f>
        <v>20.833333333333332</v>
      </c>
      <c r="K2053" s="57">
        <v>96</v>
      </c>
      <c r="L2053" s="164">
        <v>2000</v>
      </c>
    </row>
    <row r="2054" spans="2:12" x14ac:dyDescent="0.3">
      <c r="B2054" s="57">
        <f t="shared" ref="B2054:B2117" si="180">+B2053+1</f>
        <v>2051</v>
      </c>
      <c r="C2054" s="147">
        <v>46190</v>
      </c>
      <c r="D2054" s="57" t="s">
        <v>968</v>
      </c>
      <c r="E2054" s="57" t="s">
        <v>146</v>
      </c>
      <c r="F2054" s="57" t="s">
        <v>300</v>
      </c>
      <c r="G2054" s="57" t="s">
        <v>996</v>
      </c>
      <c r="H2054" s="140" t="s">
        <v>1879</v>
      </c>
      <c r="I2054" s="57"/>
      <c r="J2054" s="165">
        <f t="shared" si="179"/>
        <v>46.645833333333336</v>
      </c>
      <c r="K2054" s="57">
        <v>96</v>
      </c>
      <c r="L2054" s="164">
        <v>4478</v>
      </c>
    </row>
    <row r="2055" spans="2:12" x14ac:dyDescent="0.3">
      <c r="B2055" s="57">
        <f t="shared" si="180"/>
        <v>2052</v>
      </c>
      <c r="C2055" s="147">
        <v>46190</v>
      </c>
      <c r="D2055" s="57" t="s">
        <v>968</v>
      </c>
      <c r="E2055" s="57" t="s">
        <v>574</v>
      </c>
      <c r="F2055" s="57" t="s">
        <v>446</v>
      </c>
      <c r="G2055" s="57" t="s">
        <v>313</v>
      </c>
      <c r="H2055" s="140" t="s">
        <v>1880</v>
      </c>
      <c r="I2055" s="140" t="s">
        <v>4081</v>
      </c>
      <c r="J2055" s="57">
        <v>4</v>
      </c>
      <c r="K2055" s="167">
        <f t="shared" ref="K2055:K2057" si="181">L2055/J2055</f>
        <v>575</v>
      </c>
      <c r="L2055" s="164">
        <v>2300</v>
      </c>
    </row>
    <row r="2056" spans="2:12" x14ac:dyDescent="0.3">
      <c r="B2056" s="57">
        <f t="shared" si="180"/>
        <v>2053</v>
      </c>
      <c r="C2056" s="147">
        <v>46190</v>
      </c>
      <c r="D2056" s="57" t="s">
        <v>968</v>
      </c>
      <c r="E2056" s="57" t="s">
        <v>574</v>
      </c>
      <c r="F2056" s="57" t="s">
        <v>350</v>
      </c>
      <c r="G2056" s="57" t="s">
        <v>714</v>
      </c>
      <c r="H2056" s="140" t="s">
        <v>1881</v>
      </c>
      <c r="I2056" s="140" t="s">
        <v>4081</v>
      </c>
      <c r="J2056" s="57">
        <v>22.5</v>
      </c>
      <c r="K2056" s="167">
        <f t="shared" si="181"/>
        <v>844.17777777777781</v>
      </c>
      <c r="L2056" s="164">
        <v>18994</v>
      </c>
    </row>
    <row r="2057" spans="2:12" x14ac:dyDescent="0.3">
      <c r="B2057" s="57">
        <f t="shared" si="180"/>
        <v>2054</v>
      </c>
      <c r="C2057" s="147">
        <v>46190</v>
      </c>
      <c r="D2057" s="57" t="s">
        <v>968</v>
      </c>
      <c r="E2057" s="57" t="s">
        <v>574</v>
      </c>
      <c r="F2057" s="57" t="s">
        <v>300</v>
      </c>
      <c r="G2057" s="57" t="s">
        <v>498</v>
      </c>
      <c r="H2057" s="140" t="s">
        <v>1882</v>
      </c>
      <c r="I2057" s="140" t="s">
        <v>4127</v>
      </c>
      <c r="J2057" s="57">
        <v>6</v>
      </c>
      <c r="K2057" s="167">
        <f t="shared" si="181"/>
        <v>517.5</v>
      </c>
      <c r="L2057" s="164">
        <v>3105</v>
      </c>
    </row>
    <row r="2058" spans="2:12" x14ac:dyDescent="0.3">
      <c r="B2058" s="57">
        <f t="shared" si="180"/>
        <v>2055</v>
      </c>
      <c r="C2058" s="147">
        <v>46190</v>
      </c>
      <c r="D2058" s="57" t="s">
        <v>968</v>
      </c>
      <c r="E2058" s="57" t="s">
        <v>146</v>
      </c>
      <c r="F2058" s="57" t="s">
        <v>300</v>
      </c>
      <c r="G2058" s="57" t="s">
        <v>526</v>
      </c>
      <c r="H2058" s="140" t="s">
        <v>4112</v>
      </c>
      <c r="I2058" s="57" t="s">
        <v>146</v>
      </c>
      <c r="J2058" s="165">
        <f>L2058/K2058</f>
        <v>31.25</v>
      </c>
      <c r="K2058" s="57">
        <v>96</v>
      </c>
      <c r="L2058" s="164">
        <v>3000</v>
      </c>
    </row>
    <row r="2059" spans="2:12" x14ac:dyDescent="0.3">
      <c r="B2059" s="57">
        <f t="shared" si="180"/>
        <v>2056</v>
      </c>
      <c r="C2059" s="147">
        <v>46190</v>
      </c>
      <c r="D2059" s="57" t="s">
        <v>968</v>
      </c>
      <c r="E2059" s="57" t="s">
        <v>237</v>
      </c>
      <c r="F2059" s="57" t="s">
        <v>300</v>
      </c>
      <c r="G2059" s="57" t="s">
        <v>2327</v>
      </c>
      <c r="H2059" s="140" t="s">
        <v>1883</v>
      </c>
      <c r="I2059" s="57"/>
      <c r="J2059" s="57"/>
      <c r="L2059" s="164">
        <v>6000</v>
      </c>
    </row>
    <row r="2060" spans="2:12" x14ac:dyDescent="0.3">
      <c r="B2060" s="57">
        <f t="shared" si="180"/>
        <v>2057</v>
      </c>
      <c r="C2060" s="147">
        <v>46190</v>
      </c>
      <c r="D2060" s="57" t="s">
        <v>968</v>
      </c>
      <c r="E2060" s="57" t="s">
        <v>237</v>
      </c>
      <c r="F2060" s="57" t="s">
        <v>300</v>
      </c>
      <c r="G2060" s="57" t="s">
        <v>530</v>
      </c>
      <c r="H2060" s="140" t="s">
        <v>1884</v>
      </c>
      <c r="I2060" s="57"/>
      <c r="J2060" s="57"/>
      <c r="L2060" s="164">
        <v>4000</v>
      </c>
    </row>
    <row r="2061" spans="2:12" x14ac:dyDescent="0.3">
      <c r="B2061" s="57">
        <f t="shared" si="180"/>
        <v>2058</v>
      </c>
      <c r="C2061" s="147">
        <v>46190</v>
      </c>
      <c r="D2061" s="57" t="s">
        <v>968</v>
      </c>
      <c r="E2061" s="57" t="s">
        <v>532</v>
      </c>
      <c r="F2061" s="57" t="s">
        <v>300</v>
      </c>
      <c r="G2061" s="57" t="s">
        <v>530</v>
      </c>
      <c r="H2061" s="140" t="s">
        <v>1885</v>
      </c>
      <c r="I2061" s="57" t="s">
        <v>532</v>
      </c>
      <c r="J2061" s="57">
        <v>100</v>
      </c>
      <c r="K2061" s="57">
        <v>260</v>
      </c>
      <c r="L2061" s="164">
        <v>26000</v>
      </c>
    </row>
    <row r="2062" spans="2:12" x14ac:dyDescent="0.3">
      <c r="B2062" s="57">
        <f t="shared" si="180"/>
        <v>2059</v>
      </c>
      <c r="C2062" s="147">
        <v>46190</v>
      </c>
      <c r="D2062" s="57" t="s">
        <v>968</v>
      </c>
      <c r="E2062" s="57" t="s">
        <v>237</v>
      </c>
      <c r="F2062" s="57" t="s">
        <v>350</v>
      </c>
      <c r="G2062" s="57" t="s">
        <v>337</v>
      </c>
      <c r="H2062" s="140" t="s">
        <v>1886</v>
      </c>
      <c r="I2062" s="57"/>
      <c r="J2062" s="57"/>
      <c r="L2062" s="164">
        <v>8040</v>
      </c>
    </row>
    <row r="2063" spans="2:12" x14ac:dyDescent="0.3">
      <c r="B2063" s="57">
        <f t="shared" si="180"/>
        <v>2060</v>
      </c>
      <c r="C2063" s="143">
        <v>46191</v>
      </c>
      <c r="D2063" s="152" t="s">
        <v>435</v>
      </c>
      <c r="E2063" s="57" t="s">
        <v>471</v>
      </c>
      <c r="F2063" s="57" t="s">
        <v>621</v>
      </c>
      <c r="G2063" s="57" t="s">
        <v>345</v>
      </c>
      <c r="H2063" s="140" t="s">
        <v>699</v>
      </c>
      <c r="I2063" s="57"/>
      <c r="J2063" s="57"/>
      <c r="L2063" s="164">
        <v>215100</v>
      </c>
    </row>
    <row r="2064" spans="2:12" x14ac:dyDescent="0.3">
      <c r="B2064" s="57">
        <f t="shared" si="180"/>
        <v>2061</v>
      </c>
      <c r="C2064" s="143">
        <v>46191</v>
      </c>
      <c r="D2064" s="152" t="s">
        <v>435</v>
      </c>
      <c r="E2064" s="57" t="s">
        <v>574</v>
      </c>
      <c r="F2064" s="57" t="s">
        <v>300</v>
      </c>
      <c r="G2064" s="57" t="s">
        <v>438</v>
      </c>
      <c r="H2064" s="140" t="s">
        <v>697</v>
      </c>
      <c r="I2064" s="140" t="s">
        <v>2635</v>
      </c>
      <c r="J2064" s="57">
        <v>54</v>
      </c>
      <c r="K2064" s="57">
        <f>L2064/J2064</f>
        <v>844.12962962962968</v>
      </c>
      <c r="L2064" s="164">
        <v>45583</v>
      </c>
    </row>
    <row r="2065" spans="2:13" x14ac:dyDescent="0.3">
      <c r="B2065" s="57">
        <f t="shared" si="180"/>
        <v>2062</v>
      </c>
      <c r="C2065" s="143">
        <v>46191</v>
      </c>
      <c r="D2065" s="152" t="s">
        <v>435</v>
      </c>
      <c r="E2065" s="57" t="s">
        <v>574</v>
      </c>
      <c r="F2065" s="57" t="s">
        <v>436</v>
      </c>
      <c r="G2065" s="57" t="s">
        <v>270</v>
      </c>
      <c r="H2065" s="140" t="s">
        <v>696</v>
      </c>
      <c r="I2065" s="140" t="s">
        <v>2635</v>
      </c>
      <c r="J2065" s="57">
        <v>79</v>
      </c>
      <c r="K2065" s="57">
        <f>L2065/J2065</f>
        <v>869.18987341772151</v>
      </c>
      <c r="L2065" s="164">
        <v>68666</v>
      </c>
    </row>
    <row r="2066" spans="2:13" x14ac:dyDescent="0.3">
      <c r="B2066" s="57">
        <f t="shared" si="180"/>
        <v>2063</v>
      </c>
      <c r="C2066" s="143">
        <v>46191</v>
      </c>
      <c r="D2066" s="152" t="s">
        <v>435</v>
      </c>
      <c r="E2066" s="57" t="s">
        <v>574</v>
      </c>
      <c r="F2066" s="57" t="s">
        <v>621</v>
      </c>
      <c r="G2066" s="57" t="s">
        <v>345</v>
      </c>
      <c r="H2066" s="140" t="s">
        <v>2395</v>
      </c>
      <c r="I2066" s="140" t="s">
        <v>4081</v>
      </c>
      <c r="J2066" s="57">
        <v>23.46</v>
      </c>
      <c r="K2066" s="167">
        <v>900</v>
      </c>
      <c r="L2066" s="164">
        <f>J2066*K2066</f>
        <v>21114</v>
      </c>
    </row>
    <row r="2067" spans="2:13" x14ac:dyDescent="0.3">
      <c r="B2067" s="57">
        <f t="shared" si="180"/>
        <v>2064</v>
      </c>
      <c r="C2067" s="143">
        <v>46191</v>
      </c>
      <c r="D2067" s="152" t="s">
        <v>435</v>
      </c>
      <c r="E2067" s="57" t="s">
        <v>574</v>
      </c>
      <c r="F2067" s="57" t="s">
        <v>621</v>
      </c>
      <c r="G2067" s="57" t="s">
        <v>345</v>
      </c>
      <c r="H2067" s="140" t="s">
        <v>695</v>
      </c>
      <c r="I2067" s="140" t="s">
        <v>2635</v>
      </c>
      <c r="J2067" s="57">
        <v>23.695</v>
      </c>
      <c r="K2067" s="167">
        <v>950</v>
      </c>
      <c r="L2067" s="164">
        <f>J2067*K2067</f>
        <v>22510.25</v>
      </c>
      <c r="M2067" s="57">
        <v>42057</v>
      </c>
    </row>
    <row r="2068" spans="2:13" x14ac:dyDescent="0.3">
      <c r="B2068" s="57">
        <f t="shared" si="180"/>
        <v>2065</v>
      </c>
      <c r="C2068" s="143">
        <v>46191</v>
      </c>
      <c r="D2068" s="152" t="s">
        <v>435</v>
      </c>
      <c r="E2068" s="57" t="s">
        <v>146</v>
      </c>
      <c r="F2068" s="57" t="s">
        <v>300</v>
      </c>
      <c r="G2068" s="57" t="s">
        <v>438</v>
      </c>
      <c r="H2068" s="140" t="s">
        <v>4095</v>
      </c>
      <c r="I2068" s="57"/>
      <c r="J2068" s="165">
        <f t="shared" ref="J2068:J2070" si="182">L2068/K2068</f>
        <v>44.018750000000004</v>
      </c>
      <c r="K2068" s="57">
        <v>96</v>
      </c>
      <c r="L2068" s="164">
        <v>4225.8</v>
      </c>
    </row>
    <row r="2069" spans="2:13" x14ac:dyDescent="0.3">
      <c r="B2069" s="57">
        <f t="shared" si="180"/>
        <v>2066</v>
      </c>
      <c r="C2069" s="143">
        <v>46191</v>
      </c>
      <c r="D2069" s="152" t="s">
        <v>435</v>
      </c>
      <c r="E2069" s="57" t="s">
        <v>146</v>
      </c>
      <c r="F2069" s="57" t="s">
        <v>446</v>
      </c>
      <c r="G2069" s="57" t="s">
        <v>316</v>
      </c>
      <c r="H2069" s="140" t="s">
        <v>694</v>
      </c>
      <c r="I2069" s="57"/>
      <c r="J2069" s="165">
        <f t="shared" si="182"/>
        <v>52.083333333333336</v>
      </c>
      <c r="K2069" s="57">
        <v>96</v>
      </c>
      <c r="L2069" s="164">
        <v>5000</v>
      </c>
    </row>
    <row r="2070" spans="2:13" x14ac:dyDescent="0.3">
      <c r="B2070" s="57">
        <f t="shared" si="180"/>
        <v>2067</v>
      </c>
      <c r="C2070" s="143">
        <v>46191</v>
      </c>
      <c r="D2070" s="152" t="s">
        <v>435</v>
      </c>
      <c r="E2070" s="57" t="s">
        <v>450</v>
      </c>
      <c r="F2070" s="57" t="s">
        <v>350</v>
      </c>
      <c r="G2070" s="57" t="s">
        <v>663</v>
      </c>
      <c r="H2070" s="140" t="s">
        <v>693</v>
      </c>
      <c r="I2070" s="57"/>
      <c r="J2070" s="165">
        <f t="shared" si="182"/>
        <v>31.25</v>
      </c>
      <c r="K2070" s="57">
        <v>96</v>
      </c>
      <c r="L2070" s="164">
        <v>3000</v>
      </c>
    </row>
    <row r="2071" spans="2:13" x14ac:dyDescent="0.3">
      <c r="B2071" s="57">
        <f t="shared" si="180"/>
        <v>2068</v>
      </c>
      <c r="C2071" s="147">
        <v>46191</v>
      </c>
      <c r="D2071" s="57" t="s">
        <v>968</v>
      </c>
      <c r="E2071" s="57" t="s">
        <v>574</v>
      </c>
      <c r="F2071" s="57" t="s">
        <v>446</v>
      </c>
      <c r="G2071" s="57" t="s">
        <v>313</v>
      </c>
      <c r="H2071" s="140" t="s">
        <v>1677</v>
      </c>
      <c r="I2071" s="140" t="s">
        <v>2635</v>
      </c>
      <c r="J2071" s="57">
        <v>4</v>
      </c>
      <c r="K2071" s="167">
        <f>L2071/J2071</f>
        <v>575</v>
      </c>
      <c r="L2071" s="164">
        <v>2300</v>
      </c>
    </row>
    <row r="2072" spans="2:13" x14ac:dyDescent="0.3">
      <c r="B2072" s="57">
        <f t="shared" si="180"/>
        <v>2069</v>
      </c>
      <c r="C2072" s="147">
        <v>46191</v>
      </c>
      <c r="D2072" s="57" t="s">
        <v>968</v>
      </c>
      <c r="E2072" s="57" t="s">
        <v>532</v>
      </c>
      <c r="F2072" s="57" t="s">
        <v>300</v>
      </c>
      <c r="G2072" s="57" t="s">
        <v>498</v>
      </c>
      <c r="H2072" s="140" t="s">
        <v>1887</v>
      </c>
      <c r="I2072" s="57" t="s">
        <v>532</v>
      </c>
      <c r="J2072" s="57">
        <v>40</v>
      </c>
      <c r="K2072" s="57">
        <v>260</v>
      </c>
      <c r="L2072" s="164">
        <v>10500</v>
      </c>
    </row>
    <row r="2073" spans="2:13" x14ac:dyDescent="0.3">
      <c r="B2073" s="57">
        <f t="shared" si="180"/>
        <v>2070</v>
      </c>
      <c r="C2073" s="147">
        <v>46191</v>
      </c>
      <c r="D2073" s="57" t="s">
        <v>968</v>
      </c>
      <c r="E2073" s="57" t="s">
        <v>237</v>
      </c>
      <c r="F2073" s="57" t="s">
        <v>446</v>
      </c>
      <c r="G2073" s="57" t="s">
        <v>313</v>
      </c>
      <c r="H2073" s="140" t="s">
        <v>1888</v>
      </c>
      <c r="I2073" s="57"/>
      <c r="J2073" s="57"/>
      <c r="L2073" s="164">
        <v>3000</v>
      </c>
    </row>
    <row r="2074" spans="2:13" x14ac:dyDescent="0.3">
      <c r="B2074" s="57">
        <f t="shared" si="180"/>
        <v>2071</v>
      </c>
      <c r="C2074" s="147">
        <v>46191</v>
      </c>
      <c r="D2074" s="57" t="s">
        <v>968</v>
      </c>
      <c r="E2074" s="57" t="s">
        <v>146</v>
      </c>
      <c r="F2074" s="57" t="s">
        <v>446</v>
      </c>
      <c r="G2074" s="57" t="s">
        <v>313</v>
      </c>
      <c r="H2074" s="140" t="s">
        <v>4099</v>
      </c>
      <c r="I2074" s="57"/>
      <c r="J2074" s="165">
        <f t="shared" ref="J2074:J2077" si="183">L2074/K2074</f>
        <v>16.208333333333332</v>
      </c>
      <c r="K2074" s="57">
        <v>96</v>
      </c>
      <c r="L2074" s="164">
        <v>1556</v>
      </c>
    </row>
    <row r="2075" spans="2:13" x14ac:dyDescent="0.3">
      <c r="B2075" s="57">
        <f t="shared" si="180"/>
        <v>2072</v>
      </c>
      <c r="C2075" s="147">
        <v>46191</v>
      </c>
      <c r="D2075" s="57" t="s">
        <v>968</v>
      </c>
      <c r="E2075" s="57" t="s">
        <v>146</v>
      </c>
      <c r="F2075" s="57" t="s">
        <v>502</v>
      </c>
      <c r="G2075" s="57" t="s">
        <v>773</v>
      </c>
      <c r="H2075" s="140" t="s">
        <v>1889</v>
      </c>
      <c r="I2075" s="57"/>
      <c r="J2075" s="165">
        <f t="shared" si="183"/>
        <v>10.416666666666666</v>
      </c>
      <c r="K2075" s="57">
        <v>96</v>
      </c>
      <c r="L2075" s="164">
        <v>1000</v>
      </c>
    </row>
    <row r="2076" spans="2:13" x14ac:dyDescent="0.3">
      <c r="B2076" s="57">
        <f t="shared" si="180"/>
        <v>2073</v>
      </c>
      <c r="C2076" s="147">
        <v>46191</v>
      </c>
      <c r="D2076" s="57" t="s">
        <v>968</v>
      </c>
      <c r="E2076" s="57" t="s">
        <v>146</v>
      </c>
      <c r="F2076" s="57" t="s">
        <v>446</v>
      </c>
      <c r="G2076" s="57" t="s">
        <v>313</v>
      </c>
      <c r="H2076" s="140" t="s">
        <v>4089</v>
      </c>
      <c r="I2076" s="57"/>
      <c r="J2076" s="165">
        <f t="shared" si="183"/>
        <v>31.041666666666668</v>
      </c>
      <c r="K2076" s="57">
        <v>96</v>
      </c>
      <c r="L2076" s="164">
        <v>2980</v>
      </c>
    </row>
    <row r="2077" spans="2:13" x14ac:dyDescent="0.3">
      <c r="B2077" s="57">
        <f t="shared" si="180"/>
        <v>2074</v>
      </c>
      <c r="C2077" s="147">
        <v>46191</v>
      </c>
      <c r="D2077" s="57" t="s">
        <v>968</v>
      </c>
      <c r="E2077" s="57" t="s">
        <v>146</v>
      </c>
      <c r="F2077" s="57" t="s">
        <v>300</v>
      </c>
      <c r="G2077" s="57" t="s">
        <v>498</v>
      </c>
      <c r="H2077" s="140" t="s">
        <v>1816</v>
      </c>
      <c r="I2077" s="57"/>
      <c r="J2077" s="165">
        <f t="shared" si="183"/>
        <v>20.833333333333332</v>
      </c>
      <c r="K2077" s="57">
        <v>96</v>
      </c>
      <c r="L2077" s="164">
        <v>2000</v>
      </c>
    </row>
    <row r="2078" spans="2:13" x14ac:dyDescent="0.3">
      <c r="B2078" s="57">
        <f t="shared" si="180"/>
        <v>2075</v>
      </c>
      <c r="C2078" s="147">
        <v>46191</v>
      </c>
      <c r="D2078" s="57" t="s">
        <v>968</v>
      </c>
      <c r="E2078" s="57" t="s">
        <v>574</v>
      </c>
      <c r="F2078" s="57" t="s">
        <v>446</v>
      </c>
      <c r="G2078" s="57" t="s">
        <v>313</v>
      </c>
      <c r="H2078" s="140" t="s">
        <v>1677</v>
      </c>
      <c r="I2078" s="140" t="s">
        <v>2635</v>
      </c>
      <c r="J2078" s="57">
        <v>4</v>
      </c>
      <c r="K2078" s="167">
        <f>L2078/J2078</f>
        <v>575</v>
      </c>
      <c r="L2078" s="164">
        <v>2300</v>
      </c>
    </row>
    <row r="2079" spans="2:13" x14ac:dyDescent="0.3">
      <c r="B2079" s="57">
        <f t="shared" si="180"/>
        <v>2076</v>
      </c>
      <c r="C2079" s="147">
        <v>46191</v>
      </c>
      <c r="D2079" s="57" t="s">
        <v>968</v>
      </c>
      <c r="E2079" s="57" t="s">
        <v>4128</v>
      </c>
      <c r="F2079" s="57" t="s">
        <v>546</v>
      </c>
      <c r="G2079" s="57" t="s">
        <v>545</v>
      </c>
      <c r="H2079" s="140" t="s">
        <v>2959</v>
      </c>
      <c r="I2079" s="57"/>
      <c r="J2079" s="57"/>
      <c r="L2079" s="164">
        <v>1000</v>
      </c>
    </row>
    <row r="2080" spans="2:13" x14ac:dyDescent="0.3">
      <c r="B2080" s="57">
        <f t="shared" si="180"/>
        <v>2077</v>
      </c>
      <c r="C2080" s="147">
        <v>46191</v>
      </c>
      <c r="D2080" s="57" t="s">
        <v>968</v>
      </c>
      <c r="E2080" s="57" t="s">
        <v>237</v>
      </c>
      <c r="F2080" s="57" t="s">
        <v>446</v>
      </c>
      <c r="G2080" s="57" t="s">
        <v>352</v>
      </c>
      <c r="H2080" s="140" t="s">
        <v>1890</v>
      </c>
      <c r="I2080" s="57"/>
      <c r="J2080" s="57"/>
      <c r="L2080" s="164">
        <v>720</v>
      </c>
    </row>
    <row r="2081" spans="2:12" x14ac:dyDescent="0.3">
      <c r="B2081" s="57">
        <f t="shared" si="180"/>
        <v>2078</v>
      </c>
      <c r="C2081" s="147">
        <v>46191</v>
      </c>
      <c r="D2081" s="57" t="s">
        <v>968</v>
      </c>
      <c r="E2081" s="57" t="s">
        <v>727</v>
      </c>
      <c r="F2081" s="57" t="s">
        <v>2332</v>
      </c>
      <c r="G2081" s="57" t="s">
        <v>1004</v>
      </c>
      <c r="H2081" s="140" t="s">
        <v>1891</v>
      </c>
      <c r="I2081" s="57"/>
      <c r="J2081" s="57"/>
      <c r="L2081" s="164">
        <v>1200</v>
      </c>
    </row>
    <row r="2082" spans="2:12" x14ac:dyDescent="0.3">
      <c r="B2082" s="57">
        <f t="shared" si="180"/>
        <v>2079</v>
      </c>
      <c r="C2082" s="147">
        <v>46191</v>
      </c>
      <c r="D2082" s="57" t="s">
        <v>968</v>
      </c>
      <c r="E2082" s="57" t="s">
        <v>529</v>
      </c>
      <c r="F2082" s="57" t="s">
        <v>2332</v>
      </c>
      <c r="G2082" s="57" t="s">
        <v>1004</v>
      </c>
      <c r="H2082" s="140" t="s">
        <v>1892</v>
      </c>
      <c r="I2082" s="57"/>
      <c r="J2082" s="57"/>
      <c r="L2082" s="164">
        <v>1539</v>
      </c>
    </row>
    <row r="2083" spans="2:12" x14ac:dyDescent="0.3">
      <c r="B2083" s="57">
        <f t="shared" si="180"/>
        <v>2080</v>
      </c>
      <c r="C2083" s="147">
        <v>46191</v>
      </c>
      <c r="D2083" s="57" t="s">
        <v>968</v>
      </c>
      <c r="E2083" s="57" t="s">
        <v>4008</v>
      </c>
      <c r="F2083" s="57" t="s">
        <v>446</v>
      </c>
      <c r="G2083" s="57" t="s">
        <v>352</v>
      </c>
      <c r="H2083" s="140" t="s">
        <v>1893</v>
      </c>
      <c r="I2083" s="57"/>
      <c r="J2083" s="57"/>
      <c r="L2083" s="164">
        <v>5900</v>
      </c>
    </row>
    <row r="2084" spans="2:12" x14ac:dyDescent="0.3">
      <c r="B2084" s="57">
        <f t="shared" si="180"/>
        <v>2081</v>
      </c>
      <c r="C2084" s="147">
        <v>46191</v>
      </c>
      <c r="D2084" s="57" t="s">
        <v>968</v>
      </c>
      <c r="E2084" s="57" t="s">
        <v>146</v>
      </c>
      <c r="F2084" s="57" t="s">
        <v>300</v>
      </c>
      <c r="G2084" s="57" t="s">
        <v>530</v>
      </c>
      <c r="H2084" s="140" t="s">
        <v>1894</v>
      </c>
      <c r="I2084" s="57"/>
      <c r="J2084" s="165">
        <f>L2084/K2084</f>
        <v>104.16666666666667</v>
      </c>
      <c r="K2084" s="57">
        <v>96</v>
      </c>
      <c r="L2084" s="164">
        <v>10000</v>
      </c>
    </row>
    <row r="2085" spans="2:12" x14ac:dyDescent="0.3">
      <c r="B2085" s="57">
        <f t="shared" si="180"/>
        <v>2082</v>
      </c>
      <c r="C2085" s="143">
        <v>46192</v>
      </c>
      <c r="D2085" s="152" t="s">
        <v>435</v>
      </c>
      <c r="E2085" s="57" t="s">
        <v>529</v>
      </c>
      <c r="F2085" s="57" t="s">
        <v>300</v>
      </c>
      <c r="G2085" s="57" t="s">
        <v>438</v>
      </c>
      <c r="H2085" s="140" t="s">
        <v>698</v>
      </c>
      <c r="I2085" s="57"/>
      <c r="J2085" s="57"/>
      <c r="L2085" s="164">
        <v>2800</v>
      </c>
    </row>
    <row r="2086" spans="2:12" x14ac:dyDescent="0.3">
      <c r="B2086" s="57">
        <f t="shared" si="180"/>
        <v>2083</v>
      </c>
      <c r="C2086" s="147">
        <v>46192</v>
      </c>
      <c r="D2086" s="57" t="s">
        <v>968</v>
      </c>
      <c r="E2086" s="57" t="s">
        <v>146</v>
      </c>
      <c r="F2086" s="57" t="s">
        <v>350</v>
      </c>
      <c r="G2086" s="57" t="s">
        <v>714</v>
      </c>
      <c r="H2086" s="140" t="s">
        <v>1895</v>
      </c>
      <c r="I2086" s="57"/>
      <c r="J2086" s="165">
        <f>L2086/K2086</f>
        <v>41.666666666666664</v>
      </c>
      <c r="K2086" s="57">
        <v>96</v>
      </c>
      <c r="L2086" s="164">
        <v>4000</v>
      </c>
    </row>
    <row r="2087" spans="2:12" x14ac:dyDescent="0.3">
      <c r="B2087" s="57">
        <f t="shared" si="180"/>
        <v>2084</v>
      </c>
      <c r="C2087" s="147">
        <v>46192</v>
      </c>
      <c r="D2087" s="57" t="s">
        <v>968</v>
      </c>
      <c r="E2087" s="57" t="s">
        <v>532</v>
      </c>
      <c r="F2087" s="57" t="s">
        <v>446</v>
      </c>
      <c r="G2087" s="57" t="s">
        <v>313</v>
      </c>
      <c r="H2087" s="140" t="s">
        <v>1896</v>
      </c>
      <c r="I2087" s="57" t="s">
        <v>532</v>
      </c>
      <c r="J2087" s="57">
        <v>15</v>
      </c>
      <c r="K2087" s="168"/>
      <c r="L2087" s="164">
        <v>6670</v>
      </c>
    </row>
    <row r="2088" spans="2:12" x14ac:dyDescent="0.3">
      <c r="B2088" s="57">
        <f t="shared" si="180"/>
        <v>2085</v>
      </c>
      <c r="C2088" s="147">
        <v>46192</v>
      </c>
      <c r="D2088" s="57" t="s">
        <v>968</v>
      </c>
      <c r="E2088" s="57" t="s">
        <v>767</v>
      </c>
      <c r="F2088" s="57" t="s">
        <v>446</v>
      </c>
      <c r="G2088" s="57" t="s">
        <v>359</v>
      </c>
      <c r="H2088" s="140" t="s">
        <v>1897</v>
      </c>
      <c r="I2088" s="57"/>
      <c r="J2088" s="57"/>
      <c r="L2088" s="164">
        <v>350</v>
      </c>
    </row>
    <row r="2089" spans="2:12" x14ac:dyDescent="0.3">
      <c r="B2089" s="57">
        <f t="shared" si="180"/>
        <v>2086</v>
      </c>
      <c r="C2089" s="147">
        <v>46192</v>
      </c>
      <c r="D2089" s="57" t="s">
        <v>968</v>
      </c>
      <c r="E2089" s="57" t="s">
        <v>474</v>
      </c>
      <c r="F2089" s="57" t="s">
        <v>300</v>
      </c>
      <c r="G2089" s="57" t="s">
        <v>530</v>
      </c>
      <c r="H2089" s="140" t="s">
        <v>1898</v>
      </c>
      <c r="I2089" s="57"/>
      <c r="J2089" s="57"/>
      <c r="L2089" s="164">
        <v>9000</v>
      </c>
    </row>
    <row r="2090" spans="2:12" x14ac:dyDescent="0.3">
      <c r="B2090" s="57">
        <f t="shared" si="180"/>
        <v>2087</v>
      </c>
      <c r="C2090" s="147">
        <v>46192</v>
      </c>
      <c r="D2090" s="57" t="s">
        <v>968</v>
      </c>
      <c r="E2090" s="57" t="s">
        <v>574</v>
      </c>
      <c r="F2090" s="57" t="s">
        <v>446</v>
      </c>
      <c r="G2090" s="57" t="s">
        <v>313</v>
      </c>
      <c r="H2090" s="140" t="s">
        <v>1677</v>
      </c>
      <c r="I2090" s="140" t="s">
        <v>2635</v>
      </c>
      <c r="J2090" s="57">
        <v>4</v>
      </c>
      <c r="K2090" s="167">
        <f>L2090/J2090</f>
        <v>575</v>
      </c>
      <c r="L2090" s="164">
        <v>2300</v>
      </c>
    </row>
    <row r="2091" spans="2:12" x14ac:dyDescent="0.3">
      <c r="B2091" s="57">
        <f t="shared" si="180"/>
        <v>2088</v>
      </c>
      <c r="C2091" s="147">
        <v>46192</v>
      </c>
      <c r="D2091" s="57" t="s">
        <v>968</v>
      </c>
      <c r="E2091" s="57" t="s">
        <v>146</v>
      </c>
      <c r="F2091" s="57" t="s">
        <v>446</v>
      </c>
      <c r="G2091" s="57" t="s">
        <v>352</v>
      </c>
      <c r="H2091" s="140" t="s">
        <v>4092</v>
      </c>
      <c r="I2091" s="57"/>
      <c r="J2091" s="165">
        <f>L2091/K2091</f>
        <v>168.95833333333334</v>
      </c>
      <c r="K2091" s="57">
        <v>96</v>
      </c>
      <c r="L2091" s="164">
        <v>16220</v>
      </c>
    </row>
    <row r="2092" spans="2:12" x14ac:dyDescent="0.3">
      <c r="B2092" s="57">
        <f t="shared" si="180"/>
        <v>2089</v>
      </c>
      <c r="C2092" s="147">
        <v>46192</v>
      </c>
      <c r="D2092" s="57" t="s">
        <v>968</v>
      </c>
      <c r="E2092" s="57" t="s">
        <v>574</v>
      </c>
      <c r="F2092" s="57" t="s">
        <v>350</v>
      </c>
      <c r="G2092" s="57" t="s">
        <v>675</v>
      </c>
      <c r="H2092" s="140" t="s">
        <v>1899</v>
      </c>
      <c r="I2092" s="140" t="s">
        <v>2635</v>
      </c>
      <c r="J2092" s="57">
        <v>4</v>
      </c>
      <c r="K2092" s="167">
        <f>L2092/J2092</f>
        <v>1890</v>
      </c>
      <c r="L2092" s="164">
        <v>7560</v>
      </c>
    </row>
    <row r="2093" spans="2:12" x14ac:dyDescent="0.3">
      <c r="B2093" s="57">
        <f t="shared" si="180"/>
        <v>2090</v>
      </c>
      <c r="C2093" s="147">
        <v>46192</v>
      </c>
      <c r="D2093" s="57" t="s">
        <v>968</v>
      </c>
      <c r="E2093" s="57" t="s">
        <v>4091</v>
      </c>
      <c r="F2093" s="57" t="s">
        <v>446</v>
      </c>
      <c r="G2093" s="57" t="s">
        <v>352</v>
      </c>
      <c r="H2093" s="140" t="s">
        <v>4096</v>
      </c>
      <c r="I2093" s="57"/>
      <c r="J2093" s="57"/>
      <c r="L2093" s="164">
        <v>2000</v>
      </c>
    </row>
    <row r="2094" spans="2:12" x14ac:dyDescent="0.3">
      <c r="B2094" s="57">
        <f t="shared" si="180"/>
        <v>2091</v>
      </c>
      <c r="C2094" s="147">
        <v>46192</v>
      </c>
      <c r="D2094" s="57" t="s">
        <v>968</v>
      </c>
      <c r="E2094" s="57" t="s">
        <v>590</v>
      </c>
      <c r="F2094" s="57" t="s">
        <v>300</v>
      </c>
      <c r="G2094" s="57" t="s">
        <v>2327</v>
      </c>
      <c r="H2094" s="140" t="s">
        <v>1900</v>
      </c>
      <c r="I2094" s="57"/>
      <c r="J2094" s="57"/>
      <c r="L2094" s="164">
        <v>4720</v>
      </c>
    </row>
    <row r="2095" spans="2:12" x14ac:dyDescent="0.3">
      <c r="B2095" s="57">
        <f t="shared" si="180"/>
        <v>2092</v>
      </c>
      <c r="C2095" s="147">
        <v>46192</v>
      </c>
      <c r="D2095" s="57" t="s">
        <v>968</v>
      </c>
      <c r="E2095" s="57" t="s">
        <v>767</v>
      </c>
      <c r="F2095" s="57" t="s">
        <v>300</v>
      </c>
      <c r="G2095" s="57" t="s">
        <v>2327</v>
      </c>
      <c r="H2095" s="140" t="s">
        <v>1901</v>
      </c>
      <c r="I2095" s="57"/>
      <c r="J2095" s="57"/>
      <c r="L2095" s="164">
        <v>750</v>
      </c>
    </row>
    <row r="2096" spans="2:12" x14ac:dyDescent="0.3">
      <c r="B2096" s="57">
        <f t="shared" si="180"/>
        <v>2093</v>
      </c>
      <c r="C2096" s="147">
        <v>46192</v>
      </c>
      <c r="D2096" s="57" t="s">
        <v>968</v>
      </c>
      <c r="E2096" s="57" t="s">
        <v>560</v>
      </c>
      <c r="F2096" s="57" t="s">
        <v>502</v>
      </c>
      <c r="G2096" s="57" t="s">
        <v>257</v>
      </c>
      <c r="H2096" s="140" t="s">
        <v>1902</v>
      </c>
      <c r="I2096" s="57"/>
      <c r="J2096" s="57"/>
      <c r="L2096" s="164">
        <v>2780</v>
      </c>
    </row>
    <row r="2097" spans="2:12" x14ac:dyDescent="0.3">
      <c r="B2097" s="57">
        <f t="shared" si="180"/>
        <v>2094</v>
      </c>
      <c r="C2097" s="147">
        <v>46192</v>
      </c>
      <c r="D2097" s="57" t="s">
        <v>968</v>
      </c>
      <c r="E2097" s="57" t="s">
        <v>767</v>
      </c>
      <c r="F2097" s="57" t="s">
        <v>683</v>
      </c>
      <c r="G2097" s="57" t="s">
        <v>999</v>
      </c>
      <c r="H2097" s="140" t="s">
        <v>1903</v>
      </c>
      <c r="I2097" s="57"/>
      <c r="J2097" s="57"/>
      <c r="L2097" s="164">
        <v>900</v>
      </c>
    </row>
    <row r="2098" spans="2:12" x14ac:dyDescent="0.3">
      <c r="B2098" s="57">
        <f t="shared" si="180"/>
        <v>2095</v>
      </c>
      <c r="C2098" s="147">
        <v>46192</v>
      </c>
      <c r="D2098" s="57" t="s">
        <v>968</v>
      </c>
      <c r="E2098" s="57" t="s">
        <v>237</v>
      </c>
      <c r="F2098" s="57" t="s">
        <v>300</v>
      </c>
      <c r="G2098" s="57" t="s">
        <v>2327</v>
      </c>
      <c r="H2098" s="140" t="s">
        <v>1904</v>
      </c>
      <c r="I2098" s="57"/>
      <c r="J2098" s="57"/>
      <c r="L2098" s="164">
        <v>3140</v>
      </c>
    </row>
    <row r="2099" spans="2:12" x14ac:dyDescent="0.3">
      <c r="B2099" s="57">
        <f t="shared" si="180"/>
        <v>2096</v>
      </c>
      <c r="C2099" s="147">
        <v>46192</v>
      </c>
      <c r="D2099" s="57" t="s">
        <v>968</v>
      </c>
      <c r="E2099" s="57" t="s">
        <v>146</v>
      </c>
      <c r="F2099" s="57" t="s">
        <v>300</v>
      </c>
      <c r="G2099" s="57" t="s">
        <v>530</v>
      </c>
      <c r="H2099" s="140" t="s">
        <v>1051</v>
      </c>
      <c r="I2099" s="57"/>
      <c r="J2099" s="165">
        <f>L2099/K2099</f>
        <v>40.447916666666664</v>
      </c>
      <c r="K2099" s="57">
        <v>96</v>
      </c>
      <c r="L2099" s="164">
        <v>3883</v>
      </c>
    </row>
    <row r="2100" spans="2:12" x14ac:dyDescent="0.3">
      <c r="B2100" s="57">
        <f t="shared" si="180"/>
        <v>2097</v>
      </c>
      <c r="C2100" s="147">
        <v>46192</v>
      </c>
      <c r="D2100" s="57" t="s">
        <v>968</v>
      </c>
      <c r="E2100" s="57" t="s">
        <v>986</v>
      </c>
      <c r="F2100" s="57" t="s">
        <v>300</v>
      </c>
      <c r="G2100" s="57" t="s">
        <v>530</v>
      </c>
      <c r="H2100" s="140" t="s">
        <v>1905</v>
      </c>
      <c r="I2100" s="57" t="s">
        <v>986</v>
      </c>
      <c r="J2100" s="57">
        <v>25</v>
      </c>
      <c r="L2100" s="164">
        <v>2000</v>
      </c>
    </row>
    <row r="2101" spans="2:12" x14ac:dyDescent="0.3">
      <c r="B2101" s="57">
        <f t="shared" si="180"/>
        <v>2098</v>
      </c>
      <c r="C2101" s="147">
        <v>46192</v>
      </c>
      <c r="D2101" s="57" t="s">
        <v>968</v>
      </c>
      <c r="E2101" s="57" t="s">
        <v>146</v>
      </c>
      <c r="F2101" s="57" t="s">
        <v>446</v>
      </c>
      <c r="G2101" s="57" t="s">
        <v>352</v>
      </c>
      <c r="H2101" s="140" t="s">
        <v>885</v>
      </c>
      <c r="I2101" s="57"/>
      <c r="J2101" s="165">
        <f>L2101/K2101</f>
        <v>54.520833333333336</v>
      </c>
      <c r="K2101" s="57">
        <v>96</v>
      </c>
      <c r="L2101" s="164">
        <v>5234</v>
      </c>
    </row>
    <row r="2102" spans="2:12" x14ac:dyDescent="0.3">
      <c r="B2102" s="57">
        <f t="shared" si="180"/>
        <v>2099</v>
      </c>
      <c r="C2102" s="147">
        <v>46192</v>
      </c>
      <c r="D2102" s="57" t="s">
        <v>968</v>
      </c>
      <c r="E2102" s="57" t="s">
        <v>4008</v>
      </c>
      <c r="F2102" s="57" t="s">
        <v>350</v>
      </c>
      <c r="G2102" s="57" t="s">
        <v>701</v>
      </c>
      <c r="H2102" s="140" t="s">
        <v>1906</v>
      </c>
      <c r="I2102" s="57"/>
      <c r="J2102" s="57"/>
      <c r="L2102" s="164">
        <v>4700</v>
      </c>
    </row>
    <row r="2103" spans="2:12" x14ac:dyDescent="0.3">
      <c r="B2103" s="57">
        <f t="shared" si="180"/>
        <v>2100</v>
      </c>
      <c r="C2103" s="147">
        <v>46192</v>
      </c>
      <c r="D2103" s="57" t="s">
        <v>968</v>
      </c>
      <c r="E2103" s="57" t="s">
        <v>146</v>
      </c>
      <c r="F2103" s="57" t="s">
        <v>683</v>
      </c>
      <c r="G2103" s="57" t="s">
        <v>999</v>
      </c>
      <c r="H2103" s="140" t="s">
        <v>4113</v>
      </c>
      <c r="I2103" s="57" t="s">
        <v>146</v>
      </c>
      <c r="J2103" s="165">
        <f>L2103/K2103</f>
        <v>10.416666666666666</v>
      </c>
      <c r="K2103" s="57">
        <v>96</v>
      </c>
      <c r="L2103" s="164">
        <v>1000</v>
      </c>
    </row>
    <row r="2104" spans="2:12" x14ac:dyDescent="0.3">
      <c r="B2104" s="57">
        <f t="shared" si="180"/>
        <v>2101</v>
      </c>
      <c r="C2104" s="147">
        <v>46192</v>
      </c>
      <c r="D2104" s="57" t="s">
        <v>968</v>
      </c>
      <c r="E2104" s="57" t="s">
        <v>4128</v>
      </c>
      <c r="F2104" s="57" t="s">
        <v>446</v>
      </c>
      <c r="G2104" s="57" t="s">
        <v>313</v>
      </c>
      <c r="H2104" s="140" t="s">
        <v>2960</v>
      </c>
      <c r="I2104" s="57"/>
      <c r="J2104" s="57"/>
      <c r="L2104" s="164">
        <v>3040</v>
      </c>
    </row>
    <row r="2105" spans="2:12" x14ac:dyDescent="0.3">
      <c r="B2105" s="57">
        <f t="shared" si="180"/>
        <v>2102</v>
      </c>
      <c r="C2105" s="147">
        <v>46192</v>
      </c>
      <c r="D2105" s="57" t="s">
        <v>968</v>
      </c>
      <c r="E2105" s="57" t="s">
        <v>532</v>
      </c>
      <c r="F2105" s="57" t="s">
        <v>300</v>
      </c>
      <c r="G2105" s="57" t="s">
        <v>2327</v>
      </c>
      <c r="H2105" s="140" t="s">
        <v>1907</v>
      </c>
      <c r="I2105" s="57" t="s">
        <v>532</v>
      </c>
      <c r="J2105" s="57">
        <v>4</v>
      </c>
      <c r="K2105" s="57">
        <v>300</v>
      </c>
      <c r="L2105" s="164">
        <v>1200</v>
      </c>
    </row>
    <row r="2106" spans="2:12" x14ac:dyDescent="0.3">
      <c r="B2106" s="57">
        <f t="shared" si="180"/>
        <v>2103</v>
      </c>
      <c r="C2106" s="147">
        <v>46192</v>
      </c>
      <c r="D2106" s="57" t="s">
        <v>968</v>
      </c>
      <c r="E2106" s="57" t="s">
        <v>146</v>
      </c>
      <c r="F2106" s="57" t="s">
        <v>350</v>
      </c>
      <c r="G2106" s="57" t="s">
        <v>663</v>
      </c>
      <c r="H2106" s="140" t="s">
        <v>4106</v>
      </c>
      <c r="I2106" s="57"/>
      <c r="J2106" s="165">
        <f t="shared" ref="J2106:J2107" si="184">L2106/K2106</f>
        <v>20.833333333333332</v>
      </c>
      <c r="K2106" s="57">
        <v>96</v>
      </c>
      <c r="L2106" s="164">
        <v>2000</v>
      </c>
    </row>
    <row r="2107" spans="2:12" x14ac:dyDescent="0.3">
      <c r="B2107" s="57">
        <f t="shared" si="180"/>
        <v>2104</v>
      </c>
      <c r="C2107" s="147">
        <v>46192</v>
      </c>
      <c r="D2107" s="57" t="s">
        <v>968</v>
      </c>
      <c r="E2107" s="57" t="s">
        <v>146</v>
      </c>
      <c r="F2107" s="57" t="s">
        <v>446</v>
      </c>
      <c r="G2107" s="57" t="s">
        <v>990</v>
      </c>
      <c r="H2107" s="140" t="s">
        <v>1908</v>
      </c>
      <c r="I2107" s="57"/>
      <c r="J2107" s="165">
        <f t="shared" si="184"/>
        <v>15.625</v>
      </c>
      <c r="K2107" s="57">
        <v>96</v>
      </c>
      <c r="L2107" s="164">
        <v>1500</v>
      </c>
    </row>
    <row r="2108" spans="2:12" x14ac:dyDescent="0.3">
      <c r="B2108" s="57">
        <f t="shared" si="180"/>
        <v>2105</v>
      </c>
      <c r="C2108" s="147">
        <v>46192</v>
      </c>
      <c r="D2108" s="57" t="s">
        <v>968</v>
      </c>
      <c r="E2108" s="57" t="s">
        <v>434</v>
      </c>
      <c r="F2108" s="57" t="s">
        <v>350</v>
      </c>
      <c r="G2108" s="57" t="s">
        <v>337</v>
      </c>
      <c r="H2108" s="140" t="s">
        <v>1909</v>
      </c>
      <c r="I2108" s="57"/>
      <c r="J2108" s="57"/>
      <c r="L2108" s="164">
        <v>2200</v>
      </c>
    </row>
    <row r="2109" spans="2:12" x14ac:dyDescent="0.3">
      <c r="B2109" s="57">
        <f t="shared" si="180"/>
        <v>2106</v>
      </c>
      <c r="C2109" s="147">
        <v>46192</v>
      </c>
      <c r="D2109" s="57" t="s">
        <v>968</v>
      </c>
      <c r="E2109" s="57" t="s">
        <v>237</v>
      </c>
      <c r="F2109" s="57" t="s">
        <v>446</v>
      </c>
      <c r="G2109" s="57" t="s">
        <v>352</v>
      </c>
      <c r="H2109" s="140" t="s">
        <v>1910</v>
      </c>
      <c r="I2109" s="57"/>
      <c r="J2109" s="57"/>
      <c r="L2109" s="164">
        <v>2250</v>
      </c>
    </row>
    <row r="2110" spans="2:12" x14ac:dyDescent="0.3">
      <c r="B2110" s="57">
        <f t="shared" si="180"/>
        <v>2107</v>
      </c>
      <c r="C2110" s="147">
        <v>46192</v>
      </c>
      <c r="D2110" s="57" t="s">
        <v>968</v>
      </c>
      <c r="E2110" s="57" t="s">
        <v>237</v>
      </c>
      <c r="F2110" s="57" t="s">
        <v>502</v>
      </c>
      <c r="G2110" s="57" t="s">
        <v>257</v>
      </c>
      <c r="H2110" s="140" t="s">
        <v>1911</v>
      </c>
      <c r="I2110" s="57"/>
      <c r="J2110" s="57"/>
      <c r="L2110" s="164">
        <v>8230</v>
      </c>
    </row>
    <row r="2111" spans="2:12" x14ac:dyDescent="0.3">
      <c r="B2111" s="57">
        <f t="shared" si="180"/>
        <v>2108</v>
      </c>
      <c r="C2111" s="147">
        <v>46192</v>
      </c>
      <c r="D2111" s="57" t="s">
        <v>968</v>
      </c>
      <c r="E2111" s="57" t="s">
        <v>532</v>
      </c>
      <c r="F2111" s="57" t="s">
        <v>446</v>
      </c>
      <c r="G2111" s="57" t="s">
        <v>352</v>
      </c>
      <c r="H2111" s="140" t="s">
        <v>1912</v>
      </c>
      <c r="I2111" s="57" t="s">
        <v>532</v>
      </c>
      <c r="J2111" s="57">
        <v>50</v>
      </c>
      <c r="K2111" s="167">
        <f>L2111/J2111</f>
        <v>285</v>
      </c>
      <c r="L2111" s="164">
        <v>14250</v>
      </c>
    </row>
    <row r="2112" spans="2:12" x14ac:dyDescent="0.3">
      <c r="B2112" s="57">
        <f t="shared" si="180"/>
        <v>2109</v>
      </c>
      <c r="C2112" s="147">
        <v>46192</v>
      </c>
      <c r="D2112" s="57" t="s">
        <v>968</v>
      </c>
      <c r="E2112" s="57" t="s">
        <v>237</v>
      </c>
      <c r="F2112" s="57" t="s">
        <v>502</v>
      </c>
      <c r="G2112" s="57" t="s">
        <v>257</v>
      </c>
      <c r="H2112" s="140" t="s">
        <v>1911</v>
      </c>
      <c r="I2112" s="57"/>
      <c r="J2112" s="57"/>
      <c r="L2112" s="164">
        <v>4600</v>
      </c>
    </row>
    <row r="2113" spans="2:12" x14ac:dyDescent="0.3">
      <c r="B2113" s="57">
        <f t="shared" si="180"/>
        <v>2110</v>
      </c>
      <c r="C2113" s="147">
        <v>46192</v>
      </c>
      <c r="D2113" s="57" t="s">
        <v>968</v>
      </c>
      <c r="E2113" s="57" t="s">
        <v>4128</v>
      </c>
      <c r="F2113" s="57" t="s">
        <v>300</v>
      </c>
      <c r="G2113" s="57" t="s">
        <v>530</v>
      </c>
      <c r="H2113" s="140" t="s">
        <v>2961</v>
      </c>
      <c r="I2113" s="57"/>
      <c r="J2113" s="57"/>
      <c r="L2113" s="164">
        <v>4700</v>
      </c>
    </row>
    <row r="2114" spans="2:12" x14ac:dyDescent="0.3">
      <c r="B2114" s="57">
        <f t="shared" si="180"/>
        <v>2111</v>
      </c>
      <c r="C2114" s="147">
        <v>46193</v>
      </c>
      <c r="D2114" s="57" t="s">
        <v>968</v>
      </c>
      <c r="E2114" s="57" t="s">
        <v>767</v>
      </c>
      <c r="F2114" s="57" t="s">
        <v>446</v>
      </c>
      <c r="G2114" s="57" t="s">
        <v>990</v>
      </c>
      <c r="H2114" s="140" t="s">
        <v>1913</v>
      </c>
      <c r="I2114" s="57"/>
      <c r="J2114" s="57"/>
      <c r="L2114" s="164">
        <v>1130</v>
      </c>
    </row>
    <row r="2115" spans="2:12" x14ac:dyDescent="0.3">
      <c r="B2115" s="57">
        <f t="shared" si="180"/>
        <v>2112</v>
      </c>
      <c r="C2115" s="147">
        <v>46193</v>
      </c>
      <c r="D2115" s="57" t="s">
        <v>968</v>
      </c>
      <c r="E2115" s="57" t="s">
        <v>146</v>
      </c>
      <c r="F2115" s="57" t="s">
        <v>300</v>
      </c>
      <c r="G2115" s="57" t="s">
        <v>498</v>
      </c>
      <c r="H2115" s="140" t="s">
        <v>4088</v>
      </c>
      <c r="I2115" s="57"/>
      <c r="J2115" s="165">
        <f t="shared" ref="J2115:J2116" si="185">L2115/K2115</f>
        <v>65.1875</v>
      </c>
      <c r="K2115" s="57">
        <v>96</v>
      </c>
      <c r="L2115" s="164">
        <v>6258</v>
      </c>
    </row>
    <row r="2116" spans="2:12" x14ac:dyDescent="0.3">
      <c r="B2116" s="57">
        <f t="shared" si="180"/>
        <v>2113</v>
      </c>
      <c r="C2116" s="147">
        <v>46193</v>
      </c>
      <c r="D2116" s="57" t="s">
        <v>968</v>
      </c>
      <c r="E2116" s="57" t="s">
        <v>146</v>
      </c>
      <c r="F2116" s="57" t="s">
        <v>300</v>
      </c>
      <c r="G2116" s="57" t="s">
        <v>2331</v>
      </c>
      <c r="H2116" s="140" t="s">
        <v>4105</v>
      </c>
      <c r="I2116" s="57"/>
      <c r="J2116" s="165">
        <f t="shared" si="185"/>
        <v>42.895833333333336</v>
      </c>
      <c r="K2116" s="57">
        <v>96</v>
      </c>
      <c r="L2116" s="164">
        <v>4118</v>
      </c>
    </row>
    <row r="2117" spans="2:12" x14ac:dyDescent="0.3">
      <c r="B2117" s="57">
        <f t="shared" si="180"/>
        <v>2114</v>
      </c>
      <c r="C2117" s="147">
        <v>46193</v>
      </c>
      <c r="D2117" s="57" t="s">
        <v>968</v>
      </c>
      <c r="E2117" s="57" t="s">
        <v>434</v>
      </c>
      <c r="F2117" s="57" t="s">
        <v>350</v>
      </c>
      <c r="G2117" s="57" t="s">
        <v>337</v>
      </c>
      <c r="H2117" s="140" t="s">
        <v>1914</v>
      </c>
      <c r="I2117" s="57"/>
      <c r="J2117" s="57"/>
      <c r="L2117" s="164">
        <v>1120</v>
      </c>
    </row>
    <row r="2118" spans="2:12" x14ac:dyDescent="0.3">
      <c r="B2118" s="57">
        <f t="shared" ref="B2118:B2181" si="186">+B2117+1</f>
        <v>2115</v>
      </c>
      <c r="C2118" s="147">
        <v>46193</v>
      </c>
      <c r="D2118" s="57" t="s">
        <v>968</v>
      </c>
      <c r="E2118" s="57" t="s">
        <v>146</v>
      </c>
      <c r="F2118" s="57" t="s">
        <v>300</v>
      </c>
      <c r="G2118" s="57" t="s">
        <v>530</v>
      </c>
      <c r="H2118" s="140" t="s">
        <v>1915</v>
      </c>
      <c r="I2118" s="57"/>
      <c r="J2118" s="165">
        <f>L2118/K2118</f>
        <v>141.5625</v>
      </c>
      <c r="K2118" s="57">
        <v>96</v>
      </c>
      <c r="L2118" s="164">
        <v>13590</v>
      </c>
    </row>
    <row r="2119" spans="2:12" x14ac:dyDescent="0.3">
      <c r="B2119" s="57">
        <f t="shared" si="186"/>
        <v>2116</v>
      </c>
      <c r="C2119" s="147">
        <v>46193</v>
      </c>
      <c r="D2119" s="57" t="s">
        <v>968</v>
      </c>
      <c r="E2119" s="57" t="s">
        <v>574</v>
      </c>
      <c r="F2119" s="57" t="s">
        <v>446</v>
      </c>
      <c r="G2119" s="57" t="s">
        <v>313</v>
      </c>
      <c r="H2119" s="140" t="s">
        <v>1916</v>
      </c>
      <c r="I2119" s="140" t="s">
        <v>2635</v>
      </c>
      <c r="J2119" s="57">
        <v>4</v>
      </c>
      <c r="K2119" s="167">
        <f>L2119/J2119</f>
        <v>575</v>
      </c>
      <c r="L2119" s="164">
        <v>2300</v>
      </c>
    </row>
    <row r="2120" spans="2:12" x14ac:dyDescent="0.3">
      <c r="B2120" s="57">
        <f t="shared" si="186"/>
        <v>2117</v>
      </c>
      <c r="C2120" s="147">
        <v>46193</v>
      </c>
      <c r="D2120" s="57" t="s">
        <v>968</v>
      </c>
      <c r="E2120" s="57" t="s">
        <v>146</v>
      </c>
      <c r="F2120" s="57" t="s">
        <v>2328</v>
      </c>
      <c r="G2120" s="57" t="s">
        <v>1002</v>
      </c>
      <c r="H2120" s="140" t="s">
        <v>4093</v>
      </c>
      <c r="I2120" s="57"/>
      <c r="J2120" s="165">
        <f>L2120/K2120</f>
        <v>52.083333333333336</v>
      </c>
      <c r="K2120" s="57">
        <v>96</v>
      </c>
      <c r="L2120" s="164">
        <v>5000</v>
      </c>
    </row>
    <row r="2121" spans="2:12" x14ac:dyDescent="0.3">
      <c r="B2121" s="57">
        <f t="shared" si="186"/>
        <v>2118</v>
      </c>
      <c r="C2121" s="147">
        <v>46193</v>
      </c>
      <c r="D2121" s="57" t="s">
        <v>968</v>
      </c>
      <c r="E2121" s="57" t="s">
        <v>434</v>
      </c>
      <c r="F2121" s="57" t="s">
        <v>300</v>
      </c>
      <c r="G2121" s="57" t="s">
        <v>996</v>
      </c>
      <c r="H2121" s="140" t="s">
        <v>1917</v>
      </c>
      <c r="I2121" s="57"/>
      <c r="J2121" s="57"/>
      <c r="L2121" s="164">
        <v>1500</v>
      </c>
    </row>
    <row r="2122" spans="2:12" x14ac:dyDescent="0.3">
      <c r="B2122" s="57">
        <f t="shared" si="186"/>
        <v>2119</v>
      </c>
      <c r="C2122" s="147">
        <v>46193</v>
      </c>
      <c r="D2122" s="57" t="s">
        <v>968</v>
      </c>
      <c r="E2122" s="57" t="s">
        <v>146</v>
      </c>
      <c r="F2122" s="57" t="s">
        <v>683</v>
      </c>
      <c r="G2122" s="57" t="s">
        <v>999</v>
      </c>
      <c r="H2122" s="140" t="s">
        <v>1918</v>
      </c>
      <c r="I2122" s="57"/>
      <c r="J2122" s="165">
        <f>L2122/K2122</f>
        <v>36.458333333333336</v>
      </c>
      <c r="K2122" s="57">
        <v>96</v>
      </c>
      <c r="L2122" s="164">
        <v>3500</v>
      </c>
    </row>
    <row r="2123" spans="2:12" x14ac:dyDescent="0.3">
      <c r="B2123" s="57">
        <f t="shared" si="186"/>
        <v>2120</v>
      </c>
      <c r="C2123" s="147">
        <v>46193</v>
      </c>
      <c r="D2123" s="57" t="s">
        <v>968</v>
      </c>
      <c r="E2123" s="57" t="s">
        <v>590</v>
      </c>
      <c r="F2123" s="57" t="s">
        <v>350</v>
      </c>
      <c r="G2123" s="57" t="s">
        <v>337</v>
      </c>
      <c r="H2123" s="140" t="s">
        <v>1919</v>
      </c>
      <c r="I2123" s="57"/>
      <c r="J2123" s="57"/>
      <c r="L2123" s="164">
        <v>500</v>
      </c>
    </row>
    <row r="2124" spans="2:12" x14ac:dyDescent="0.3">
      <c r="B2124" s="57">
        <f t="shared" si="186"/>
        <v>2121</v>
      </c>
      <c r="C2124" s="147">
        <v>46193</v>
      </c>
      <c r="D2124" s="57" t="s">
        <v>968</v>
      </c>
      <c r="E2124" s="57" t="s">
        <v>146</v>
      </c>
      <c r="F2124" s="57" t="s">
        <v>683</v>
      </c>
      <c r="G2124" s="57" t="s">
        <v>999</v>
      </c>
      <c r="H2124" s="140" t="s">
        <v>1920</v>
      </c>
      <c r="I2124" s="57"/>
      <c r="J2124" s="165">
        <f t="shared" ref="J2124:J2125" si="187">L2124/K2124</f>
        <v>20.833333333333332</v>
      </c>
      <c r="K2124" s="57">
        <v>96</v>
      </c>
      <c r="L2124" s="164">
        <v>2000</v>
      </c>
    </row>
    <row r="2125" spans="2:12" x14ac:dyDescent="0.3">
      <c r="B2125" s="57">
        <f t="shared" si="186"/>
        <v>2122</v>
      </c>
      <c r="C2125" s="147">
        <v>46193</v>
      </c>
      <c r="D2125" s="57" t="s">
        <v>968</v>
      </c>
      <c r="E2125" s="57" t="s">
        <v>146</v>
      </c>
      <c r="F2125" s="57" t="s">
        <v>683</v>
      </c>
      <c r="G2125" s="57" t="s">
        <v>999</v>
      </c>
      <c r="H2125" s="140" t="s">
        <v>4113</v>
      </c>
      <c r="I2125" s="57" t="s">
        <v>146</v>
      </c>
      <c r="J2125" s="165">
        <f t="shared" si="187"/>
        <v>31.25</v>
      </c>
      <c r="K2125" s="57">
        <v>96</v>
      </c>
      <c r="L2125" s="164">
        <v>3000</v>
      </c>
    </row>
    <row r="2126" spans="2:12" x14ac:dyDescent="0.3">
      <c r="B2126" s="57">
        <f t="shared" si="186"/>
        <v>2123</v>
      </c>
      <c r="C2126" s="147">
        <v>46193</v>
      </c>
      <c r="D2126" s="57" t="s">
        <v>968</v>
      </c>
      <c r="E2126" s="57" t="s">
        <v>532</v>
      </c>
      <c r="F2126" s="57" t="s">
        <v>446</v>
      </c>
      <c r="G2126" s="57" t="s">
        <v>313</v>
      </c>
      <c r="H2126" s="140" t="s">
        <v>1921</v>
      </c>
      <c r="I2126" s="57" t="s">
        <v>532</v>
      </c>
      <c r="J2126" s="57">
        <v>15</v>
      </c>
      <c r="K2126" s="167">
        <f>L2126/J2126</f>
        <v>256</v>
      </c>
      <c r="L2126" s="164">
        <v>3840</v>
      </c>
    </row>
    <row r="2127" spans="2:12" x14ac:dyDescent="0.3">
      <c r="B2127" s="57">
        <f t="shared" si="186"/>
        <v>2124</v>
      </c>
      <c r="C2127" s="147">
        <v>46193</v>
      </c>
      <c r="D2127" s="57" t="s">
        <v>968</v>
      </c>
      <c r="E2127" s="57" t="s">
        <v>4091</v>
      </c>
      <c r="F2127" s="57" t="s">
        <v>300</v>
      </c>
      <c r="G2127" s="57" t="s">
        <v>530</v>
      </c>
      <c r="H2127" s="140" t="s">
        <v>4096</v>
      </c>
      <c r="I2127" s="57"/>
      <c r="J2127" s="57"/>
      <c r="L2127" s="164">
        <v>2000</v>
      </c>
    </row>
    <row r="2128" spans="2:12" x14ac:dyDescent="0.3">
      <c r="B2128" s="57">
        <f t="shared" si="186"/>
        <v>2125</v>
      </c>
      <c r="C2128" s="147">
        <v>46193</v>
      </c>
      <c r="D2128" s="57" t="s">
        <v>968</v>
      </c>
      <c r="E2128" s="57" t="s">
        <v>146</v>
      </c>
      <c r="F2128" s="57" t="s">
        <v>446</v>
      </c>
      <c r="G2128" s="57" t="s">
        <v>313</v>
      </c>
      <c r="H2128" s="140" t="s">
        <v>4089</v>
      </c>
      <c r="I2128" s="57"/>
      <c r="J2128" s="165">
        <f>L2128/K2128</f>
        <v>38.197916666666664</v>
      </c>
      <c r="K2128" s="57">
        <v>96</v>
      </c>
      <c r="L2128" s="164">
        <v>3667</v>
      </c>
    </row>
    <row r="2129" spans="2:12" x14ac:dyDescent="0.3">
      <c r="B2129" s="57">
        <f t="shared" si="186"/>
        <v>2126</v>
      </c>
      <c r="C2129" s="147">
        <v>46193</v>
      </c>
      <c r="D2129" s="57" t="s">
        <v>968</v>
      </c>
      <c r="E2129" s="57" t="s">
        <v>460</v>
      </c>
      <c r="F2129" s="57" t="s">
        <v>350</v>
      </c>
      <c r="G2129" s="57" t="s">
        <v>663</v>
      </c>
      <c r="H2129" s="140" t="s">
        <v>1922</v>
      </c>
      <c r="I2129" s="57"/>
      <c r="J2129" s="57"/>
      <c r="L2129" s="164">
        <v>800</v>
      </c>
    </row>
    <row r="2130" spans="2:12" x14ac:dyDescent="0.3">
      <c r="B2130" s="57">
        <f t="shared" si="186"/>
        <v>2127</v>
      </c>
      <c r="C2130" s="147">
        <v>46193</v>
      </c>
      <c r="D2130" s="57" t="s">
        <v>968</v>
      </c>
      <c r="E2130" s="57" t="s">
        <v>574</v>
      </c>
      <c r="F2130" s="57" t="s">
        <v>300</v>
      </c>
      <c r="G2130" s="57" t="s">
        <v>2330</v>
      </c>
      <c r="H2130" s="140" t="s">
        <v>1923</v>
      </c>
      <c r="I2130" s="140" t="s">
        <v>4118</v>
      </c>
      <c r="J2130" s="57">
        <v>11.8</v>
      </c>
      <c r="K2130" s="167">
        <f t="shared" ref="K2130:K2132" si="188">L2130/J2130</f>
        <v>626.4406779661017</v>
      </c>
      <c r="L2130" s="164">
        <v>7392</v>
      </c>
    </row>
    <row r="2131" spans="2:12" x14ac:dyDescent="0.3">
      <c r="B2131" s="57">
        <f t="shared" si="186"/>
        <v>2128</v>
      </c>
      <c r="C2131" s="147">
        <v>46193</v>
      </c>
      <c r="D2131" s="57" t="s">
        <v>968</v>
      </c>
      <c r="E2131" s="57" t="s">
        <v>574</v>
      </c>
      <c r="F2131" s="57" t="s">
        <v>446</v>
      </c>
      <c r="G2131" s="57" t="s">
        <v>313</v>
      </c>
      <c r="H2131" s="140" t="s">
        <v>1924</v>
      </c>
      <c r="I2131" s="140" t="s">
        <v>4081</v>
      </c>
      <c r="J2131" s="57">
        <v>4</v>
      </c>
      <c r="K2131" s="167">
        <f t="shared" si="188"/>
        <v>575</v>
      </c>
      <c r="L2131" s="164">
        <v>2300</v>
      </c>
    </row>
    <row r="2132" spans="2:12" x14ac:dyDescent="0.3">
      <c r="B2132" s="57">
        <f t="shared" si="186"/>
        <v>2129</v>
      </c>
      <c r="C2132" s="147">
        <v>46193</v>
      </c>
      <c r="D2132" s="57" t="s">
        <v>968</v>
      </c>
      <c r="E2132" s="57" t="s">
        <v>574</v>
      </c>
      <c r="F2132" s="57" t="s">
        <v>300</v>
      </c>
      <c r="G2132" s="57" t="s">
        <v>498</v>
      </c>
      <c r="H2132" s="140" t="s">
        <v>1925</v>
      </c>
      <c r="I2132" s="140" t="s">
        <v>2635</v>
      </c>
      <c r="J2132" s="57">
        <v>6</v>
      </c>
      <c r="K2132" s="167">
        <f t="shared" si="188"/>
        <v>548.66666666666663</v>
      </c>
      <c r="L2132" s="164">
        <v>3292</v>
      </c>
    </row>
    <row r="2133" spans="2:12" x14ac:dyDescent="0.3">
      <c r="B2133" s="57">
        <f t="shared" si="186"/>
        <v>2130</v>
      </c>
      <c r="C2133" s="147">
        <v>46193</v>
      </c>
      <c r="D2133" s="57" t="s">
        <v>968</v>
      </c>
      <c r="E2133" s="57" t="s">
        <v>237</v>
      </c>
      <c r="F2133" s="57" t="s">
        <v>350</v>
      </c>
      <c r="G2133" s="57" t="s">
        <v>337</v>
      </c>
      <c r="H2133" s="140" t="s">
        <v>1926</v>
      </c>
      <c r="I2133" s="57"/>
      <c r="J2133" s="57"/>
      <c r="L2133" s="164">
        <v>19300</v>
      </c>
    </row>
    <row r="2134" spans="2:12" x14ac:dyDescent="0.3">
      <c r="B2134" s="57">
        <f t="shared" si="186"/>
        <v>2131</v>
      </c>
      <c r="C2134" s="147">
        <v>46193</v>
      </c>
      <c r="D2134" s="57" t="s">
        <v>968</v>
      </c>
      <c r="E2134" s="57" t="s">
        <v>4128</v>
      </c>
      <c r="F2134" s="57" t="s">
        <v>300</v>
      </c>
      <c r="G2134" s="57" t="s">
        <v>498</v>
      </c>
      <c r="H2134" s="140" t="s">
        <v>2962</v>
      </c>
      <c r="I2134" s="57"/>
      <c r="J2134" s="57"/>
      <c r="L2134" s="164">
        <v>3200</v>
      </c>
    </row>
    <row r="2135" spans="2:12" x14ac:dyDescent="0.3">
      <c r="B2135" s="57">
        <f t="shared" si="186"/>
        <v>2132</v>
      </c>
      <c r="C2135" s="147">
        <v>46193</v>
      </c>
      <c r="D2135" s="57" t="s">
        <v>968</v>
      </c>
      <c r="E2135" s="57" t="s">
        <v>2022</v>
      </c>
      <c r="F2135" s="57" t="s">
        <v>300</v>
      </c>
      <c r="G2135" s="57" t="s">
        <v>2327</v>
      </c>
      <c r="H2135" s="140" t="s">
        <v>1927</v>
      </c>
      <c r="I2135" s="57"/>
      <c r="J2135" s="57"/>
      <c r="L2135" s="164">
        <v>7000</v>
      </c>
    </row>
    <row r="2136" spans="2:12" x14ac:dyDescent="0.3">
      <c r="B2136" s="57">
        <f t="shared" si="186"/>
        <v>2133</v>
      </c>
      <c r="C2136" s="147">
        <v>46193</v>
      </c>
      <c r="D2136" s="57" t="s">
        <v>968</v>
      </c>
      <c r="E2136" s="57" t="s">
        <v>4128</v>
      </c>
      <c r="F2136" s="57" t="s">
        <v>300</v>
      </c>
      <c r="G2136" s="57" t="s">
        <v>530</v>
      </c>
      <c r="H2136" s="140" t="s">
        <v>1928</v>
      </c>
      <c r="I2136" s="57"/>
      <c r="J2136" s="57"/>
      <c r="L2136" s="164">
        <v>4700</v>
      </c>
    </row>
    <row r="2137" spans="2:12" x14ac:dyDescent="0.3">
      <c r="B2137" s="57">
        <f t="shared" si="186"/>
        <v>2134</v>
      </c>
      <c r="C2137" s="147">
        <v>46193</v>
      </c>
      <c r="D2137" s="57" t="s">
        <v>968</v>
      </c>
      <c r="E2137" s="57" t="s">
        <v>4128</v>
      </c>
      <c r="F2137" s="57" t="s">
        <v>300</v>
      </c>
      <c r="G2137" s="57" t="s">
        <v>530</v>
      </c>
      <c r="H2137" s="140" t="s">
        <v>1929</v>
      </c>
      <c r="I2137" s="57"/>
      <c r="J2137" s="57"/>
      <c r="L2137" s="164">
        <v>9460</v>
      </c>
    </row>
    <row r="2138" spans="2:12" x14ac:dyDescent="0.3">
      <c r="B2138" s="57">
        <f t="shared" si="186"/>
        <v>2135</v>
      </c>
      <c r="C2138" s="147">
        <v>46193</v>
      </c>
      <c r="D2138" s="57" t="s">
        <v>968</v>
      </c>
      <c r="E2138" s="57" t="s">
        <v>4128</v>
      </c>
      <c r="F2138" s="57" t="s">
        <v>300</v>
      </c>
      <c r="G2138" s="57" t="s">
        <v>530</v>
      </c>
      <c r="H2138" s="140" t="s">
        <v>2963</v>
      </c>
      <c r="I2138" s="57"/>
      <c r="J2138" s="57"/>
      <c r="L2138" s="164">
        <v>9950</v>
      </c>
    </row>
    <row r="2139" spans="2:12" x14ac:dyDescent="0.3">
      <c r="B2139" s="57">
        <f t="shared" si="186"/>
        <v>2136</v>
      </c>
      <c r="C2139" s="147">
        <v>46193</v>
      </c>
      <c r="D2139" s="57" t="s">
        <v>968</v>
      </c>
      <c r="E2139" s="57" t="s">
        <v>4128</v>
      </c>
      <c r="F2139" s="57" t="s">
        <v>300</v>
      </c>
      <c r="G2139" s="57" t="s">
        <v>530</v>
      </c>
      <c r="H2139" s="140" t="s">
        <v>2964</v>
      </c>
      <c r="I2139" s="57"/>
      <c r="J2139" s="57"/>
      <c r="L2139" s="164">
        <v>6100</v>
      </c>
    </row>
    <row r="2140" spans="2:12" x14ac:dyDescent="0.3">
      <c r="B2140" s="57">
        <f t="shared" si="186"/>
        <v>2137</v>
      </c>
      <c r="C2140" s="147">
        <v>46193</v>
      </c>
      <c r="D2140" s="57" t="s">
        <v>968</v>
      </c>
      <c r="E2140" s="57" t="s">
        <v>4128</v>
      </c>
      <c r="F2140" s="57" t="s">
        <v>502</v>
      </c>
      <c r="G2140" s="57" t="s">
        <v>257</v>
      </c>
      <c r="H2140" s="140" t="s">
        <v>1930</v>
      </c>
      <c r="I2140" s="57"/>
      <c r="J2140" s="57"/>
      <c r="L2140" s="164">
        <v>7200</v>
      </c>
    </row>
    <row r="2141" spans="2:12" x14ac:dyDescent="0.3">
      <c r="B2141" s="57">
        <f t="shared" si="186"/>
        <v>2138</v>
      </c>
      <c r="C2141" s="143">
        <v>46194</v>
      </c>
      <c r="D2141" s="152" t="s">
        <v>435</v>
      </c>
      <c r="E2141" s="57" t="s">
        <v>4008</v>
      </c>
      <c r="F2141" s="57" t="s">
        <v>350</v>
      </c>
      <c r="G2141" s="57" t="s">
        <v>701</v>
      </c>
      <c r="H2141" s="140" t="s">
        <v>700</v>
      </c>
      <c r="I2141" s="57"/>
      <c r="J2141" s="57"/>
      <c r="L2141" s="164">
        <v>3000</v>
      </c>
    </row>
    <row r="2142" spans="2:12" x14ac:dyDescent="0.3">
      <c r="B2142" s="57">
        <f t="shared" si="186"/>
        <v>2139</v>
      </c>
      <c r="C2142" s="147">
        <v>46194</v>
      </c>
      <c r="D2142" s="57" t="s">
        <v>968</v>
      </c>
      <c r="E2142" s="57" t="s">
        <v>146</v>
      </c>
      <c r="F2142" s="57" t="s">
        <v>446</v>
      </c>
      <c r="G2142" s="57" t="s">
        <v>316</v>
      </c>
      <c r="H2142" s="140" t="s">
        <v>1931</v>
      </c>
      <c r="I2142" s="57"/>
      <c r="J2142" s="165">
        <f t="shared" ref="J2142:J2143" si="189">L2142/K2142</f>
        <v>20.833333333333332</v>
      </c>
      <c r="K2142" s="57">
        <v>96</v>
      </c>
      <c r="L2142" s="164">
        <v>2000</v>
      </c>
    </row>
    <row r="2143" spans="2:12" x14ac:dyDescent="0.3">
      <c r="B2143" s="57">
        <f t="shared" si="186"/>
        <v>2140</v>
      </c>
      <c r="C2143" s="147">
        <v>46194</v>
      </c>
      <c r="D2143" s="57" t="s">
        <v>968</v>
      </c>
      <c r="E2143" s="57" t="s">
        <v>146</v>
      </c>
      <c r="F2143" s="57" t="s">
        <v>446</v>
      </c>
      <c r="G2143" s="57" t="s">
        <v>313</v>
      </c>
      <c r="H2143" s="140" t="s">
        <v>1932</v>
      </c>
      <c r="I2143" s="57"/>
      <c r="J2143" s="165">
        <f t="shared" si="189"/>
        <v>31.25</v>
      </c>
      <c r="K2143" s="57">
        <v>96</v>
      </c>
      <c r="L2143" s="164">
        <v>3000</v>
      </c>
    </row>
    <row r="2144" spans="2:12" x14ac:dyDescent="0.3">
      <c r="B2144" s="57">
        <f t="shared" si="186"/>
        <v>2141</v>
      </c>
      <c r="C2144" s="147">
        <v>46194</v>
      </c>
      <c r="D2144" s="57" t="s">
        <v>968</v>
      </c>
      <c r="E2144" s="57" t="s">
        <v>574</v>
      </c>
      <c r="F2144" s="57" t="s">
        <v>446</v>
      </c>
      <c r="G2144" s="57" t="s">
        <v>316</v>
      </c>
      <c r="H2144" s="140" t="s">
        <v>1933</v>
      </c>
      <c r="I2144" s="140" t="s">
        <v>2635</v>
      </c>
      <c r="J2144" s="57">
        <v>4</v>
      </c>
      <c r="K2144" s="167">
        <f>L2144/J2144</f>
        <v>575</v>
      </c>
      <c r="L2144" s="164">
        <v>2300</v>
      </c>
    </row>
    <row r="2145" spans="2:12" x14ac:dyDescent="0.3">
      <c r="B2145" s="57">
        <f t="shared" si="186"/>
        <v>2142</v>
      </c>
      <c r="C2145" s="147">
        <v>46194</v>
      </c>
      <c r="D2145" s="57" t="s">
        <v>968</v>
      </c>
      <c r="E2145" s="57" t="s">
        <v>237</v>
      </c>
      <c r="F2145" s="57" t="s">
        <v>300</v>
      </c>
      <c r="G2145" s="57" t="s">
        <v>2327</v>
      </c>
      <c r="H2145" s="140" t="s">
        <v>1735</v>
      </c>
      <c r="I2145" s="57"/>
      <c r="J2145" s="57"/>
      <c r="L2145" s="164">
        <v>1980</v>
      </c>
    </row>
    <row r="2146" spans="2:12" x14ac:dyDescent="0.3">
      <c r="B2146" s="57">
        <f t="shared" si="186"/>
        <v>2143</v>
      </c>
      <c r="C2146" s="147">
        <v>46194</v>
      </c>
      <c r="D2146" s="57" t="s">
        <v>968</v>
      </c>
      <c r="E2146" s="57" t="s">
        <v>146</v>
      </c>
      <c r="F2146" s="57" t="s">
        <v>502</v>
      </c>
      <c r="G2146" s="57" t="s">
        <v>773</v>
      </c>
      <c r="H2146" s="140" t="s">
        <v>1934</v>
      </c>
      <c r="I2146" s="57"/>
      <c r="J2146" s="165">
        <f>L2146/K2146</f>
        <v>20.833333333333332</v>
      </c>
      <c r="K2146" s="57">
        <v>96</v>
      </c>
      <c r="L2146" s="164">
        <v>2000</v>
      </c>
    </row>
    <row r="2147" spans="2:12" x14ac:dyDescent="0.3">
      <c r="B2147" s="57">
        <f t="shared" si="186"/>
        <v>2144</v>
      </c>
      <c r="C2147" s="147">
        <v>46194</v>
      </c>
      <c r="D2147" s="57" t="s">
        <v>968</v>
      </c>
      <c r="E2147" s="57" t="s">
        <v>574</v>
      </c>
      <c r="F2147" s="57" t="s">
        <v>446</v>
      </c>
      <c r="G2147" s="57" t="s">
        <v>313</v>
      </c>
      <c r="H2147" s="140" t="s">
        <v>1677</v>
      </c>
      <c r="I2147" s="140" t="s">
        <v>2635</v>
      </c>
      <c r="J2147" s="57">
        <v>4</v>
      </c>
      <c r="K2147" s="167">
        <f>L2147/J2147</f>
        <v>575</v>
      </c>
      <c r="L2147" s="164">
        <v>2300</v>
      </c>
    </row>
    <row r="2148" spans="2:12" x14ac:dyDescent="0.3">
      <c r="B2148" s="57">
        <f t="shared" si="186"/>
        <v>2145</v>
      </c>
      <c r="C2148" s="147">
        <v>46194</v>
      </c>
      <c r="D2148" s="57" t="s">
        <v>968</v>
      </c>
      <c r="E2148" s="57" t="s">
        <v>560</v>
      </c>
      <c r="F2148" s="57" t="s">
        <v>446</v>
      </c>
      <c r="G2148" s="57" t="s">
        <v>352</v>
      </c>
      <c r="H2148" s="140" t="s">
        <v>1935</v>
      </c>
      <c r="I2148" s="57"/>
      <c r="J2148" s="57"/>
      <c r="L2148" s="164">
        <v>1800</v>
      </c>
    </row>
    <row r="2149" spans="2:12" x14ac:dyDescent="0.3">
      <c r="B2149" s="57">
        <f t="shared" si="186"/>
        <v>2146</v>
      </c>
      <c r="C2149" s="147">
        <v>46194</v>
      </c>
      <c r="D2149" s="57" t="s">
        <v>968</v>
      </c>
      <c r="E2149" s="57" t="s">
        <v>4128</v>
      </c>
      <c r="F2149" s="57" t="s">
        <v>446</v>
      </c>
      <c r="G2149" s="57" t="s">
        <v>352</v>
      </c>
      <c r="H2149" s="140" t="s">
        <v>2965</v>
      </c>
      <c r="I2149" s="57"/>
      <c r="J2149" s="57"/>
      <c r="L2149" s="164">
        <v>2700</v>
      </c>
    </row>
    <row r="2150" spans="2:12" x14ac:dyDescent="0.3">
      <c r="B2150" s="57">
        <f t="shared" si="186"/>
        <v>2147</v>
      </c>
      <c r="C2150" s="147">
        <v>46194</v>
      </c>
      <c r="D2150" s="57" t="s">
        <v>968</v>
      </c>
      <c r="E2150" s="57" t="s">
        <v>4128</v>
      </c>
      <c r="F2150" s="57" t="s">
        <v>446</v>
      </c>
      <c r="G2150" s="57" t="s">
        <v>352</v>
      </c>
      <c r="H2150" s="140" t="s">
        <v>2966</v>
      </c>
      <c r="I2150" s="57"/>
      <c r="J2150" s="57"/>
      <c r="L2150" s="164">
        <v>6000</v>
      </c>
    </row>
    <row r="2151" spans="2:12" x14ac:dyDescent="0.3">
      <c r="B2151" s="57">
        <f t="shared" si="186"/>
        <v>2148</v>
      </c>
      <c r="C2151" s="147">
        <v>46194</v>
      </c>
      <c r="D2151" s="57" t="s">
        <v>968</v>
      </c>
      <c r="E2151" s="57" t="s">
        <v>958</v>
      </c>
      <c r="F2151" s="57" t="s">
        <v>446</v>
      </c>
      <c r="G2151" s="57" t="s">
        <v>359</v>
      </c>
      <c r="H2151" s="140" t="s">
        <v>1936</v>
      </c>
      <c r="I2151" s="57"/>
      <c r="J2151" s="57"/>
      <c r="L2151" s="164">
        <v>3000</v>
      </c>
    </row>
    <row r="2152" spans="2:12" x14ac:dyDescent="0.3">
      <c r="B2152" s="57">
        <f t="shared" si="186"/>
        <v>2149</v>
      </c>
      <c r="C2152" s="147">
        <v>46194</v>
      </c>
      <c r="D2152" s="57" t="s">
        <v>968</v>
      </c>
      <c r="E2152" s="57" t="s">
        <v>146</v>
      </c>
      <c r="F2152" s="57" t="s">
        <v>300</v>
      </c>
      <c r="G2152" s="57" t="s">
        <v>498</v>
      </c>
      <c r="H2152" s="140" t="s">
        <v>1937</v>
      </c>
      <c r="I2152" s="57"/>
      <c r="J2152" s="165">
        <f>L2152/K2152</f>
        <v>20.833333333333332</v>
      </c>
      <c r="K2152" s="57">
        <v>96</v>
      </c>
      <c r="L2152" s="164">
        <v>2000</v>
      </c>
    </row>
    <row r="2153" spans="2:12" x14ac:dyDescent="0.3">
      <c r="B2153" s="57">
        <f t="shared" si="186"/>
        <v>2150</v>
      </c>
      <c r="C2153" s="147">
        <v>46194</v>
      </c>
      <c r="D2153" s="57" t="s">
        <v>968</v>
      </c>
      <c r="E2153" s="57" t="s">
        <v>4128</v>
      </c>
      <c r="F2153" s="57" t="s">
        <v>350</v>
      </c>
      <c r="G2153" s="57" t="s">
        <v>663</v>
      </c>
      <c r="H2153" s="140" t="s">
        <v>1938</v>
      </c>
      <c r="I2153" s="57"/>
      <c r="J2153" s="57"/>
      <c r="L2153" s="164">
        <v>4000</v>
      </c>
    </row>
    <row r="2154" spans="2:12" x14ac:dyDescent="0.3">
      <c r="B2154" s="57">
        <f t="shared" si="186"/>
        <v>2151</v>
      </c>
      <c r="C2154" s="147">
        <v>46194</v>
      </c>
      <c r="D2154" s="57" t="s">
        <v>968</v>
      </c>
      <c r="E2154" s="57" t="s">
        <v>434</v>
      </c>
      <c r="F2154" s="57" t="s">
        <v>446</v>
      </c>
      <c r="G2154" s="57" t="s">
        <v>313</v>
      </c>
      <c r="H2154" s="140" t="s">
        <v>1939</v>
      </c>
      <c r="I2154" s="57"/>
      <c r="J2154" s="57"/>
      <c r="L2154" s="164">
        <v>1200</v>
      </c>
    </row>
    <row r="2155" spans="2:12" x14ac:dyDescent="0.3">
      <c r="B2155" s="57">
        <f t="shared" si="186"/>
        <v>2152</v>
      </c>
      <c r="C2155" s="147">
        <v>46194</v>
      </c>
      <c r="D2155" s="57" t="s">
        <v>968</v>
      </c>
      <c r="E2155" s="57" t="s">
        <v>146</v>
      </c>
      <c r="F2155" s="57" t="s">
        <v>2332</v>
      </c>
      <c r="G2155" s="57" t="s">
        <v>1004</v>
      </c>
      <c r="H2155" s="140" t="s">
        <v>1940</v>
      </c>
      <c r="I2155" s="57"/>
      <c r="J2155" s="165">
        <f>L2155/K2155</f>
        <v>20.833333333333332</v>
      </c>
      <c r="K2155" s="57">
        <v>96</v>
      </c>
      <c r="L2155" s="164">
        <v>2000</v>
      </c>
    </row>
    <row r="2156" spans="2:12" x14ac:dyDescent="0.3">
      <c r="B2156" s="57">
        <f t="shared" si="186"/>
        <v>2153</v>
      </c>
      <c r="C2156" s="147">
        <v>46194</v>
      </c>
      <c r="D2156" s="57" t="s">
        <v>968</v>
      </c>
      <c r="E2156" s="57" t="s">
        <v>574</v>
      </c>
      <c r="F2156" s="57" t="s">
        <v>446</v>
      </c>
      <c r="G2156" s="57" t="s">
        <v>313</v>
      </c>
      <c r="H2156" s="140" t="s">
        <v>1941</v>
      </c>
      <c r="I2156" s="140" t="s">
        <v>4081</v>
      </c>
      <c r="J2156" s="57">
        <v>4</v>
      </c>
      <c r="K2156" s="167">
        <f>L2156/J2156</f>
        <v>575</v>
      </c>
      <c r="L2156" s="164">
        <v>2300</v>
      </c>
    </row>
    <row r="2157" spans="2:12" x14ac:dyDescent="0.3">
      <c r="B2157" s="57">
        <f t="shared" si="186"/>
        <v>2154</v>
      </c>
      <c r="C2157" s="147">
        <v>46194</v>
      </c>
      <c r="D2157" s="57" t="s">
        <v>968</v>
      </c>
      <c r="E2157" s="57" t="s">
        <v>146</v>
      </c>
      <c r="F2157" s="57" t="s">
        <v>2332</v>
      </c>
      <c r="G2157" s="57" t="s">
        <v>1004</v>
      </c>
      <c r="H2157" s="140" t="s">
        <v>4092</v>
      </c>
      <c r="I2157" s="57"/>
      <c r="J2157" s="165">
        <f>L2157/K2157</f>
        <v>163.10416666666666</v>
      </c>
      <c r="K2157" s="57">
        <v>96</v>
      </c>
      <c r="L2157" s="164">
        <v>15658</v>
      </c>
    </row>
    <row r="2158" spans="2:12" x14ac:dyDescent="0.3">
      <c r="B2158" s="57">
        <f t="shared" si="186"/>
        <v>2155</v>
      </c>
      <c r="C2158" s="147">
        <v>46194</v>
      </c>
      <c r="D2158" s="57" t="s">
        <v>968</v>
      </c>
      <c r="E2158" s="57" t="s">
        <v>574</v>
      </c>
      <c r="F2158" s="57" t="s">
        <v>446</v>
      </c>
      <c r="G2158" s="57" t="s">
        <v>316</v>
      </c>
      <c r="H2158" s="140" t="s">
        <v>1942</v>
      </c>
      <c r="I2158" s="140" t="s">
        <v>4081</v>
      </c>
      <c r="J2158" s="57">
        <v>4</v>
      </c>
      <c r="K2158" s="167">
        <f>L2158/J2158</f>
        <v>575</v>
      </c>
      <c r="L2158" s="164">
        <v>2300</v>
      </c>
    </row>
    <row r="2159" spans="2:12" x14ac:dyDescent="0.3">
      <c r="B2159" s="57">
        <f t="shared" si="186"/>
        <v>2156</v>
      </c>
      <c r="C2159" s="147">
        <v>46194</v>
      </c>
      <c r="D2159" s="57" t="s">
        <v>968</v>
      </c>
      <c r="E2159" s="57" t="s">
        <v>532</v>
      </c>
      <c r="F2159" s="57" t="s">
        <v>300</v>
      </c>
      <c r="G2159" s="57" t="s">
        <v>498</v>
      </c>
      <c r="H2159" s="140" t="s">
        <v>1943</v>
      </c>
      <c r="I2159" s="57" t="s">
        <v>532</v>
      </c>
      <c r="J2159" s="57">
        <v>30</v>
      </c>
      <c r="K2159" s="167">
        <f>L2159/J2159</f>
        <v>265</v>
      </c>
      <c r="L2159" s="164">
        <v>7950</v>
      </c>
    </row>
    <row r="2160" spans="2:12" x14ac:dyDescent="0.3">
      <c r="B2160" s="57">
        <f t="shared" si="186"/>
        <v>2157</v>
      </c>
      <c r="C2160" s="147">
        <v>46194</v>
      </c>
      <c r="D2160" s="57" t="s">
        <v>968</v>
      </c>
      <c r="E2160" s="57" t="s">
        <v>146</v>
      </c>
      <c r="F2160" s="57" t="s">
        <v>446</v>
      </c>
      <c r="G2160" s="57" t="s">
        <v>316</v>
      </c>
      <c r="H2160" s="140" t="s">
        <v>1931</v>
      </c>
      <c r="I2160" s="57"/>
      <c r="J2160" s="165">
        <f>L2160/K2160</f>
        <v>26.041666666666668</v>
      </c>
      <c r="K2160" s="57">
        <v>96</v>
      </c>
      <c r="L2160" s="164">
        <v>2500</v>
      </c>
    </row>
    <row r="2161" spans="2:12" x14ac:dyDescent="0.3">
      <c r="B2161" s="57">
        <f t="shared" si="186"/>
        <v>2158</v>
      </c>
      <c r="C2161" s="147">
        <v>46194</v>
      </c>
      <c r="D2161" s="57" t="s">
        <v>968</v>
      </c>
      <c r="E2161" s="57" t="s">
        <v>237</v>
      </c>
      <c r="F2161" s="57" t="s">
        <v>2332</v>
      </c>
      <c r="G2161" s="57" t="s">
        <v>1004</v>
      </c>
      <c r="H2161" s="140" t="s">
        <v>1944</v>
      </c>
      <c r="I2161" s="57"/>
      <c r="J2161" s="57"/>
      <c r="L2161" s="164">
        <v>2200</v>
      </c>
    </row>
    <row r="2162" spans="2:12" x14ac:dyDescent="0.3">
      <c r="B2162" s="57">
        <f t="shared" si="186"/>
        <v>2159</v>
      </c>
      <c r="C2162" s="147">
        <v>46194</v>
      </c>
      <c r="D2162" s="57" t="s">
        <v>968</v>
      </c>
      <c r="E2162" s="57" t="s">
        <v>434</v>
      </c>
      <c r="F2162" s="57" t="s">
        <v>446</v>
      </c>
      <c r="G2162" s="57" t="s">
        <v>352</v>
      </c>
      <c r="H2162" s="140" t="s">
        <v>1945</v>
      </c>
      <c r="I2162" s="57"/>
      <c r="J2162" s="57"/>
      <c r="L2162" s="164">
        <v>2150</v>
      </c>
    </row>
    <row r="2163" spans="2:12" x14ac:dyDescent="0.3">
      <c r="B2163" s="57">
        <f t="shared" si="186"/>
        <v>2160</v>
      </c>
      <c r="C2163" s="147">
        <v>46194</v>
      </c>
      <c r="D2163" s="57" t="s">
        <v>968</v>
      </c>
      <c r="E2163" s="57" t="s">
        <v>146</v>
      </c>
      <c r="F2163" s="57" t="s">
        <v>502</v>
      </c>
      <c r="G2163" s="57" t="s">
        <v>257</v>
      </c>
      <c r="H2163" s="140" t="s">
        <v>4100</v>
      </c>
      <c r="I2163" s="57"/>
      <c r="J2163" s="165">
        <f>L2163/K2163</f>
        <v>20.833333333333332</v>
      </c>
      <c r="K2163" s="57">
        <v>96</v>
      </c>
      <c r="L2163" s="164">
        <v>2000</v>
      </c>
    </row>
    <row r="2164" spans="2:12" x14ac:dyDescent="0.3">
      <c r="B2164" s="57">
        <f t="shared" si="186"/>
        <v>2161</v>
      </c>
      <c r="C2164" s="147">
        <v>46194</v>
      </c>
      <c r="D2164" s="57" t="s">
        <v>968</v>
      </c>
      <c r="E2164" s="57" t="s">
        <v>4128</v>
      </c>
      <c r="F2164" s="57" t="s">
        <v>350</v>
      </c>
      <c r="G2164" s="57" t="s">
        <v>337</v>
      </c>
      <c r="H2164" s="140" t="s">
        <v>1946</v>
      </c>
      <c r="I2164" s="57"/>
      <c r="J2164" s="57"/>
      <c r="L2164" s="164">
        <v>2000</v>
      </c>
    </row>
    <row r="2165" spans="2:12" x14ac:dyDescent="0.3">
      <c r="B2165" s="57">
        <f t="shared" si="186"/>
        <v>2162</v>
      </c>
      <c r="C2165" s="147">
        <v>46194</v>
      </c>
      <c r="D2165" s="57" t="s">
        <v>968</v>
      </c>
      <c r="E2165" s="57" t="s">
        <v>146</v>
      </c>
      <c r="F2165" s="57" t="s">
        <v>350</v>
      </c>
      <c r="G2165" s="57" t="s">
        <v>337</v>
      </c>
      <c r="H2165" s="140" t="s">
        <v>1947</v>
      </c>
      <c r="I2165" s="57"/>
      <c r="J2165" s="165">
        <f>L2165/K2165</f>
        <v>31.25</v>
      </c>
      <c r="K2165" s="57">
        <v>96</v>
      </c>
      <c r="L2165" s="164">
        <v>3000</v>
      </c>
    </row>
    <row r="2166" spans="2:12" x14ac:dyDescent="0.3">
      <c r="B2166" s="57">
        <f t="shared" si="186"/>
        <v>2163</v>
      </c>
      <c r="C2166" s="147">
        <v>46194</v>
      </c>
      <c r="D2166" s="57" t="s">
        <v>968</v>
      </c>
      <c r="E2166" s="57" t="s">
        <v>590</v>
      </c>
      <c r="F2166" s="57" t="s">
        <v>2332</v>
      </c>
      <c r="G2166" s="57" t="s">
        <v>1004</v>
      </c>
      <c r="H2166" s="140" t="s">
        <v>1948</v>
      </c>
      <c r="I2166" s="57"/>
      <c r="J2166" s="57"/>
      <c r="L2166" s="164">
        <v>2700</v>
      </c>
    </row>
    <row r="2167" spans="2:12" x14ac:dyDescent="0.3">
      <c r="B2167" s="57">
        <f t="shared" si="186"/>
        <v>2164</v>
      </c>
      <c r="C2167" s="147">
        <v>46194</v>
      </c>
      <c r="D2167" s="57" t="s">
        <v>968</v>
      </c>
      <c r="E2167" s="57" t="s">
        <v>767</v>
      </c>
      <c r="F2167" s="57" t="s">
        <v>300</v>
      </c>
      <c r="G2167" s="57" t="s">
        <v>530</v>
      </c>
      <c r="H2167" s="140" t="s">
        <v>1949</v>
      </c>
      <c r="I2167" s="57"/>
      <c r="J2167" s="57"/>
      <c r="L2167" s="164">
        <v>250</v>
      </c>
    </row>
    <row r="2168" spans="2:12" x14ac:dyDescent="0.3">
      <c r="B2168" s="57">
        <f t="shared" si="186"/>
        <v>2165</v>
      </c>
      <c r="C2168" s="147">
        <v>46194</v>
      </c>
      <c r="D2168" s="57" t="s">
        <v>968</v>
      </c>
      <c r="E2168" s="57" t="s">
        <v>958</v>
      </c>
      <c r="F2168" s="57" t="s">
        <v>446</v>
      </c>
      <c r="G2168" s="57" t="s">
        <v>316</v>
      </c>
      <c r="H2168" s="140" t="s">
        <v>1950</v>
      </c>
      <c r="I2168" s="57"/>
      <c r="J2168" s="57"/>
      <c r="L2168" s="164">
        <v>3000</v>
      </c>
    </row>
    <row r="2169" spans="2:12" x14ac:dyDescent="0.3">
      <c r="B2169" s="57">
        <f t="shared" si="186"/>
        <v>2166</v>
      </c>
      <c r="C2169" s="147">
        <v>46194</v>
      </c>
      <c r="D2169" s="57" t="s">
        <v>968</v>
      </c>
      <c r="E2169" s="57" t="s">
        <v>434</v>
      </c>
      <c r="F2169" s="57" t="s">
        <v>446</v>
      </c>
      <c r="G2169" s="57" t="s">
        <v>316</v>
      </c>
      <c r="H2169" s="140" t="s">
        <v>2967</v>
      </c>
      <c r="I2169" s="57"/>
      <c r="J2169" s="57"/>
      <c r="L2169" s="164">
        <v>900</v>
      </c>
    </row>
    <row r="2170" spans="2:12" x14ac:dyDescent="0.3">
      <c r="B2170" s="57">
        <f t="shared" si="186"/>
        <v>2167</v>
      </c>
      <c r="C2170" s="147">
        <v>46194</v>
      </c>
      <c r="D2170" s="57" t="s">
        <v>968</v>
      </c>
      <c r="E2170" s="57" t="s">
        <v>767</v>
      </c>
      <c r="F2170" s="57" t="s">
        <v>446</v>
      </c>
      <c r="G2170" s="57" t="s">
        <v>649</v>
      </c>
      <c r="H2170" s="140" t="s">
        <v>1951</v>
      </c>
      <c r="I2170" s="57"/>
      <c r="J2170" s="57"/>
      <c r="L2170" s="164">
        <v>1150</v>
      </c>
    </row>
    <row r="2171" spans="2:12" x14ac:dyDescent="0.3">
      <c r="B2171" s="57">
        <f t="shared" si="186"/>
        <v>2168</v>
      </c>
      <c r="C2171" s="147">
        <v>46194</v>
      </c>
      <c r="D2171" s="57" t="s">
        <v>968</v>
      </c>
      <c r="E2171" s="57" t="s">
        <v>460</v>
      </c>
      <c r="F2171" s="57" t="s">
        <v>446</v>
      </c>
      <c r="G2171" s="57" t="s">
        <v>649</v>
      </c>
      <c r="H2171" s="140" t="s">
        <v>1952</v>
      </c>
      <c r="I2171" s="57"/>
      <c r="J2171" s="57"/>
      <c r="L2171" s="164">
        <v>890</v>
      </c>
    </row>
    <row r="2172" spans="2:12" x14ac:dyDescent="0.3">
      <c r="B2172" s="57">
        <f t="shared" si="186"/>
        <v>2169</v>
      </c>
      <c r="C2172" s="147">
        <v>46195</v>
      </c>
      <c r="D2172" s="57" t="s">
        <v>968</v>
      </c>
      <c r="E2172" s="57" t="s">
        <v>532</v>
      </c>
      <c r="F2172" s="57" t="s">
        <v>446</v>
      </c>
      <c r="G2172" s="57" t="s">
        <v>313</v>
      </c>
      <c r="H2172" s="140" t="s">
        <v>1953</v>
      </c>
      <c r="I2172" s="57" t="s">
        <v>532</v>
      </c>
      <c r="J2172" s="57">
        <v>30</v>
      </c>
      <c r="K2172" s="168">
        <f>L2172/J2172</f>
        <v>271.33333333333331</v>
      </c>
      <c r="L2172" s="164">
        <v>8140</v>
      </c>
    </row>
    <row r="2173" spans="2:12" x14ac:dyDescent="0.3">
      <c r="B2173" s="57">
        <f t="shared" si="186"/>
        <v>2170</v>
      </c>
      <c r="C2173" s="147">
        <v>46195</v>
      </c>
      <c r="D2173" s="57" t="s">
        <v>968</v>
      </c>
      <c r="E2173" s="57" t="s">
        <v>237</v>
      </c>
      <c r="F2173" s="57" t="s">
        <v>300</v>
      </c>
      <c r="G2173" s="57" t="s">
        <v>530</v>
      </c>
      <c r="H2173" s="140" t="s">
        <v>1954</v>
      </c>
      <c r="I2173" s="57"/>
      <c r="J2173" s="57"/>
      <c r="L2173" s="164">
        <v>11500</v>
      </c>
    </row>
    <row r="2174" spans="2:12" x14ac:dyDescent="0.3">
      <c r="B2174" s="57">
        <f t="shared" si="186"/>
        <v>2171</v>
      </c>
      <c r="C2174" s="147">
        <v>46195</v>
      </c>
      <c r="D2174" s="57" t="s">
        <v>968</v>
      </c>
      <c r="E2174" s="57" t="s">
        <v>574</v>
      </c>
      <c r="F2174" s="57" t="s">
        <v>446</v>
      </c>
      <c r="G2174" s="57" t="s">
        <v>313</v>
      </c>
      <c r="H2174" s="140" t="s">
        <v>1955</v>
      </c>
      <c r="I2174" s="140" t="s">
        <v>2635</v>
      </c>
      <c r="J2174" s="57">
        <v>4</v>
      </c>
      <c r="K2174" s="167">
        <f>L2174/J2174</f>
        <v>575</v>
      </c>
      <c r="L2174" s="164">
        <v>2300</v>
      </c>
    </row>
    <row r="2175" spans="2:12" x14ac:dyDescent="0.3">
      <c r="B2175" s="57">
        <f t="shared" si="186"/>
        <v>2172</v>
      </c>
      <c r="C2175" s="147">
        <v>46195</v>
      </c>
      <c r="D2175" s="57" t="s">
        <v>968</v>
      </c>
      <c r="E2175" s="57" t="s">
        <v>146</v>
      </c>
      <c r="F2175" s="57" t="s">
        <v>350</v>
      </c>
      <c r="G2175" s="57" t="s">
        <v>322</v>
      </c>
      <c r="H2175" s="140" t="s">
        <v>1956</v>
      </c>
      <c r="I2175" s="57"/>
      <c r="J2175" s="165">
        <f>L2175/K2175</f>
        <v>20.833333333333332</v>
      </c>
      <c r="K2175" s="57">
        <v>96</v>
      </c>
      <c r="L2175" s="164">
        <v>2000</v>
      </c>
    </row>
    <row r="2176" spans="2:12" x14ac:dyDescent="0.3">
      <c r="B2176" s="57">
        <f t="shared" si="186"/>
        <v>2173</v>
      </c>
      <c r="C2176" s="147">
        <v>46195</v>
      </c>
      <c r="D2176" s="57" t="s">
        <v>968</v>
      </c>
      <c r="E2176" s="57" t="s">
        <v>473</v>
      </c>
      <c r="F2176" s="57" t="s">
        <v>300</v>
      </c>
      <c r="G2176" s="57" t="s">
        <v>530</v>
      </c>
      <c r="H2176" s="140" t="s">
        <v>1957</v>
      </c>
      <c r="I2176" s="57"/>
      <c r="J2176" s="57"/>
      <c r="L2176" s="164">
        <v>1343</v>
      </c>
    </row>
    <row r="2177" spans="2:12" x14ac:dyDescent="0.3">
      <c r="B2177" s="57">
        <f t="shared" si="186"/>
        <v>2174</v>
      </c>
      <c r="C2177" s="147">
        <v>46195</v>
      </c>
      <c r="D2177" s="57" t="s">
        <v>968</v>
      </c>
      <c r="E2177" s="57" t="s">
        <v>958</v>
      </c>
      <c r="F2177" s="57" t="s">
        <v>546</v>
      </c>
      <c r="G2177" s="57" t="s">
        <v>545</v>
      </c>
      <c r="H2177" s="140" t="s">
        <v>1958</v>
      </c>
      <c r="I2177" s="57"/>
      <c r="J2177" s="57"/>
      <c r="L2177" s="164">
        <v>5540</v>
      </c>
    </row>
    <row r="2178" spans="2:12" x14ac:dyDescent="0.3">
      <c r="B2178" s="57">
        <f t="shared" si="186"/>
        <v>2175</v>
      </c>
      <c r="C2178" s="147">
        <v>46195</v>
      </c>
      <c r="D2178" s="57" t="s">
        <v>968</v>
      </c>
      <c r="E2178" s="57" t="s">
        <v>574</v>
      </c>
      <c r="F2178" s="57" t="s">
        <v>446</v>
      </c>
      <c r="G2178" s="57" t="s">
        <v>313</v>
      </c>
      <c r="H2178" s="140" t="s">
        <v>1959</v>
      </c>
      <c r="I2178" s="140" t="s">
        <v>4081</v>
      </c>
      <c r="J2178" s="57">
        <v>4</v>
      </c>
      <c r="K2178" s="167">
        <f>L2178/J2178</f>
        <v>575</v>
      </c>
      <c r="L2178" s="164">
        <v>2300</v>
      </c>
    </row>
    <row r="2179" spans="2:12" x14ac:dyDescent="0.3">
      <c r="B2179" s="57">
        <f t="shared" si="186"/>
        <v>2176</v>
      </c>
      <c r="C2179" s="147">
        <v>46195</v>
      </c>
      <c r="D2179" s="57" t="s">
        <v>968</v>
      </c>
      <c r="E2179" s="57" t="s">
        <v>146</v>
      </c>
      <c r="F2179" s="57" t="s">
        <v>300</v>
      </c>
      <c r="G2179" s="57" t="s">
        <v>616</v>
      </c>
      <c r="H2179" s="140" t="s">
        <v>4093</v>
      </c>
      <c r="I2179" s="57"/>
      <c r="J2179" s="165">
        <f>L2179/K2179</f>
        <v>51.760416666666664</v>
      </c>
      <c r="K2179" s="57">
        <v>96</v>
      </c>
      <c r="L2179" s="164">
        <v>4969</v>
      </c>
    </row>
    <row r="2180" spans="2:12" x14ac:dyDescent="0.3">
      <c r="B2180" s="57">
        <f t="shared" si="186"/>
        <v>2177</v>
      </c>
      <c r="C2180" s="147">
        <v>46195</v>
      </c>
      <c r="D2180" s="57" t="s">
        <v>968</v>
      </c>
      <c r="E2180" s="57" t="s">
        <v>434</v>
      </c>
      <c r="F2180" s="57" t="s">
        <v>300</v>
      </c>
      <c r="G2180" s="57" t="s">
        <v>438</v>
      </c>
      <c r="H2180" s="140" t="s">
        <v>1960</v>
      </c>
      <c r="I2180" s="57"/>
      <c r="J2180" s="57"/>
      <c r="L2180" s="164">
        <v>390</v>
      </c>
    </row>
    <row r="2181" spans="2:12" x14ac:dyDescent="0.3">
      <c r="B2181" s="57">
        <f t="shared" si="186"/>
        <v>2178</v>
      </c>
      <c r="C2181" s="147">
        <v>46195</v>
      </c>
      <c r="D2181" s="57" t="s">
        <v>968</v>
      </c>
      <c r="E2181" s="57" t="s">
        <v>237</v>
      </c>
      <c r="F2181" s="57" t="s">
        <v>2332</v>
      </c>
      <c r="G2181" s="57" t="s">
        <v>1004</v>
      </c>
      <c r="H2181" s="140" t="s">
        <v>1961</v>
      </c>
      <c r="I2181" s="57"/>
      <c r="J2181" s="57"/>
      <c r="L2181" s="164">
        <v>3000</v>
      </c>
    </row>
    <row r="2182" spans="2:12" x14ac:dyDescent="0.3">
      <c r="B2182" s="57">
        <f t="shared" ref="B2182:B2245" si="190">+B2181+1</f>
        <v>2179</v>
      </c>
      <c r="C2182" s="147">
        <v>46195</v>
      </c>
      <c r="D2182" s="57" t="s">
        <v>968</v>
      </c>
      <c r="E2182" s="57" t="s">
        <v>237</v>
      </c>
      <c r="F2182" s="57" t="s">
        <v>502</v>
      </c>
      <c r="G2182" s="57" t="s">
        <v>257</v>
      </c>
      <c r="H2182" s="140" t="s">
        <v>1962</v>
      </c>
      <c r="I2182" s="57"/>
      <c r="J2182" s="57"/>
      <c r="L2182" s="164">
        <v>6745</v>
      </c>
    </row>
    <row r="2183" spans="2:12" x14ac:dyDescent="0.3">
      <c r="B2183" s="57">
        <f t="shared" si="190"/>
        <v>2180</v>
      </c>
      <c r="C2183" s="147">
        <v>46195</v>
      </c>
      <c r="D2183" s="57" t="s">
        <v>968</v>
      </c>
      <c r="E2183" s="57" t="s">
        <v>574</v>
      </c>
      <c r="F2183" s="57" t="s">
        <v>300</v>
      </c>
      <c r="G2183" s="57" t="s">
        <v>498</v>
      </c>
      <c r="H2183" s="140" t="s">
        <v>1963</v>
      </c>
      <c r="I2183" s="140" t="s">
        <v>4081</v>
      </c>
      <c r="J2183" s="57">
        <v>6</v>
      </c>
      <c r="K2183" s="167">
        <f>L2183/J2183</f>
        <v>692.5</v>
      </c>
      <c r="L2183" s="164">
        <v>4155</v>
      </c>
    </row>
    <row r="2184" spans="2:12" x14ac:dyDescent="0.3">
      <c r="B2184" s="57">
        <f t="shared" si="190"/>
        <v>2181</v>
      </c>
      <c r="C2184" s="147">
        <v>46195</v>
      </c>
      <c r="D2184" s="57" t="s">
        <v>968</v>
      </c>
      <c r="E2184" s="57" t="s">
        <v>958</v>
      </c>
      <c r="F2184" s="57" t="s">
        <v>2332</v>
      </c>
      <c r="G2184" s="57" t="s">
        <v>1004</v>
      </c>
      <c r="H2184" s="140" t="s">
        <v>1964</v>
      </c>
      <c r="I2184" s="57"/>
      <c r="J2184" s="57"/>
      <c r="L2184" s="164">
        <v>5000</v>
      </c>
    </row>
    <row r="2185" spans="2:12" x14ac:dyDescent="0.3">
      <c r="B2185" s="57">
        <f t="shared" si="190"/>
        <v>2182</v>
      </c>
      <c r="C2185" s="147">
        <v>46195</v>
      </c>
      <c r="D2185" s="57" t="s">
        <v>968</v>
      </c>
      <c r="E2185" s="57" t="s">
        <v>434</v>
      </c>
      <c r="F2185" s="57" t="s">
        <v>2332</v>
      </c>
      <c r="G2185" s="57" t="s">
        <v>1004</v>
      </c>
      <c r="H2185" s="140" t="s">
        <v>1965</v>
      </c>
      <c r="I2185" s="57"/>
      <c r="J2185" s="57"/>
      <c r="L2185" s="164">
        <v>1250</v>
      </c>
    </row>
    <row r="2186" spans="2:12" x14ac:dyDescent="0.3">
      <c r="B2186" s="57">
        <f t="shared" si="190"/>
        <v>2183</v>
      </c>
      <c r="C2186" s="147">
        <v>46195</v>
      </c>
      <c r="D2186" s="57" t="s">
        <v>968</v>
      </c>
      <c r="E2186" s="57" t="s">
        <v>146</v>
      </c>
      <c r="F2186" s="57" t="s">
        <v>2332</v>
      </c>
      <c r="G2186" s="57" t="s">
        <v>1004</v>
      </c>
      <c r="H2186" s="140" t="s">
        <v>4094</v>
      </c>
      <c r="I2186" s="57" t="s">
        <v>146</v>
      </c>
      <c r="J2186" s="165">
        <f t="shared" ref="J2186:J2187" si="191">L2186/K2186</f>
        <v>52.083333333333336</v>
      </c>
      <c r="K2186" s="57">
        <v>96</v>
      </c>
      <c r="L2186" s="164">
        <v>5000</v>
      </c>
    </row>
    <row r="2187" spans="2:12" x14ac:dyDescent="0.3">
      <c r="B2187" s="57">
        <f t="shared" si="190"/>
        <v>2184</v>
      </c>
      <c r="C2187" s="147">
        <v>46195</v>
      </c>
      <c r="D2187" s="57" t="s">
        <v>968</v>
      </c>
      <c r="E2187" s="57" t="s">
        <v>146</v>
      </c>
      <c r="F2187" s="57" t="s">
        <v>2332</v>
      </c>
      <c r="G2187" s="57" t="s">
        <v>1004</v>
      </c>
      <c r="H2187" s="140" t="s">
        <v>4098</v>
      </c>
      <c r="I2187" s="57"/>
      <c r="J2187" s="165">
        <f t="shared" si="191"/>
        <v>42.708333333333336</v>
      </c>
      <c r="K2187" s="57">
        <v>96</v>
      </c>
      <c r="L2187" s="164">
        <v>4100</v>
      </c>
    </row>
    <row r="2188" spans="2:12" x14ac:dyDescent="0.3">
      <c r="B2188" s="57">
        <f t="shared" si="190"/>
        <v>2185</v>
      </c>
      <c r="C2188" s="147">
        <v>46195</v>
      </c>
      <c r="D2188" s="57" t="s">
        <v>968</v>
      </c>
      <c r="E2188" s="57" t="s">
        <v>4091</v>
      </c>
      <c r="F2188" s="57" t="s">
        <v>300</v>
      </c>
      <c r="G2188" s="57" t="s">
        <v>530</v>
      </c>
      <c r="H2188" s="140" t="s">
        <v>4096</v>
      </c>
      <c r="I2188" s="57"/>
      <c r="J2188" s="57"/>
      <c r="L2188" s="164">
        <v>2000</v>
      </c>
    </row>
    <row r="2189" spans="2:12" x14ac:dyDescent="0.3">
      <c r="B2189" s="57">
        <f t="shared" si="190"/>
        <v>2186</v>
      </c>
      <c r="C2189" s="147">
        <v>46195</v>
      </c>
      <c r="D2189" s="57" t="s">
        <v>968</v>
      </c>
      <c r="E2189" s="57" t="s">
        <v>481</v>
      </c>
      <c r="F2189" s="57" t="s">
        <v>2332</v>
      </c>
      <c r="G2189" s="57" t="s">
        <v>1004</v>
      </c>
      <c r="H2189" s="140" t="s">
        <v>1966</v>
      </c>
      <c r="I2189" s="57"/>
      <c r="J2189" s="57"/>
      <c r="L2189" s="164">
        <v>4065</v>
      </c>
    </row>
    <row r="2190" spans="2:12" x14ac:dyDescent="0.3">
      <c r="B2190" s="57">
        <f t="shared" si="190"/>
        <v>2187</v>
      </c>
      <c r="C2190" s="147">
        <v>46195</v>
      </c>
      <c r="D2190" s="57" t="s">
        <v>968</v>
      </c>
      <c r="E2190" s="57" t="s">
        <v>146</v>
      </c>
      <c r="F2190" s="57" t="s">
        <v>300</v>
      </c>
      <c r="G2190" s="57" t="s">
        <v>530</v>
      </c>
      <c r="H2190" s="140" t="s">
        <v>894</v>
      </c>
      <c r="I2190" s="57"/>
      <c r="J2190" s="165">
        <f>L2190/K2190</f>
        <v>20.833333333333332</v>
      </c>
      <c r="K2190" s="57">
        <v>96</v>
      </c>
      <c r="L2190" s="164">
        <v>2000</v>
      </c>
    </row>
    <row r="2191" spans="2:12" x14ac:dyDescent="0.3">
      <c r="B2191" s="57">
        <f t="shared" si="190"/>
        <v>2188</v>
      </c>
      <c r="C2191" s="147">
        <v>46195</v>
      </c>
      <c r="D2191" s="57" t="s">
        <v>968</v>
      </c>
      <c r="E2191" s="57" t="s">
        <v>460</v>
      </c>
      <c r="F2191" s="57" t="s">
        <v>2332</v>
      </c>
      <c r="G2191" s="57" t="s">
        <v>1004</v>
      </c>
      <c r="H2191" s="140" t="s">
        <v>1967</v>
      </c>
      <c r="I2191" s="57"/>
      <c r="J2191" s="57"/>
      <c r="L2191" s="164">
        <v>2320</v>
      </c>
    </row>
    <row r="2192" spans="2:12" x14ac:dyDescent="0.3">
      <c r="B2192" s="57">
        <f t="shared" si="190"/>
        <v>2189</v>
      </c>
      <c r="C2192" s="147">
        <v>46195</v>
      </c>
      <c r="D2192" s="57" t="s">
        <v>968</v>
      </c>
      <c r="E2192" s="57" t="s">
        <v>237</v>
      </c>
      <c r="F2192" s="57" t="s">
        <v>300</v>
      </c>
      <c r="G2192" s="57" t="s">
        <v>530</v>
      </c>
      <c r="H2192" s="140" t="s">
        <v>1968</v>
      </c>
      <c r="I2192" s="57"/>
      <c r="J2192" s="57"/>
      <c r="L2192" s="164">
        <v>2100</v>
      </c>
    </row>
    <row r="2193" spans="2:12" x14ac:dyDescent="0.3">
      <c r="B2193" s="57">
        <f t="shared" si="190"/>
        <v>2190</v>
      </c>
      <c r="C2193" s="147">
        <v>46195</v>
      </c>
      <c r="D2193" s="57" t="s">
        <v>968</v>
      </c>
      <c r="E2193" s="57" t="s">
        <v>146</v>
      </c>
      <c r="F2193" s="57" t="s">
        <v>300</v>
      </c>
      <c r="G2193" s="57" t="s">
        <v>530</v>
      </c>
      <c r="H2193" s="140" t="s">
        <v>4109</v>
      </c>
      <c r="I2193" s="57"/>
      <c r="J2193" s="165">
        <f>L2193/K2193</f>
        <v>43.729166666666664</v>
      </c>
      <c r="K2193" s="57">
        <v>96</v>
      </c>
      <c r="L2193" s="164">
        <v>4198</v>
      </c>
    </row>
    <row r="2194" spans="2:12" x14ac:dyDescent="0.3">
      <c r="B2194" s="57">
        <f t="shared" si="190"/>
        <v>2191</v>
      </c>
      <c r="C2194" s="147">
        <v>46195</v>
      </c>
      <c r="D2194" s="57" t="s">
        <v>968</v>
      </c>
      <c r="E2194" s="57" t="s">
        <v>4128</v>
      </c>
      <c r="F2194" s="57" t="s">
        <v>446</v>
      </c>
      <c r="G2194" s="57" t="s">
        <v>313</v>
      </c>
      <c r="H2194" s="140" t="s">
        <v>1969</v>
      </c>
      <c r="I2194" s="57"/>
      <c r="J2194" s="57"/>
      <c r="L2194" s="164">
        <v>10000</v>
      </c>
    </row>
    <row r="2195" spans="2:12" x14ac:dyDescent="0.3">
      <c r="B2195" s="57">
        <f t="shared" si="190"/>
        <v>2192</v>
      </c>
      <c r="C2195" s="143">
        <v>46196</v>
      </c>
      <c r="D2195" s="152" t="s">
        <v>435</v>
      </c>
      <c r="E2195" s="57" t="s">
        <v>529</v>
      </c>
      <c r="F2195" s="57" t="s">
        <v>300</v>
      </c>
      <c r="G2195" s="57" t="s">
        <v>530</v>
      </c>
      <c r="H2195" s="140" t="s">
        <v>706</v>
      </c>
      <c r="I2195" s="57"/>
      <c r="J2195" s="57"/>
      <c r="L2195" s="164">
        <v>2700</v>
      </c>
    </row>
    <row r="2196" spans="2:12" x14ac:dyDescent="0.3">
      <c r="B2196" s="57">
        <f t="shared" si="190"/>
        <v>2193</v>
      </c>
      <c r="C2196" s="143">
        <v>46196</v>
      </c>
      <c r="D2196" s="152" t="s">
        <v>435</v>
      </c>
      <c r="E2196" s="57" t="s">
        <v>532</v>
      </c>
      <c r="F2196" s="57" t="s">
        <v>446</v>
      </c>
      <c r="G2196" s="57" t="s">
        <v>352</v>
      </c>
      <c r="H2196" s="140" t="s">
        <v>705</v>
      </c>
      <c r="I2196" s="57" t="s">
        <v>532</v>
      </c>
      <c r="J2196" s="57">
        <v>50</v>
      </c>
      <c r="K2196" s="57">
        <v>280</v>
      </c>
      <c r="L2196" s="164">
        <v>14000</v>
      </c>
    </row>
    <row r="2197" spans="2:12" x14ac:dyDescent="0.3">
      <c r="B2197" s="57">
        <f t="shared" si="190"/>
        <v>2194</v>
      </c>
      <c r="C2197" s="143">
        <v>46196</v>
      </c>
      <c r="D2197" s="152" t="s">
        <v>435</v>
      </c>
      <c r="E2197" s="57" t="s">
        <v>471</v>
      </c>
      <c r="F2197" s="57" t="s">
        <v>446</v>
      </c>
      <c r="G2197" s="57" t="s">
        <v>352</v>
      </c>
      <c r="H2197" s="140" t="s">
        <v>704</v>
      </c>
      <c r="I2197" s="57"/>
      <c r="J2197" s="57"/>
      <c r="L2197" s="164">
        <v>42833</v>
      </c>
    </row>
    <row r="2198" spans="2:12" x14ac:dyDescent="0.3">
      <c r="B2198" s="57">
        <f t="shared" si="190"/>
        <v>2195</v>
      </c>
      <c r="C2198" s="143">
        <v>46196</v>
      </c>
      <c r="D2198" s="152" t="s">
        <v>435</v>
      </c>
      <c r="E2198" s="57" t="s">
        <v>4128</v>
      </c>
      <c r="F2198" s="57" t="s">
        <v>446</v>
      </c>
      <c r="G2198" s="57" t="s">
        <v>352</v>
      </c>
      <c r="H2198" s="140" t="s">
        <v>703</v>
      </c>
      <c r="I2198" s="57"/>
      <c r="J2198" s="57"/>
      <c r="L2198" s="164">
        <v>597</v>
      </c>
    </row>
    <row r="2199" spans="2:12" x14ac:dyDescent="0.3">
      <c r="B2199" s="57">
        <f t="shared" si="190"/>
        <v>2196</v>
      </c>
      <c r="C2199" s="143">
        <v>46196</v>
      </c>
      <c r="D2199" s="152" t="s">
        <v>435</v>
      </c>
      <c r="E2199" s="57" t="s">
        <v>477</v>
      </c>
      <c r="F2199" s="57" t="s">
        <v>300</v>
      </c>
      <c r="G2199" s="57" t="s">
        <v>438</v>
      </c>
      <c r="H2199" s="140" t="s">
        <v>702</v>
      </c>
      <c r="I2199" s="57"/>
      <c r="J2199" s="57"/>
      <c r="L2199" s="164">
        <v>13000</v>
      </c>
    </row>
    <row r="2200" spans="2:12" x14ac:dyDescent="0.3">
      <c r="B2200" s="57">
        <f t="shared" si="190"/>
        <v>2197</v>
      </c>
      <c r="C2200" s="143">
        <v>46196</v>
      </c>
      <c r="D2200" s="152" t="s">
        <v>435</v>
      </c>
      <c r="E2200" s="57" t="s">
        <v>146</v>
      </c>
      <c r="F2200" s="57" t="s">
        <v>502</v>
      </c>
      <c r="G2200" s="57" t="s">
        <v>257</v>
      </c>
      <c r="H2200" s="140" t="s">
        <v>680</v>
      </c>
      <c r="I2200" s="57"/>
      <c r="J2200" s="165">
        <f t="shared" ref="J2200:J2202" si="192">L2200/K2200</f>
        <v>130.17635416666667</v>
      </c>
      <c r="K2200" s="57">
        <v>96</v>
      </c>
      <c r="L2200" s="164">
        <v>12496.93</v>
      </c>
    </row>
    <row r="2201" spans="2:12" x14ac:dyDescent="0.3">
      <c r="B2201" s="57">
        <f t="shared" si="190"/>
        <v>2198</v>
      </c>
      <c r="C2201" s="147">
        <v>46196</v>
      </c>
      <c r="D2201" s="57" t="s">
        <v>968</v>
      </c>
      <c r="E2201" s="57" t="s">
        <v>146</v>
      </c>
      <c r="F2201" s="57" t="s">
        <v>446</v>
      </c>
      <c r="G2201" s="57" t="s">
        <v>313</v>
      </c>
      <c r="H2201" s="140" t="s">
        <v>1970</v>
      </c>
      <c r="I2201" s="57"/>
      <c r="J2201" s="165">
        <f t="shared" si="192"/>
        <v>41.177083333333336</v>
      </c>
      <c r="K2201" s="57">
        <v>96</v>
      </c>
      <c r="L2201" s="164">
        <v>3953</v>
      </c>
    </row>
    <row r="2202" spans="2:12" x14ac:dyDescent="0.3">
      <c r="B2202" s="57">
        <f t="shared" si="190"/>
        <v>2199</v>
      </c>
      <c r="C2202" s="147">
        <v>46196</v>
      </c>
      <c r="D2202" s="57" t="s">
        <v>968</v>
      </c>
      <c r="E2202" s="57" t="s">
        <v>146</v>
      </c>
      <c r="F2202" s="57" t="s">
        <v>446</v>
      </c>
      <c r="G2202" s="57" t="s">
        <v>313</v>
      </c>
      <c r="H2202" s="140" t="s">
        <v>4099</v>
      </c>
      <c r="I2202" s="57"/>
      <c r="J2202" s="165">
        <f t="shared" si="192"/>
        <v>42.729166666666664</v>
      </c>
      <c r="K2202" s="57">
        <v>96</v>
      </c>
      <c r="L2202" s="164">
        <v>4102</v>
      </c>
    </row>
    <row r="2203" spans="2:12" x14ac:dyDescent="0.3">
      <c r="B2203" s="57">
        <f t="shared" si="190"/>
        <v>2200</v>
      </c>
      <c r="C2203" s="147">
        <v>46196</v>
      </c>
      <c r="D2203" s="57" t="s">
        <v>968</v>
      </c>
      <c r="E2203" s="57" t="s">
        <v>237</v>
      </c>
      <c r="F2203" s="57" t="s">
        <v>300</v>
      </c>
      <c r="G2203" s="57" t="s">
        <v>530</v>
      </c>
      <c r="H2203" s="140" t="s">
        <v>1971</v>
      </c>
      <c r="I2203" s="57"/>
      <c r="J2203" s="57"/>
      <c r="L2203" s="164">
        <v>27500</v>
      </c>
    </row>
    <row r="2204" spans="2:12" x14ac:dyDescent="0.3">
      <c r="B2204" s="57">
        <f t="shared" si="190"/>
        <v>2201</v>
      </c>
      <c r="C2204" s="147">
        <v>46196</v>
      </c>
      <c r="D2204" s="57" t="s">
        <v>968</v>
      </c>
      <c r="E2204" s="57" t="s">
        <v>146</v>
      </c>
      <c r="F2204" s="57" t="s">
        <v>350</v>
      </c>
      <c r="G2204" s="57" t="s">
        <v>701</v>
      </c>
      <c r="H2204" s="140" t="s">
        <v>4113</v>
      </c>
      <c r="I2204" s="57" t="s">
        <v>146</v>
      </c>
      <c r="J2204" s="165">
        <f>L2204/K2204</f>
        <v>41.666666666666664</v>
      </c>
      <c r="K2204" s="57">
        <v>96</v>
      </c>
      <c r="L2204" s="164">
        <v>4000</v>
      </c>
    </row>
    <row r="2205" spans="2:12" x14ac:dyDescent="0.3">
      <c r="B2205" s="57">
        <f t="shared" si="190"/>
        <v>2202</v>
      </c>
      <c r="C2205" s="147">
        <v>46196</v>
      </c>
      <c r="D2205" s="57" t="s">
        <v>968</v>
      </c>
      <c r="E2205" s="57" t="s">
        <v>237</v>
      </c>
      <c r="F2205" s="57" t="s">
        <v>300</v>
      </c>
      <c r="G2205" s="57" t="s">
        <v>530</v>
      </c>
      <c r="H2205" s="140" t="s">
        <v>1972</v>
      </c>
      <c r="I2205" s="57"/>
      <c r="J2205" s="57"/>
      <c r="L2205" s="164">
        <v>2110</v>
      </c>
    </row>
    <row r="2206" spans="2:12" x14ac:dyDescent="0.3">
      <c r="B2206" s="57">
        <f t="shared" si="190"/>
        <v>2203</v>
      </c>
      <c r="C2206" s="147">
        <v>46196</v>
      </c>
      <c r="D2206" s="57" t="s">
        <v>968</v>
      </c>
      <c r="E2206" s="57" t="s">
        <v>4128</v>
      </c>
      <c r="F2206" s="57" t="s">
        <v>683</v>
      </c>
      <c r="G2206" s="57" t="s">
        <v>999</v>
      </c>
      <c r="H2206" s="140" t="s">
        <v>1973</v>
      </c>
      <c r="I2206" s="57"/>
      <c r="J2206" s="57"/>
      <c r="L2206" s="164">
        <v>600</v>
      </c>
    </row>
    <row r="2207" spans="2:12" x14ac:dyDescent="0.3">
      <c r="B2207" s="57">
        <f t="shared" si="190"/>
        <v>2204</v>
      </c>
      <c r="C2207" s="147">
        <v>46196</v>
      </c>
      <c r="D2207" s="57" t="s">
        <v>968</v>
      </c>
      <c r="E2207" s="57" t="s">
        <v>4128</v>
      </c>
      <c r="F2207" s="57" t="s">
        <v>446</v>
      </c>
      <c r="G2207" s="57" t="s">
        <v>352</v>
      </c>
      <c r="H2207" s="140" t="s">
        <v>1974</v>
      </c>
      <c r="I2207" s="57"/>
      <c r="J2207" s="57"/>
      <c r="L2207" s="164">
        <v>800</v>
      </c>
    </row>
    <row r="2208" spans="2:12" x14ac:dyDescent="0.3">
      <c r="B2208" s="57">
        <f t="shared" si="190"/>
        <v>2205</v>
      </c>
      <c r="C2208" s="147">
        <v>46196</v>
      </c>
      <c r="D2208" s="57" t="s">
        <v>968</v>
      </c>
      <c r="E2208" s="57" t="s">
        <v>574</v>
      </c>
      <c r="F2208" s="57" t="s">
        <v>446</v>
      </c>
      <c r="G2208" s="57" t="s">
        <v>313</v>
      </c>
      <c r="H2208" s="140" t="s">
        <v>1975</v>
      </c>
      <c r="I2208" s="140" t="s">
        <v>4127</v>
      </c>
      <c r="J2208" s="57">
        <v>12</v>
      </c>
      <c r="K2208" s="167">
        <f>L2208/J2208</f>
        <v>575</v>
      </c>
      <c r="L2208" s="164">
        <v>6900</v>
      </c>
    </row>
    <row r="2209" spans="2:12" x14ac:dyDescent="0.3">
      <c r="B2209" s="57">
        <f t="shared" si="190"/>
        <v>2206</v>
      </c>
      <c r="C2209" s="147">
        <v>46196</v>
      </c>
      <c r="D2209" s="57" t="s">
        <v>968</v>
      </c>
      <c r="E2209" s="57" t="s">
        <v>146</v>
      </c>
      <c r="F2209" s="57" t="s">
        <v>300</v>
      </c>
      <c r="G2209" s="57" t="s">
        <v>996</v>
      </c>
      <c r="H2209" s="140" t="s">
        <v>1976</v>
      </c>
      <c r="I2209" s="57"/>
      <c r="J2209" s="165">
        <f>L2209/K2209</f>
        <v>46.40625</v>
      </c>
      <c r="K2209" s="57">
        <v>96</v>
      </c>
      <c r="L2209" s="164">
        <v>4455</v>
      </c>
    </row>
    <row r="2210" spans="2:12" x14ac:dyDescent="0.3">
      <c r="B2210" s="57">
        <f t="shared" si="190"/>
        <v>2207</v>
      </c>
      <c r="C2210" s="147">
        <v>46196</v>
      </c>
      <c r="D2210" s="57" t="s">
        <v>968</v>
      </c>
      <c r="E2210" s="57" t="s">
        <v>767</v>
      </c>
      <c r="F2210" s="57" t="s">
        <v>300</v>
      </c>
      <c r="G2210" s="57" t="s">
        <v>616</v>
      </c>
      <c r="H2210" s="140" t="s">
        <v>1977</v>
      </c>
      <c r="I2210" s="57"/>
      <c r="J2210" s="57"/>
      <c r="L2210" s="164">
        <v>1300</v>
      </c>
    </row>
    <row r="2211" spans="2:12" x14ac:dyDescent="0.3">
      <c r="B2211" s="57">
        <f t="shared" si="190"/>
        <v>2208</v>
      </c>
      <c r="C2211" s="147">
        <v>46196</v>
      </c>
      <c r="D2211" s="57" t="s">
        <v>968</v>
      </c>
      <c r="E2211" s="57" t="s">
        <v>590</v>
      </c>
      <c r="F2211" s="57" t="s">
        <v>2332</v>
      </c>
      <c r="G2211" s="57" t="s">
        <v>1004</v>
      </c>
      <c r="H2211" s="140" t="s">
        <v>1978</v>
      </c>
      <c r="I2211" s="57"/>
      <c r="J2211" s="57"/>
      <c r="L2211" s="164">
        <v>13150</v>
      </c>
    </row>
    <row r="2212" spans="2:12" x14ac:dyDescent="0.3">
      <c r="B2212" s="57">
        <f t="shared" si="190"/>
        <v>2209</v>
      </c>
      <c r="C2212" s="147">
        <v>46196</v>
      </c>
      <c r="D2212" s="57" t="s">
        <v>968</v>
      </c>
      <c r="E2212" s="57" t="s">
        <v>237</v>
      </c>
      <c r="F2212" s="57" t="s">
        <v>300</v>
      </c>
      <c r="G2212" s="57" t="s">
        <v>530</v>
      </c>
      <c r="H2212" s="140" t="s">
        <v>1979</v>
      </c>
      <c r="I2212" s="57"/>
      <c r="J2212" s="57"/>
      <c r="L2212" s="164">
        <v>280</v>
      </c>
    </row>
    <row r="2213" spans="2:12" x14ac:dyDescent="0.3">
      <c r="B2213" s="57">
        <f t="shared" si="190"/>
        <v>2210</v>
      </c>
      <c r="C2213" s="147">
        <v>46196</v>
      </c>
      <c r="D2213" s="57" t="s">
        <v>968</v>
      </c>
      <c r="E2213" s="57" t="s">
        <v>767</v>
      </c>
      <c r="F2213" s="57" t="s">
        <v>300</v>
      </c>
      <c r="G2213" s="57" t="s">
        <v>616</v>
      </c>
      <c r="H2213" s="140" t="s">
        <v>1980</v>
      </c>
      <c r="I2213" s="57"/>
      <c r="J2213" s="57"/>
      <c r="L2213" s="164">
        <v>250</v>
      </c>
    </row>
    <row r="2214" spans="2:12" x14ac:dyDescent="0.3">
      <c r="B2214" s="57">
        <f t="shared" si="190"/>
        <v>2211</v>
      </c>
      <c r="C2214" s="147">
        <v>46196</v>
      </c>
      <c r="D2214" s="57" t="s">
        <v>968</v>
      </c>
      <c r="E2214" s="57" t="s">
        <v>434</v>
      </c>
      <c r="F2214" s="57" t="s">
        <v>446</v>
      </c>
      <c r="G2214" s="57" t="s">
        <v>316</v>
      </c>
      <c r="H2214" s="140" t="s">
        <v>1981</v>
      </c>
      <c r="I2214" s="57"/>
      <c r="J2214" s="57"/>
      <c r="L2214" s="164">
        <v>1500</v>
      </c>
    </row>
    <row r="2215" spans="2:12" x14ac:dyDescent="0.3">
      <c r="B2215" s="57">
        <f t="shared" si="190"/>
        <v>2212</v>
      </c>
      <c r="C2215" s="143">
        <v>46197</v>
      </c>
      <c r="D2215" s="152" t="s">
        <v>435</v>
      </c>
      <c r="E2215" s="57" t="s">
        <v>595</v>
      </c>
      <c r="F2215" s="57" t="s">
        <v>300</v>
      </c>
      <c r="G2215" s="57" t="s">
        <v>585</v>
      </c>
      <c r="H2215" s="140" t="s">
        <v>707</v>
      </c>
      <c r="I2215" s="57"/>
      <c r="J2215" s="57"/>
      <c r="L2215" s="164">
        <v>3700</v>
      </c>
    </row>
    <row r="2216" spans="2:12" x14ac:dyDescent="0.3">
      <c r="B2216" s="57">
        <f t="shared" si="190"/>
        <v>2213</v>
      </c>
      <c r="C2216" s="147">
        <v>46197</v>
      </c>
      <c r="D2216" s="57" t="s">
        <v>968</v>
      </c>
      <c r="E2216" s="57" t="s">
        <v>767</v>
      </c>
      <c r="F2216" s="57" t="s">
        <v>300</v>
      </c>
      <c r="G2216" s="57" t="s">
        <v>2331</v>
      </c>
      <c r="H2216" s="140" t="s">
        <v>1982</v>
      </c>
      <c r="I2216" s="57"/>
      <c r="J2216" s="57"/>
      <c r="L2216" s="164">
        <v>900</v>
      </c>
    </row>
    <row r="2217" spans="2:12" x14ac:dyDescent="0.3">
      <c r="B2217" s="57">
        <f t="shared" si="190"/>
        <v>2214</v>
      </c>
      <c r="C2217" s="147">
        <v>46197</v>
      </c>
      <c r="D2217" s="57" t="s">
        <v>968</v>
      </c>
      <c r="E2217" s="57" t="s">
        <v>767</v>
      </c>
      <c r="F2217" s="57" t="s">
        <v>446</v>
      </c>
      <c r="G2217" s="57" t="s">
        <v>313</v>
      </c>
      <c r="H2217" s="140" t="s">
        <v>1983</v>
      </c>
      <c r="I2217" s="57"/>
      <c r="J2217" s="57"/>
      <c r="L2217" s="164">
        <v>3580</v>
      </c>
    </row>
    <row r="2218" spans="2:12" x14ac:dyDescent="0.3">
      <c r="B2218" s="57">
        <f t="shared" si="190"/>
        <v>2215</v>
      </c>
      <c r="C2218" s="147">
        <v>46197</v>
      </c>
      <c r="D2218" s="57" t="s">
        <v>968</v>
      </c>
      <c r="E2218" s="57" t="s">
        <v>590</v>
      </c>
      <c r="F2218" s="57" t="s">
        <v>446</v>
      </c>
      <c r="G2218" s="57" t="s">
        <v>352</v>
      </c>
      <c r="H2218" s="140" t="s">
        <v>1984</v>
      </c>
      <c r="I2218" s="57"/>
      <c r="J2218" s="57"/>
      <c r="L2218" s="164">
        <v>2760</v>
      </c>
    </row>
    <row r="2219" spans="2:12" x14ac:dyDescent="0.3">
      <c r="B2219" s="57">
        <f t="shared" si="190"/>
        <v>2216</v>
      </c>
      <c r="C2219" s="147">
        <v>46197</v>
      </c>
      <c r="D2219" s="57" t="s">
        <v>968</v>
      </c>
      <c r="E2219" s="57" t="s">
        <v>146</v>
      </c>
      <c r="F2219" s="57" t="s">
        <v>300</v>
      </c>
      <c r="G2219" s="57" t="s">
        <v>498</v>
      </c>
      <c r="H2219" s="140" t="s">
        <v>1985</v>
      </c>
      <c r="I2219" s="57"/>
      <c r="J2219" s="165">
        <f>L2219/K2219</f>
        <v>20.833333333333332</v>
      </c>
      <c r="K2219" s="57">
        <v>96</v>
      </c>
      <c r="L2219" s="164">
        <v>2000</v>
      </c>
    </row>
    <row r="2220" spans="2:12" x14ac:dyDescent="0.3">
      <c r="B2220" s="57">
        <f t="shared" si="190"/>
        <v>2217</v>
      </c>
      <c r="C2220" s="147">
        <v>46197</v>
      </c>
      <c r="D2220" s="57" t="s">
        <v>968</v>
      </c>
      <c r="E2220" s="57" t="s">
        <v>237</v>
      </c>
      <c r="F2220" s="57" t="s">
        <v>300</v>
      </c>
      <c r="G2220" s="57" t="s">
        <v>303</v>
      </c>
      <c r="H2220" s="140" t="s">
        <v>1986</v>
      </c>
      <c r="I2220" s="57"/>
      <c r="J2220" s="57"/>
      <c r="L2220" s="164">
        <v>3781</v>
      </c>
    </row>
    <row r="2221" spans="2:12" x14ac:dyDescent="0.3">
      <c r="B2221" s="57">
        <f t="shared" si="190"/>
        <v>2218</v>
      </c>
      <c r="C2221" s="147">
        <v>46197</v>
      </c>
      <c r="D2221" s="57" t="s">
        <v>968</v>
      </c>
      <c r="E2221" s="57" t="s">
        <v>532</v>
      </c>
      <c r="F2221" s="57" t="s">
        <v>502</v>
      </c>
      <c r="G2221" s="57" t="s">
        <v>773</v>
      </c>
      <c r="H2221" s="140" t="s">
        <v>1987</v>
      </c>
      <c r="I2221" s="57" t="s">
        <v>532</v>
      </c>
      <c r="J2221" s="57">
        <v>10</v>
      </c>
      <c r="K2221" s="167">
        <f>L2221/J2221</f>
        <v>267</v>
      </c>
      <c r="L2221" s="164">
        <v>2670</v>
      </c>
    </row>
    <row r="2222" spans="2:12" x14ac:dyDescent="0.3">
      <c r="B2222" s="57">
        <f t="shared" si="190"/>
        <v>2219</v>
      </c>
      <c r="C2222" s="147">
        <v>46197</v>
      </c>
      <c r="D2222" s="57" t="s">
        <v>968</v>
      </c>
      <c r="E2222" s="57" t="s">
        <v>574</v>
      </c>
      <c r="F2222" s="57" t="s">
        <v>446</v>
      </c>
      <c r="G2222" s="57" t="s">
        <v>316</v>
      </c>
      <c r="H2222" s="140" t="s">
        <v>1988</v>
      </c>
      <c r="I2222" s="140" t="s">
        <v>2635</v>
      </c>
      <c r="J2222" s="57">
        <v>4</v>
      </c>
      <c r="K2222" s="167">
        <f>L2222/J2222</f>
        <v>575</v>
      </c>
      <c r="L2222" s="164">
        <v>2300</v>
      </c>
    </row>
    <row r="2223" spans="2:12" x14ac:dyDescent="0.3">
      <c r="B2223" s="57">
        <f t="shared" si="190"/>
        <v>2220</v>
      </c>
      <c r="C2223" s="147">
        <v>46197</v>
      </c>
      <c r="D2223" s="57" t="s">
        <v>968</v>
      </c>
      <c r="E2223" s="57" t="s">
        <v>574</v>
      </c>
      <c r="F2223" s="57" t="s">
        <v>300</v>
      </c>
      <c r="G2223" s="57" t="s">
        <v>498</v>
      </c>
      <c r="H2223" s="140" t="s">
        <v>1989</v>
      </c>
      <c r="I2223" s="140" t="s">
        <v>4081</v>
      </c>
      <c r="J2223" s="57">
        <v>8</v>
      </c>
      <c r="K2223" s="167">
        <f>L2223/J2223</f>
        <v>542.75</v>
      </c>
      <c r="L2223" s="164">
        <v>4342</v>
      </c>
    </row>
    <row r="2224" spans="2:12" x14ac:dyDescent="0.3">
      <c r="B2224" s="57">
        <f t="shared" si="190"/>
        <v>2221</v>
      </c>
      <c r="C2224" s="147">
        <v>46197</v>
      </c>
      <c r="D2224" s="57" t="s">
        <v>968</v>
      </c>
      <c r="E2224" s="57" t="s">
        <v>146</v>
      </c>
      <c r="F2224" s="57" t="s">
        <v>350</v>
      </c>
      <c r="G2224" s="57" t="s">
        <v>337</v>
      </c>
      <c r="H2224" s="140" t="s">
        <v>1990</v>
      </c>
      <c r="I2224" s="57"/>
      <c r="J2224" s="165">
        <f>L2224/K2224</f>
        <v>24.635416666666668</v>
      </c>
      <c r="K2224" s="57">
        <v>96</v>
      </c>
      <c r="L2224" s="164">
        <v>2365</v>
      </c>
    </row>
    <row r="2225" spans="2:12" x14ac:dyDescent="0.3">
      <c r="B2225" s="57">
        <f t="shared" si="190"/>
        <v>2222</v>
      </c>
      <c r="C2225" s="147">
        <v>46197</v>
      </c>
      <c r="D2225" s="57" t="s">
        <v>968</v>
      </c>
      <c r="E2225" s="57" t="s">
        <v>4128</v>
      </c>
      <c r="F2225" s="57" t="s">
        <v>446</v>
      </c>
      <c r="G2225" s="57" t="s">
        <v>313</v>
      </c>
      <c r="H2225" s="140" t="s">
        <v>2968</v>
      </c>
      <c r="I2225" s="57"/>
      <c r="J2225" s="57"/>
      <c r="L2225" s="164">
        <v>5260</v>
      </c>
    </row>
    <row r="2226" spans="2:12" x14ac:dyDescent="0.3">
      <c r="B2226" s="57">
        <f t="shared" si="190"/>
        <v>2223</v>
      </c>
      <c r="C2226" s="147">
        <v>46197</v>
      </c>
      <c r="D2226" s="57" t="s">
        <v>968</v>
      </c>
      <c r="E2226" s="57" t="s">
        <v>146</v>
      </c>
      <c r="F2226" s="57" t="s">
        <v>621</v>
      </c>
      <c r="G2226" s="57" t="s">
        <v>345</v>
      </c>
      <c r="H2226" s="140" t="s">
        <v>1991</v>
      </c>
      <c r="I2226" s="57"/>
      <c r="J2226" s="165">
        <f>L2226/K2226</f>
        <v>41.666666666666664</v>
      </c>
      <c r="K2226" s="57">
        <v>96</v>
      </c>
      <c r="L2226" s="164">
        <v>4000</v>
      </c>
    </row>
    <row r="2227" spans="2:12" x14ac:dyDescent="0.3">
      <c r="B2227" s="57">
        <f t="shared" si="190"/>
        <v>2224</v>
      </c>
      <c r="C2227" s="147">
        <v>46197</v>
      </c>
      <c r="D2227" s="57" t="s">
        <v>968</v>
      </c>
      <c r="E2227" s="57" t="s">
        <v>4128</v>
      </c>
      <c r="F2227" s="57" t="s">
        <v>446</v>
      </c>
      <c r="G2227" s="57" t="s">
        <v>313</v>
      </c>
      <c r="H2227" s="140" t="s">
        <v>2969</v>
      </c>
      <c r="I2227" s="57"/>
      <c r="J2227" s="57"/>
      <c r="L2227" s="164">
        <v>1950</v>
      </c>
    </row>
    <row r="2228" spans="2:12" x14ac:dyDescent="0.3">
      <c r="B2228" s="57">
        <f t="shared" si="190"/>
        <v>2225</v>
      </c>
      <c r="C2228" s="147">
        <v>46197</v>
      </c>
      <c r="D2228" s="57" t="s">
        <v>968</v>
      </c>
      <c r="E2228" s="57" t="s">
        <v>146</v>
      </c>
      <c r="F2228" s="57" t="s">
        <v>446</v>
      </c>
      <c r="G2228" s="57" t="s">
        <v>313</v>
      </c>
      <c r="H2228" s="140" t="s">
        <v>4089</v>
      </c>
      <c r="I2228" s="57"/>
      <c r="J2228" s="165">
        <f>L2228/K2228</f>
        <v>43.21875</v>
      </c>
      <c r="K2228" s="57">
        <v>96</v>
      </c>
      <c r="L2228" s="164">
        <v>4149</v>
      </c>
    </row>
    <row r="2229" spans="2:12" x14ac:dyDescent="0.3">
      <c r="B2229" s="57">
        <f t="shared" si="190"/>
        <v>2226</v>
      </c>
      <c r="C2229" s="147">
        <v>46197</v>
      </c>
      <c r="D2229" s="57" t="s">
        <v>968</v>
      </c>
      <c r="E2229" s="57" t="s">
        <v>237</v>
      </c>
      <c r="F2229" s="57" t="s">
        <v>502</v>
      </c>
      <c r="G2229" s="57" t="s">
        <v>257</v>
      </c>
      <c r="H2229" s="140" t="s">
        <v>1992</v>
      </c>
      <c r="I2229" s="57"/>
      <c r="J2229" s="57"/>
      <c r="L2229" s="164">
        <v>21840</v>
      </c>
    </row>
    <row r="2230" spans="2:12" x14ac:dyDescent="0.3">
      <c r="B2230" s="57">
        <f t="shared" si="190"/>
        <v>2227</v>
      </c>
      <c r="C2230" s="147">
        <v>46197</v>
      </c>
      <c r="D2230" s="57" t="s">
        <v>968</v>
      </c>
      <c r="E2230" s="57" t="s">
        <v>237</v>
      </c>
      <c r="F2230" s="57" t="s">
        <v>502</v>
      </c>
      <c r="G2230" s="57" t="s">
        <v>257</v>
      </c>
      <c r="H2230" s="140" t="s">
        <v>1992</v>
      </c>
      <c r="I2230" s="57"/>
      <c r="J2230" s="57"/>
      <c r="L2230" s="164">
        <v>1700</v>
      </c>
    </row>
    <row r="2231" spans="2:12" x14ac:dyDescent="0.3">
      <c r="B2231" s="57">
        <f t="shared" si="190"/>
        <v>2228</v>
      </c>
      <c r="C2231" s="147">
        <v>46197</v>
      </c>
      <c r="D2231" s="57" t="s">
        <v>968</v>
      </c>
      <c r="E2231" s="57" t="s">
        <v>2022</v>
      </c>
      <c r="F2231" s="57" t="s">
        <v>350</v>
      </c>
      <c r="G2231" s="57" t="s">
        <v>675</v>
      </c>
      <c r="H2231" s="140" t="s">
        <v>1993</v>
      </c>
      <c r="I2231" s="57"/>
      <c r="J2231" s="57"/>
      <c r="L2231" s="164">
        <v>5100</v>
      </c>
    </row>
    <row r="2232" spans="2:12" x14ac:dyDescent="0.3">
      <c r="B2232" s="57">
        <f t="shared" si="190"/>
        <v>2229</v>
      </c>
      <c r="C2232" s="147">
        <v>46197</v>
      </c>
      <c r="D2232" s="57" t="s">
        <v>968</v>
      </c>
      <c r="E2232" s="57" t="s">
        <v>434</v>
      </c>
      <c r="F2232" s="57" t="s">
        <v>446</v>
      </c>
      <c r="G2232" s="57" t="s">
        <v>352</v>
      </c>
      <c r="H2232" s="140" t="s">
        <v>1994</v>
      </c>
      <c r="I2232" s="57"/>
      <c r="J2232" s="57"/>
      <c r="L2232" s="164">
        <v>850</v>
      </c>
    </row>
    <row r="2233" spans="2:12" x14ac:dyDescent="0.3">
      <c r="B2233" s="57">
        <f t="shared" si="190"/>
        <v>2230</v>
      </c>
      <c r="C2233" s="147">
        <v>46197</v>
      </c>
      <c r="D2233" s="57" t="s">
        <v>968</v>
      </c>
      <c r="E2233" s="57" t="s">
        <v>237</v>
      </c>
      <c r="F2233" s="57" t="s">
        <v>446</v>
      </c>
      <c r="G2233" s="57" t="s">
        <v>352</v>
      </c>
      <c r="H2233" s="140" t="s">
        <v>1995</v>
      </c>
      <c r="I2233" s="57"/>
      <c r="J2233" s="57"/>
      <c r="L2233" s="164">
        <v>3750</v>
      </c>
    </row>
    <row r="2234" spans="2:12" x14ac:dyDescent="0.3">
      <c r="B2234" s="57">
        <f t="shared" si="190"/>
        <v>2231</v>
      </c>
      <c r="C2234" s="147">
        <v>46197</v>
      </c>
      <c r="D2234" s="57" t="s">
        <v>968</v>
      </c>
      <c r="E2234" s="57" t="s">
        <v>958</v>
      </c>
      <c r="F2234" s="57" t="s">
        <v>2332</v>
      </c>
      <c r="G2234" s="57" t="s">
        <v>1004</v>
      </c>
      <c r="H2234" s="140" t="s">
        <v>1996</v>
      </c>
      <c r="I2234" s="57"/>
      <c r="J2234" s="57"/>
      <c r="L2234" s="164">
        <v>10000</v>
      </c>
    </row>
    <row r="2235" spans="2:12" x14ac:dyDescent="0.3">
      <c r="B2235" s="57">
        <f t="shared" si="190"/>
        <v>2232</v>
      </c>
      <c r="C2235" s="147">
        <v>46197</v>
      </c>
      <c r="D2235" s="57" t="s">
        <v>968</v>
      </c>
      <c r="E2235" s="57" t="s">
        <v>727</v>
      </c>
      <c r="F2235" s="57" t="s">
        <v>300</v>
      </c>
      <c r="G2235" s="57" t="s">
        <v>530</v>
      </c>
      <c r="H2235" s="140" t="s">
        <v>1997</v>
      </c>
      <c r="I2235" s="57"/>
      <c r="J2235" s="57"/>
      <c r="L2235" s="164">
        <v>300</v>
      </c>
    </row>
    <row r="2236" spans="2:12" x14ac:dyDescent="0.3">
      <c r="B2236" s="57">
        <f t="shared" si="190"/>
        <v>2233</v>
      </c>
      <c r="C2236" s="147">
        <v>46197</v>
      </c>
      <c r="D2236" s="57" t="s">
        <v>968</v>
      </c>
      <c r="E2236" s="57" t="s">
        <v>146</v>
      </c>
      <c r="F2236" s="57" t="s">
        <v>350</v>
      </c>
      <c r="G2236" s="57" t="s">
        <v>663</v>
      </c>
      <c r="H2236" s="140" t="s">
        <v>4106</v>
      </c>
      <c r="I2236" s="57"/>
      <c r="J2236" s="165">
        <f>L2236/K2236</f>
        <v>31.25</v>
      </c>
      <c r="K2236" s="57">
        <v>96</v>
      </c>
      <c r="L2236" s="164">
        <v>3000</v>
      </c>
    </row>
    <row r="2237" spans="2:12" x14ac:dyDescent="0.3">
      <c r="B2237" s="57">
        <f t="shared" si="190"/>
        <v>2234</v>
      </c>
      <c r="C2237" s="147">
        <v>46197</v>
      </c>
      <c r="D2237" s="57" t="s">
        <v>968</v>
      </c>
      <c r="E2237" s="57" t="s">
        <v>522</v>
      </c>
      <c r="F2237" s="57" t="s">
        <v>2328</v>
      </c>
      <c r="G2237" s="57" t="s">
        <v>1002</v>
      </c>
      <c r="H2237" s="140" t="s">
        <v>1998</v>
      </c>
      <c r="I2237" s="57"/>
      <c r="J2237" s="57"/>
      <c r="L2237" s="164">
        <v>500</v>
      </c>
    </row>
    <row r="2238" spans="2:12" x14ac:dyDescent="0.3">
      <c r="B2238" s="57">
        <f t="shared" si="190"/>
        <v>2235</v>
      </c>
      <c r="C2238" s="147">
        <v>46197</v>
      </c>
      <c r="D2238" s="57" t="s">
        <v>968</v>
      </c>
      <c r="E2238" s="57" t="s">
        <v>958</v>
      </c>
      <c r="F2238" s="57" t="s">
        <v>300</v>
      </c>
      <c r="G2238" s="57" t="s">
        <v>530</v>
      </c>
      <c r="H2238" s="140" t="s">
        <v>2970</v>
      </c>
      <c r="I2238" s="57"/>
      <c r="J2238" s="57"/>
      <c r="L2238" s="164">
        <v>6360</v>
      </c>
    </row>
    <row r="2239" spans="2:12" x14ac:dyDescent="0.3">
      <c r="B2239" s="57">
        <f t="shared" si="190"/>
        <v>2236</v>
      </c>
      <c r="C2239" s="147">
        <v>46197</v>
      </c>
      <c r="D2239" s="57" t="s">
        <v>968</v>
      </c>
      <c r="E2239" s="57" t="s">
        <v>958</v>
      </c>
      <c r="F2239" s="57" t="s">
        <v>2332</v>
      </c>
      <c r="G2239" s="57" t="s">
        <v>1004</v>
      </c>
      <c r="H2239" s="140" t="s">
        <v>1999</v>
      </c>
      <c r="I2239" s="57"/>
      <c r="J2239" s="57"/>
      <c r="L2239" s="164">
        <v>5000</v>
      </c>
    </row>
    <row r="2240" spans="2:12" x14ac:dyDescent="0.3">
      <c r="B2240" s="57">
        <f t="shared" si="190"/>
        <v>2237</v>
      </c>
      <c r="C2240" s="143">
        <v>46198</v>
      </c>
      <c r="D2240" s="152" t="s">
        <v>435</v>
      </c>
      <c r="E2240" s="57" t="s">
        <v>146</v>
      </c>
      <c r="F2240" s="57" t="s">
        <v>2332</v>
      </c>
      <c r="G2240" s="57" t="s">
        <v>3808</v>
      </c>
      <c r="H2240" s="140" t="s">
        <v>4092</v>
      </c>
      <c r="I2240" s="57"/>
      <c r="J2240" s="165">
        <f>L2240/K2240</f>
        <v>125</v>
      </c>
      <c r="K2240" s="57">
        <v>96</v>
      </c>
      <c r="L2240" s="164">
        <v>12000</v>
      </c>
    </row>
    <row r="2241" spans="2:12" x14ac:dyDescent="0.3">
      <c r="B2241" s="57">
        <f t="shared" si="190"/>
        <v>2238</v>
      </c>
      <c r="C2241" s="143">
        <v>46198</v>
      </c>
      <c r="D2241" s="152" t="s">
        <v>435</v>
      </c>
      <c r="E2241" s="57" t="s">
        <v>595</v>
      </c>
      <c r="F2241" s="57" t="s">
        <v>261</v>
      </c>
      <c r="G2241" s="57" t="s">
        <v>606</v>
      </c>
      <c r="H2241" s="140" t="s">
        <v>708</v>
      </c>
      <c r="I2241" s="57"/>
      <c r="J2241" s="57"/>
      <c r="L2241" s="164">
        <v>4390</v>
      </c>
    </row>
    <row r="2242" spans="2:12" x14ac:dyDescent="0.3">
      <c r="B2242" s="57">
        <f t="shared" si="190"/>
        <v>2239</v>
      </c>
      <c r="C2242" s="143">
        <v>46198</v>
      </c>
      <c r="D2242" s="152" t="s">
        <v>435</v>
      </c>
      <c r="E2242" s="57" t="s">
        <v>595</v>
      </c>
      <c r="F2242" s="57" t="s">
        <v>261</v>
      </c>
      <c r="G2242" s="57" t="s">
        <v>709</v>
      </c>
      <c r="H2242" s="140" t="s">
        <v>708</v>
      </c>
      <c r="I2242" s="57"/>
      <c r="J2242" s="57"/>
      <c r="L2242" s="164">
        <v>4390</v>
      </c>
    </row>
    <row r="2243" spans="2:12" x14ac:dyDescent="0.3">
      <c r="B2243" s="57">
        <f t="shared" si="190"/>
        <v>2240</v>
      </c>
      <c r="C2243" s="147">
        <v>46198</v>
      </c>
      <c r="D2243" s="57" t="s">
        <v>968</v>
      </c>
      <c r="E2243" s="57" t="s">
        <v>4128</v>
      </c>
      <c r="F2243" s="57" t="s">
        <v>350</v>
      </c>
      <c r="G2243" s="57" t="s">
        <v>322</v>
      </c>
      <c r="H2243" s="140" t="s">
        <v>2971</v>
      </c>
      <c r="I2243" s="57"/>
      <c r="J2243" s="57"/>
      <c r="L2243" s="164">
        <v>600</v>
      </c>
    </row>
    <row r="2244" spans="2:12" x14ac:dyDescent="0.3">
      <c r="B2244" s="57">
        <f t="shared" si="190"/>
        <v>2241</v>
      </c>
      <c r="C2244" s="147">
        <v>46198</v>
      </c>
      <c r="D2244" s="57" t="s">
        <v>968</v>
      </c>
      <c r="E2244" s="57" t="s">
        <v>522</v>
      </c>
      <c r="F2244" s="57" t="s">
        <v>2328</v>
      </c>
      <c r="G2244" s="57" t="s">
        <v>1002</v>
      </c>
      <c r="H2244" s="140" t="s">
        <v>2000</v>
      </c>
      <c r="I2244" s="57"/>
      <c r="J2244" s="57"/>
      <c r="L2244" s="164">
        <v>900</v>
      </c>
    </row>
    <row r="2245" spans="2:12" x14ac:dyDescent="0.3">
      <c r="B2245" s="57">
        <f t="shared" si="190"/>
        <v>2242</v>
      </c>
      <c r="C2245" s="147">
        <v>46198</v>
      </c>
      <c r="D2245" s="57" t="s">
        <v>968</v>
      </c>
      <c r="E2245" s="57" t="s">
        <v>146</v>
      </c>
      <c r="F2245" s="57" t="s">
        <v>300</v>
      </c>
      <c r="G2245" s="57" t="s">
        <v>438</v>
      </c>
      <c r="H2245" s="140" t="s">
        <v>4110</v>
      </c>
      <c r="I2245" s="57"/>
      <c r="J2245" s="165">
        <f t="shared" ref="J2245:J2246" si="193">L2245/K2245</f>
        <v>30.760416666666668</v>
      </c>
      <c r="K2245" s="57">
        <v>96</v>
      </c>
      <c r="L2245" s="164">
        <v>2953</v>
      </c>
    </row>
    <row r="2246" spans="2:12" x14ac:dyDescent="0.3">
      <c r="B2246" s="57">
        <f t="shared" ref="B2246:B2309" si="194">+B2245+1</f>
        <v>2243</v>
      </c>
      <c r="C2246" s="147">
        <v>46198</v>
      </c>
      <c r="D2246" s="57" t="s">
        <v>968</v>
      </c>
      <c r="E2246" s="57" t="s">
        <v>146</v>
      </c>
      <c r="F2246" s="57" t="s">
        <v>300</v>
      </c>
      <c r="G2246" s="57" t="s">
        <v>530</v>
      </c>
      <c r="H2246" s="140" t="s">
        <v>4115</v>
      </c>
      <c r="I2246" s="57"/>
      <c r="J2246" s="165">
        <f t="shared" si="193"/>
        <v>38.697916666666664</v>
      </c>
      <c r="K2246" s="57">
        <v>96</v>
      </c>
      <c r="L2246" s="164">
        <v>3715</v>
      </c>
    </row>
    <row r="2247" spans="2:12" x14ac:dyDescent="0.3">
      <c r="B2247" s="57">
        <f t="shared" si="194"/>
        <v>2244</v>
      </c>
      <c r="C2247" s="147">
        <v>46198</v>
      </c>
      <c r="D2247" s="57" t="s">
        <v>968</v>
      </c>
      <c r="E2247" s="57" t="s">
        <v>532</v>
      </c>
      <c r="F2247" s="57" t="s">
        <v>446</v>
      </c>
      <c r="G2247" s="57" t="s">
        <v>313</v>
      </c>
      <c r="H2247" s="140" t="s">
        <v>2001</v>
      </c>
      <c r="I2247" s="57"/>
      <c r="J2247" s="57"/>
      <c r="L2247" s="164">
        <v>2650</v>
      </c>
    </row>
    <row r="2248" spans="2:12" x14ac:dyDescent="0.3">
      <c r="B2248" s="57">
        <f t="shared" si="194"/>
        <v>2245</v>
      </c>
      <c r="C2248" s="147">
        <v>46198</v>
      </c>
      <c r="D2248" s="57" t="s">
        <v>968</v>
      </c>
      <c r="E2248" s="57" t="s">
        <v>146</v>
      </c>
      <c r="F2248" s="57" t="s">
        <v>446</v>
      </c>
      <c r="G2248" s="57" t="s">
        <v>352</v>
      </c>
      <c r="H2248" s="140" t="s">
        <v>879</v>
      </c>
      <c r="I2248" s="57"/>
      <c r="J2248" s="165">
        <f t="shared" ref="J2248:J2249" si="195">L2248/K2248</f>
        <v>49.697916666666664</v>
      </c>
      <c r="K2248" s="57">
        <v>96</v>
      </c>
      <c r="L2248" s="164">
        <v>4771</v>
      </c>
    </row>
    <row r="2249" spans="2:12" x14ac:dyDescent="0.3">
      <c r="B2249" s="57">
        <f t="shared" si="194"/>
        <v>2246</v>
      </c>
      <c r="C2249" s="147">
        <v>46198</v>
      </c>
      <c r="D2249" s="57" t="s">
        <v>968</v>
      </c>
      <c r="E2249" s="57" t="s">
        <v>146</v>
      </c>
      <c r="F2249" s="57" t="s">
        <v>446</v>
      </c>
      <c r="G2249" s="57" t="s">
        <v>316</v>
      </c>
      <c r="H2249" s="140" t="s">
        <v>2002</v>
      </c>
      <c r="I2249" s="57"/>
      <c r="J2249" s="165">
        <f t="shared" si="195"/>
        <v>20.833333333333332</v>
      </c>
      <c r="K2249" s="57">
        <v>96</v>
      </c>
      <c r="L2249" s="164">
        <v>2000</v>
      </c>
    </row>
    <row r="2250" spans="2:12" x14ac:dyDescent="0.3">
      <c r="B2250" s="57">
        <f t="shared" si="194"/>
        <v>2247</v>
      </c>
      <c r="C2250" s="147">
        <v>46198</v>
      </c>
      <c r="D2250" s="57" t="s">
        <v>968</v>
      </c>
      <c r="E2250" s="57" t="s">
        <v>574</v>
      </c>
      <c r="F2250" s="57" t="s">
        <v>300</v>
      </c>
      <c r="G2250" s="57" t="s">
        <v>2330</v>
      </c>
      <c r="H2250" s="140" t="s">
        <v>2003</v>
      </c>
      <c r="I2250" s="140" t="s">
        <v>4118</v>
      </c>
      <c r="J2250" s="57">
        <v>8</v>
      </c>
      <c r="K2250" s="167">
        <f>L2250/J2250</f>
        <v>525</v>
      </c>
      <c r="L2250" s="164">
        <v>4200</v>
      </c>
    </row>
    <row r="2251" spans="2:12" x14ac:dyDescent="0.3">
      <c r="B2251" s="57">
        <f t="shared" si="194"/>
        <v>2248</v>
      </c>
      <c r="C2251" s="147">
        <v>46198</v>
      </c>
      <c r="D2251" s="57" t="s">
        <v>968</v>
      </c>
      <c r="E2251" s="57" t="s">
        <v>532</v>
      </c>
      <c r="F2251" s="57" t="s">
        <v>446</v>
      </c>
      <c r="G2251" s="57" t="s">
        <v>352</v>
      </c>
      <c r="H2251" s="140" t="s">
        <v>2004</v>
      </c>
      <c r="I2251" s="57" t="s">
        <v>532</v>
      </c>
      <c r="J2251" s="57">
        <v>50</v>
      </c>
      <c r="K2251" s="57">
        <f>L2251/J2251</f>
        <v>285</v>
      </c>
      <c r="L2251" s="164">
        <v>14250</v>
      </c>
    </row>
    <row r="2252" spans="2:12" x14ac:dyDescent="0.3">
      <c r="B2252" s="57">
        <f t="shared" si="194"/>
        <v>2249</v>
      </c>
      <c r="C2252" s="147">
        <v>46198</v>
      </c>
      <c r="D2252" s="57" t="s">
        <v>968</v>
      </c>
      <c r="E2252" s="57" t="s">
        <v>532</v>
      </c>
      <c r="F2252" s="57" t="s">
        <v>300</v>
      </c>
      <c r="G2252" s="57" t="s">
        <v>530</v>
      </c>
      <c r="H2252" s="140" t="s">
        <v>2005</v>
      </c>
      <c r="I2252" s="57" t="s">
        <v>532</v>
      </c>
      <c r="J2252" s="57">
        <v>100</v>
      </c>
      <c r="K2252" s="57">
        <v>260</v>
      </c>
      <c r="L2252" s="164">
        <v>26000</v>
      </c>
    </row>
    <row r="2253" spans="2:12" x14ac:dyDescent="0.3">
      <c r="B2253" s="57">
        <f t="shared" si="194"/>
        <v>2250</v>
      </c>
      <c r="C2253" s="147">
        <v>46198</v>
      </c>
      <c r="D2253" s="57" t="s">
        <v>968</v>
      </c>
      <c r="E2253" s="57" t="s">
        <v>4008</v>
      </c>
      <c r="F2253" s="57" t="s">
        <v>350</v>
      </c>
      <c r="G2253" s="57" t="s">
        <v>701</v>
      </c>
      <c r="H2253" s="140" t="s">
        <v>2006</v>
      </c>
      <c r="I2253" s="57"/>
      <c r="J2253" s="57"/>
      <c r="L2253" s="164">
        <v>5000</v>
      </c>
    </row>
    <row r="2254" spans="2:12" x14ac:dyDescent="0.3">
      <c r="B2254" s="57">
        <f t="shared" si="194"/>
        <v>2251</v>
      </c>
      <c r="C2254" s="147">
        <v>46198</v>
      </c>
      <c r="D2254" s="57" t="s">
        <v>968</v>
      </c>
      <c r="E2254" s="57" t="s">
        <v>434</v>
      </c>
      <c r="F2254" s="57" t="s">
        <v>446</v>
      </c>
      <c r="G2254" s="57" t="s">
        <v>313</v>
      </c>
      <c r="H2254" s="140" t="s">
        <v>2007</v>
      </c>
      <c r="I2254" s="57"/>
      <c r="J2254" s="57"/>
      <c r="L2254" s="164">
        <v>2035</v>
      </c>
    </row>
    <row r="2255" spans="2:12" x14ac:dyDescent="0.3">
      <c r="B2255" s="57">
        <f t="shared" si="194"/>
        <v>2252</v>
      </c>
      <c r="C2255" s="147">
        <v>46198</v>
      </c>
      <c r="D2255" s="57" t="s">
        <v>968</v>
      </c>
      <c r="E2255" s="57" t="s">
        <v>146</v>
      </c>
      <c r="F2255" s="57" t="s">
        <v>436</v>
      </c>
      <c r="G2255" s="57" t="s">
        <v>987</v>
      </c>
      <c r="H2255" s="140" t="s">
        <v>2008</v>
      </c>
      <c r="I2255" s="57"/>
      <c r="J2255" s="165">
        <f>L2255/K2255</f>
        <v>20.833333333333332</v>
      </c>
      <c r="K2255" s="57">
        <v>96</v>
      </c>
      <c r="L2255" s="164">
        <v>2000</v>
      </c>
    </row>
    <row r="2256" spans="2:12" x14ac:dyDescent="0.3">
      <c r="B2256" s="57">
        <f t="shared" si="194"/>
        <v>2253</v>
      </c>
      <c r="C2256" s="147">
        <v>46198</v>
      </c>
      <c r="D2256" s="57" t="s">
        <v>968</v>
      </c>
      <c r="E2256" s="57" t="s">
        <v>574</v>
      </c>
      <c r="F2256" s="57" t="s">
        <v>300</v>
      </c>
      <c r="G2256" s="57" t="s">
        <v>2330</v>
      </c>
      <c r="H2256" s="140" t="s">
        <v>2009</v>
      </c>
      <c r="I2256" s="140" t="s">
        <v>4118</v>
      </c>
      <c r="J2256" s="57">
        <v>8</v>
      </c>
      <c r="K2256" s="167">
        <f>L2256/J2256</f>
        <v>512.5</v>
      </c>
      <c r="L2256" s="164">
        <v>4100</v>
      </c>
    </row>
    <row r="2257" spans="2:12" x14ac:dyDescent="0.3">
      <c r="B2257" s="57">
        <f t="shared" si="194"/>
        <v>2254</v>
      </c>
      <c r="C2257" s="147">
        <v>46198</v>
      </c>
      <c r="D2257" s="57" t="s">
        <v>968</v>
      </c>
      <c r="E2257" s="57" t="s">
        <v>958</v>
      </c>
      <c r="F2257" s="57" t="s">
        <v>502</v>
      </c>
      <c r="G2257" s="57" t="s">
        <v>773</v>
      </c>
      <c r="H2257" s="140" t="s">
        <v>2010</v>
      </c>
      <c r="I2257" s="57"/>
      <c r="J2257" s="57"/>
      <c r="L2257" s="164">
        <v>4800</v>
      </c>
    </row>
    <row r="2258" spans="2:12" x14ac:dyDescent="0.3">
      <c r="B2258" s="57">
        <f t="shared" si="194"/>
        <v>2255</v>
      </c>
      <c r="C2258" s="147">
        <v>46198</v>
      </c>
      <c r="D2258" s="57" t="s">
        <v>968</v>
      </c>
      <c r="E2258" s="57" t="s">
        <v>957</v>
      </c>
      <c r="F2258" s="57" t="s">
        <v>446</v>
      </c>
      <c r="G2258" s="57" t="s">
        <v>352</v>
      </c>
      <c r="H2258" s="140" t="s">
        <v>2011</v>
      </c>
      <c r="I2258" s="57"/>
      <c r="J2258" s="57"/>
      <c r="L2258" s="164">
        <v>2000</v>
      </c>
    </row>
    <row r="2259" spans="2:12" x14ac:dyDescent="0.3">
      <c r="B2259" s="57">
        <f t="shared" si="194"/>
        <v>2256</v>
      </c>
      <c r="C2259" s="147">
        <v>46198</v>
      </c>
      <c r="D2259" s="57" t="s">
        <v>968</v>
      </c>
      <c r="E2259" s="57" t="s">
        <v>146</v>
      </c>
      <c r="F2259" s="57" t="s">
        <v>300</v>
      </c>
      <c r="G2259" s="57" t="s">
        <v>2331</v>
      </c>
      <c r="H2259" s="140" t="s">
        <v>4095</v>
      </c>
      <c r="I2259" s="57"/>
      <c r="J2259" s="165">
        <f t="shared" ref="J2259:J2261" si="196">L2259/K2259</f>
        <v>35.416666666666664</v>
      </c>
      <c r="K2259" s="57">
        <v>96</v>
      </c>
      <c r="L2259" s="164">
        <v>3400</v>
      </c>
    </row>
    <row r="2260" spans="2:12" x14ac:dyDescent="0.3">
      <c r="B2260" s="57">
        <f t="shared" si="194"/>
        <v>2257</v>
      </c>
      <c r="C2260" s="147">
        <v>46198</v>
      </c>
      <c r="D2260" s="57" t="s">
        <v>968</v>
      </c>
      <c r="E2260" s="57" t="s">
        <v>146</v>
      </c>
      <c r="F2260" s="57" t="s">
        <v>300</v>
      </c>
      <c r="G2260" s="57" t="s">
        <v>2330</v>
      </c>
      <c r="H2260" s="140" t="s">
        <v>1051</v>
      </c>
      <c r="I2260" s="57"/>
      <c r="J2260" s="165">
        <f t="shared" si="196"/>
        <v>45.625</v>
      </c>
      <c r="K2260" s="57">
        <v>96</v>
      </c>
      <c r="L2260" s="164">
        <v>4380</v>
      </c>
    </row>
    <row r="2261" spans="2:12" x14ac:dyDescent="0.3">
      <c r="B2261" s="57">
        <f t="shared" si="194"/>
        <v>2258</v>
      </c>
      <c r="C2261" s="147">
        <v>46198</v>
      </c>
      <c r="D2261" s="57" t="s">
        <v>968</v>
      </c>
      <c r="E2261" s="57" t="s">
        <v>146</v>
      </c>
      <c r="F2261" s="57" t="s">
        <v>436</v>
      </c>
      <c r="G2261" s="57" t="s">
        <v>270</v>
      </c>
      <c r="H2261" s="140" t="s">
        <v>2012</v>
      </c>
      <c r="I2261" s="57"/>
      <c r="J2261" s="165">
        <f t="shared" si="196"/>
        <v>41.666666666666664</v>
      </c>
      <c r="K2261" s="57">
        <v>96</v>
      </c>
      <c r="L2261" s="164">
        <v>4000</v>
      </c>
    </row>
    <row r="2262" spans="2:12" x14ac:dyDescent="0.3">
      <c r="B2262" s="57">
        <f t="shared" si="194"/>
        <v>2259</v>
      </c>
      <c r="C2262" s="147">
        <v>46198</v>
      </c>
      <c r="D2262" s="57" t="s">
        <v>968</v>
      </c>
      <c r="E2262" s="57" t="s">
        <v>574</v>
      </c>
      <c r="F2262" s="57" t="s">
        <v>683</v>
      </c>
      <c r="G2262" s="57" t="s">
        <v>999</v>
      </c>
      <c r="H2262" s="140" t="s">
        <v>2013</v>
      </c>
      <c r="I2262" s="140" t="s">
        <v>4081</v>
      </c>
      <c r="J2262" s="57">
        <v>8</v>
      </c>
      <c r="K2262" s="167">
        <f>L2262/J2262</f>
        <v>527.75</v>
      </c>
      <c r="L2262" s="164">
        <v>4222</v>
      </c>
    </row>
    <row r="2263" spans="2:12" x14ac:dyDescent="0.3">
      <c r="B2263" s="57">
        <f t="shared" si="194"/>
        <v>2260</v>
      </c>
      <c r="C2263" s="147">
        <v>46198</v>
      </c>
      <c r="D2263" s="57" t="s">
        <v>968</v>
      </c>
      <c r="E2263" s="57" t="s">
        <v>532</v>
      </c>
      <c r="F2263" s="57" t="s">
        <v>300</v>
      </c>
      <c r="G2263" s="57" t="s">
        <v>498</v>
      </c>
      <c r="H2263" s="140" t="s">
        <v>2014</v>
      </c>
      <c r="I2263" s="57" t="s">
        <v>532</v>
      </c>
      <c r="J2263" s="57">
        <v>25</v>
      </c>
      <c r="K2263" s="167">
        <f>L2263/J2263</f>
        <v>265</v>
      </c>
      <c r="L2263" s="164">
        <v>6625</v>
      </c>
    </row>
    <row r="2264" spans="2:12" x14ac:dyDescent="0.3">
      <c r="B2264" s="57">
        <f t="shared" si="194"/>
        <v>2261</v>
      </c>
      <c r="C2264" s="147">
        <v>46198</v>
      </c>
      <c r="D2264" s="57" t="s">
        <v>968</v>
      </c>
      <c r="E2264" s="57" t="s">
        <v>237</v>
      </c>
      <c r="F2264" s="57" t="s">
        <v>436</v>
      </c>
      <c r="G2264" s="57" t="s">
        <v>987</v>
      </c>
      <c r="H2264" s="140" t="s">
        <v>2015</v>
      </c>
      <c r="I2264" s="57"/>
      <c r="J2264" s="57"/>
      <c r="L2264" s="164">
        <v>2720</v>
      </c>
    </row>
    <row r="2265" spans="2:12" x14ac:dyDescent="0.3">
      <c r="B2265" s="57">
        <f t="shared" si="194"/>
        <v>2262</v>
      </c>
      <c r="C2265" s="147">
        <v>46198</v>
      </c>
      <c r="D2265" s="57" t="s">
        <v>968</v>
      </c>
      <c r="E2265" s="57" t="s">
        <v>146</v>
      </c>
      <c r="F2265" s="57" t="s">
        <v>350</v>
      </c>
      <c r="G2265" s="57" t="s">
        <v>701</v>
      </c>
      <c r="H2265" s="140" t="s">
        <v>2016</v>
      </c>
      <c r="I2265" s="57"/>
      <c r="J2265" s="165">
        <f>L2265/K2265</f>
        <v>20.833333333333332</v>
      </c>
      <c r="K2265" s="57">
        <v>96</v>
      </c>
      <c r="L2265" s="164">
        <v>2000</v>
      </c>
    </row>
    <row r="2266" spans="2:12" x14ac:dyDescent="0.3">
      <c r="B2266" s="57">
        <f t="shared" si="194"/>
        <v>2263</v>
      </c>
      <c r="C2266" s="147">
        <v>46198</v>
      </c>
      <c r="D2266" s="57" t="s">
        <v>968</v>
      </c>
      <c r="E2266" s="57" t="s">
        <v>727</v>
      </c>
      <c r="F2266" s="57" t="s">
        <v>350</v>
      </c>
      <c r="G2266" s="57" t="s">
        <v>1005</v>
      </c>
      <c r="H2266" s="140" t="s">
        <v>2017</v>
      </c>
      <c r="I2266" s="57"/>
      <c r="J2266" s="57"/>
      <c r="L2266" s="164">
        <v>300</v>
      </c>
    </row>
    <row r="2267" spans="2:12" x14ac:dyDescent="0.3">
      <c r="B2267" s="57">
        <f t="shared" si="194"/>
        <v>2264</v>
      </c>
      <c r="C2267" s="146">
        <v>46200</v>
      </c>
      <c r="D2267" s="152" t="s">
        <v>435</v>
      </c>
      <c r="E2267" s="57" t="s">
        <v>473</v>
      </c>
      <c r="F2267" s="57" t="s">
        <v>300</v>
      </c>
      <c r="G2267" s="57" t="s">
        <v>530</v>
      </c>
      <c r="H2267" s="140" t="s">
        <v>982</v>
      </c>
      <c r="I2267" s="57"/>
      <c r="J2267" s="57"/>
      <c r="L2267" s="164">
        <v>12648</v>
      </c>
    </row>
    <row r="2268" spans="2:12" x14ac:dyDescent="0.3">
      <c r="B2268" s="57">
        <f t="shared" si="194"/>
        <v>2265</v>
      </c>
      <c r="C2268" s="141">
        <v>46204</v>
      </c>
      <c r="D2268" s="57" t="s">
        <v>30</v>
      </c>
      <c r="E2268" s="57" t="s">
        <v>434</v>
      </c>
      <c r="F2268" s="57" t="s">
        <v>300</v>
      </c>
      <c r="G2268" s="57" t="s">
        <v>530</v>
      </c>
      <c r="H2268" s="140" t="s">
        <v>2127</v>
      </c>
      <c r="I2268" s="57"/>
      <c r="J2268" s="57"/>
      <c r="L2268" s="164">
        <v>600</v>
      </c>
    </row>
    <row r="2269" spans="2:12" x14ac:dyDescent="0.3">
      <c r="B2269" s="57">
        <f t="shared" si="194"/>
        <v>2266</v>
      </c>
      <c r="C2269" s="141">
        <v>46204</v>
      </c>
      <c r="D2269" s="57" t="s">
        <v>30</v>
      </c>
      <c r="E2269" s="57" t="s">
        <v>560</v>
      </c>
      <c r="F2269" s="57" t="s">
        <v>436</v>
      </c>
      <c r="G2269" s="57" t="s">
        <v>987</v>
      </c>
      <c r="H2269" s="140" t="s">
        <v>2106</v>
      </c>
      <c r="I2269" s="57"/>
      <c r="J2269" s="57"/>
      <c r="L2269" s="164">
        <v>500</v>
      </c>
    </row>
    <row r="2270" spans="2:12" x14ac:dyDescent="0.3">
      <c r="B2270" s="57">
        <f t="shared" si="194"/>
        <v>2267</v>
      </c>
      <c r="C2270" s="141">
        <v>46204</v>
      </c>
      <c r="D2270" s="57" t="s">
        <v>30</v>
      </c>
      <c r="E2270" s="57" t="s">
        <v>2022</v>
      </c>
      <c r="F2270" s="57" t="s">
        <v>300</v>
      </c>
      <c r="G2270" s="57" t="s">
        <v>530</v>
      </c>
      <c r="H2270" s="140" t="s">
        <v>2065</v>
      </c>
      <c r="I2270" s="57"/>
      <c r="J2270" s="57"/>
      <c r="L2270" s="164">
        <v>900</v>
      </c>
    </row>
    <row r="2271" spans="2:12" x14ac:dyDescent="0.3">
      <c r="B2271" s="57">
        <f t="shared" si="194"/>
        <v>2268</v>
      </c>
      <c r="C2271" s="141">
        <v>46204</v>
      </c>
      <c r="D2271" s="57" t="s">
        <v>30</v>
      </c>
      <c r="E2271" s="57" t="s">
        <v>434</v>
      </c>
      <c r="F2271" s="57" t="s">
        <v>436</v>
      </c>
      <c r="G2271" s="57" t="s">
        <v>987</v>
      </c>
      <c r="H2271" s="140" t="s">
        <v>2128</v>
      </c>
      <c r="I2271" s="57"/>
      <c r="J2271" s="57"/>
      <c r="L2271" s="164">
        <v>700</v>
      </c>
    </row>
    <row r="2272" spans="2:12" x14ac:dyDescent="0.3">
      <c r="B2272" s="57">
        <f t="shared" si="194"/>
        <v>2269</v>
      </c>
      <c r="C2272" s="143">
        <v>46204</v>
      </c>
      <c r="D2272" s="57" t="s">
        <v>435</v>
      </c>
      <c r="E2272" s="57" t="s">
        <v>2427</v>
      </c>
      <c r="F2272" s="57" t="s">
        <v>356</v>
      </c>
      <c r="G2272" s="57" t="s">
        <v>352</v>
      </c>
      <c r="H2272" s="140" t="s">
        <v>2391</v>
      </c>
      <c r="I2272" s="57" t="s">
        <v>2914</v>
      </c>
      <c r="J2272" s="165">
        <f>L2272/K2272</f>
        <v>741.98275862068965</v>
      </c>
      <c r="K2272" s="57">
        <v>58</v>
      </c>
      <c r="L2272" s="164">
        <v>43035</v>
      </c>
    </row>
    <row r="2273" spans="2:12" x14ac:dyDescent="0.3">
      <c r="B2273" s="57">
        <f t="shared" si="194"/>
        <v>2270</v>
      </c>
      <c r="C2273" s="143">
        <v>46204</v>
      </c>
      <c r="D2273" s="57" t="s">
        <v>435</v>
      </c>
      <c r="E2273" s="57" t="s">
        <v>532</v>
      </c>
      <c r="F2273" s="57" t="s">
        <v>356</v>
      </c>
      <c r="G2273" s="57" t="s">
        <v>352</v>
      </c>
      <c r="H2273" s="140" t="s">
        <v>2392</v>
      </c>
      <c r="I2273" s="57" t="s">
        <v>532</v>
      </c>
      <c r="J2273" s="57">
        <v>50</v>
      </c>
      <c r="K2273" s="57">
        <v>280</v>
      </c>
      <c r="L2273" s="164">
        <v>14000</v>
      </c>
    </row>
    <row r="2274" spans="2:12" x14ac:dyDescent="0.3">
      <c r="B2274" s="57">
        <f t="shared" si="194"/>
        <v>2271</v>
      </c>
      <c r="C2274" s="143">
        <v>46204</v>
      </c>
      <c r="D2274" s="57" t="s">
        <v>435</v>
      </c>
      <c r="E2274" s="57" t="s">
        <v>4128</v>
      </c>
      <c r="F2274" s="57" t="s">
        <v>356</v>
      </c>
      <c r="G2274" s="57" t="s">
        <v>352</v>
      </c>
      <c r="H2274" s="140" t="s">
        <v>2393</v>
      </c>
      <c r="I2274" s="57"/>
      <c r="J2274" s="57"/>
      <c r="L2274" s="164">
        <v>615</v>
      </c>
    </row>
    <row r="2275" spans="2:12" x14ac:dyDescent="0.3">
      <c r="B2275" s="57">
        <f t="shared" si="194"/>
        <v>2272</v>
      </c>
      <c r="C2275" s="143">
        <v>46204</v>
      </c>
      <c r="D2275" s="57" t="s">
        <v>435</v>
      </c>
      <c r="E2275" s="57" t="s">
        <v>522</v>
      </c>
      <c r="F2275" s="57" t="s">
        <v>356</v>
      </c>
      <c r="G2275" s="57" t="s">
        <v>352</v>
      </c>
      <c r="H2275" s="140" t="s">
        <v>2243</v>
      </c>
      <c r="I2275" s="57"/>
      <c r="J2275" s="57"/>
      <c r="L2275" s="164">
        <v>1200</v>
      </c>
    </row>
    <row r="2276" spans="2:12" x14ac:dyDescent="0.3">
      <c r="B2276" s="57">
        <f t="shared" si="194"/>
        <v>2273</v>
      </c>
      <c r="C2276" s="143">
        <v>46204</v>
      </c>
      <c r="D2276" s="57" t="s">
        <v>435</v>
      </c>
      <c r="E2276" s="57" t="s">
        <v>2427</v>
      </c>
      <c r="F2276" s="57" t="s">
        <v>350</v>
      </c>
      <c r="G2276" s="57" t="s">
        <v>675</v>
      </c>
      <c r="H2276" s="140" t="s">
        <v>2394</v>
      </c>
      <c r="I2276" s="57" t="s">
        <v>4078</v>
      </c>
      <c r="J2276" s="57">
        <v>266</v>
      </c>
      <c r="K2276" s="57">
        <v>57</v>
      </c>
      <c r="L2276" s="164">
        <f>K2276*J2276</f>
        <v>15162</v>
      </c>
    </row>
    <row r="2277" spans="2:12" x14ac:dyDescent="0.3">
      <c r="B2277" s="57">
        <f t="shared" si="194"/>
        <v>2274</v>
      </c>
      <c r="C2277" s="143">
        <v>46204</v>
      </c>
      <c r="D2277" s="57" t="s">
        <v>435</v>
      </c>
      <c r="E2277" s="57" t="s">
        <v>2427</v>
      </c>
      <c r="F2277" s="57" t="s">
        <v>350</v>
      </c>
      <c r="G2277" s="57" t="s">
        <v>675</v>
      </c>
      <c r="H2277" s="140" t="s">
        <v>2396</v>
      </c>
      <c r="I2277" s="57" t="s">
        <v>3443</v>
      </c>
      <c r="J2277" s="57">
        <v>227</v>
      </c>
      <c r="K2277" s="57">
        <v>58.3</v>
      </c>
      <c r="L2277" s="164">
        <f>K2277*J2277</f>
        <v>13234.099999999999</v>
      </c>
    </row>
    <row r="2278" spans="2:12" x14ac:dyDescent="0.3">
      <c r="B2278" s="57">
        <f t="shared" si="194"/>
        <v>2275</v>
      </c>
      <c r="C2278" s="143">
        <v>46204</v>
      </c>
      <c r="D2278" s="57" t="s">
        <v>435</v>
      </c>
      <c r="E2278" s="57" t="s">
        <v>4128</v>
      </c>
      <c r="F2278" s="57" t="s">
        <v>350</v>
      </c>
      <c r="G2278" s="57" t="s">
        <v>675</v>
      </c>
      <c r="H2278" s="140" t="s">
        <v>2243</v>
      </c>
      <c r="I2278" s="57"/>
      <c r="J2278" s="57"/>
      <c r="L2278" s="164">
        <v>443</v>
      </c>
    </row>
    <row r="2279" spans="2:12" x14ac:dyDescent="0.3">
      <c r="B2279" s="57">
        <f t="shared" si="194"/>
        <v>2276</v>
      </c>
      <c r="C2279" s="141">
        <v>46205</v>
      </c>
      <c r="D2279" s="57" t="s">
        <v>2021</v>
      </c>
      <c r="E2279" s="57" t="s">
        <v>146</v>
      </c>
      <c r="F2279" s="57" t="s">
        <v>300</v>
      </c>
      <c r="G2279" s="57" t="s">
        <v>530</v>
      </c>
      <c r="H2279" s="140" t="s">
        <v>2266</v>
      </c>
      <c r="I2279" s="57"/>
      <c r="J2279" s="165">
        <f>L2279/K2279</f>
        <v>44.0625</v>
      </c>
      <c r="K2279" s="57">
        <v>96</v>
      </c>
      <c r="L2279" s="164">
        <v>4230</v>
      </c>
    </row>
    <row r="2280" spans="2:12" x14ac:dyDescent="0.3">
      <c r="B2280" s="57">
        <f t="shared" si="194"/>
        <v>2277</v>
      </c>
      <c r="C2280" s="141">
        <v>46205</v>
      </c>
      <c r="D2280" s="57" t="s">
        <v>2021</v>
      </c>
      <c r="E2280" s="57" t="s">
        <v>2027</v>
      </c>
      <c r="F2280" s="57" t="s">
        <v>300</v>
      </c>
      <c r="G2280" s="57" t="s">
        <v>530</v>
      </c>
      <c r="H2280" s="140" t="s">
        <v>2267</v>
      </c>
      <c r="I2280" s="57"/>
      <c r="J2280" s="57"/>
      <c r="L2280" s="164">
        <v>2560</v>
      </c>
    </row>
    <row r="2281" spans="2:12" x14ac:dyDescent="0.3">
      <c r="B2281" s="57">
        <f t="shared" si="194"/>
        <v>2278</v>
      </c>
      <c r="C2281" s="141">
        <v>46205</v>
      </c>
      <c r="D2281" s="57" t="s">
        <v>2021</v>
      </c>
      <c r="E2281" s="57" t="s">
        <v>2022</v>
      </c>
      <c r="F2281" s="57" t="s">
        <v>300</v>
      </c>
      <c r="G2281" s="57" t="s">
        <v>530</v>
      </c>
      <c r="H2281" s="140" t="s">
        <v>2268</v>
      </c>
      <c r="I2281" s="57"/>
      <c r="J2281" s="57"/>
      <c r="L2281" s="164">
        <v>200</v>
      </c>
    </row>
    <row r="2282" spans="2:12" x14ac:dyDescent="0.3">
      <c r="B2282" s="57">
        <f t="shared" si="194"/>
        <v>2279</v>
      </c>
      <c r="C2282" s="141">
        <v>46235</v>
      </c>
      <c r="D2282" s="57" t="s">
        <v>2021</v>
      </c>
      <c r="E2282" s="57" t="s">
        <v>2029</v>
      </c>
      <c r="F2282" s="57" t="s">
        <v>502</v>
      </c>
      <c r="G2282" s="57" t="s">
        <v>257</v>
      </c>
      <c r="H2282" s="140" t="s">
        <v>2157</v>
      </c>
      <c r="I2282" s="57"/>
      <c r="J2282" s="165">
        <f t="shared" ref="J2282:J2285" si="197">L2282/K2282</f>
        <v>20.833333333333332</v>
      </c>
      <c r="K2282" s="57">
        <v>96</v>
      </c>
      <c r="L2282" s="164">
        <v>2000</v>
      </c>
    </row>
    <row r="2283" spans="2:12" x14ac:dyDescent="0.3">
      <c r="B2283" s="57">
        <f t="shared" si="194"/>
        <v>2280</v>
      </c>
      <c r="C2283" s="141">
        <v>46235</v>
      </c>
      <c r="D2283" s="57" t="s">
        <v>2021</v>
      </c>
      <c r="E2283" s="57" t="s">
        <v>146</v>
      </c>
      <c r="F2283" s="57" t="s">
        <v>502</v>
      </c>
      <c r="G2283" s="57" t="s">
        <v>257</v>
      </c>
      <c r="H2283" s="140" t="s">
        <v>2158</v>
      </c>
      <c r="I2283" s="57"/>
      <c r="J2283" s="165">
        <f t="shared" si="197"/>
        <v>13.541666666666666</v>
      </c>
      <c r="K2283" s="57">
        <v>96</v>
      </c>
      <c r="L2283" s="164">
        <v>1300</v>
      </c>
    </row>
    <row r="2284" spans="2:12" x14ac:dyDescent="0.3">
      <c r="B2284" s="57">
        <f t="shared" si="194"/>
        <v>2281</v>
      </c>
      <c r="C2284" s="141">
        <v>46236</v>
      </c>
      <c r="D2284" s="57" t="s">
        <v>2021</v>
      </c>
      <c r="E2284" s="57" t="s">
        <v>146</v>
      </c>
      <c r="F2284" s="57" t="s">
        <v>502</v>
      </c>
      <c r="G2284" s="57" t="s">
        <v>257</v>
      </c>
      <c r="H2284" s="140" t="s">
        <v>2159</v>
      </c>
      <c r="I2284" s="57"/>
      <c r="J2284" s="165">
        <f t="shared" si="197"/>
        <v>53.052083333333336</v>
      </c>
      <c r="K2284" s="57">
        <v>96</v>
      </c>
      <c r="L2284" s="164">
        <v>5093</v>
      </c>
    </row>
    <row r="2285" spans="2:12" x14ac:dyDescent="0.3">
      <c r="B2285" s="57">
        <f t="shared" si="194"/>
        <v>2282</v>
      </c>
      <c r="C2285" s="141">
        <v>46236</v>
      </c>
      <c r="D2285" s="57" t="s">
        <v>2021</v>
      </c>
      <c r="E2285" s="57" t="s">
        <v>146</v>
      </c>
      <c r="F2285" s="57" t="s">
        <v>300</v>
      </c>
      <c r="G2285" s="57" t="s">
        <v>2327</v>
      </c>
      <c r="H2285" s="140" t="s">
        <v>2269</v>
      </c>
      <c r="I2285" s="57"/>
      <c r="J2285" s="165">
        <f t="shared" si="197"/>
        <v>53.052083333333336</v>
      </c>
      <c r="K2285" s="57">
        <v>96</v>
      </c>
      <c r="L2285" s="164">
        <v>5093</v>
      </c>
    </row>
    <row r="2286" spans="2:12" x14ac:dyDescent="0.3">
      <c r="B2286" s="57">
        <f t="shared" si="194"/>
        <v>2283</v>
      </c>
      <c r="C2286" s="141">
        <v>46236</v>
      </c>
      <c r="D2286" s="57" t="s">
        <v>2021</v>
      </c>
      <c r="E2286" s="57" t="s">
        <v>2032</v>
      </c>
      <c r="F2286" s="57" t="s">
        <v>436</v>
      </c>
      <c r="G2286" s="57" t="s">
        <v>987</v>
      </c>
      <c r="H2286" s="140" t="s">
        <v>908</v>
      </c>
      <c r="I2286" s="57"/>
      <c r="J2286" s="57"/>
      <c r="L2286" s="164">
        <v>6000</v>
      </c>
    </row>
    <row r="2287" spans="2:12" x14ac:dyDescent="0.3">
      <c r="B2287" s="57">
        <f t="shared" si="194"/>
        <v>2284</v>
      </c>
      <c r="C2287" s="141">
        <v>46236</v>
      </c>
      <c r="D2287" s="57" t="s">
        <v>2021</v>
      </c>
      <c r="E2287" s="57" t="s">
        <v>2032</v>
      </c>
      <c r="F2287" s="57" t="s">
        <v>436</v>
      </c>
      <c r="G2287" s="57" t="s">
        <v>987</v>
      </c>
      <c r="H2287" s="140" t="s">
        <v>2275</v>
      </c>
      <c r="I2287" s="57"/>
      <c r="J2287" s="57"/>
      <c r="L2287" s="164">
        <v>3000</v>
      </c>
    </row>
    <row r="2288" spans="2:12" x14ac:dyDescent="0.3">
      <c r="B2288" s="57">
        <f t="shared" si="194"/>
        <v>2285</v>
      </c>
      <c r="C2288" s="141">
        <v>46236</v>
      </c>
      <c r="D2288" s="57" t="s">
        <v>2021</v>
      </c>
      <c r="E2288" s="57" t="s">
        <v>2022</v>
      </c>
      <c r="F2288" s="57" t="s">
        <v>436</v>
      </c>
      <c r="G2288" s="57" t="s">
        <v>987</v>
      </c>
      <c r="H2288" s="140" t="s">
        <v>2276</v>
      </c>
      <c r="I2288" s="57"/>
      <c r="J2288" s="57"/>
      <c r="L2288" s="164">
        <v>3100</v>
      </c>
    </row>
    <row r="2289" spans="2:12" x14ac:dyDescent="0.3">
      <c r="B2289" s="57">
        <f t="shared" si="194"/>
        <v>2286</v>
      </c>
      <c r="C2289" s="141">
        <v>46236</v>
      </c>
      <c r="D2289" s="57" t="s">
        <v>2021</v>
      </c>
      <c r="E2289" s="57" t="s">
        <v>2027</v>
      </c>
      <c r="F2289" s="57" t="s">
        <v>300</v>
      </c>
      <c r="G2289" s="57" t="s">
        <v>530</v>
      </c>
      <c r="H2289" s="140" t="s">
        <v>2277</v>
      </c>
      <c r="I2289" s="57"/>
      <c r="J2289" s="57"/>
      <c r="L2289" s="164">
        <v>2620</v>
      </c>
    </row>
    <row r="2290" spans="2:12" x14ac:dyDescent="0.3">
      <c r="B2290" s="57">
        <f t="shared" si="194"/>
        <v>2287</v>
      </c>
      <c r="C2290" s="141">
        <v>46236</v>
      </c>
      <c r="D2290" s="57" t="s">
        <v>2021</v>
      </c>
      <c r="E2290" s="57" t="s">
        <v>2032</v>
      </c>
      <c r="F2290" s="57" t="s">
        <v>300</v>
      </c>
      <c r="G2290" s="57" t="s">
        <v>530</v>
      </c>
      <c r="H2290" s="140" t="s">
        <v>2278</v>
      </c>
      <c r="I2290" s="57"/>
      <c r="J2290" s="57"/>
      <c r="L2290" s="164">
        <v>23000</v>
      </c>
    </row>
    <row r="2291" spans="2:12" x14ac:dyDescent="0.3">
      <c r="B2291" s="57">
        <f t="shared" si="194"/>
        <v>2288</v>
      </c>
      <c r="C2291" s="141">
        <v>46236</v>
      </c>
      <c r="D2291" s="57" t="s">
        <v>2021</v>
      </c>
      <c r="E2291" s="57" t="s">
        <v>2022</v>
      </c>
      <c r="F2291" s="57" t="s">
        <v>300</v>
      </c>
      <c r="G2291" s="57" t="s">
        <v>530</v>
      </c>
      <c r="H2291" s="140" t="s">
        <v>2293</v>
      </c>
      <c r="I2291" s="57"/>
      <c r="J2291" s="57"/>
      <c r="L2291" s="164">
        <v>2000</v>
      </c>
    </row>
    <row r="2292" spans="2:12" x14ac:dyDescent="0.3">
      <c r="B2292" s="57">
        <f t="shared" si="194"/>
        <v>2289</v>
      </c>
      <c r="C2292" s="141">
        <v>45931</v>
      </c>
      <c r="D2292" s="57" t="s">
        <v>30</v>
      </c>
      <c r="E2292" s="57" t="s">
        <v>4128</v>
      </c>
      <c r="F2292" s="57" t="s">
        <v>436</v>
      </c>
      <c r="G2292" s="57" t="s">
        <v>987</v>
      </c>
      <c r="H2292" s="140" t="s">
        <v>2040</v>
      </c>
      <c r="I2292" s="57"/>
      <c r="J2292" s="57"/>
      <c r="L2292" s="164">
        <v>11000</v>
      </c>
    </row>
    <row r="2293" spans="2:12" x14ac:dyDescent="0.3">
      <c r="B2293" s="57">
        <f t="shared" si="194"/>
        <v>2290</v>
      </c>
      <c r="C2293" s="141">
        <v>45931</v>
      </c>
      <c r="D2293" s="57" t="s">
        <v>30</v>
      </c>
      <c r="E2293" s="57" t="s">
        <v>2022</v>
      </c>
      <c r="F2293" s="57" t="s">
        <v>502</v>
      </c>
      <c r="G2293" s="57" t="s">
        <v>257</v>
      </c>
      <c r="H2293" s="140" t="s">
        <v>2129</v>
      </c>
      <c r="I2293" s="57"/>
      <c r="J2293" s="57"/>
      <c r="L2293" s="164">
        <v>600</v>
      </c>
    </row>
    <row r="2294" spans="2:12" x14ac:dyDescent="0.3">
      <c r="B2294" s="57">
        <f t="shared" si="194"/>
        <v>2291</v>
      </c>
      <c r="C2294" s="141">
        <v>45931</v>
      </c>
      <c r="D2294" s="57" t="s">
        <v>30</v>
      </c>
      <c r="E2294" s="57" t="s">
        <v>958</v>
      </c>
      <c r="F2294" s="57" t="s">
        <v>502</v>
      </c>
      <c r="G2294" s="57" t="s">
        <v>257</v>
      </c>
      <c r="H2294" s="140" t="s">
        <v>958</v>
      </c>
      <c r="I2294" s="57"/>
      <c r="J2294" s="57"/>
      <c r="L2294" s="164">
        <v>5000</v>
      </c>
    </row>
    <row r="2295" spans="2:12" x14ac:dyDescent="0.3">
      <c r="B2295" s="57">
        <f t="shared" si="194"/>
        <v>2292</v>
      </c>
      <c r="C2295" s="141">
        <v>45931</v>
      </c>
      <c r="D2295" s="57" t="s">
        <v>30</v>
      </c>
      <c r="E2295" s="57" t="s">
        <v>2032</v>
      </c>
      <c r="F2295" s="57" t="s">
        <v>502</v>
      </c>
      <c r="G2295" s="57" t="s">
        <v>257</v>
      </c>
      <c r="H2295" s="140" t="s">
        <v>2130</v>
      </c>
      <c r="I2295" s="57"/>
      <c r="J2295" s="57"/>
      <c r="L2295" s="164">
        <v>1280</v>
      </c>
    </row>
    <row r="2296" spans="2:12" x14ac:dyDescent="0.3">
      <c r="B2296" s="57">
        <f t="shared" si="194"/>
        <v>2293</v>
      </c>
      <c r="C2296" s="141">
        <v>45931</v>
      </c>
      <c r="D2296" s="57" t="s">
        <v>2021</v>
      </c>
      <c r="E2296" s="57" t="s">
        <v>146</v>
      </c>
      <c r="F2296" s="57" t="s">
        <v>300</v>
      </c>
      <c r="G2296" s="57" t="s">
        <v>530</v>
      </c>
      <c r="H2296" s="140" t="s">
        <v>2159</v>
      </c>
      <c r="I2296" s="57"/>
      <c r="J2296" s="165">
        <f t="shared" ref="J2296:J2298" si="198">L2296/K2296</f>
        <v>15.625</v>
      </c>
      <c r="K2296" s="57">
        <v>96</v>
      </c>
      <c r="L2296" s="164">
        <v>1500</v>
      </c>
    </row>
    <row r="2297" spans="2:12" x14ac:dyDescent="0.3">
      <c r="B2297" s="57">
        <f t="shared" si="194"/>
        <v>2294</v>
      </c>
      <c r="C2297" s="141">
        <v>45931</v>
      </c>
      <c r="D2297" s="57" t="s">
        <v>2021</v>
      </c>
      <c r="E2297" s="57" t="s">
        <v>2029</v>
      </c>
      <c r="F2297" s="57" t="s">
        <v>300</v>
      </c>
      <c r="G2297" s="57" t="s">
        <v>530</v>
      </c>
      <c r="H2297" s="140" t="s">
        <v>2160</v>
      </c>
      <c r="I2297" s="57"/>
      <c r="J2297" s="165">
        <f t="shared" si="198"/>
        <v>10.9375</v>
      </c>
      <c r="K2297" s="57">
        <v>96</v>
      </c>
      <c r="L2297" s="164">
        <v>1050</v>
      </c>
    </row>
    <row r="2298" spans="2:12" x14ac:dyDescent="0.3">
      <c r="B2298" s="57">
        <f t="shared" si="194"/>
        <v>2295</v>
      </c>
      <c r="C2298" s="141">
        <v>45931</v>
      </c>
      <c r="D2298" s="57" t="s">
        <v>2021</v>
      </c>
      <c r="E2298" s="57" t="s">
        <v>146</v>
      </c>
      <c r="F2298" s="57" t="s">
        <v>436</v>
      </c>
      <c r="G2298" s="57" t="s">
        <v>987</v>
      </c>
      <c r="H2298" s="140" t="s">
        <v>2159</v>
      </c>
      <c r="I2298" s="57"/>
      <c r="J2298" s="165">
        <f t="shared" si="198"/>
        <v>13.541666666666666</v>
      </c>
      <c r="K2298" s="57">
        <v>96</v>
      </c>
      <c r="L2298" s="164">
        <v>1300</v>
      </c>
    </row>
    <row r="2299" spans="2:12" x14ac:dyDescent="0.3">
      <c r="B2299" s="57">
        <f t="shared" si="194"/>
        <v>2296</v>
      </c>
      <c r="C2299" s="141">
        <v>45931</v>
      </c>
      <c r="D2299" s="57" t="s">
        <v>2021</v>
      </c>
      <c r="E2299" s="57" t="s">
        <v>522</v>
      </c>
      <c r="F2299" s="57" t="s">
        <v>300</v>
      </c>
      <c r="G2299" s="57" t="s">
        <v>530</v>
      </c>
      <c r="H2299" s="140" t="s">
        <v>2161</v>
      </c>
      <c r="I2299" s="57"/>
      <c r="J2299" s="57"/>
      <c r="L2299" s="164">
        <v>2400</v>
      </c>
    </row>
    <row r="2300" spans="2:12" x14ac:dyDescent="0.3">
      <c r="B2300" s="57">
        <f t="shared" si="194"/>
        <v>2297</v>
      </c>
      <c r="C2300" s="141">
        <v>45931</v>
      </c>
      <c r="D2300" s="57" t="s">
        <v>2021</v>
      </c>
      <c r="E2300" s="57" t="s">
        <v>481</v>
      </c>
      <c r="F2300" s="57" t="s">
        <v>502</v>
      </c>
      <c r="G2300" s="57" t="s">
        <v>257</v>
      </c>
      <c r="H2300" s="140" t="s">
        <v>2279</v>
      </c>
      <c r="I2300" s="57"/>
      <c r="J2300" s="57"/>
      <c r="L2300" s="164">
        <v>1850</v>
      </c>
    </row>
    <row r="2301" spans="2:12" x14ac:dyDescent="0.3">
      <c r="B2301" s="57">
        <f t="shared" si="194"/>
        <v>2298</v>
      </c>
      <c r="C2301" s="141">
        <v>45931</v>
      </c>
      <c r="D2301" s="57" t="s">
        <v>2021</v>
      </c>
      <c r="E2301" s="57" t="s">
        <v>434</v>
      </c>
      <c r="F2301" s="57" t="s">
        <v>300</v>
      </c>
      <c r="G2301" s="57" t="s">
        <v>530</v>
      </c>
      <c r="H2301" s="140" t="s">
        <v>2280</v>
      </c>
      <c r="I2301" s="57"/>
      <c r="J2301" s="57"/>
      <c r="L2301" s="164">
        <v>1050</v>
      </c>
    </row>
    <row r="2302" spans="2:12" x14ac:dyDescent="0.3">
      <c r="B2302" s="57">
        <f t="shared" si="194"/>
        <v>2299</v>
      </c>
      <c r="C2302" s="141">
        <v>45931</v>
      </c>
      <c r="D2302" s="57" t="s">
        <v>2021</v>
      </c>
      <c r="E2302" s="57" t="s">
        <v>2032</v>
      </c>
      <c r="F2302" s="57" t="s">
        <v>436</v>
      </c>
      <c r="G2302" s="57" t="s">
        <v>987</v>
      </c>
      <c r="H2302" s="140" t="s">
        <v>849</v>
      </c>
      <c r="I2302" s="57"/>
      <c r="J2302" s="57"/>
      <c r="L2302" s="164">
        <v>7200</v>
      </c>
    </row>
    <row r="2303" spans="2:12" x14ac:dyDescent="0.3">
      <c r="B2303" s="57">
        <f t="shared" si="194"/>
        <v>2300</v>
      </c>
      <c r="C2303" s="141">
        <v>45931</v>
      </c>
      <c r="D2303" s="57" t="s">
        <v>2021</v>
      </c>
      <c r="E2303" s="57" t="s">
        <v>2022</v>
      </c>
      <c r="F2303" s="57" t="s">
        <v>300</v>
      </c>
      <c r="G2303" s="57" t="s">
        <v>303</v>
      </c>
      <c r="H2303" s="140" t="s">
        <v>2281</v>
      </c>
      <c r="I2303" s="57"/>
      <c r="J2303" s="57"/>
      <c r="L2303" s="164">
        <v>1800</v>
      </c>
    </row>
    <row r="2304" spans="2:12" x14ac:dyDescent="0.3">
      <c r="B2304" s="57">
        <f t="shared" si="194"/>
        <v>2301</v>
      </c>
      <c r="C2304" s="141">
        <v>45931</v>
      </c>
      <c r="D2304" s="57" t="s">
        <v>2021</v>
      </c>
      <c r="E2304" s="57" t="s">
        <v>2032</v>
      </c>
      <c r="F2304" s="57" t="s">
        <v>300</v>
      </c>
      <c r="G2304" s="57" t="s">
        <v>530</v>
      </c>
      <c r="H2304" s="140" t="s">
        <v>2282</v>
      </c>
      <c r="I2304" s="57"/>
      <c r="J2304" s="57"/>
      <c r="L2304" s="164">
        <v>1000</v>
      </c>
    </row>
    <row r="2305" spans="2:12" x14ac:dyDescent="0.3">
      <c r="B2305" s="57">
        <f t="shared" si="194"/>
        <v>2302</v>
      </c>
      <c r="C2305" s="141">
        <v>45931</v>
      </c>
      <c r="D2305" s="57" t="s">
        <v>2021</v>
      </c>
      <c r="E2305" s="57" t="s">
        <v>2032</v>
      </c>
      <c r="F2305" s="57" t="s">
        <v>300</v>
      </c>
      <c r="G2305" s="57" t="s">
        <v>530</v>
      </c>
      <c r="H2305" s="140" t="s">
        <v>2283</v>
      </c>
      <c r="I2305" s="57"/>
      <c r="J2305" s="57"/>
      <c r="L2305" s="164">
        <v>15210</v>
      </c>
    </row>
    <row r="2306" spans="2:12" x14ac:dyDescent="0.3">
      <c r="B2306" s="57">
        <f t="shared" si="194"/>
        <v>2303</v>
      </c>
      <c r="C2306" s="141">
        <v>45931</v>
      </c>
      <c r="D2306" s="57" t="s">
        <v>2021</v>
      </c>
      <c r="E2306" s="57" t="s">
        <v>2022</v>
      </c>
      <c r="F2306" s="57" t="s">
        <v>300</v>
      </c>
      <c r="G2306" s="57" t="s">
        <v>530</v>
      </c>
      <c r="H2306" s="140" t="s">
        <v>2284</v>
      </c>
      <c r="I2306" s="57"/>
      <c r="J2306" s="57"/>
      <c r="L2306" s="164">
        <v>3495</v>
      </c>
    </row>
    <row r="2307" spans="2:12" x14ac:dyDescent="0.3">
      <c r="B2307" s="57">
        <f t="shared" si="194"/>
        <v>2304</v>
      </c>
      <c r="C2307" s="141">
        <v>45931</v>
      </c>
      <c r="D2307" s="57" t="s">
        <v>2021</v>
      </c>
      <c r="E2307" s="57" t="s">
        <v>2022</v>
      </c>
      <c r="F2307" s="57" t="s">
        <v>300</v>
      </c>
      <c r="G2307" s="57" t="s">
        <v>530</v>
      </c>
      <c r="H2307" s="140" t="s">
        <v>2285</v>
      </c>
      <c r="I2307" s="57"/>
      <c r="J2307" s="57"/>
      <c r="L2307" s="164">
        <v>3765</v>
      </c>
    </row>
    <row r="2308" spans="2:12" x14ac:dyDescent="0.3">
      <c r="B2308" s="57">
        <f t="shared" si="194"/>
        <v>2305</v>
      </c>
      <c r="C2308" s="141">
        <v>45931</v>
      </c>
      <c r="D2308" s="57" t="s">
        <v>2021</v>
      </c>
      <c r="E2308" s="57" t="s">
        <v>2032</v>
      </c>
      <c r="F2308" s="57" t="s">
        <v>300</v>
      </c>
      <c r="G2308" s="57" t="s">
        <v>530</v>
      </c>
      <c r="H2308" s="140" t="s">
        <v>2286</v>
      </c>
      <c r="I2308" s="57"/>
      <c r="J2308" s="57"/>
      <c r="L2308" s="164">
        <v>423</v>
      </c>
    </row>
    <row r="2309" spans="2:12" x14ac:dyDescent="0.3">
      <c r="B2309" s="57">
        <f t="shared" si="194"/>
        <v>2306</v>
      </c>
      <c r="C2309" s="141">
        <v>45931</v>
      </c>
      <c r="D2309" s="57" t="s">
        <v>30</v>
      </c>
      <c r="E2309" s="57" t="s">
        <v>434</v>
      </c>
      <c r="F2309" s="57" t="s">
        <v>300</v>
      </c>
      <c r="G2309" s="57" t="s">
        <v>530</v>
      </c>
      <c r="H2309" s="140" t="s">
        <v>2131</v>
      </c>
      <c r="I2309" s="57"/>
      <c r="J2309" s="57"/>
      <c r="L2309" s="164">
        <v>5200</v>
      </c>
    </row>
    <row r="2310" spans="2:12" x14ac:dyDescent="0.3">
      <c r="B2310" s="57">
        <f t="shared" ref="B2310:B2373" si="199">+B2309+1</f>
        <v>2307</v>
      </c>
      <c r="C2310" s="141">
        <v>45931</v>
      </c>
      <c r="D2310" s="57" t="s">
        <v>2021</v>
      </c>
      <c r="E2310" s="57" t="s">
        <v>146</v>
      </c>
      <c r="F2310" s="57" t="s">
        <v>300</v>
      </c>
      <c r="G2310" s="57" t="s">
        <v>530</v>
      </c>
      <c r="H2310" s="140" t="s">
        <v>2162</v>
      </c>
      <c r="I2310" s="57"/>
      <c r="J2310" s="165">
        <f>L2310/K2310</f>
        <v>26.041666666666668</v>
      </c>
      <c r="K2310" s="57">
        <v>96</v>
      </c>
      <c r="L2310" s="164">
        <v>2500</v>
      </c>
    </row>
    <row r="2311" spans="2:12" x14ac:dyDescent="0.3">
      <c r="B2311" s="57">
        <f t="shared" si="199"/>
        <v>2308</v>
      </c>
      <c r="C2311" s="141">
        <v>45931</v>
      </c>
      <c r="D2311" s="57" t="s">
        <v>2021</v>
      </c>
      <c r="E2311" s="57" t="s">
        <v>2032</v>
      </c>
      <c r="F2311" s="57" t="s">
        <v>300</v>
      </c>
      <c r="G2311" s="57" t="s">
        <v>530</v>
      </c>
      <c r="H2311" s="140" t="s">
        <v>2163</v>
      </c>
      <c r="I2311" s="57"/>
      <c r="J2311" s="57"/>
      <c r="L2311" s="164">
        <v>73400</v>
      </c>
    </row>
    <row r="2312" spans="2:12" x14ac:dyDescent="0.3">
      <c r="B2312" s="57">
        <f t="shared" si="199"/>
        <v>2309</v>
      </c>
      <c r="C2312" s="141">
        <v>45931</v>
      </c>
      <c r="D2312" s="57" t="s">
        <v>2021</v>
      </c>
      <c r="E2312" s="57" t="s">
        <v>2027</v>
      </c>
      <c r="F2312" s="57" t="s">
        <v>300</v>
      </c>
      <c r="G2312" s="57" t="s">
        <v>530</v>
      </c>
      <c r="H2312" s="140" t="s">
        <v>2164</v>
      </c>
      <c r="I2312" s="57"/>
      <c r="J2312" s="57"/>
      <c r="L2312" s="164">
        <v>1380</v>
      </c>
    </row>
    <row r="2313" spans="2:12" x14ac:dyDescent="0.3">
      <c r="B2313" s="57">
        <f t="shared" si="199"/>
        <v>2310</v>
      </c>
      <c r="C2313" s="141">
        <v>45932</v>
      </c>
      <c r="D2313" s="57" t="s">
        <v>2021</v>
      </c>
      <c r="E2313" s="57" t="s">
        <v>2033</v>
      </c>
      <c r="F2313" s="57" t="s">
        <v>300</v>
      </c>
      <c r="G2313" s="57" t="s">
        <v>530</v>
      </c>
      <c r="H2313" s="140" t="s">
        <v>2274</v>
      </c>
      <c r="I2313" s="57"/>
      <c r="J2313" s="57"/>
      <c r="L2313" s="164">
        <v>1450</v>
      </c>
    </row>
    <row r="2314" spans="2:12" x14ac:dyDescent="0.3">
      <c r="B2314" s="57">
        <f t="shared" si="199"/>
        <v>2311</v>
      </c>
      <c r="C2314" s="141">
        <v>45932</v>
      </c>
      <c r="D2314" s="57" t="s">
        <v>2021</v>
      </c>
      <c r="E2314" s="57" t="s">
        <v>146</v>
      </c>
      <c r="F2314" s="57" t="s">
        <v>300</v>
      </c>
      <c r="G2314" s="57" t="s">
        <v>530</v>
      </c>
      <c r="H2314" s="140" t="s">
        <v>4112</v>
      </c>
      <c r="I2314" s="57" t="s">
        <v>146</v>
      </c>
      <c r="J2314" s="165">
        <f>L2314/K2314</f>
        <v>31.25</v>
      </c>
      <c r="K2314" s="57">
        <v>96</v>
      </c>
      <c r="L2314" s="164">
        <v>3000</v>
      </c>
    </row>
    <row r="2315" spans="2:12" x14ac:dyDescent="0.3">
      <c r="B2315" s="57">
        <f t="shared" si="199"/>
        <v>2312</v>
      </c>
      <c r="C2315" s="141">
        <v>45932</v>
      </c>
      <c r="D2315" s="57" t="s">
        <v>2021</v>
      </c>
      <c r="E2315" s="57" t="s">
        <v>2032</v>
      </c>
      <c r="F2315" s="57" t="s">
        <v>300</v>
      </c>
      <c r="G2315" s="57" t="s">
        <v>530</v>
      </c>
      <c r="H2315" s="140" t="s">
        <v>2287</v>
      </c>
      <c r="I2315" s="57"/>
      <c r="J2315" s="57"/>
      <c r="L2315" s="164">
        <v>46264</v>
      </c>
    </row>
    <row r="2316" spans="2:12" x14ac:dyDescent="0.3">
      <c r="B2316" s="57">
        <f t="shared" si="199"/>
        <v>2313</v>
      </c>
      <c r="C2316" s="141">
        <v>45932</v>
      </c>
      <c r="D2316" s="57" t="s">
        <v>2021</v>
      </c>
      <c r="E2316" s="57" t="s">
        <v>2022</v>
      </c>
      <c r="F2316" s="57" t="s">
        <v>300</v>
      </c>
      <c r="G2316" s="57" t="s">
        <v>530</v>
      </c>
      <c r="H2316" s="140" t="s">
        <v>2288</v>
      </c>
      <c r="I2316" s="57"/>
      <c r="J2316" s="57"/>
      <c r="L2316" s="164">
        <v>400</v>
      </c>
    </row>
    <row r="2317" spans="2:12" x14ac:dyDescent="0.3">
      <c r="B2317" s="57">
        <f t="shared" si="199"/>
        <v>2314</v>
      </c>
      <c r="C2317" s="141">
        <v>45932</v>
      </c>
      <c r="D2317" s="57" t="s">
        <v>2021</v>
      </c>
      <c r="E2317" s="57" t="s">
        <v>2027</v>
      </c>
      <c r="F2317" s="57" t="s">
        <v>300</v>
      </c>
      <c r="G2317" s="57" t="s">
        <v>530</v>
      </c>
      <c r="H2317" s="140" t="s">
        <v>2289</v>
      </c>
      <c r="I2317" s="57"/>
      <c r="J2317" s="57"/>
      <c r="L2317" s="164">
        <v>4000</v>
      </c>
    </row>
    <row r="2318" spans="2:12" x14ac:dyDescent="0.3">
      <c r="B2318" s="57">
        <f t="shared" si="199"/>
        <v>2315</v>
      </c>
      <c r="C2318" s="141">
        <v>45932</v>
      </c>
      <c r="D2318" s="57" t="s">
        <v>2021</v>
      </c>
      <c r="E2318" s="57" t="s">
        <v>2037</v>
      </c>
      <c r="F2318" s="57" t="s">
        <v>300</v>
      </c>
      <c r="G2318" s="57" t="s">
        <v>2327</v>
      </c>
      <c r="H2318" s="140" t="s">
        <v>2290</v>
      </c>
      <c r="I2318" s="57"/>
      <c r="J2318" s="57"/>
      <c r="L2318" s="164">
        <v>2500</v>
      </c>
    </row>
    <row r="2319" spans="2:12" x14ac:dyDescent="0.3">
      <c r="B2319" s="57">
        <f t="shared" si="199"/>
        <v>2316</v>
      </c>
      <c r="C2319" s="141">
        <v>45932</v>
      </c>
      <c r="D2319" s="57" t="s">
        <v>2021</v>
      </c>
      <c r="E2319" s="57" t="s">
        <v>146</v>
      </c>
      <c r="F2319" s="57" t="s">
        <v>300</v>
      </c>
      <c r="G2319" s="57" t="s">
        <v>530</v>
      </c>
      <c r="H2319" s="140" t="s">
        <v>2291</v>
      </c>
      <c r="I2319" s="57"/>
      <c r="J2319" s="165">
        <f>L2319/K2319</f>
        <v>59.385416666666664</v>
      </c>
      <c r="K2319" s="57">
        <v>96</v>
      </c>
      <c r="L2319" s="164">
        <v>5701</v>
      </c>
    </row>
    <row r="2320" spans="2:12" x14ac:dyDescent="0.3">
      <c r="B2320" s="57">
        <f t="shared" si="199"/>
        <v>2317</v>
      </c>
      <c r="C2320" s="141">
        <v>45932</v>
      </c>
      <c r="D2320" s="57" t="s">
        <v>2021</v>
      </c>
      <c r="E2320" s="57" t="s">
        <v>2022</v>
      </c>
      <c r="F2320" s="57" t="s">
        <v>300</v>
      </c>
      <c r="G2320" s="57" t="s">
        <v>530</v>
      </c>
      <c r="H2320" s="140" t="s">
        <v>2292</v>
      </c>
      <c r="I2320" s="57"/>
      <c r="J2320" s="57"/>
      <c r="L2320" s="164">
        <v>1410</v>
      </c>
    </row>
    <row r="2321" spans="2:13" x14ac:dyDescent="0.3">
      <c r="B2321" s="57">
        <f t="shared" si="199"/>
        <v>2318</v>
      </c>
      <c r="C2321" s="141">
        <v>45932</v>
      </c>
      <c r="D2321" s="57" t="s">
        <v>2021</v>
      </c>
      <c r="E2321" s="57" t="s">
        <v>2035</v>
      </c>
      <c r="F2321" s="57" t="s">
        <v>300</v>
      </c>
      <c r="G2321" s="57" t="s">
        <v>530</v>
      </c>
      <c r="H2321" s="140" t="s">
        <v>2294</v>
      </c>
      <c r="I2321" s="57"/>
      <c r="J2321" s="57"/>
      <c r="L2321" s="164">
        <v>19200</v>
      </c>
      <c r="M2321" s="57" t="s">
        <v>2323</v>
      </c>
    </row>
    <row r="2322" spans="2:13" x14ac:dyDescent="0.3">
      <c r="B2322" s="57">
        <f t="shared" si="199"/>
        <v>2319</v>
      </c>
      <c r="C2322" s="141">
        <v>45932</v>
      </c>
      <c r="D2322" s="57" t="s">
        <v>2021</v>
      </c>
      <c r="E2322" s="57" t="s">
        <v>146</v>
      </c>
      <c r="F2322" s="57" t="s">
        <v>502</v>
      </c>
      <c r="G2322" s="57" t="s">
        <v>257</v>
      </c>
      <c r="H2322" s="140" t="s">
        <v>2295</v>
      </c>
      <c r="I2322" s="57"/>
      <c r="J2322" s="165">
        <f>L2322/K2322</f>
        <v>10.416666666666666</v>
      </c>
      <c r="K2322" s="57">
        <v>96</v>
      </c>
      <c r="L2322" s="164">
        <v>1000</v>
      </c>
    </row>
    <row r="2323" spans="2:13" x14ac:dyDescent="0.3">
      <c r="B2323" s="57">
        <f t="shared" si="199"/>
        <v>2320</v>
      </c>
      <c r="C2323" s="141">
        <v>45932</v>
      </c>
      <c r="D2323" s="57" t="s">
        <v>2021</v>
      </c>
      <c r="E2323" s="57" t="s">
        <v>2022</v>
      </c>
      <c r="F2323" s="57" t="s">
        <v>436</v>
      </c>
      <c r="G2323" s="57" t="s">
        <v>987</v>
      </c>
      <c r="H2323" s="140" t="s">
        <v>2296</v>
      </c>
      <c r="I2323" s="57"/>
      <c r="J2323" s="57"/>
      <c r="L2323" s="164">
        <v>780</v>
      </c>
    </row>
    <row r="2324" spans="2:13" x14ac:dyDescent="0.3">
      <c r="B2324" s="57">
        <f t="shared" si="199"/>
        <v>2321</v>
      </c>
      <c r="C2324" s="141">
        <v>45932</v>
      </c>
      <c r="D2324" s="57" t="s">
        <v>2021</v>
      </c>
      <c r="E2324" s="57" t="s">
        <v>574</v>
      </c>
      <c r="F2324" s="57" t="s">
        <v>436</v>
      </c>
      <c r="G2324" s="57" t="s">
        <v>987</v>
      </c>
      <c r="H2324" s="140" t="s">
        <v>2326</v>
      </c>
      <c r="I2324" s="140" t="s">
        <v>4118</v>
      </c>
      <c r="J2324" s="57">
        <v>8</v>
      </c>
      <c r="K2324" s="167">
        <f>L2324/J2324</f>
        <v>625</v>
      </c>
      <c r="L2324" s="164">
        <v>5000</v>
      </c>
    </row>
    <row r="2325" spans="2:13" x14ac:dyDescent="0.3">
      <c r="B2325" s="57">
        <f t="shared" si="199"/>
        <v>2322</v>
      </c>
      <c r="C2325" s="141">
        <v>45932</v>
      </c>
      <c r="D2325" s="57" t="s">
        <v>2021</v>
      </c>
      <c r="E2325" s="57" t="s">
        <v>146</v>
      </c>
      <c r="F2325" s="57" t="s">
        <v>300</v>
      </c>
      <c r="G2325" s="57" t="s">
        <v>530</v>
      </c>
      <c r="H2325" s="140" t="s">
        <v>2297</v>
      </c>
      <c r="I2325" s="57"/>
      <c r="J2325" s="165">
        <f>L2325/K2325</f>
        <v>31.25</v>
      </c>
      <c r="K2325" s="57">
        <v>96</v>
      </c>
      <c r="L2325" s="164">
        <v>3000</v>
      </c>
    </row>
    <row r="2326" spans="2:13" x14ac:dyDescent="0.3">
      <c r="B2326" s="57">
        <f t="shared" si="199"/>
        <v>2323</v>
      </c>
      <c r="C2326" s="141">
        <v>45932</v>
      </c>
      <c r="D2326" s="57" t="s">
        <v>2021</v>
      </c>
      <c r="E2326" s="57" t="s">
        <v>434</v>
      </c>
      <c r="F2326" s="57" t="s">
        <v>300</v>
      </c>
      <c r="G2326" s="57" t="s">
        <v>996</v>
      </c>
      <c r="H2326" s="140" t="s">
        <v>2298</v>
      </c>
      <c r="I2326" s="57"/>
      <c r="J2326" s="57"/>
      <c r="L2326" s="164">
        <v>700</v>
      </c>
    </row>
    <row r="2327" spans="2:13" x14ac:dyDescent="0.3">
      <c r="B2327" s="57">
        <f t="shared" si="199"/>
        <v>2324</v>
      </c>
      <c r="C2327" s="141">
        <v>45962</v>
      </c>
      <c r="D2327" s="57" t="s">
        <v>30</v>
      </c>
      <c r="E2327" s="57" t="s">
        <v>2031</v>
      </c>
      <c r="F2327" s="57" t="s">
        <v>436</v>
      </c>
      <c r="G2327" s="57" t="s">
        <v>987</v>
      </c>
      <c r="H2327" s="140" t="s">
        <v>2109</v>
      </c>
      <c r="I2327" s="57"/>
      <c r="J2327" s="57"/>
      <c r="L2327" s="164">
        <v>5000</v>
      </c>
    </row>
    <row r="2328" spans="2:13" x14ac:dyDescent="0.3">
      <c r="B2328" s="57">
        <f t="shared" si="199"/>
        <v>2325</v>
      </c>
      <c r="C2328" s="141">
        <v>45962</v>
      </c>
      <c r="D2328" s="57" t="s">
        <v>30</v>
      </c>
      <c r="E2328" s="57" t="s">
        <v>958</v>
      </c>
      <c r="F2328" s="57" t="s">
        <v>300</v>
      </c>
      <c r="G2328" s="57" t="s">
        <v>530</v>
      </c>
      <c r="H2328" s="140" t="s">
        <v>2097</v>
      </c>
      <c r="I2328" s="57"/>
      <c r="J2328" s="57"/>
      <c r="L2328" s="164">
        <v>8000</v>
      </c>
    </row>
    <row r="2329" spans="2:13" x14ac:dyDescent="0.3">
      <c r="B2329" s="57">
        <f t="shared" si="199"/>
        <v>2326</v>
      </c>
      <c r="C2329" s="141">
        <v>45962</v>
      </c>
      <c r="D2329" s="57" t="s">
        <v>30</v>
      </c>
      <c r="E2329" s="57" t="s">
        <v>434</v>
      </c>
      <c r="F2329" s="57" t="s">
        <v>300</v>
      </c>
      <c r="G2329" s="57" t="s">
        <v>530</v>
      </c>
      <c r="H2329" s="140" t="s">
        <v>2132</v>
      </c>
      <c r="I2329" s="57"/>
      <c r="J2329" s="57"/>
      <c r="L2329" s="164">
        <v>820</v>
      </c>
    </row>
    <row r="2330" spans="2:13" x14ac:dyDescent="0.3">
      <c r="B2330" s="57">
        <f t="shared" si="199"/>
        <v>2327</v>
      </c>
      <c r="C2330" s="141">
        <v>45962</v>
      </c>
      <c r="D2330" s="57" t="s">
        <v>30</v>
      </c>
      <c r="E2330" s="57" t="s">
        <v>434</v>
      </c>
      <c r="F2330" s="57" t="s">
        <v>502</v>
      </c>
      <c r="G2330" s="57" t="s">
        <v>257</v>
      </c>
      <c r="H2330" s="140" t="s">
        <v>2133</v>
      </c>
      <c r="I2330" s="57"/>
      <c r="J2330" s="57"/>
      <c r="L2330" s="164">
        <v>400</v>
      </c>
    </row>
    <row r="2331" spans="2:13" x14ac:dyDescent="0.3">
      <c r="B2331" s="57">
        <f t="shared" si="199"/>
        <v>2328</v>
      </c>
      <c r="C2331" s="141">
        <v>45962</v>
      </c>
      <c r="D2331" s="57" t="s">
        <v>2021</v>
      </c>
      <c r="E2331" s="57" t="s">
        <v>2033</v>
      </c>
      <c r="F2331" s="57" t="s">
        <v>300</v>
      </c>
      <c r="G2331" s="57" t="s">
        <v>530</v>
      </c>
      <c r="H2331" s="140" t="s">
        <v>2165</v>
      </c>
      <c r="I2331" s="57"/>
      <c r="J2331" s="57"/>
      <c r="L2331" s="164">
        <v>2000</v>
      </c>
    </row>
    <row r="2332" spans="2:13" x14ac:dyDescent="0.3">
      <c r="B2332" s="57">
        <f t="shared" si="199"/>
        <v>2329</v>
      </c>
      <c r="C2332" s="141">
        <v>45963</v>
      </c>
      <c r="D2332" s="57" t="s">
        <v>2021</v>
      </c>
      <c r="E2332" s="57" t="s">
        <v>146</v>
      </c>
      <c r="F2332" s="57" t="s">
        <v>502</v>
      </c>
      <c r="G2332" s="57" t="s">
        <v>257</v>
      </c>
      <c r="H2332" s="140" t="s">
        <v>2299</v>
      </c>
      <c r="I2332" s="57"/>
      <c r="J2332" s="165">
        <f>L2332/K2332</f>
        <v>10.416666666666666</v>
      </c>
      <c r="K2332" s="57">
        <v>96</v>
      </c>
      <c r="L2332" s="164">
        <v>1000</v>
      </c>
    </row>
    <row r="2333" spans="2:13" x14ac:dyDescent="0.3">
      <c r="B2333" s="57">
        <f t="shared" si="199"/>
        <v>2330</v>
      </c>
      <c r="C2333" s="141">
        <v>45963</v>
      </c>
      <c r="D2333" s="57" t="s">
        <v>2021</v>
      </c>
      <c r="E2333" s="57" t="s">
        <v>2022</v>
      </c>
      <c r="F2333" s="57" t="s">
        <v>300</v>
      </c>
      <c r="G2333" s="57" t="s">
        <v>530</v>
      </c>
      <c r="H2333" s="140" t="s">
        <v>2300</v>
      </c>
      <c r="I2333" s="57"/>
      <c r="J2333" s="57"/>
      <c r="L2333" s="164">
        <v>2600</v>
      </c>
    </row>
    <row r="2334" spans="2:13" x14ac:dyDescent="0.3">
      <c r="B2334" s="57">
        <f t="shared" si="199"/>
        <v>2331</v>
      </c>
      <c r="C2334" s="141">
        <v>45963</v>
      </c>
      <c r="D2334" s="57" t="s">
        <v>2021</v>
      </c>
      <c r="E2334" s="57" t="s">
        <v>522</v>
      </c>
      <c r="F2334" s="57" t="s">
        <v>300</v>
      </c>
      <c r="G2334" s="57" t="s">
        <v>530</v>
      </c>
      <c r="H2334" s="140" t="s">
        <v>2301</v>
      </c>
      <c r="I2334" s="57"/>
      <c r="J2334" s="57"/>
      <c r="L2334" s="164">
        <v>14000</v>
      </c>
    </row>
    <row r="2335" spans="2:13" x14ac:dyDescent="0.3">
      <c r="B2335" s="57">
        <f t="shared" si="199"/>
        <v>2332</v>
      </c>
      <c r="C2335" s="141">
        <v>45963</v>
      </c>
      <c r="D2335" s="57" t="s">
        <v>2021</v>
      </c>
      <c r="E2335" s="57" t="s">
        <v>2032</v>
      </c>
      <c r="F2335" s="57" t="s">
        <v>300</v>
      </c>
      <c r="G2335" s="57" t="s">
        <v>530</v>
      </c>
      <c r="H2335" s="140" t="s">
        <v>2302</v>
      </c>
      <c r="I2335" s="57"/>
      <c r="J2335" s="57"/>
      <c r="L2335" s="164">
        <v>3600</v>
      </c>
    </row>
    <row r="2336" spans="2:13" x14ac:dyDescent="0.3">
      <c r="B2336" s="57">
        <f t="shared" si="199"/>
        <v>2333</v>
      </c>
      <c r="C2336" s="141">
        <v>45963</v>
      </c>
      <c r="D2336" s="57" t="s">
        <v>2021</v>
      </c>
      <c r="E2336" s="57" t="s">
        <v>2037</v>
      </c>
      <c r="F2336" s="57" t="s">
        <v>300</v>
      </c>
      <c r="G2336" s="57" t="s">
        <v>530</v>
      </c>
      <c r="H2336" s="140" t="s">
        <v>4093</v>
      </c>
      <c r="I2336" s="57"/>
      <c r="J2336" s="57"/>
      <c r="L2336" s="164">
        <v>3400</v>
      </c>
    </row>
    <row r="2337" spans="2:13" x14ac:dyDescent="0.3">
      <c r="B2337" s="57">
        <f t="shared" si="199"/>
        <v>2334</v>
      </c>
      <c r="C2337" s="141">
        <v>45963</v>
      </c>
      <c r="D2337" s="57" t="s">
        <v>2021</v>
      </c>
      <c r="E2337" s="57" t="s">
        <v>146</v>
      </c>
      <c r="F2337" s="57" t="s">
        <v>300</v>
      </c>
      <c r="G2337" s="57" t="s">
        <v>2327</v>
      </c>
      <c r="H2337" s="140" t="s">
        <v>2114</v>
      </c>
      <c r="I2337" s="57"/>
      <c r="J2337" s="165">
        <f>L2337/K2337</f>
        <v>10.416666666666666</v>
      </c>
      <c r="K2337" s="57">
        <v>96</v>
      </c>
      <c r="L2337" s="164">
        <v>1000</v>
      </c>
    </row>
    <row r="2338" spans="2:13" x14ac:dyDescent="0.3">
      <c r="B2338" s="57">
        <f t="shared" si="199"/>
        <v>2335</v>
      </c>
      <c r="C2338" s="141">
        <v>45963</v>
      </c>
      <c r="D2338" s="57" t="s">
        <v>2021</v>
      </c>
      <c r="E2338" s="57" t="s">
        <v>595</v>
      </c>
      <c r="F2338" s="57" t="s">
        <v>261</v>
      </c>
      <c r="G2338" s="57" t="s">
        <v>2325</v>
      </c>
      <c r="H2338" s="140" t="s">
        <v>2303</v>
      </c>
      <c r="I2338" s="57"/>
      <c r="J2338" s="57"/>
      <c r="L2338" s="164">
        <v>680</v>
      </c>
    </row>
    <row r="2339" spans="2:13" x14ac:dyDescent="0.3">
      <c r="B2339" s="57">
        <f t="shared" si="199"/>
        <v>2336</v>
      </c>
      <c r="C2339" s="141">
        <v>45963</v>
      </c>
      <c r="D2339" s="57" t="s">
        <v>2021</v>
      </c>
      <c r="E2339" s="57" t="s">
        <v>434</v>
      </c>
      <c r="F2339" s="57" t="s">
        <v>300</v>
      </c>
      <c r="G2339" s="57" t="s">
        <v>530</v>
      </c>
      <c r="H2339" s="140" t="s">
        <v>2304</v>
      </c>
      <c r="I2339" s="57"/>
      <c r="J2339" s="57"/>
      <c r="L2339" s="164">
        <v>36600</v>
      </c>
    </row>
    <row r="2340" spans="2:13" x14ac:dyDescent="0.3">
      <c r="B2340" s="57">
        <f t="shared" si="199"/>
        <v>2337</v>
      </c>
      <c r="C2340" s="141">
        <v>45963</v>
      </c>
      <c r="D2340" s="57" t="s">
        <v>2021</v>
      </c>
      <c r="E2340" s="57" t="s">
        <v>2022</v>
      </c>
      <c r="F2340" s="57" t="s">
        <v>300</v>
      </c>
      <c r="G2340" s="57" t="s">
        <v>530</v>
      </c>
      <c r="H2340" s="140" t="s">
        <v>2305</v>
      </c>
      <c r="I2340" s="57"/>
      <c r="J2340" s="57"/>
      <c r="L2340" s="164">
        <v>1790</v>
      </c>
    </row>
    <row r="2341" spans="2:13" x14ac:dyDescent="0.3">
      <c r="B2341" s="57">
        <f t="shared" si="199"/>
        <v>2338</v>
      </c>
      <c r="C2341" s="141">
        <v>45992</v>
      </c>
      <c r="D2341" s="57" t="s">
        <v>30</v>
      </c>
      <c r="E2341" s="57" t="s">
        <v>560</v>
      </c>
      <c r="F2341" s="57" t="s">
        <v>300</v>
      </c>
      <c r="G2341" s="57" t="s">
        <v>530</v>
      </c>
      <c r="H2341" s="140" t="s">
        <v>2106</v>
      </c>
      <c r="I2341" s="57"/>
      <c r="J2341" s="57"/>
      <c r="L2341" s="164">
        <v>300</v>
      </c>
    </row>
    <row r="2342" spans="2:13" x14ac:dyDescent="0.3">
      <c r="B2342" s="57">
        <f t="shared" si="199"/>
        <v>2339</v>
      </c>
      <c r="C2342" s="141">
        <v>45992</v>
      </c>
      <c r="D2342" s="57" t="s">
        <v>30</v>
      </c>
      <c r="E2342" s="57" t="s">
        <v>434</v>
      </c>
      <c r="F2342" s="57" t="s">
        <v>300</v>
      </c>
      <c r="G2342" s="57" t="s">
        <v>530</v>
      </c>
      <c r="H2342" s="140" t="s">
        <v>2134</v>
      </c>
      <c r="I2342" s="57"/>
      <c r="J2342" s="57"/>
      <c r="L2342" s="164">
        <v>500</v>
      </c>
    </row>
    <row r="2343" spans="2:13" x14ac:dyDescent="0.3">
      <c r="B2343" s="57">
        <f t="shared" si="199"/>
        <v>2340</v>
      </c>
      <c r="C2343" s="141">
        <v>45992</v>
      </c>
      <c r="D2343" s="57" t="s">
        <v>30</v>
      </c>
      <c r="E2343" s="57" t="s">
        <v>2032</v>
      </c>
      <c r="F2343" s="57" t="s">
        <v>502</v>
      </c>
      <c r="G2343" s="57" t="s">
        <v>257</v>
      </c>
      <c r="H2343" s="140" t="s">
        <v>2135</v>
      </c>
      <c r="I2343" s="57"/>
      <c r="J2343" s="57"/>
      <c r="L2343" s="164">
        <v>27016</v>
      </c>
    </row>
    <row r="2344" spans="2:13" x14ac:dyDescent="0.3">
      <c r="B2344" s="57">
        <f t="shared" si="199"/>
        <v>2341</v>
      </c>
      <c r="C2344" s="141">
        <v>45992</v>
      </c>
      <c r="D2344" s="57" t="s">
        <v>2021</v>
      </c>
      <c r="E2344" s="57" t="s">
        <v>434</v>
      </c>
      <c r="F2344" s="57" t="s">
        <v>350</v>
      </c>
      <c r="G2344" s="57" t="s">
        <v>663</v>
      </c>
      <c r="H2344" s="140" t="s">
        <v>2306</v>
      </c>
      <c r="I2344" s="57"/>
      <c r="J2344" s="57"/>
      <c r="L2344" s="164">
        <v>4075</v>
      </c>
    </row>
    <row r="2345" spans="2:13" x14ac:dyDescent="0.3">
      <c r="B2345" s="57">
        <f t="shared" si="199"/>
        <v>2342</v>
      </c>
      <c r="C2345" s="141">
        <v>45992</v>
      </c>
      <c r="D2345" s="57" t="s">
        <v>2021</v>
      </c>
      <c r="E2345" s="57" t="s">
        <v>434</v>
      </c>
      <c r="F2345" s="57" t="s">
        <v>300</v>
      </c>
      <c r="G2345" s="57" t="s">
        <v>2327</v>
      </c>
      <c r="H2345" s="140" t="s">
        <v>2307</v>
      </c>
      <c r="I2345" s="57"/>
      <c r="J2345" s="57"/>
      <c r="L2345" s="164">
        <v>1444</v>
      </c>
    </row>
    <row r="2346" spans="2:13" x14ac:dyDescent="0.3">
      <c r="B2346" s="57">
        <f t="shared" si="199"/>
        <v>2343</v>
      </c>
      <c r="C2346" s="141">
        <v>45992</v>
      </c>
      <c r="D2346" s="57" t="s">
        <v>2021</v>
      </c>
      <c r="E2346" s="57" t="s">
        <v>434</v>
      </c>
      <c r="F2346" s="57" t="s">
        <v>436</v>
      </c>
      <c r="G2346" s="57" t="s">
        <v>987</v>
      </c>
      <c r="H2346" s="140" t="s">
        <v>2311</v>
      </c>
      <c r="I2346" s="57"/>
      <c r="J2346" s="57"/>
      <c r="L2346" s="164">
        <v>5500</v>
      </c>
    </row>
    <row r="2347" spans="2:13" x14ac:dyDescent="0.3">
      <c r="B2347" s="57">
        <f t="shared" si="199"/>
        <v>2344</v>
      </c>
      <c r="C2347" s="141">
        <v>45992</v>
      </c>
      <c r="D2347" s="57" t="s">
        <v>2021</v>
      </c>
      <c r="E2347" s="57" t="s">
        <v>434</v>
      </c>
      <c r="F2347" s="57" t="s">
        <v>300</v>
      </c>
      <c r="G2347" s="57" t="s">
        <v>530</v>
      </c>
      <c r="H2347" s="140" t="s">
        <v>2312</v>
      </c>
      <c r="I2347" s="57"/>
      <c r="J2347" s="57"/>
      <c r="L2347" s="164">
        <v>25090</v>
      </c>
      <c r="M2347" s="57" t="s">
        <v>2324</v>
      </c>
    </row>
    <row r="2348" spans="2:13" x14ac:dyDescent="0.3">
      <c r="B2348" s="57">
        <f t="shared" si="199"/>
        <v>2345</v>
      </c>
      <c r="C2348" s="141" t="s">
        <v>2019</v>
      </c>
      <c r="D2348" s="57" t="s">
        <v>2021</v>
      </c>
      <c r="E2348" s="57" t="s">
        <v>146</v>
      </c>
      <c r="F2348" s="57" t="s">
        <v>300</v>
      </c>
      <c r="G2348" s="57" t="s">
        <v>530</v>
      </c>
      <c r="H2348" s="140" t="s">
        <v>2166</v>
      </c>
      <c r="I2348" s="57"/>
      <c r="J2348" s="165">
        <f>L2348/K2348</f>
        <v>126.66666666666667</v>
      </c>
      <c r="K2348" s="57">
        <v>96</v>
      </c>
      <c r="L2348" s="164">
        <v>12160</v>
      </c>
      <c r="M2348" s="57" t="s">
        <v>2319</v>
      </c>
    </row>
    <row r="2349" spans="2:13" x14ac:dyDescent="0.3">
      <c r="B2349" s="57">
        <f t="shared" si="199"/>
        <v>2346</v>
      </c>
      <c r="C2349" s="141">
        <v>46007</v>
      </c>
      <c r="D2349" s="57" t="s">
        <v>30</v>
      </c>
      <c r="E2349" s="57" t="s">
        <v>2027</v>
      </c>
      <c r="F2349" s="57" t="s">
        <v>300</v>
      </c>
      <c r="G2349" s="57" t="s">
        <v>530</v>
      </c>
      <c r="H2349" s="140" t="s">
        <v>2027</v>
      </c>
      <c r="I2349" s="57"/>
      <c r="J2349" s="57"/>
      <c r="L2349" s="164">
        <v>5700</v>
      </c>
    </row>
    <row r="2350" spans="2:13" x14ac:dyDescent="0.3">
      <c r="B2350" s="57">
        <f t="shared" si="199"/>
        <v>2347</v>
      </c>
      <c r="C2350" s="141">
        <v>46007</v>
      </c>
      <c r="D2350" s="57" t="s">
        <v>30</v>
      </c>
      <c r="E2350" s="57" t="s">
        <v>434</v>
      </c>
      <c r="F2350" s="57" t="s">
        <v>436</v>
      </c>
      <c r="G2350" s="57" t="s">
        <v>987</v>
      </c>
      <c r="H2350" s="140" t="s">
        <v>2034</v>
      </c>
      <c r="I2350" s="57"/>
      <c r="J2350" s="57"/>
      <c r="L2350" s="164">
        <v>1650</v>
      </c>
    </row>
    <row r="2351" spans="2:13" x14ac:dyDescent="0.3">
      <c r="B2351" s="57">
        <f t="shared" si="199"/>
        <v>2348</v>
      </c>
      <c r="C2351" s="141">
        <v>46007</v>
      </c>
      <c r="D2351" s="57" t="s">
        <v>30</v>
      </c>
      <c r="E2351" s="57" t="s">
        <v>481</v>
      </c>
      <c r="F2351" s="57" t="s">
        <v>436</v>
      </c>
      <c r="G2351" s="57" t="s">
        <v>987</v>
      </c>
      <c r="H2351" s="140" t="s">
        <v>2052</v>
      </c>
      <c r="I2351" s="57"/>
      <c r="J2351" s="57"/>
      <c r="L2351" s="164">
        <v>2400</v>
      </c>
    </row>
    <row r="2352" spans="2:13" x14ac:dyDescent="0.3">
      <c r="B2352" s="57">
        <f t="shared" si="199"/>
        <v>2349</v>
      </c>
      <c r="C2352" s="141">
        <v>46007</v>
      </c>
      <c r="D2352" s="57" t="s">
        <v>30</v>
      </c>
      <c r="E2352" s="57" t="s">
        <v>522</v>
      </c>
      <c r="F2352" s="57" t="s">
        <v>436</v>
      </c>
      <c r="G2352" s="57" t="s">
        <v>987</v>
      </c>
      <c r="H2352" s="140" t="s">
        <v>2078</v>
      </c>
      <c r="I2352" s="57"/>
      <c r="J2352" s="57"/>
      <c r="L2352" s="164">
        <v>800</v>
      </c>
    </row>
    <row r="2353" spans="2:13" x14ac:dyDescent="0.3">
      <c r="B2353" s="57">
        <f t="shared" si="199"/>
        <v>2350</v>
      </c>
      <c r="C2353" s="141">
        <v>46007</v>
      </c>
      <c r="D2353" s="57" t="s">
        <v>30</v>
      </c>
      <c r="E2353" s="57" t="s">
        <v>4008</v>
      </c>
      <c r="F2353" s="57" t="s">
        <v>436</v>
      </c>
      <c r="G2353" s="57" t="s">
        <v>987</v>
      </c>
      <c r="H2353" s="140" t="s">
        <v>2085</v>
      </c>
      <c r="I2353" s="57"/>
      <c r="J2353" s="57"/>
      <c r="L2353" s="164">
        <v>10000</v>
      </c>
    </row>
    <row r="2354" spans="2:13" x14ac:dyDescent="0.3">
      <c r="B2354" s="57">
        <f t="shared" si="199"/>
        <v>2351</v>
      </c>
      <c r="C2354" s="141">
        <v>46007</v>
      </c>
      <c r="D2354" s="57" t="s">
        <v>30</v>
      </c>
      <c r="E2354" s="57" t="s">
        <v>560</v>
      </c>
      <c r="F2354" s="57" t="s">
        <v>436</v>
      </c>
      <c r="G2354" s="57" t="s">
        <v>987</v>
      </c>
      <c r="H2354" s="140" t="s">
        <v>2078</v>
      </c>
      <c r="I2354" s="57"/>
      <c r="J2354" s="57"/>
      <c r="L2354" s="164">
        <v>600</v>
      </c>
    </row>
    <row r="2355" spans="2:13" x14ac:dyDescent="0.3">
      <c r="B2355" s="57">
        <f t="shared" si="199"/>
        <v>2352</v>
      </c>
      <c r="C2355" s="141">
        <v>46007</v>
      </c>
      <c r="D2355" s="57" t="s">
        <v>30</v>
      </c>
      <c r="E2355" s="57" t="s">
        <v>522</v>
      </c>
      <c r="F2355" s="57" t="s">
        <v>300</v>
      </c>
      <c r="G2355" s="57" t="s">
        <v>530</v>
      </c>
      <c r="H2355" s="140" t="s">
        <v>2078</v>
      </c>
      <c r="I2355" s="57"/>
      <c r="J2355" s="57"/>
      <c r="L2355" s="164">
        <v>1500</v>
      </c>
    </row>
    <row r="2356" spans="2:13" x14ac:dyDescent="0.3">
      <c r="B2356" s="57">
        <f t="shared" si="199"/>
        <v>2353</v>
      </c>
      <c r="C2356" s="141">
        <v>46007</v>
      </c>
      <c r="D2356" s="57" t="s">
        <v>30</v>
      </c>
      <c r="E2356" s="57" t="s">
        <v>2028</v>
      </c>
      <c r="F2356" s="57" t="s">
        <v>436</v>
      </c>
      <c r="G2356" s="57" t="s">
        <v>987</v>
      </c>
      <c r="H2356" s="140" t="s">
        <v>2086</v>
      </c>
      <c r="I2356" s="57"/>
      <c r="J2356" s="57"/>
      <c r="L2356" s="164">
        <v>2500</v>
      </c>
    </row>
    <row r="2357" spans="2:13" x14ac:dyDescent="0.3">
      <c r="B2357" s="57">
        <f t="shared" si="199"/>
        <v>2354</v>
      </c>
      <c r="C2357" s="142" t="s">
        <v>2018</v>
      </c>
      <c r="D2357" s="57" t="s">
        <v>30</v>
      </c>
      <c r="E2357" s="57" t="s">
        <v>2022</v>
      </c>
      <c r="F2357" s="57" t="s">
        <v>436</v>
      </c>
      <c r="G2357" s="57" t="s">
        <v>987</v>
      </c>
      <c r="H2357" s="140" t="s">
        <v>2039</v>
      </c>
      <c r="I2357" s="57"/>
      <c r="J2357" s="57"/>
      <c r="L2357" s="164">
        <v>500</v>
      </c>
    </row>
    <row r="2358" spans="2:13" x14ac:dyDescent="0.3">
      <c r="B2358" s="57">
        <f t="shared" si="199"/>
        <v>2355</v>
      </c>
      <c r="C2358" s="142" t="s">
        <v>2018</v>
      </c>
      <c r="D2358" s="57" t="s">
        <v>30</v>
      </c>
      <c r="E2358" s="57" t="s">
        <v>522</v>
      </c>
      <c r="F2358" s="57" t="s">
        <v>436</v>
      </c>
      <c r="G2358" s="57" t="s">
        <v>987</v>
      </c>
      <c r="H2358" s="140" t="s">
        <v>2040</v>
      </c>
      <c r="I2358" s="57"/>
      <c r="J2358" s="57"/>
      <c r="L2358" s="164">
        <v>37000</v>
      </c>
      <c r="M2358" s="57" t="s">
        <v>2313</v>
      </c>
    </row>
    <row r="2359" spans="2:13" x14ac:dyDescent="0.3">
      <c r="B2359" s="57">
        <f t="shared" si="199"/>
        <v>2356</v>
      </c>
      <c r="C2359" s="142" t="s">
        <v>2018</v>
      </c>
      <c r="D2359" s="57" t="s">
        <v>30</v>
      </c>
      <c r="E2359" s="57" t="s">
        <v>2022</v>
      </c>
      <c r="F2359" s="57" t="s">
        <v>436</v>
      </c>
      <c r="G2359" s="57" t="s">
        <v>987</v>
      </c>
      <c r="H2359" s="140" t="s">
        <v>2041</v>
      </c>
      <c r="I2359" s="57"/>
      <c r="J2359" s="57"/>
      <c r="L2359" s="164">
        <v>2000</v>
      </c>
    </row>
    <row r="2360" spans="2:13" x14ac:dyDescent="0.3">
      <c r="B2360" s="57">
        <f t="shared" si="199"/>
        <v>2357</v>
      </c>
      <c r="C2360" s="142" t="s">
        <v>2018</v>
      </c>
      <c r="D2360" s="57" t="s">
        <v>30</v>
      </c>
      <c r="E2360" s="57" t="s">
        <v>4128</v>
      </c>
      <c r="F2360" s="57" t="s">
        <v>436</v>
      </c>
      <c r="G2360" s="57" t="s">
        <v>987</v>
      </c>
      <c r="H2360" s="140" t="s">
        <v>2042</v>
      </c>
      <c r="I2360" s="57"/>
      <c r="J2360" s="57"/>
      <c r="L2360" s="164">
        <v>5800</v>
      </c>
    </row>
    <row r="2361" spans="2:13" x14ac:dyDescent="0.3">
      <c r="B2361" s="57">
        <f t="shared" si="199"/>
        <v>2358</v>
      </c>
      <c r="C2361" s="142" t="s">
        <v>2018</v>
      </c>
      <c r="D2361" s="57" t="s">
        <v>30</v>
      </c>
      <c r="E2361" s="57" t="s">
        <v>4128</v>
      </c>
      <c r="F2361" s="57" t="s">
        <v>436</v>
      </c>
      <c r="G2361" s="57" t="s">
        <v>987</v>
      </c>
      <c r="H2361" s="140" t="s">
        <v>2043</v>
      </c>
      <c r="I2361" s="57"/>
      <c r="J2361" s="57"/>
      <c r="L2361" s="164">
        <v>1000</v>
      </c>
    </row>
    <row r="2362" spans="2:13" x14ac:dyDescent="0.3">
      <c r="B2362" s="57">
        <f t="shared" si="199"/>
        <v>2359</v>
      </c>
      <c r="C2362" s="142" t="s">
        <v>2018</v>
      </c>
      <c r="D2362" s="57" t="s">
        <v>30</v>
      </c>
      <c r="E2362" s="57" t="s">
        <v>434</v>
      </c>
      <c r="F2362" s="57" t="s">
        <v>436</v>
      </c>
      <c r="G2362" s="57" t="s">
        <v>987</v>
      </c>
      <c r="H2362" s="140" t="s">
        <v>2044</v>
      </c>
      <c r="I2362" s="57"/>
      <c r="J2362" s="57"/>
      <c r="L2362" s="164">
        <v>3600</v>
      </c>
    </row>
    <row r="2363" spans="2:13" x14ac:dyDescent="0.3">
      <c r="B2363" s="57">
        <f t="shared" si="199"/>
        <v>2360</v>
      </c>
      <c r="C2363" s="142" t="s">
        <v>2018</v>
      </c>
      <c r="D2363" s="57" t="s">
        <v>30</v>
      </c>
      <c r="E2363" s="57" t="s">
        <v>560</v>
      </c>
      <c r="F2363" s="57" t="s">
        <v>436</v>
      </c>
      <c r="G2363" s="57" t="s">
        <v>987</v>
      </c>
      <c r="H2363" s="140" t="s">
        <v>2045</v>
      </c>
      <c r="I2363" s="57"/>
      <c r="J2363" s="57"/>
      <c r="L2363" s="164">
        <v>900</v>
      </c>
    </row>
    <row r="2364" spans="2:13" x14ac:dyDescent="0.3">
      <c r="B2364" s="57">
        <f t="shared" si="199"/>
        <v>2361</v>
      </c>
      <c r="C2364" s="142" t="s">
        <v>2018</v>
      </c>
      <c r="D2364" s="57" t="s">
        <v>30</v>
      </c>
      <c r="E2364" s="57" t="s">
        <v>2024</v>
      </c>
      <c r="F2364" s="57" t="s">
        <v>436</v>
      </c>
      <c r="G2364" s="57" t="s">
        <v>987</v>
      </c>
      <c r="H2364" s="140" t="s">
        <v>2046</v>
      </c>
      <c r="I2364" s="57"/>
      <c r="J2364" s="57"/>
      <c r="L2364" s="164">
        <v>2700</v>
      </c>
    </row>
    <row r="2365" spans="2:13" x14ac:dyDescent="0.3">
      <c r="B2365" s="57">
        <f t="shared" si="199"/>
        <v>2362</v>
      </c>
      <c r="C2365" s="142" t="s">
        <v>2018</v>
      </c>
      <c r="D2365" s="57" t="s">
        <v>30</v>
      </c>
      <c r="E2365" s="57" t="s">
        <v>560</v>
      </c>
      <c r="F2365" s="57" t="s">
        <v>436</v>
      </c>
      <c r="G2365" s="57" t="s">
        <v>987</v>
      </c>
      <c r="H2365" s="140" t="s">
        <v>2045</v>
      </c>
      <c r="I2365" s="57"/>
      <c r="J2365" s="57"/>
      <c r="L2365" s="164">
        <v>1100</v>
      </c>
    </row>
    <row r="2366" spans="2:13" x14ac:dyDescent="0.3">
      <c r="B2366" s="57">
        <f t="shared" si="199"/>
        <v>2363</v>
      </c>
      <c r="C2366" s="142" t="s">
        <v>2018</v>
      </c>
      <c r="D2366" s="57" t="s">
        <v>30</v>
      </c>
      <c r="E2366" s="57" t="s">
        <v>560</v>
      </c>
      <c r="F2366" s="57" t="s">
        <v>436</v>
      </c>
      <c r="G2366" s="57" t="s">
        <v>987</v>
      </c>
      <c r="H2366" s="140" t="s">
        <v>2045</v>
      </c>
      <c r="I2366" s="57"/>
      <c r="J2366" s="57"/>
      <c r="L2366" s="164">
        <v>1000</v>
      </c>
    </row>
    <row r="2367" spans="2:13" x14ac:dyDescent="0.3">
      <c r="B2367" s="57">
        <f t="shared" si="199"/>
        <v>2364</v>
      </c>
      <c r="C2367" s="142" t="s">
        <v>2018</v>
      </c>
      <c r="D2367" s="57" t="s">
        <v>30</v>
      </c>
      <c r="E2367" s="57" t="s">
        <v>958</v>
      </c>
      <c r="F2367" s="57" t="s">
        <v>436</v>
      </c>
      <c r="G2367" s="57" t="s">
        <v>987</v>
      </c>
      <c r="H2367" s="140" t="s">
        <v>2047</v>
      </c>
      <c r="I2367" s="57"/>
      <c r="J2367" s="57"/>
      <c r="L2367" s="164">
        <v>4000</v>
      </c>
    </row>
    <row r="2368" spans="2:13" x14ac:dyDescent="0.3">
      <c r="B2368" s="57">
        <f t="shared" si="199"/>
        <v>2365</v>
      </c>
      <c r="C2368" s="142" t="s">
        <v>2018</v>
      </c>
      <c r="D2368" s="57" t="s">
        <v>30</v>
      </c>
      <c r="E2368" s="57" t="s">
        <v>2022</v>
      </c>
      <c r="F2368" s="57" t="s">
        <v>436</v>
      </c>
      <c r="G2368" s="57" t="s">
        <v>987</v>
      </c>
      <c r="H2368" s="140" t="s">
        <v>2048</v>
      </c>
      <c r="I2368" s="57"/>
      <c r="J2368" s="57"/>
      <c r="L2368" s="164">
        <v>1200</v>
      </c>
    </row>
    <row r="2369" spans="2:13" x14ac:dyDescent="0.3">
      <c r="B2369" s="57">
        <f t="shared" si="199"/>
        <v>2366</v>
      </c>
      <c r="C2369" s="142" t="s">
        <v>2018</v>
      </c>
      <c r="D2369" s="57" t="s">
        <v>30</v>
      </c>
      <c r="E2369" s="57" t="s">
        <v>434</v>
      </c>
      <c r="F2369" s="57" t="s">
        <v>436</v>
      </c>
      <c r="G2369" s="57" t="s">
        <v>987</v>
      </c>
      <c r="H2369" s="140" t="s">
        <v>2049</v>
      </c>
      <c r="I2369" s="57"/>
      <c r="J2369" s="57"/>
      <c r="L2369" s="164">
        <v>1600</v>
      </c>
    </row>
    <row r="2370" spans="2:13" x14ac:dyDescent="0.3">
      <c r="B2370" s="57">
        <f t="shared" si="199"/>
        <v>2367</v>
      </c>
      <c r="C2370" s="142" t="s">
        <v>2018</v>
      </c>
      <c r="D2370" s="57" t="s">
        <v>30</v>
      </c>
      <c r="E2370" s="57" t="s">
        <v>2025</v>
      </c>
      <c r="F2370" s="57" t="s">
        <v>436</v>
      </c>
      <c r="G2370" s="57" t="s">
        <v>987</v>
      </c>
      <c r="H2370" s="140" t="s">
        <v>2050</v>
      </c>
      <c r="I2370" s="57"/>
      <c r="J2370" s="57"/>
      <c r="L2370" s="164">
        <v>3300</v>
      </c>
    </row>
    <row r="2371" spans="2:13" x14ac:dyDescent="0.3">
      <c r="B2371" s="57">
        <f t="shared" si="199"/>
        <v>2368</v>
      </c>
      <c r="C2371" s="142" t="s">
        <v>2018</v>
      </c>
      <c r="D2371" s="57" t="s">
        <v>30</v>
      </c>
      <c r="E2371" s="57" t="s">
        <v>434</v>
      </c>
      <c r="F2371" s="57" t="s">
        <v>436</v>
      </c>
      <c r="G2371" s="57" t="s">
        <v>987</v>
      </c>
      <c r="H2371" s="140" t="s">
        <v>2051</v>
      </c>
      <c r="I2371" s="57"/>
      <c r="J2371" s="57"/>
      <c r="L2371" s="164">
        <v>1700</v>
      </c>
    </row>
    <row r="2372" spans="2:13" x14ac:dyDescent="0.3">
      <c r="B2372" s="57">
        <f t="shared" si="199"/>
        <v>2369</v>
      </c>
      <c r="C2372" s="142" t="s">
        <v>2018</v>
      </c>
      <c r="D2372" s="57" t="s">
        <v>30</v>
      </c>
      <c r="E2372" s="57" t="s">
        <v>2022</v>
      </c>
      <c r="F2372" s="57" t="s">
        <v>436</v>
      </c>
      <c r="G2372" s="57" t="s">
        <v>987</v>
      </c>
      <c r="H2372" s="140" t="s">
        <v>2052</v>
      </c>
      <c r="I2372" s="57"/>
      <c r="J2372" s="57"/>
      <c r="L2372" s="164">
        <v>1100</v>
      </c>
    </row>
    <row r="2373" spans="2:13" x14ac:dyDescent="0.3">
      <c r="B2373" s="57">
        <f t="shared" si="199"/>
        <v>2370</v>
      </c>
      <c r="C2373" s="142" t="s">
        <v>2018</v>
      </c>
      <c r="D2373" s="57" t="s">
        <v>30</v>
      </c>
      <c r="E2373" s="57" t="s">
        <v>2026</v>
      </c>
      <c r="F2373" s="57" t="s">
        <v>436</v>
      </c>
      <c r="G2373" s="57" t="s">
        <v>987</v>
      </c>
      <c r="H2373" s="140" t="s">
        <v>2053</v>
      </c>
      <c r="I2373" s="57"/>
      <c r="J2373" s="57"/>
      <c r="L2373" s="164">
        <v>500</v>
      </c>
    </row>
    <row r="2374" spans="2:13" x14ac:dyDescent="0.3">
      <c r="B2374" s="57">
        <f t="shared" ref="B2374:B2437" si="200">+B2373+1</f>
        <v>2371</v>
      </c>
      <c r="C2374" s="142" t="s">
        <v>2018</v>
      </c>
      <c r="D2374" s="57" t="s">
        <v>30</v>
      </c>
      <c r="E2374" s="57" t="s">
        <v>522</v>
      </c>
      <c r="F2374" s="57" t="s">
        <v>436</v>
      </c>
      <c r="G2374" s="57" t="s">
        <v>987</v>
      </c>
      <c r="H2374" s="140" t="s">
        <v>2054</v>
      </c>
      <c r="I2374" s="57"/>
      <c r="J2374" s="57"/>
      <c r="L2374" s="164">
        <v>1500</v>
      </c>
      <c r="M2374" s="57" t="s">
        <v>2314</v>
      </c>
    </row>
    <row r="2375" spans="2:13" x14ac:dyDescent="0.3">
      <c r="B2375" s="57">
        <f t="shared" si="200"/>
        <v>2372</v>
      </c>
      <c r="C2375" s="142" t="s">
        <v>2018</v>
      </c>
      <c r="D2375" s="57" t="s">
        <v>30</v>
      </c>
      <c r="E2375" s="57" t="s">
        <v>560</v>
      </c>
      <c r="F2375" s="57" t="s">
        <v>436</v>
      </c>
      <c r="G2375" s="57" t="s">
        <v>987</v>
      </c>
      <c r="H2375" s="140" t="s">
        <v>2045</v>
      </c>
      <c r="I2375" s="57"/>
      <c r="J2375" s="57"/>
      <c r="L2375" s="164">
        <v>350</v>
      </c>
    </row>
    <row r="2376" spans="2:13" x14ac:dyDescent="0.3">
      <c r="B2376" s="57">
        <f t="shared" si="200"/>
        <v>2373</v>
      </c>
      <c r="C2376" s="142" t="s">
        <v>2018</v>
      </c>
      <c r="D2376" s="57" t="s">
        <v>30</v>
      </c>
      <c r="E2376" s="57" t="s">
        <v>986</v>
      </c>
      <c r="F2376" s="57" t="s">
        <v>436</v>
      </c>
      <c r="G2376" s="57" t="s">
        <v>987</v>
      </c>
      <c r="H2376" s="140" t="s">
        <v>2055</v>
      </c>
      <c r="I2376" s="57" t="s">
        <v>986</v>
      </c>
      <c r="J2376" s="57">
        <v>50</v>
      </c>
      <c r="L2376" s="164">
        <v>4500</v>
      </c>
    </row>
    <row r="2377" spans="2:13" x14ac:dyDescent="0.3">
      <c r="B2377" s="57">
        <f t="shared" si="200"/>
        <v>2374</v>
      </c>
      <c r="C2377" s="142" t="s">
        <v>2018</v>
      </c>
      <c r="D2377" s="57" t="s">
        <v>30</v>
      </c>
      <c r="E2377" s="57" t="s">
        <v>434</v>
      </c>
      <c r="F2377" s="57" t="s">
        <v>436</v>
      </c>
      <c r="G2377" s="57" t="s">
        <v>987</v>
      </c>
      <c r="H2377" s="140" t="s">
        <v>2056</v>
      </c>
      <c r="I2377" s="57"/>
      <c r="J2377" s="57"/>
      <c r="L2377" s="164">
        <v>10350</v>
      </c>
    </row>
    <row r="2378" spans="2:13" x14ac:dyDescent="0.3">
      <c r="B2378" s="57">
        <f t="shared" si="200"/>
        <v>2375</v>
      </c>
      <c r="C2378" s="142" t="s">
        <v>2018</v>
      </c>
      <c r="D2378" s="57" t="s">
        <v>30</v>
      </c>
      <c r="E2378" s="57" t="s">
        <v>434</v>
      </c>
      <c r="F2378" s="57" t="s">
        <v>436</v>
      </c>
      <c r="G2378" s="57" t="s">
        <v>987</v>
      </c>
      <c r="H2378" s="140" t="s">
        <v>2057</v>
      </c>
      <c r="I2378" s="57"/>
      <c r="J2378" s="57"/>
      <c r="L2378" s="164">
        <v>1900</v>
      </c>
    </row>
    <row r="2379" spans="2:13" x14ac:dyDescent="0.3">
      <c r="B2379" s="57">
        <f t="shared" si="200"/>
        <v>2376</v>
      </c>
      <c r="C2379" s="142" t="s">
        <v>2018</v>
      </c>
      <c r="D2379" s="57" t="s">
        <v>30</v>
      </c>
      <c r="E2379" s="57" t="s">
        <v>434</v>
      </c>
      <c r="F2379" s="57" t="s">
        <v>436</v>
      </c>
      <c r="G2379" s="57" t="s">
        <v>987</v>
      </c>
      <c r="H2379" s="140" t="s">
        <v>2058</v>
      </c>
      <c r="I2379" s="57"/>
      <c r="J2379" s="57"/>
      <c r="L2379" s="164">
        <v>2800</v>
      </c>
    </row>
    <row r="2380" spans="2:13" x14ac:dyDescent="0.3">
      <c r="B2380" s="57">
        <f t="shared" si="200"/>
        <v>2377</v>
      </c>
      <c r="C2380" s="142" t="s">
        <v>2018</v>
      </c>
      <c r="D2380" s="57" t="s">
        <v>30</v>
      </c>
      <c r="E2380" s="57" t="s">
        <v>434</v>
      </c>
      <c r="F2380" s="57" t="s">
        <v>436</v>
      </c>
      <c r="G2380" s="57" t="s">
        <v>987</v>
      </c>
      <c r="H2380" s="140" t="s">
        <v>2059</v>
      </c>
      <c r="I2380" s="57"/>
      <c r="J2380" s="57"/>
      <c r="L2380" s="164">
        <v>1100</v>
      </c>
    </row>
    <row r="2381" spans="2:13" x14ac:dyDescent="0.3">
      <c r="B2381" s="57">
        <f t="shared" si="200"/>
        <v>2378</v>
      </c>
      <c r="C2381" s="142" t="s">
        <v>2018</v>
      </c>
      <c r="D2381" s="57" t="s">
        <v>30</v>
      </c>
      <c r="E2381" s="57" t="s">
        <v>434</v>
      </c>
      <c r="F2381" s="57" t="s">
        <v>436</v>
      </c>
      <c r="G2381" s="57" t="s">
        <v>987</v>
      </c>
      <c r="H2381" s="140" t="s">
        <v>2060</v>
      </c>
      <c r="I2381" s="57"/>
      <c r="J2381" s="57"/>
      <c r="L2381" s="164">
        <v>72000</v>
      </c>
    </row>
    <row r="2382" spans="2:13" x14ac:dyDescent="0.3">
      <c r="B2382" s="57">
        <f t="shared" si="200"/>
        <v>2379</v>
      </c>
      <c r="C2382" s="142" t="s">
        <v>2018</v>
      </c>
      <c r="D2382" s="57" t="s">
        <v>30</v>
      </c>
      <c r="E2382" s="57" t="s">
        <v>522</v>
      </c>
      <c r="F2382" s="57" t="s">
        <v>436</v>
      </c>
      <c r="G2382" s="57" t="s">
        <v>987</v>
      </c>
      <c r="H2382" s="140" t="s">
        <v>2060</v>
      </c>
      <c r="I2382" s="57"/>
      <c r="J2382" s="57"/>
      <c r="L2382" s="164">
        <v>900</v>
      </c>
    </row>
    <row r="2383" spans="2:13" x14ac:dyDescent="0.3">
      <c r="B2383" s="57">
        <f t="shared" si="200"/>
        <v>2380</v>
      </c>
      <c r="C2383" s="142" t="s">
        <v>2018</v>
      </c>
      <c r="D2383" s="57" t="s">
        <v>30</v>
      </c>
      <c r="E2383" s="57" t="s">
        <v>4128</v>
      </c>
      <c r="F2383" s="57" t="s">
        <v>436</v>
      </c>
      <c r="G2383" s="57" t="s">
        <v>987</v>
      </c>
      <c r="H2383" s="140" t="s">
        <v>2060</v>
      </c>
      <c r="I2383" s="57"/>
      <c r="J2383" s="57"/>
      <c r="L2383" s="164">
        <v>1500</v>
      </c>
    </row>
    <row r="2384" spans="2:13" x14ac:dyDescent="0.3">
      <c r="B2384" s="57">
        <f t="shared" si="200"/>
        <v>2381</v>
      </c>
      <c r="C2384" s="142" t="s">
        <v>2018</v>
      </c>
      <c r="D2384" s="57" t="s">
        <v>30</v>
      </c>
      <c r="E2384" s="57" t="s">
        <v>4008</v>
      </c>
      <c r="F2384" s="57" t="s">
        <v>436</v>
      </c>
      <c r="G2384" s="57" t="s">
        <v>987</v>
      </c>
      <c r="H2384" s="140" t="s">
        <v>2061</v>
      </c>
      <c r="I2384" s="57"/>
      <c r="J2384" s="57"/>
      <c r="L2384" s="164">
        <v>7000</v>
      </c>
    </row>
    <row r="2385" spans="2:13" x14ac:dyDescent="0.3">
      <c r="B2385" s="57">
        <f t="shared" si="200"/>
        <v>2382</v>
      </c>
      <c r="C2385" s="142" t="s">
        <v>2018</v>
      </c>
      <c r="D2385" s="57" t="s">
        <v>30</v>
      </c>
      <c r="E2385" s="57" t="s">
        <v>958</v>
      </c>
      <c r="F2385" s="57" t="s">
        <v>502</v>
      </c>
      <c r="G2385" s="57" t="s">
        <v>257</v>
      </c>
      <c r="H2385" s="140" t="s">
        <v>2047</v>
      </c>
      <c r="I2385" s="57"/>
      <c r="J2385" s="57"/>
      <c r="L2385" s="164">
        <v>10000</v>
      </c>
    </row>
    <row r="2386" spans="2:13" x14ac:dyDescent="0.3">
      <c r="B2386" s="57">
        <f t="shared" si="200"/>
        <v>2383</v>
      </c>
      <c r="C2386" s="142" t="s">
        <v>2018</v>
      </c>
      <c r="D2386" s="57" t="s">
        <v>30</v>
      </c>
      <c r="E2386" s="57" t="s">
        <v>522</v>
      </c>
      <c r="F2386" s="57" t="s">
        <v>436</v>
      </c>
      <c r="G2386" s="57" t="s">
        <v>987</v>
      </c>
      <c r="H2386" s="140" t="s">
        <v>2062</v>
      </c>
      <c r="I2386" s="57"/>
      <c r="J2386" s="57"/>
      <c r="L2386" s="164">
        <v>1000</v>
      </c>
    </row>
    <row r="2387" spans="2:13" x14ac:dyDescent="0.3">
      <c r="B2387" s="57">
        <f t="shared" si="200"/>
        <v>2384</v>
      </c>
      <c r="C2387" s="142" t="s">
        <v>2018</v>
      </c>
      <c r="D2387" s="57" t="s">
        <v>30</v>
      </c>
      <c r="E2387" s="57" t="s">
        <v>2022</v>
      </c>
      <c r="F2387" s="57" t="s">
        <v>436</v>
      </c>
      <c r="G2387" s="57" t="s">
        <v>987</v>
      </c>
      <c r="H2387" s="140" t="s">
        <v>2063</v>
      </c>
      <c r="I2387" s="57"/>
      <c r="J2387" s="57"/>
      <c r="L2387" s="164">
        <v>600</v>
      </c>
    </row>
    <row r="2388" spans="2:13" x14ac:dyDescent="0.3">
      <c r="B2388" s="57">
        <f t="shared" si="200"/>
        <v>2385</v>
      </c>
      <c r="C2388" s="142" t="s">
        <v>2018</v>
      </c>
      <c r="D2388" s="57" t="s">
        <v>30</v>
      </c>
      <c r="E2388" s="57" t="s">
        <v>522</v>
      </c>
      <c r="F2388" s="57" t="s">
        <v>436</v>
      </c>
      <c r="G2388" s="57" t="s">
        <v>987</v>
      </c>
      <c r="H2388" s="140" t="s">
        <v>2064</v>
      </c>
      <c r="I2388" s="57"/>
      <c r="J2388" s="57"/>
      <c r="L2388" s="164">
        <v>4800</v>
      </c>
      <c r="M2388" s="57" t="s">
        <v>2315</v>
      </c>
    </row>
    <row r="2389" spans="2:13" x14ac:dyDescent="0.3">
      <c r="B2389" s="57">
        <f t="shared" si="200"/>
        <v>2386</v>
      </c>
      <c r="C2389" s="142" t="s">
        <v>2018</v>
      </c>
      <c r="D2389" s="57" t="s">
        <v>30</v>
      </c>
      <c r="E2389" s="57" t="s">
        <v>2022</v>
      </c>
      <c r="F2389" s="57" t="s">
        <v>436</v>
      </c>
      <c r="G2389" s="57" t="s">
        <v>987</v>
      </c>
      <c r="H2389" s="140" t="s">
        <v>2065</v>
      </c>
      <c r="I2389" s="57"/>
      <c r="J2389" s="57"/>
      <c r="L2389" s="164">
        <v>800</v>
      </c>
    </row>
    <row r="2390" spans="2:13" x14ac:dyDescent="0.3">
      <c r="B2390" s="57">
        <f t="shared" si="200"/>
        <v>2387</v>
      </c>
      <c r="C2390" s="142" t="s">
        <v>2018</v>
      </c>
      <c r="D2390" s="57" t="s">
        <v>30</v>
      </c>
      <c r="E2390" s="57" t="s">
        <v>2022</v>
      </c>
      <c r="F2390" s="57" t="s">
        <v>436</v>
      </c>
      <c r="G2390" s="57" t="s">
        <v>987</v>
      </c>
      <c r="H2390" s="140" t="s">
        <v>2066</v>
      </c>
      <c r="I2390" s="57"/>
      <c r="J2390" s="57"/>
      <c r="L2390" s="164">
        <v>750</v>
      </c>
    </row>
    <row r="2391" spans="2:13" x14ac:dyDescent="0.3">
      <c r="B2391" s="57">
        <f t="shared" si="200"/>
        <v>2388</v>
      </c>
      <c r="C2391" s="142" t="s">
        <v>2018</v>
      </c>
      <c r="D2391" s="57" t="s">
        <v>30</v>
      </c>
      <c r="E2391" s="57" t="s">
        <v>958</v>
      </c>
      <c r="F2391" s="57" t="s">
        <v>436</v>
      </c>
      <c r="G2391" s="57" t="s">
        <v>987</v>
      </c>
      <c r="H2391" s="140" t="s">
        <v>2047</v>
      </c>
      <c r="I2391" s="57"/>
      <c r="J2391" s="57"/>
      <c r="L2391" s="164">
        <v>4400</v>
      </c>
    </row>
    <row r="2392" spans="2:13" x14ac:dyDescent="0.3">
      <c r="B2392" s="57">
        <f t="shared" si="200"/>
        <v>2389</v>
      </c>
      <c r="C2392" s="142" t="s">
        <v>2018</v>
      </c>
      <c r="D2392" s="57" t="s">
        <v>30</v>
      </c>
      <c r="E2392" s="57" t="s">
        <v>2022</v>
      </c>
      <c r="F2392" s="57" t="s">
        <v>502</v>
      </c>
      <c r="G2392" s="57" t="s">
        <v>257</v>
      </c>
      <c r="H2392" s="140" t="s">
        <v>2067</v>
      </c>
      <c r="I2392" s="57"/>
      <c r="J2392" s="57"/>
      <c r="L2392" s="164">
        <v>8230</v>
      </c>
    </row>
    <row r="2393" spans="2:13" x14ac:dyDescent="0.3">
      <c r="B2393" s="57">
        <f t="shared" si="200"/>
        <v>2390</v>
      </c>
      <c r="C2393" s="142" t="s">
        <v>2018</v>
      </c>
      <c r="D2393" s="57" t="s">
        <v>30</v>
      </c>
      <c r="E2393" s="57" t="s">
        <v>2026</v>
      </c>
      <c r="F2393" s="57" t="s">
        <v>502</v>
      </c>
      <c r="G2393" s="57" t="s">
        <v>257</v>
      </c>
      <c r="H2393" s="140" t="s">
        <v>2068</v>
      </c>
      <c r="I2393" s="57"/>
      <c r="J2393" s="57"/>
      <c r="L2393" s="164">
        <v>2790</v>
      </c>
    </row>
    <row r="2394" spans="2:13" x14ac:dyDescent="0.3">
      <c r="B2394" s="57">
        <f t="shared" si="200"/>
        <v>2391</v>
      </c>
      <c r="C2394" s="142" t="s">
        <v>2018</v>
      </c>
      <c r="D2394" s="57" t="s">
        <v>30</v>
      </c>
      <c r="E2394" s="57" t="s">
        <v>434</v>
      </c>
      <c r="F2394" s="57" t="s">
        <v>502</v>
      </c>
      <c r="G2394" s="57" t="s">
        <v>257</v>
      </c>
      <c r="H2394" s="140" t="s">
        <v>2069</v>
      </c>
      <c r="I2394" s="57"/>
      <c r="J2394" s="57"/>
      <c r="L2394" s="164">
        <v>300</v>
      </c>
    </row>
    <row r="2395" spans="2:13" x14ac:dyDescent="0.3">
      <c r="B2395" s="57">
        <f t="shared" si="200"/>
        <v>2392</v>
      </c>
      <c r="C2395" s="142" t="s">
        <v>2018</v>
      </c>
      <c r="D2395" s="57" t="s">
        <v>30</v>
      </c>
      <c r="E2395" s="57" t="s">
        <v>2037</v>
      </c>
      <c r="F2395" s="57" t="s">
        <v>436</v>
      </c>
      <c r="G2395" s="57" t="s">
        <v>987</v>
      </c>
      <c r="H2395" s="140" t="s">
        <v>2070</v>
      </c>
      <c r="I2395" s="57"/>
      <c r="J2395" s="57"/>
      <c r="L2395" s="164">
        <v>50000</v>
      </c>
    </row>
    <row r="2396" spans="2:13" x14ac:dyDescent="0.3">
      <c r="B2396" s="57">
        <f t="shared" si="200"/>
        <v>2393</v>
      </c>
      <c r="C2396" s="142" t="s">
        <v>2018</v>
      </c>
      <c r="D2396" s="57" t="s">
        <v>30</v>
      </c>
      <c r="E2396" s="57" t="s">
        <v>2037</v>
      </c>
      <c r="F2396" s="57" t="s">
        <v>436</v>
      </c>
      <c r="G2396" s="57" t="s">
        <v>987</v>
      </c>
      <c r="H2396" s="140" t="s">
        <v>2023</v>
      </c>
      <c r="I2396" s="57"/>
      <c r="J2396" s="57"/>
      <c r="L2396" s="164">
        <v>3000</v>
      </c>
    </row>
    <row r="2397" spans="2:13" x14ac:dyDescent="0.3">
      <c r="B2397" s="57">
        <f t="shared" si="200"/>
        <v>2394</v>
      </c>
      <c r="C2397" s="142" t="s">
        <v>2018</v>
      </c>
      <c r="D2397" s="57" t="s">
        <v>30</v>
      </c>
      <c r="E2397" s="57" t="s">
        <v>2037</v>
      </c>
      <c r="F2397" s="57" t="s">
        <v>436</v>
      </c>
      <c r="G2397" s="57" t="s">
        <v>987</v>
      </c>
      <c r="H2397" s="140" t="s">
        <v>684</v>
      </c>
      <c r="I2397" s="57"/>
      <c r="J2397" s="57"/>
      <c r="L2397" s="164">
        <v>5000</v>
      </c>
    </row>
    <row r="2398" spans="2:13" x14ac:dyDescent="0.3">
      <c r="B2398" s="57">
        <f t="shared" si="200"/>
        <v>2395</v>
      </c>
      <c r="C2398" s="142" t="s">
        <v>2018</v>
      </c>
      <c r="D2398" s="57" t="s">
        <v>30</v>
      </c>
      <c r="E2398" s="57" t="s">
        <v>2037</v>
      </c>
      <c r="F2398" s="57" t="s">
        <v>436</v>
      </c>
      <c r="G2398" s="57" t="s">
        <v>987</v>
      </c>
      <c r="H2398" s="140" t="s">
        <v>2070</v>
      </c>
      <c r="I2398" s="57"/>
      <c r="J2398" s="57"/>
      <c r="L2398" s="164">
        <v>20000</v>
      </c>
    </row>
    <row r="2399" spans="2:13" x14ac:dyDescent="0.3">
      <c r="B2399" s="57">
        <f t="shared" si="200"/>
        <v>2396</v>
      </c>
      <c r="C2399" s="149">
        <v>46204</v>
      </c>
      <c r="D2399" s="57" t="s">
        <v>968</v>
      </c>
      <c r="E2399" s="57" t="s">
        <v>532</v>
      </c>
      <c r="F2399" s="57" t="s">
        <v>446</v>
      </c>
      <c r="G2399" s="57" t="s">
        <v>313</v>
      </c>
      <c r="H2399" s="140" t="s">
        <v>3016</v>
      </c>
      <c r="I2399" s="57" t="s">
        <v>532</v>
      </c>
      <c r="J2399" s="57">
        <v>20</v>
      </c>
      <c r="L2399" s="164">
        <v>5470</v>
      </c>
    </row>
    <row r="2400" spans="2:13" x14ac:dyDescent="0.3">
      <c r="B2400" s="57">
        <f t="shared" si="200"/>
        <v>2397</v>
      </c>
      <c r="C2400" s="149">
        <v>46204</v>
      </c>
      <c r="D2400" s="57" t="s">
        <v>968</v>
      </c>
      <c r="E2400" s="57" t="s">
        <v>595</v>
      </c>
      <c r="H2400" s="140" t="s">
        <v>3022</v>
      </c>
      <c r="I2400" s="57" t="s">
        <v>2886</v>
      </c>
      <c r="J2400" s="57">
        <v>3</v>
      </c>
      <c r="K2400" s="57">
        <v>500</v>
      </c>
      <c r="L2400" s="164">
        <f t="shared" ref="L2400:L2680" si="201">J2400*K2400</f>
        <v>1500</v>
      </c>
    </row>
    <row r="2401" spans="2:12" x14ac:dyDescent="0.3">
      <c r="B2401" s="57">
        <f t="shared" si="200"/>
        <v>2398</v>
      </c>
      <c r="C2401" s="149">
        <v>46204</v>
      </c>
      <c r="D2401" s="57" t="s">
        <v>968</v>
      </c>
      <c r="E2401" s="57" t="s">
        <v>595</v>
      </c>
      <c r="H2401" s="140" t="s">
        <v>3023</v>
      </c>
      <c r="I2401" s="57" t="s">
        <v>2888</v>
      </c>
      <c r="J2401" s="57">
        <v>10</v>
      </c>
      <c r="K2401" s="57">
        <v>200</v>
      </c>
      <c r="L2401" s="164">
        <f t="shared" si="201"/>
        <v>2000</v>
      </c>
    </row>
    <row r="2402" spans="2:12" x14ac:dyDescent="0.3">
      <c r="B2402" s="57">
        <f t="shared" si="200"/>
        <v>2399</v>
      </c>
      <c r="C2402" s="149">
        <v>46204</v>
      </c>
      <c r="D2402" s="57" t="s">
        <v>968</v>
      </c>
      <c r="E2402" s="57" t="s">
        <v>481</v>
      </c>
      <c r="F2402" s="57" t="s">
        <v>300</v>
      </c>
      <c r="G2402" s="57" t="s">
        <v>530</v>
      </c>
      <c r="H2402" s="140" t="s">
        <v>3017</v>
      </c>
      <c r="I2402" s="57" t="s">
        <v>500</v>
      </c>
      <c r="J2402" s="57" t="s">
        <v>3024</v>
      </c>
      <c r="L2402" s="164">
        <v>200</v>
      </c>
    </row>
    <row r="2403" spans="2:12" x14ac:dyDescent="0.3">
      <c r="B2403" s="57">
        <f t="shared" si="200"/>
        <v>2400</v>
      </c>
      <c r="C2403" s="149">
        <v>46204</v>
      </c>
      <c r="D2403" s="57" t="s">
        <v>968</v>
      </c>
      <c r="E2403" s="57" t="s">
        <v>146</v>
      </c>
      <c r="F2403" s="57" t="s">
        <v>300</v>
      </c>
      <c r="G2403" s="57" t="s">
        <v>530</v>
      </c>
      <c r="H2403" s="140" t="s">
        <v>4095</v>
      </c>
      <c r="I2403" s="57"/>
      <c r="J2403" s="165">
        <f t="shared" ref="J2403:J2404" si="202">L2403/K2403</f>
        <v>28.30188679245283</v>
      </c>
      <c r="K2403" s="57">
        <v>106</v>
      </c>
      <c r="L2403" s="164">
        <v>3000</v>
      </c>
    </row>
    <row r="2404" spans="2:12" x14ac:dyDescent="0.3">
      <c r="B2404" s="57">
        <f t="shared" si="200"/>
        <v>2401</v>
      </c>
      <c r="C2404" s="149">
        <v>46204</v>
      </c>
      <c r="D2404" s="57" t="s">
        <v>968</v>
      </c>
      <c r="E2404" s="57" t="s">
        <v>146</v>
      </c>
      <c r="F2404" s="57" t="s">
        <v>502</v>
      </c>
      <c r="G2404" s="57" t="s">
        <v>257</v>
      </c>
      <c r="H2404" s="140" t="s">
        <v>3018</v>
      </c>
      <c r="I2404" s="57"/>
      <c r="J2404" s="165">
        <f t="shared" si="202"/>
        <v>18.867924528301888</v>
      </c>
      <c r="K2404" s="57">
        <v>106</v>
      </c>
      <c r="L2404" s="164">
        <v>2000</v>
      </c>
    </row>
    <row r="2405" spans="2:12" x14ac:dyDescent="0.3">
      <c r="B2405" s="57">
        <f t="shared" si="200"/>
        <v>2402</v>
      </c>
      <c r="C2405" s="149">
        <v>46204</v>
      </c>
      <c r="D2405" s="57" t="s">
        <v>968</v>
      </c>
      <c r="E2405" s="57" t="s">
        <v>532</v>
      </c>
      <c r="F2405" s="57" t="s">
        <v>300</v>
      </c>
      <c r="G2405" s="57" t="s">
        <v>526</v>
      </c>
      <c r="H2405" s="140" t="s">
        <v>3019</v>
      </c>
      <c r="I2405" s="57" t="s">
        <v>532</v>
      </c>
      <c r="J2405" s="57">
        <v>5</v>
      </c>
      <c r="L2405" s="164">
        <v>1700</v>
      </c>
    </row>
    <row r="2406" spans="2:12" x14ac:dyDescent="0.3">
      <c r="B2406" s="57">
        <f t="shared" si="200"/>
        <v>2403</v>
      </c>
      <c r="C2406" s="149">
        <v>46204</v>
      </c>
      <c r="D2406" s="57" t="s">
        <v>968</v>
      </c>
      <c r="E2406" s="57" t="s">
        <v>2027</v>
      </c>
      <c r="F2406" s="57" t="s">
        <v>446</v>
      </c>
      <c r="G2406" s="57" t="s">
        <v>572</v>
      </c>
      <c r="H2406" s="140" t="s">
        <v>3020</v>
      </c>
      <c r="I2406" s="57" t="s">
        <v>3021</v>
      </c>
      <c r="J2406" s="57"/>
      <c r="L2406" s="164">
        <v>500</v>
      </c>
    </row>
    <row r="2407" spans="2:12" x14ac:dyDescent="0.3">
      <c r="B2407" s="57">
        <f t="shared" si="200"/>
        <v>2404</v>
      </c>
      <c r="C2407" s="149">
        <v>46204</v>
      </c>
      <c r="D2407" s="57" t="s">
        <v>968</v>
      </c>
      <c r="E2407" s="57" t="s">
        <v>574</v>
      </c>
      <c r="F2407" s="57" t="s">
        <v>446</v>
      </c>
      <c r="G2407" s="57" t="s">
        <v>316</v>
      </c>
      <c r="H2407" s="140" t="s">
        <v>3025</v>
      </c>
      <c r="I2407" s="140" t="s">
        <v>2635</v>
      </c>
      <c r="J2407" s="57">
        <v>4</v>
      </c>
      <c r="K2407" s="167">
        <f>L2407/J2407</f>
        <v>575</v>
      </c>
      <c r="L2407" s="164">
        <v>2300</v>
      </c>
    </row>
    <row r="2408" spans="2:12" x14ac:dyDescent="0.3">
      <c r="B2408" s="57">
        <f t="shared" si="200"/>
        <v>2405</v>
      </c>
      <c r="C2408" s="149">
        <v>46204</v>
      </c>
      <c r="D2408" s="57" t="s">
        <v>968</v>
      </c>
      <c r="E2408" s="57" t="s">
        <v>2024</v>
      </c>
      <c r="F2408" s="57" t="s">
        <v>446</v>
      </c>
      <c r="G2408" s="57" t="s">
        <v>572</v>
      </c>
      <c r="H2408" s="140" t="s">
        <v>3026</v>
      </c>
      <c r="I2408" s="57"/>
      <c r="J2408" s="57"/>
      <c r="L2408" s="164">
        <v>200</v>
      </c>
    </row>
    <row r="2409" spans="2:12" x14ac:dyDescent="0.3">
      <c r="B2409" s="57">
        <f t="shared" si="200"/>
        <v>2406</v>
      </c>
      <c r="C2409" s="149">
        <v>46204</v>
      </c>
      <c r="D2409" s="57" t="s">
        <v>968</v>
      </c>
      <c r="E2409" s="57" t="s">
        <v>146</v>
      </c>
      <c r="F2409" s="57" t="s">
        <v>446</v>
      </c>
      <c r="G2409" s="57" t="s">
        <v>313</v>
      </c>
      <c r="H2409" s="140" t="s">
        <v>4089</v>
      </c>
      <c r="I2409" s="57"/>
      <c r="J2409" s="165">
        <f>L2409/K2409</f>
        <v>28.30188679245283</v>
      </c>
      <c r="K2409" s="57">
        <v>106</v>
      </c>
      <c r="L2409" s="164">
        <v>3000</v>
      </c>
    </row>
    <row r="2410" spans="2:12" x14ac:dyDescent="0.3">
      <c r="B2410" s="57">
        <f t="shared" si="200"/>
        <v>2407</v>
      </c>
      <c r="C2410" s="149">
        <v>46204</v>
      </c>
      <c r="D2410" s="57" t="s">
        <v>968</v>
      </c>
      <c r="E2410" s="57" t="s">
        <v>434</v>
      </c>
      <c r="F2410" s="57" t="s">
        <v>502</v>
      </c>
      <c r="G2410" s="57" t="s">
        <v>257</v>
      </c>
      <c r="H2410" s="140" t="s">
        <v>3029</v>
      </c>
      <c r="I2410" s="57" t="s">
        <v>3028</v>
      </c>
      <c r="J2410" s="57">
        <v>3</v>
      </c>
      <c r="L2410" s="164">
        <v>675</v>
      </c>
    </row>
    <row r="2411" spans="2:12" x14ac:dyDescent="0.3">
      <c r="B2411" s="57">
        <f t="shared" si="200"/>
        <v>2408</v>
      </c>
      <c r="C2411" s="149">
        <v>46204</v>
      </c>
      <c r="D2411" s="57" t="s">
        <v>968</v>
      </c>
      <c r="E2411" s="57" t="s">
        <v>434</v>
      </c>
      <c r="F2411" s="57" t="s">
        <v>502</v>
      </c>
      <c r="G2411" s="57" t="s">
        <v>257</v>
      </c>
      <c r="H2411" s="140" t="s">
        <v>3029</v>
      </c>
      <c r="I2411" s="57" t="s">
        <v>4083</v>
      </c>
      <c r="J2411" s="57">
        <v>5</v>
      </c>
      <c r="K2411" s="57">
        <f>L2411/J2411</f>
        <v>90</v>
      </c>
      <c r="L2411" s="164">
        <v>450</v>
      </c>
    </row>
    <row r="2412" spans="2:12" x14ac:dyDescent="0.3">
      <c r="B2412" s="57">
        <f t="shared" si="200"/>
        <v>2409</v>
      </c>
      <c r="C2412" s="149">
        <v>46204</v>
      </c>
      <c r="D2412" s="57" t="s">
        <v>968</v>
      </c>
      <c r="E2412" s="57" t="s">
        <v>986</v>
      </c>
      <c r="F2412" s="57" t="s">
        <v>502</v>
      </c>
      <c r="G2412" s="57" t="s">
        <v>257</v>
      </c>
      <c r="H2412" s="140" t="s">
        <v>3030</v>
      </c>
      <c r="I2412" s="57" t="s">
        <v>986</v>
      </c>
      <c r="J2412" s="57">
        <v>25</v>
      </c>
      <c r="L2412" s="164">
        <v>2125</v>
      </c>
    </row>
    <row r="2413" spans="2:12" x14ac:dyDescent="0.3">
      <c r="B2413" s="57">
        <f t="shared" si="200"/>
        <v>2410</v>
      </c>
      <c r="C2413" s="149">
        <v>46204</v>
      </c>
      <c r="D2413" s="57" t="s">
        <v>968</v>
      </c>
      <c r="E2413" s="57" t="s">
        <v>434</v>
      </c>
      <c r="F2413" s="57" t="s">
        <v>502</v>
      </c>
      <c r="G2413" s="57" t="s">
        <v>257</v>
      </c>
      <c r="H2413" s="140" t="s">
        <v>3027</v>
      </c>
      <c r="I2413" s="57"/>
      <c r="J2413" s="57"/>
      <c r="L2413" s="164">
        <v>4750</v>
      </c>
    </row>
    <row r="2414" spans="2:12" x14ac:dyDescent="0.3">
      <c r="B2414" s="57">
        <f t="shared" si="200"/>
        <v>2411</v>
      </c>
      <c r="C2414" s="149">
        <v>46204</v>
      </c>
      <c r="D2414" s="57" t="s">
        <v>968</v>
      </c>
      <c r="E2414" s="57" t="s">
        <v>532</v>
      </c>
      <c r="F2414" s="57" t="s">
        <v>446</v>
      </c>
      <c r="G2414" s="57" t="s">
        <v>316</v>
      </c>
      <c r="H2414" s="140" t="s">
        <v>3032</v>
      </c>
      <c r="I2414" s="57" t="s">
        <v>532</v>
      </c>
      <c r="J2414" s="57">
        <v>10</v>
      </c>
      <c r="K2414" s="167">
        <f>L2414/J2414</f>
        <v>275</v>
      </c>
      <c r="L2414" s="164">
        <v>2750</v>
      </c>
    </row>
    <row r="2415" spans="2:12" x14ac:dyDescent="0.3">
      <c r="B2415" s="57">
        <f t="shared" si="200"/>
        <v>2412</v>
      </c>
      <c r="C2415" s="149">
        <v>46204</v>
      </c>
      <c r="D2415" s="57" t="s">
        <v>968</v>
      </c>
      <c r="E2415" s="57" t="s">
        <v>532</v>
      </c>
      <c r="F2415" s="57" t="s">
        <v>546</v>
      </c>
      <c r="G2415" s="57" t="s">
        <v>999</v>
      </c>
      <c r="H2415" s="140" t="s">
        <v>3033</v>
      </c>
      <c r="I2415" s="57" t="s">
        <v>532</v>
      </c>
      <c r="J2415" s="57">
        <v>25</v>
      </c>
      <c r="K2415" s="57">
        <v>260</v>
      </c>
      <c r="L2415" s="164">
        <f t="shared" si="201"/>
        <v>6500</v>
      </c>
    </row>
    <row r="2416" spans="2:12" x14ac:dyDescent="0.3">
      <c r="B2416" s="57">
        <f t="shared" si="200"/>
        <v>2413</v>
      </c>
      <c r="C2416" s="149">
        <v>46204</v>
      </c>
      <c r="D2416" s="57" t="s">
        <v>968</v>
      </c>
      <c r="E2416" s="57" t="s">
        <v>146</v>
      </c>
      <c r="F2416" s="160" t="s">
        <v>300</v>
      </c>
      <c r="G2416" s="57" t="s">
        <v>3214</v>
      </c>
      <c r="H2416" s="140" t="s">
        <v>1051</v>
      </c>
      <c r="I2416" s="57"/>
      <c r="J2416" s="165">
        <f t="shared" ref="J2416:J2417" si="203">L2416/K2416</f>
        <v>42.452830188679243</v>
      </c>
      <c r="K2416" s="57">
        <v>106</v>
      </c>
      <c r="L2416" s="164">
        <v>4500</v>
      </c>
    </row>
    <row r="2417" spans="2:12" x14ac:dyDescent="0.3">
      <c r="B2417" s="57">
        <f t="shared" si="200"/>
        <v>2414</v>
      </c>
      <c r="C2417" s="149">
        <v>46204</v>
      </c>
      <c r="D2417" s="57" t="s">
        <v>968</v>
      </c>
      <c r="E2417" s="57" t="s">
        <v>146</v>
      </c>
      <c r="F2417" s="57" t="s">
        <v>446</v>
      </c>
      <c r="G2417" s="57" t="s">
        <v>352</v>
      </c>
      <c r="H2417" s="140" t="s">
        <v>879</v>
      </c>
      <c r="I2417" s="57"/>
      <c r="J2417" s="165">
        <f t="shared" si="203"/>
        <v>48.867924528301884</v>
      </c>
      <c r="K2417" s="57">
        <v>106</v>
      </c>
      <c r="L2417" s="164">
        <v>5180</v>
      </c>
    </row>
    <row r="2418" spans="2:12" x14ac:dyDescent="0.3">
      <c r="B2418" s="57">
        <f t="shared" si="200"/>
        <v>2415</v>
      </c>
      <c r="C2418" s="149">
        <v>46204</v>
      </c>
      <c r="D2418" s="57" t="s">
        <v>968</v>
      </c>
      <c r="E2418" s="57" t="s">
        <v>595</v>
      </c>
      <c r="H2418" s="140" t="s">
        <v>3034</v>
      </c>
      <c r="I2418" s="57"/>
      <c r="J2418" s="57"/>
      <c r="L2418" s="164">
        <v>2030</v>
      </c>
    </row>
    <row r="2419" spans="2:12" x14ac:dyDescent="0.3">
      <c r="B2419" s="57">
        <f t="shared" si="200"/>
        <v>2416</v>
      </c>
      <c r="C2419" s="149">
        <v>46204</v>
      </c>
      <c r="D2419" s="57" t="s">
        <v>968</v>
      </c>
      <c r="E2419" s="57" t="s">
        <v>146</v>
      </c>
      <c r="F2419" s="57" t="s">
        <v>300</v>
      </c>
      <c r="G2419" s="57" t="s">
        <v>498</v>
      </c>
      <c r="H2419" s="140" t="s">
        <v>3035</v>
      </c>
      <c r="I2419" s="57"/>
      <c r="J2419" s="165">
        <f>L2419/K2419</f>
        <v>18.867924528301888</v>
      </c>
      <c r="K2419" s="57">
        <v>106</v>
      </c>
      <c r="L2419" s="164">
        <v>2000</v>
      </c>
    </row>
    <row r="2420" spans="2:12" x14ac:dyDescent="0.3">
      <c r="B2420" s="57">
        <f t="shared" si="200"/>
        <v>2417</v>
      </c>
      <c r="C2420" s="149">
        <v>46204</v>
      </c>
      <c r="D2420" s="57" t="s">
        <v>968</v>
      </c>
      <c r="E2420" s="57" t="s">
        <v>2427</v>
      </c>
      <c r="F2420" s="57" t="s">
        <v>300</v>
      </c>
      <c r="G2420" s="57" t="s">
        <v>530</v>
      </c>
      <c r="H2420" s="140" t="s">
        <v>3036</v>
      </c>
      <c r="I2420" s="57"/>
      <c r="J2420" s="57"/>
      <c r="L2420" s="164">
        <v>123120</v>
      </c>
    </row>
    <row r="2421" spans="2:12" x14ac:dyDescent="0.3">
      <c r="B2421" s="57">
        <f t="shared" si="200"/>
        <v>2418</v>
      </c>
      <c r="C2421" s="149">
        <v>46204</v>
      </c>
      <c r="D2421" s="57" t="s">
        <v>968</v>
      </c>
      <c r="E2421" s="57" t="s">
        <v>146</v>
      </c>
      <c r="F2421" s="57" t="s">
        <v>300</v>
      </c>
      <c r="G2421" s="57" t="s">
        <v>438</v>
      </c>
      <c r="H2421" s="140" t="s">
        <v>4110</v>
      </c>
      <c r="I2421" s="57"/>
      <c r="J2421" s="165">
        <f>L2421/K2421</f>
        <v>25.141509433962263</v>
      </c>
      <c r="K2421" s="57">
        <v>106</v>
      </c>
      <c r="L2421" s="164">
        <v>2665</v>
      </c>
    </row>
    <row r="2422" spans="2:12" x14ac:dyDescent="0.3">
      <c r="B2422" s="57">
        <f t="shared" si="200"/>
        <v>2419</v>
      </c>
      <c r="C2422" s="149">
        <v>46204</v>
      </c>
      <c r="D2422" s="57" t="s">
        <v>968</v>
      </c>
      <c r="E2422" s="57" t="s">
        <v>434</v>
      </c>
      <c r="F2422" s="57" t="s">
        <v>2332</v>
      </c>
      <c r="G2422" s="57" t="s">
        <v>1004</v>
      </c>
      <c r="H2422" s="140" t="s">
        <v>3046</v>
      </c>
      <c r="I2422" s="57" t="s">
        <v>3044</v>
      </c>
      <c r="J2422" s="57" t="s">
        <v>3045</v>
      </c>
      <c r="L2422" s="164">
        <v>1100</v>
      </c>
    </row>
    <row r="2423" spans="2:12" x14ac:dyDescent="0.3">
      <c r="B2423" s="57">
        <f t="shared" si="200"/>
        <v>2420</v>
      </c>
      <c r="C2423" s="149">
        <v>46204</v>
      </c>
      <c r="D2423" s="57" t="s">
        <v>968</v>
      </c>
      <c r="E2423" s="57" t="s">
        <v>434</v>
      </c>
      <c r="F2423" s="57" t="s">
        <v>2332</v>
      </c>
      <c r="G2423" s="57" t="s">
        <v>1004</v>
      </c>
      <c r="H2423" s="140" t="s">
        <v>3047</v>
      </c>
      <c r="I2423" s="57" t="s">
        <v>3048</v>
      </c>
      <c r="J2423" s="57" t="s">
        <v>3049</v>
      </c>
      <c r="L2423" s="164">
        <v>150</v>
      </c>
    </row>
    <row r="2424" spans="2:12" x14ac:dyDescent="0.3">
      <c r="B2424" s="57">
        <f t="shared" si="200"/>
        <v>2421</v>
      </c>
      <c r="C2424" s="149">
        <v>46204</v>
      </c>
      <c r="D2424" s="57" t="s">
        <v>968</v>
      </c>
      <c r="E2424" s="57" t="s">
        <v>146</v>
      </c>
      <c r="F2424" s="57" t="s">
        <v>350</v>
      </c>
      <c r="G2424" s="57" t="s">
        <v>3043</v>
      </c>
      <c r="H2424" s="140" t="s">
        <v>4102</v>
      </c>
      <c r="I2424" s="57" t="s">
        <v>146</v>
      </c>
      <c r="J2424" s="165">
        <f>L2424/K2424</f>
        <v>38.698113207547166</v>
      </c>
      <c r="K2424" s="57">
        <v>106</v>
      </c>
      <c r="L2424" s="164">
        <v>4102</v>
      </c>
    </row>
    <row r="2425" spans="2:12" x14ac:dyDescent="0.3">
      <c r="B2425" s="57">
        <f t="shared" si="200"/>
        <v>2422</v>
      </c>
      <c r="C2425" s="149">
        <v>46204</v>
      </c>
      <c r="D2425" s="57" t="s">
        <v>968</v>
      </c>
      <c r="E2425" s="57" t="s">
        <v>574</v>
      </c>
      <c r="F2425" s="57" t="s">
        <v>350</v>
      </c>
      <c r="G2425" s="57" t="s">
        <v>3043</v>
      </c>
      <c r="H2425" s="140" t="s">
        <v>3050</v>
      </c>
      <c r="I2425" s="140" t="s">
        <v>2635</v>
      </c>
      <c r="J2425" s="57">
        <v>4.47</v>
      </c>
      <c r="K2425" s="168">
        <f>L2425/J2425</f>
        <v>794.18344519015659</v>
      </c>
      <c r="L2425" s="164">
        <v>3550</v>
      </c>
    </row>
    <row r="2426" spans="2:12" x14ac:dyDescent="0.3">
      <c r="B2426" s="57">
        <f t="shared" si="200"/>
        <v>2423</v>
      </c>
      <c r="C2426" s="149">
        <v>46204</v>
      </c>
      <c r="D2426" s="57" t="s">
        <v>968</v>
      </c>
      <c r="E2426" s="57" t="s">
        <v>574</v>
      </c>
      <c r="F2426" s="57" t="s">
        <v>350</v>
      </c>
      <c r="G2426" s="57" t="s">
        <v>3043</v>
      </c>
      <c r="H2426" s="140" t="s">
        <v>3051</v>
      </c>
      <c r="I2426" s="140" t="s">
        <v>4081</v>
      </c>
      <c r="J2426" s="57">
        <v>4.5</v>
      </c>
      <c r="K2426" s="168">
        <f>L2426/J2426</f>
        <v>955.55555555555554</v>
      </c>
      <c r="L2426" s="164">
        <v>4300</v>
      </c>
    </row>
    <row r="2427" spans="2:12" x14ac:dyDescent="0.3">
      <c r="B2427" s="57">
        <f t="shared" si="200"/>
        <v>2424</v>
      </c>
      <c r="C2427" s="149">
        <v>46204</v>
      </c>
      <c r="D2427" s="57" t="s">
        <v>968</v>
      </c>
      <c r="E2427" s="57" t="s">
        <v>3042</v>
      </c>
      <c r="F2427" s="78" t="s">
        <v>350</v>
      </c>
      <c r="G2427" s="57" t="s">
        <v>2350</v>
      </c>
      <c r="H2427" s="140" t="s">
        <v>3037</v>
      </c>
      <c r="I2427" s="57"/>
      <c r="J2427" s="57"/>
      <c r="L2427" s="164">
        <v>1080</v>
      </c>
    </row>
    <row r="2428" spans="2:12" x14ac:dyDescent="0.3">
      <c r="B2428" s="57">
        <f t="shared" si="200"/>
        <v>2425</v>
      </c>
      <c r="C2428" s="149">
        <v>46204</v>
      </c>
      <c r="D2428" s="57" t="s">
        <v>968</v>
      </c>
      <c r="E2428" s="57" t="s">
        <v>434</v>
      </c>
      <c r="F2428" s="78" t="s">
        <v>350</v>
      </c>
      <c r="G2428" s="57" t="s">
        <v>2350</v>
      </c>
      <c r="H2428" s="140" t="s">
        <v>3038</v>
      </c>
      <c r="I2428" s="57"/>
      <c r="J2428" s="57"/>
      <c r="L2428" s="164">
        <v>300</v>
      </c>
    </row>
    <row r="2429" spans="2:12" x14ac:dyDescent="0.3">
      <c r="B2429" s="57">
        <f t="shared" si="200"/>
        <v>2426</v>
      </c>
      <c r="C2429" s="149">
        <v>46204</v>
      </c>
      <c r="D2429" s="57" t="s">
        <v>968</v>
      </c>
      <c r="E2429" s="57" t="s">
        <v>4128</v>
      </c>
      <c r="F2429" s="57" t="s">
        <v>502</v>
      </c>
      <c r="G2429" s="57" t="s">
        <v>2344</v>
      </c>
      <c r="H2429" s="140" t="s">
        <v>3039</v>
      </c>
      <c r="I2429" s="57" t="s">
        <v>2686</v>
      </c>
      <c r="J2429" s="57"/>
      <c r="L2429" s="164">
        <v>3000</v>
      </c>
    </row>
    <row r="2430" spans="2:12" x14ac:dyDescent="0.3">
      <c r="B2430" s="57">
        <f t="shared" si="200"/>
        <v>2427</v>
      </c>
      <c r="C2430" s="149">
        <v>46204</v>
      </c>
      <c r="D2430" s="57" t="s">
        <v>968</v>
      </c>
      <c r="E2430" s="57" t="s">
        <v>767</v>
      </c>
      <c r="H2430" s="140" t="s">
        <v>3040</v>
      </c>
      <c r="I2430" s="57"/>
      <c r="J2430" s="57"/>
      <c r="L2430" s="164">
        <v>1600</v>
      </c>
    </row>
    <row r="2431" spans="2:12" x14ac:dyDescent="0.3">
      <c r="B2431" s="57">
        <f t="shared" si="200"/>
        <v>2428</v>
      </c>
      <c r="C2431" s="149">
        <v>46204</v>
      </c>
      <c r="D2431" s="57" t="s">
        <v>968</v>
      </c>
      <c r="E2431" s="57" t="s">
        <v>532</v>
      </c>
      <c r="F2431" s="78" t="s">
        <v>350</v>
      </c>
      <c r="G2431" s="57" t="s">
        <v>2350</v>
      </c>
      <c r="H2431" s="140" t="s">
        <v>3041</v>
      </c>
      <c r="I2431" s="57" t="s">
        <v>532</v>
      </c>
      <c r="J2431" s="57">
        <v>30</v>
      </c>
      <c r="K2431" s="167">
        <f>L2431/J2431</f>
        <v>250</v>
      </c>
      <c r="L2431" s="164">
        <v>7500</v>
      </c>
    </row>
    <row r="2432" spans="2:12" x14ac:dyDescent="0.3">
      <c r="B2432" s="57">
        <f t="shared" si="200"/>
        <v>2429</v>
      </c>
      <c r="C2432" s="149">
        <v>46204</v>
      </c>
      <c r="D2432" s="57" t="s">
        <v>968</v>
      </c>
      <c r="E2432" s="57" t="s">
        <v>2427</v>
      </c>
      <c r="F2432" s="78" t="s">
        <v>350</v>
      </c>
      <c r="G2432" s="57" t="s">
        <v>2350</v>
      </c>
      <c r="H2432" s="140" t="s">
        <v>3052</v>
      </c>
      <c r="I2432" s="57" t="s">
        <v>2427</v>
      </c>
      <c r="J2432" s="57" t="s">
        <v>2757</v>
      </c>
      <c r="L2432" s="164">
        <v>11842</v>
      </c>
    </row>
    <row r="2433" spans="2:12" x14ac:dyDescent="0.3">
      <c r="B2433" s="57">
        <f t="shared" si="200"/>
        <v>2430</v>
      </c>
      <c r="C2433" s="149">
        <v>46204</v>
      </c>
      <c r="D2433" s="57" t="s">
        <v>435</v>
      </c>
      <c r="E2433" s="57" t="s">
        <v>2390</v>
      </c>
      <c r="F2433" s="57" t="s">
        <v>350</v>
      </c>
      <c r="G2433" s="57" t="s">
        <v>3043</v>
      </c>
      <c r="H2433" s="140" t="s">
        <v>3094</v>
      </c>
      <c r="I2433" s="57" t="s">
        <v>2390</v>
      </c>
      <c r="J2433" s="57">
        <v>266</v>
      </c>
      <c r="K2433" s="57">
        <v>57</v>
      </c>
      <c r="L2433" s="164">
        <f>J2433*K2433</f>
        <v>15162</v>
      </c>
    </row>
    <row r="2434" spans="2:12" x14ac:dyDescent="0.3">
      <c r="B2434" s="57">
        <f t="shared" si="200"/>
        <v>2431</v>
      </c>
      <c r="C2434" s="149">
        <v>46204</v>
      </c>
      <c r="D2434" s="57" t="s">
        <v>435</v>
      </c>
      <c r="E2434" s="57" t="s">
        <v>2390</v>
      </c>
      <c r="F2434" s="57" t="s">
        <v>350</v>
      </c>
      <c r="G2434" s="57" t="s">
        <v>3043</v>
      </c>
      <c r="H2434" s="140" t="s">
        <v>3095</v>
      </c>
      <c r="I2434" s="57" t="s">
        <v>2390</v>
      </c>
      <c r="J2434" s="57">
        <v>227</v>
      </c>
      <c r="K2434" s="57">
        <v>58.3</v>
      </c>
      <c r="L2434" s="164">
        <f>J2434*K2434</f>
        <v>13234.099999999999</v>
      </c>
    </row>
    <row r="2435" spans="2:12" x14ac:dyDescent="0.3">
      <c r="B2435" s="57">
        <f t="shared" si="200"/>
        <v>2432</v>
      </c>
      <c r="C2435" s="149">
        <v>46204</v>
      </c>
      <c r="D2435" s="57" t="s">
        <v>435</v>
      </c>
      <c r="E2435" s="57" t="s">
        <v>4128</v>
      </c>
      <c r="F2435" s="57" t="s">
        <v>350</v>
      </c>
      <c r="G2435" s="57" t="s">
        <v>3043</v>
      </c>
      <c r="H2435" s="140" t="s">
        <v>4087</v>
      </c>
      <c r="I2435" s="57" t="s">
        <v>2782</v>
      </c>
      <c r="J2435" s="57"/>
      <c r="L2435" s="164">
        <v>443</v>
      </c>
    </row>
    <row r="2436" spans="2:12" x14ac:dyDescent="0.3">
      <c r="B2436" s="57">
        <f t="shared" si="200"/>
        <v>2433</v>
      </c>
      <c r="C2436" s="149">
        <v>46205</v>
      </c>
      <c r="D2436" s="57" t="s">
        <v>968</v>
      </c>
      <c r="E2436" s="57" t="s">
        <v>4128</v>
      </c>
      <c r="F2436" s="57" t="s">
        <v>621</v>
      </c>
      <c r="G2436" s="57" t="s">
        <v>345</v>
      </c>
      <c r="H2436" s="140" t="s">
        <v>3065</v>
      </c>
      <c r="I2436" s="57" t="s">
        <v>908</v>
      </c>
      <c r="J2436" s="57">
        <v>300</v>
      </c>
      <c r="K2436" s="57">
        <v>5</v>
      </c>
      <c r="L2436" s="164">
        <f t="shared" si="201"/>
        <v>1500</v>
      </c>
    </row>
    <row r="2437" spans="2:12" x14ac:dyDescent="0.3">
      <c r="B2437" s="57">
        <f t="shared" si="200"/>
        <v>2434</v>
      </c>
      <c r="C2437" s="149">
        <v>46205</v>
      </c>
      <c r="D2437" s="57" t="s">
        <v>968</v>
      </c>
      <c r="E2437" s="57" t="s">
        <v>434</v>
      </c>
      <c r="F2437" s="57" t="s">
        <v>621</v>
      </c>
      <c r="G2437" s="57" t="s">
        <v>345</v>
      </c>
      <c r="H2437" s="140" t="s">
        <v>3066</v>
      </c>
      <c r="I2437" s="57" t="s">
        <v>3067</v>
      </c>
      <c r="J2437" s="57" t="s">
        <v>3068</v>
      </c>
      <c r="L2437" s="164">
        <v>160</v>
      </c>
    </row>
    <row r="2438" spans="2:12" x14ac:dyDescent="0.3">
      <c r="B2438" s="57">
        <f t="shared" ref="B2438:B2501" si="204">+B2437+1</f>
        <v>2435</v>
      </c>
      <c r="C2438" s="149">
        <v>46205</v>
      </c>
      <c r="D2438" s="57" t="s">
        <v>968</v>
      </c>
      <c r="E2438" s="57" t="s">
        <v>146</v>
      </c>
      <c r="F2438" s="78" t="s">
        <v>350</v>
      </c>
      <c r="G2438" s="57" t="s">
        <v>2350</v>
      </c>
      <c r="H2438" s="140" t="s">
        <v>3069</v>
      </c>
      <c r="I2438" s="57"/>
      <c r="J2438" s="165">
        <f>L2438/K2438</f>
        <v>23.59433962264151</v>
      </c>
      <c r="K2438" s="57">
        <v>106</v>
      </c>
      <c r="L2438" s="164">
        <v>2501</v>
      </c>
    </row>
    <row r="2439" spans="2:12" x14ac:dyDescent="0.3">
      <c r="B2439" s="57">
        <f t="shared" si="204"/>
        <v>2436</v>
      </c>
      <c r="C2439" s="149">
        <v>46205</v>
      </c>
      <c r="D2439" s="57" t="s">
        <v>968</v>
      </c>
      <c r="E2439" s="57" t="s">
        <v>574</v>
      </c>
      <c r="F2439" s="57" t="s">
        <v>446</v>
      </c>
      <c r="G2439" s="57" t="s">
        <v>313</v>
      </c>
      <c r="H2439" s="140" t="s">
        <v>3071</v>
      </c>
      <c r="I2439" s="140" t="s">
        <v>2635</v>
      </c>
      <c r="J2439" s="57">
        <v>16</v>
      </c>
      <c r="K2439" s="167">
        <f>L2439/J2439</f>
        <v>575</v>
      </c>
      <c r="L2439" s="164">
        <v>9200</v>
      </c>
    </row>
    <row r="2440" spans="2:12" x14ac:dyDescent="0.3">
      <c r="B2440" s="57">
        <f t="shared" si="204"/>
        <v>2437</v>
      </c>
      <c r="C2440" s="149">
        <v>46205</v>
      </c>
      <c r="D2440" s="57" t="s">
        <v>968</v>
      </c>
      <c r="E2440" s="57" t="s">
        <v>574</v>
      </c>
      <c r="F2440" s="57" t="s">
        <v>446</v>
      </c>
      <c r="G2440" s="57" t="s">
        <v>313</v>
      </c>
      <c r="H2440" s="140" t="s">
        <v>3070</v>
      </c>
      <c r="I2440" s="140" t="s">
        <v>4081</v>
      </c>
      <c r="J2440" s="57">
        <v>16</v>
      </c>
      <c r="K2440" s="167">
        <f>L2440/J2440</f>
        <v>575</v>
      </c>
      <c r="L2440" s="164">
        <v>9200</v>
      </c>
    </row>
    <row r="2441" spans="2:12" x14ac:dyDescent="0.3">
      <c r="B2441" s="57">
        <f t="shared" si="204"/>
        <v>2438</v>
      </c>
      <c r="C2441" s="149">
        <v>46205</v>
      </c>
      <c r="D2441" s="57" t="s">
        <v>968</v>
      </c>
      <c r="E2441" s="57" t="s">
        <v>146</v>
      </c>
      <c r="F2441" s="57" t="s">
        <v>446</v>
      </c>
      <c r="G2441" s="57" t="s">
        <v>316</v>
      </c>
      <c r="H2441" s="140" t="s">
        <v>3072</v>
      </c>
      <c r="I2441" s="57"/>
      <c r="J2441" s="165">
        <f t="shared" ref="J2441:J2442" si="205">L2441/K2441</f>
        <v>28.30188679245283</v>
      </c>
      <c r="K2441" s="57">
        <v>106</v>
      </c>
      <c r="L2441" s="164">
        <v>3000</v>
      </c>
    </row>
    <row r="2442" spans="2:12" x14ac:dyDescent="0.3">
      <c r="B2442" s="57">
        <f t="shared" si="204"/>
        <v>2439</v>
      </c>
      <c r="C2442" s="149">
        <v>46205</v>
      </c>
      <c r="D2442" s="57" t="s">
        <v>968</v>
      </c>
      <c r="E2442" s="57" t="s">
        <v>4091</v>
      </c>
      <c r="F2442" s="57" t="s">
        <v>300</v>
      </c>
      <c r="G2442" s="57" t="s">
        <v>530</v>
      </c>
      <c r="H2442" s="140" t="s">
        <v>4096</v>
      </c>
      <c r="I2442" s="57"/>
      <c r="J2442" s="165">
        <f t="shared" si="205"/>
        <v>18.867924528301888</v>
      </c>
      <c r="K2442" s="57">
        <v>106</v>
      </c>
      <c r="L2442" s="164">
        <v>2000</v>
      </c>
    </row>
    <row r="2443" spans="2:12" x14ac:dyDescent="0.3">
      <c r="B2443" s="57">
        <f t="shared" si="204"/>
        <v>2440</v>
      </c>
      <c r="C2443" s="149">
        <v>46205</v>
      </c>
      <c r="D2443" s="57" t="s">
        <v>968</v>
      </c>
      <c r="E2443" s="57" t="s">
        <v>532</v>
      </c>
      <c r="F2443" s="57" t="s">
        <v>300</v>
      </c>
      <c r="G2443" s="57" t="s">
        <v>498</v>
      </c>
      <c r="H2443" s="140" t="s">
        <v>3073</v>
      </c>
      <c r="I2443" s="57" t="s">
        <v>532</v>
      </c>
      <c r="J2443" s="57">
        <v>6</v>
      </c>
      <c r="K2443" s="167">
        <f>L2443/J2443</f>
        <v>265</v>
      </c>
      <c r="L2443" s="164">
        <v>1590</v>
      </c>
    </row>
    <row r="2444" spans="2:12" x14ac:dyDescent="0.3">
      <c r="B2444" s="57">
        <f t="shared" si="204"/>
        <v>2441</v>
      </c>
      <c r="C2444" s="149">
        <v>46205</v>
      </c>
      <c r="D2444" s="57" t="s">
        <v>968</v>
      </c>
      <c r="E2444" s="57" t="s">
        <v>146</v>
      </c>
      <c r="F2444" s="57" t="s">
        <v>2332</v>
      </c>
      <c r="G2444" s="57" t="s">
        <v>1004</v>
      </c>
      <c r="H2444" s="140" t="s">
        <v>3074</v>
      </c>
      <c r="I2444" s="57"/>
      <c r="J2444" s="165">
        <f t="shared" ref="J2444:J2448" si="206">L2444/K2444</f>
        <v>18.867924528301888</v>
      </c>
      <c r="K2444" s="57">
        <v>106</v>
      </c>
      <c r="L2444" s="164">
        <v>2000</v>
      </c>
    </row>
    <row r="2445" spans="2:12" x14ac:dyDescent="0.3">
      <c r="B2445" s="57">
        <f t="shared" si="204"/>
        <v>2442</v>
      </c>
      <c r="C2445" s="149">
        <v>46205</v>
      </c>
      <c r="D2445" s="57" t="s">
        <v>968</v>
      </c>
      <c r="E2445" s="57" t="s">
        <v>146</v>
      </c>
      <c r="F2445" s="57" t="s">
        <v>621</v>
      </c>
      <c r="G2445" s="57" t="s">
        <v>345</v>
      </c>
      <c r="H2445" s="140" t="s">
        <v>2852</v>
      </c>
      <c r="I2445" s="57"/>
      <c r="J2445" s="165">
        <f t="shared" si="206"/>
        <v>37.132075471698116</v>
      </c>
      <c r="K2445" s="57">
        <v>106</v>
      </c>
      <c r="L2445" s="164">
        <v>3936</v>
      </c>
    </row>
    <row r="2446" spans="2:12" x14ac:dyDescent="0.3">
      <c r="B2446" s="57">
        <f t="shared" si="204"/>
        <v>2443</v>
      </c>
      <c r="C2446" s="149">
        <v>46205</v>
      </c>
      <c r="D2446" s="57" t="s">
        <v>968</v>
      </c>
      <c r="E2446" s="57" t="s">
        <v>146</v>
      </c>
      <c r="F2446" s="57" t="s">
        <v>446</v>
      </c>
      <c r="G2446" s="57" t="s">
        <v>313</v>
      </c>
      <c r="H2446" s="140" t="s">
        <v>4099</v>
      </c>
      <c r="I2446" s="57"/>
      <c r="J2446" s="165">
        <f t="shared" si="206"/>
        <v>21.226415094339622</v>
      </c>
      <c r="K2446" s="57">
        <v>106</v>
      </c>
      <c r="L2446" s="164">
        <v>2250</v>
      </c>
    </row>
    <row r="2447" spans="2:12" x14ac:dyDescent="0.3">
      <c r="B2447" s="57">
        <f t="shared" si="204"/>
        <v>2444</v>
      </c>
      <c r="C2447" s="149">
        <v>46205</v>
      </c>
      <c r="D2447" s="57" t="s">
        <v>968</v>
      </c>
      <c r="E2447" s="57" t="s">
        <v>146</v>
      </c>
      <c r="F2447" s="57" t="s">
        <v>300</v>
      </c>
      <c r="G2447" s="57" t="s">
        <v>530</v>
      </c>
      <c r="H2447" s="140" t="s">
        <v>4092</v>
      </c>
      <c r="I2447" s="57"/>
      <c r="J2447" s="165">
        <f t="shared" si="206"/>
        <v>143.39622641509433</v>
      </c>
      <c r="K2447" s="57">
        <v>106</v>
      </c>
      <c r="L2447" s="164">
        <v>15200</v>
      </c>
    </row>
    <row r="2448" spans="2:12" x14ac:dyDescent="0.3">
      <c r="B2448" s="57">
        <f t="shared" si="204"/>
        <v>2445</v>
      </c>
      <c r="C2448" s="149">
        <v>46205</v>
      </c>
      <c r="D2448" s="57" t="s">
        <v>968</v>
      </c>
      <c r="E2448" s="57" t="s">
        <v>146</v>
      </c>
      <c r="F2448" s="57" t="s">
        <v>300</v>
      </c>
      <c r="G2448" s="57" t="s">
        <v>498</v>
      </c>
      <c r="H2448" s="140" t="s">
        <v>3075</v>
      </c>
      <c r="I2448" s="57"/>
      <c r="J2448" s="165">
        <f t="shared" si="206"/>
        <v>23.584905660377359</v>
      </c>
      <c r="K2448" s="57">
        <v>106</v>
      </c>
      <c r="L2448" s="164">
        <v>2500</v>
      </c>
    </row>
    <row r="2449" spans="2:12" x14ac:dyDescent="0.3">
      <c r="B2449" s="57">
        <f t="shared" si="204"/>
        <v>2446</v>
      </c>
      <c r="C2449" s="149">
        <v>46205</v>
      </c>
      <c r="D2449" s="57" t="s">
        <v>968</v>
      </c>
      <c r="E2449" s="57" t="s">
        <v>595</v>
      </c>
      <c r="F2449" s="57" t="s">
        <v>300</v>
      </c>
      <c r="G2449" s="57" t="s">
        <v>616</v>
      </c>
      <c r="H2449" s="140" t="s">
        <v>3076</v>
      </c>
      <c r="I2449" s="57"/>
      <c r="J2449" s="57"/>
      <c r="L2449" s="164">
        <v>400</v>
      </c>
    </row>
    <row r="2450" spans="2:12" x14ac:dyDescent="0.3">
      <c r="B2450" s="57">
        <f t="shared" si="204"/>
        <v>2447</v>
      </c>
      <c r="C2450" s="149">
        <v>46205</v>
      </c>
      <c r="D2450" s="57" t="s">
        <v>968</v>
      </c>
      <c r="E2450" s="57" t="s">
        <v>2427</v>
      </c>
      <c r="F2450" s="57" t="s">
        <v>446</v>
      </c>
      <c r="G2450" s="57" t="s">
        <v>352</v>
      </c>
      <c r="H2450" s="140" t="s">
        <v>3077</v>
      </c>
      <c r="I2450" s="57"/>
      <c r="J2450" s="57"/>
      <c r="L2450" s="164">
        <v>58850</v>
      </c>
    </row>
    <row r="2451" spans="2:12" x14ac:dyDescent="0.3">
      <c r="B2451" s="57">
        <f t="shared" si="204"/>
        <v>2448</v>
      </c>
      <c r="C2451" s="149">
        <v>46205</v>
      </c>
      <c r="D2451" s="57" t="s">
        <v>968</v>
      </c>
      <c r="E2451" s="57" t="s">
        <v>522</v>
      </c>
      <c r="F2451" s="78" t="s">
        <v>350</v>
      </c>
      <c r="G2451" s="57" t="s">
        <v>2350</v>
      </c>
      <c r="H2451" s="140" t="s">
        <v>3078</v>
      </c>
      <c r="I2451" s="57"/>
      <c r="J2451" s="57"/>
      <c r="L2451" s="164">
        <v>2200</v>
      </c>
    </row>
    <row r="2452" spans="2:12" x14ac:dyDescent="0.3">
      <c r="B2452" s="57">
        <f t="shared" si="204"/>
        <v>2449</v>
      </c>
      <c r="C2452" s="149">
        <v>46205</v>
      </c>
      <c r="D2452" s="57" t="s">
        <v>968</v>
      </c>
      <c r="E2452" s="57" t="s">
        <v>434</v>
      </c>
      <c r="F2452" s="57" t="s">
        <v>350</v>
      </c>
      <c r="G2452" s="57" t="s">
        <v>675</v>
      </c>
      <c r="H2452" s="140" t="s">
        <v>3081</v>
      </c>
      <c r="I2452" s="57"/>
      <c r="J2452" s="57"/>
      <c r="L2452" s="164">
        <v>2985</v>
      </c>
    </row>
    <row r="2453" spans="2:12" x14ac:dyDescent="0.3">
      <c r="B2453" s="57">
        <f t="shared" si="204"/>
        <v>2450</v>
      </c>
      <c r="C2453" s="149">
        <v>46205</v>
      </c>
      <c r="D2453" s="57" t="s">
        <v>968</v>
      </c>
      <c r="E2453" s="57" t="s">
        <v>460</v>
      </c>
      <c r="F2453" s="57" t="s">
        <v>350</v>
      </c>
      <c r="G2453" s="57" t="s">
        <v>663</v>
      </c>
      <c r="H2453" s="140" t="s">
        <v>3079</v>
      </c>
      <c r="I2453" s="57" t="s">
        <v>460</v>
      </c>
      <c r="J2453" s="57">
        <v>10</v>
      </c>
      <c r="K2453" s="57">
        <v>90</v>
      </c>
      <c r="L2453" s="164">
        <f t="shared" si="201"/>
        <v>900</v>
      </c>
    </row>
    <row r="2454" spans="2:12" x14ac:dyDescent="0.3">
      <c r="B2454" s="57">
        <f t="shared" si="204"/>
        <v>2451</v>
      </c>
      <c r="C2454" s="149">
        <v>46205</v>
      </c>
      <c r="D2454" s="57" t="s">
        <v>968</v>
      </c>
      <c r="E2454" s="57" t="s">
        <v>481</v>
      </c>
      <c r="F2454" s="57" t="s">
        <v>300</v>
      </c>
      <c r="G2454" s="57" t="s">
        <v>530</v>
      </c>
      <c r="H2454" s="140" t="s">
        <v>3080</v>
      </c>
      <c r="I2454" s="57" t="s">
        <v>481</v>
      </c>
      <c r="J2454" s="57">
        <v>35</v>
      </c>
      <c r="K2454" s="57">
        <v>50</v>
      </c>
      <c r="L2454" s="164">
        <f t="shared" si="201"/>
        <v>1750</v>
      </c>
    </row>
    <row r="2455" spans="2:12" x14ac:dyDescent="0.3">
      <c r="B2455" s="57">
        <f t="shared" si="204"/>
        <v>2452</v>
      </c>
      <c r="C2455" s="149">
        <v>46205</v>
      </c>
      <c r="D2455" s="57" t="s">
        <v>968</v>
      </c>
      <c r="E2455" s="57" t="s">
        <v>574</v>
      </c>
      <c r="F2455" s="57" t="s">
        <v>546</v>
      </c>
      <c r="G2455" s="57" t="s">
        <v>999</v>
      </c>
      <c r="H2455" s="140" t="s">
        <v>3082</v>
      </c>
      <c r="I2455" s="140" t="s">
        <v>2635</v>
      </c>
      <c r="J2455" s="57">
        <v>4.21</v>
      </c>
      <c r="K2455" s="168">
        <f>L2455/J2455</f>
        <v>574.82185273159143</v>
      </c>
      <c r="L2455" s="164">
        <v>2420</v>
      </c>
    </row>
    <row r="2456" spans="2:12" x14ac:dyDescent="0.3">
      <c r="B2456" s="57">
        <f t="shared" si="204"/>
        <v>2453</v>
      </c>
      <c r="C2456" s="149">
        <v>46205</v>
      </c>
      <c r="D2456" s="57" t="s">
        <v>968</v>
      </c>
      <c r="E2456" s="57" t="s">
        <v>574</v>
      </c>
      <c r="F2456" s="57" t="s">
        <v>546</v>
      </c>
      <c r="G2456" s="57" t="s">
        <v>999</v>
      </c>
      <c r="H2456" s="140" t="s">
        <v>3083</v>
      </c>
      <c r="I2456" s="140" t="s">
        <v>4081</v>
      </c>
      <c r="J2456" s="57">
        <v>4.1500000000000004</v>
      </c>
      <c r="K2456" s="57">
        <v>600</v>
      </c>
      <c r="L2456" s="164">
        <v>2490</v>
      </c>
    </row>
    <row r="2457" spans="2:12" x14ac:dyDescent="0.3">
      <c r="B2457" s="57">
        <f t="shared" si="204"/>
        <v>2454</v>
      </c>
      <c r="C2457" s="149">
        <v>46205</v>
      </c>
      <c r="D2457" s="57" t="s">
        <v>968</v>
      </c>
      <c r="E2457" s="57" t="s">
        <v>434</v>
      </c>
      <c r="F2457" s="57" t="s">
        <v>300</v>
      </c>
      <c r="G2457" s="57" t="s">
        <v>530</v>
      </c>
      <c r="H2457" s="140" t="s">
        <v>3084</v>
      </c>
      <c r="I2457" s="57"/>
      <c r="J2457" s="57"/>
      <c r="L2457" s="164">
        <v>20000</v>
      </c>
    </row>
    <row r="2458" spans="2:12" x14ac:dyDescent="0.3">
      <c r="B2458" s="57">
        <f t="shared" si="204"/>
        <v>2455</v>
      </c>
      <c r="C2458" s="149">
        <v>46205</v>
      </c>
      <c r="D2458" s="57" t="s">
        <v>968</v>
      </c>
      <c r="E2458" s="57" t="s">
        <v>4128</v>
      </c>
      <c r="F2458" s="57" t="s">
        <v>300</v>
      </c>
      <c r="G2458" s="57" t="s">
        <v>530</v>
      </c>
      <c r="H2458" s="140" t="s">
        <v>3085</v>
      </c>
      <c r="I2458" s="57"/>
      <c r="J2458" s="57"/>
      <c r="L2458" s="164">
        <v>9250</v>
      </c>
    </row>
    <row r="2459" spans="2:12" x14ac:dyDescent="0.3">
      <c r="B2459" s="57">
        <f t="shared" si="204"/>
        <v>2456</v>
      </c>
      <c r="C2459" s="149">
        <v>46205</v>
      </c>
      <c r="D2459" s="57" t="s">
        <v>968</v>
      </c>
      <c r="E2459" s="57" t="s">
        <v>4128</v>
      </c>
      <c r="F2459" s="57" t="s">
        <v>446</v>
      </c>
      <c r="G2459" s="57" t="s">
        <v>313</v>
      </c>
      <c r="H2459" s="140" t="s">
        <v>3086</v>
      </c>
      <c r="I2459" s="57"/>
      <c r="J2459" s="57"/>
      <c r="L2459" s="164">
        <v>7900</v>
      </c>
    </row>
    <row r="2460" spans="2:12" x14ac:dyDescent="0.3">
      <c r="B2460" s="57">
        <f t="shared" si="204"/>
        <v>2457</v>
      </c>
      <c r="C2460" s="149">
        <v>46205</v>
      </c>
      <c r="D2460" s="57" t="s">
        <v>968</v>
      </c>
      <c r="E2460" s="57" t="s">
        <v>532</v>
      </c>
      <c r="F2460" s="57" t="s">
        <v>446</v>
      </c>
      <c r="G2460" s="57" t="s">
        <v>313</v>
      </c>
      <c r="H2460" s="140" t="s">
        <v>3093</v>
      </c>
      <c r="I2460" s="57" t="s">
        <v>532</v>
      </c>
      <c r="J2460" s="57">
        <v>12</v>
      </c>
      <c r="K2460" s="168">
        <f>L2460/J2460</f>
        <v>266.66666666666669</v>
      </c>
      <c r="L2460" s="164">
        <v>3200</v>
      </c>
    </row>
    <row r="2461" spans="2:12" x14ac:dyDescent="0.3">
      <c r="B2461" s="57">
        <f t="shared" si="204"/>
        <v>2458</v>
      </c>
      <c r="C2461" s="149">
        <v>46205</v>
      </c>
      <c r="D2461" s="57" t="s">
        <v>968</v>
      </c>
      <c r="E2461" s="57" t="s">
        <v>532</v>
      </c>
      <c r="F2461" s="57" t="s">
        <v>300</v>
      </c>
      <c r="G2461" s="57" t="s">
        <v>2327</v>
      </c>
      <c r="H2461" s="140" t="s">
        <v>3087</v>
      </c>
      <c r="I2461" s="57" t="s">
        <v>532</v>
      </c>
      <c r="J2461" s="57">
        <v>4</v>
      </c>
      <c r="K2461" s="167">
        <f>L2461/J2461</f>
        <v>300</v>
      </c>
      <c r="L2461" s="164">
        <v>1200</v>
      </c>
    </row>
    <row r="2462" spans="2:12" x14ac:dyDescent="0.3">
      <c r="B2462" s="57">
        <f t="shared" si="204"/>
        <v>2459</v>
      </c>
      <c r="C2462" s="149">
        <v>46205</v>
      </c>
      <c r="D2462" s="57" t="s">
        <v>968</v>
      </c>
      <c r="E2462" s="57" t="s">
        <v>434</v>
      </c>
      <c r="F2462" s="57" t="s">
        <v>2332</v>
      </c>
      <c r="G2462" s="57" t="s">
        <v>1004</v>
      </c>
      <c r="H2462" s="140" t="s">
        <v>3088</v>
      </c>
      <c r="I2462" s="57"/>
      <c r="J2462" s="57"/>
      <c r="L2462" s="164">
        <v>1400</v>
      </c>
    </row>
    <row r="2463" spans="2:12" x14ac:dyDescent="0.3">
      <c r="B2463" s="57">
        <f t="shared" si="204"/>
        <v>2460</v>
      </c>
      <c r="C2463" s="149">
        <v>46205</v>
      </c>
      <c r="D2463" s="57" t="s">
        <v>968</v>
      </c>
      <c r="E2463" s="57" t="s">
        <v>434</v>
      </c>
      <c r="F2463" s="57" t="s">
        <v>2332</v>
      </c>
      <c r="G2463" s="57" t="s">
        <v>1004</v>
      </c>
      <c r="H2463" s="140" t="s">
        <v>3089</v>
      </c>
      <c r="I2463" s="57"/>
      <c r="J2463" s="57"/>
      <c r="L2463" s="164">
        <v>1200</v>
      </c>
    </row>
    <row r="2464" spans="2:12" x14ac:dyDescent="0.3">
      <c r="B2464" s="57">
        <f t="shared" si="204"/>
        <v>2461</v>
      </c>
      <c r="C2464" s="149">
        <v>46205</v>
      </c>
      <c r="D2464" s="57" t="s">
        <v>968</v>
      </c>
      <c r="E2464" s="57" t="s">
        <v>146</v>
      </c>
      <c r="F2464" s="57" t="s">
        <v>300</v>
      </c>
      <c r="G2464" s="57" t="s">
        <v>498</v>
      </c>
      <c r="H2464" s="140" t="s">
        <v>3090</v>
      </c>
      <c r="I2464" s="57"/>
      <c r="J2464" s="165">
        <f t="shared" ref="J2464:J2465" si="207">L2464/K2464</f>
        <v>18.867924528301888</v>
      </c>
      <c r="K2464" s="57">
        <v>106</v>
      </c>
      <c r="L2464" s="164">
        <v>2000</v>
      </c>
    </row>
    <row r="2465" spans="2:12" x14ac:dyDescent="0.3">
      <c r="B2465" s="57">
        <f t="shared" si="204"/>
        <v>2462</v>
      </c>
      <c r="C2465" s="149">
        <v>46206</v>
      </c>
      <c r="D2465" s="57" t="s">
        <v>968</v>
      </c>
      <c r="E2465" s="57" t="s">
        <v>146</v>
      </c>
      <c r="F2465" s="57" t="s">
        <v>446</v>
      </c>
      <c r="G2465" s="57" t="s">
        <v>313</v>
      </c>
      <c r="H2465" s="140" t="s">
        <v>4089</v>
      </c>
      <c r="I2465" s="57"/>
      <c r="J2465" s="165">
        <f t="shared" si="207"/>
        <v>14.235849056603774</v>
      </c>
      <c r="K2465" s="57">
        <v>106</v>
      </c>
      <c r="L2465" s="164">
        <v>1509</v>
      </c>
    </row>
    <row r="2466" spans="2:12" x14ac:dyDescent="0.3">
      <c r="B2466" s="57">
        <f t="shared" si="204"/>
        <v>2463</v>
      </c>
      <c r="C2466" s="149">
        <v>46206</v>
      </c>
      <c r="D2466" s="57" t="s">
        <v>968</v>
      </c>
      <c r="E2466" s="57" t="s">
        <v>532</v>
      </c>
      <c r="F2466" s="57" t="s">
        <v>2332</v>
      </c>
      <c r="G2466" s="57" t="s">
        <v>1004</v>
      </c>
      <c r="H2466" s="140" t="s">
        <v>3091</v>
      </c>
      <c r="I2466" s="57" t="s">
        <v>532</v>
      </c>
      <c r="J2466" s="57">
        <v>2</v>
      </c>
      <c r="K2466" s="167">
        <f>L2466/J2466</f>
        <v>300</v>
      </c>
      <c r="L2466" s="164">
        <v>600</v>
      </c>
    </row>
    <row r="2467" spans="2:12" x14ac:dyDescent="0.3">
      <c r="B2467" s="57">
        <f t="shared" si="204"/>
        <v>2464</v>
      </c>
      <c r="C2467" s="149">
        <v>46206</v>
      </c>
      <c r="D2467" s="57" t="s">
        <v>968</v>
      </c>
      <c r="E2467" s="57" t="s">
        <v>532</v>
      </c>
      <c r="F2467" s="57" t="s">
        <v>300</v>
      </c>
      <c r="G2467" s="57" t="s">
        <v>530</v>
      </c>
      <c r="H2467" s="140" t="s">
        <v>3092</v>
      </c>
      <c r="I2467" s="57" t="s">
        <v>532</v>
      </c>
      <c r="J2467" s="57">
        <v>100</v>
      </c>
      <c r="K2467" s="167">
        <f>L2467/J2467</f>
        <v>260</v>
      </c>
      <c r="L2467" s="164">
        <v>26000</v>
      </c>
    </row>
    <row r="2468" spans="2:12" x14ac:dyDescent="0.3">
      <c r="B2468" s="57">
        <f t="shared" si="204"/>
        <v>2465</v>
      </c>
      <c r="C2468" s="149">
        <v>46206</v>
      </c>
      <c r="D2468" s="57" t="s">
        <v>968</v>
      </c>
      <c r="E2468" s="57" t="s">
        <v>146</v>
      </c>
      <c r="F2468" s="57" t="s">
        <v>300</v>
      </c>
      <c r="G2468" s="57" t="s">
        <v>530</v>
      </c>
      <c r="H2468" s="140" t="s">
        <v>4112</v>
      </c>
      <c r="I2468" s="57" t="s">
        <v>146</v>
      </c>
      <c r="J2468" s="165">
        <f t="shared" ref="J2468:J2469" si="208">L2468/K2468</f>
        <v>28.30188679245283</v>
      </c>
      <c r="K2468" s="57">
        <v>106</v>
      </c>
      <c r="L2468" s="164">
        <v>3000</v>
      </c>
    </row>
    <row r="2469" spans="2:12" x14ac:dyDescent="0.3">
      <c r="B2469" s="57">
        <f t="shared" si="204"/>
        <v>2466</v>
      </c>
      <c r="C2469" s="149">
        <v>46206</v>
      </c>
      <c r="D2469" s="57" t="s">
        <v>968</v>
      </c>
      <c r="E2469" s="57" t="s">
        <v>146</v>
      </c>
      <c r="F2469" s="57" t="s">
        <v>300</v>
      </c>
      <c r="G2469" s="57" t="s">
        <v>2331</v>
      </c>
      <c r="H2469" s="140" t="s">
        <v>4105</v>
      </c>
      <c r="I2469" s="57"/>
      <c r="J2469" s="165">
        <f t="shared" si="208"/>
        <v>49.056603773584904</v>
      </c>
      <c r="K2469" s="57">
        <v>106</v>
      </c>
      <c r="L2469" s="164">
        <v>5200</v>
      </c>
    </row>
    <row r="2470" spans="2:12" x14ac:dyDescent="0.3">
      <c r="B2470" s="57">
        <f t="shared" si="204"/>
        <v>2467</v>
      </c>
      <c r="C2470" s="149">
        <v>46206</v>
      </c>
      <c r="D2470" s="57" t="s">
        <v>968</v>
      </c>
      <c r="E2470" s="57" t="s">
        <v>532</v>
      </c>
      <c r="F2470" s="57" t="s">
        <v>446</v>
      </c>
      <c r="G2470" s="57" t="s">
        <v>572</v>
      </c>
      <c r="H2470" s="140" t="s">
        <v>3105</v>
      </c>
      <c r="I2470" s="57" t="s">
        <v>532</v>
      </c>
      <c r="J2470" s="57">
        <v>10</v>
      </c>
      <c r="K2470" s="167">
        <f>L2470/J2470</f>
        <v>275</v>
      </c>
      <c r="L2470" s="164">
        <v>2750</v>
      </c>
    </row>
    <row r="2471" spans="2:12" x14ac:dyDescent="0.3">
      <c r="B2471" s="57">
        <f t="shared" si="204"/>
        <v>2468</v>
      </c>
      <c r="C2471" s="149">
        <v>46206</v>
      </c>
      <c r="D2471" s="57" t="s">
        <v>968</v>
      </c>
      <c r="E2471" s="57" t="s">
        <v>146</v>
      </c>
      <c r="F2471" s="57" t="s">
        <v>300</v>
      </c>
      <c r="G2471" s="57" t="s">
        <v>530</v>
      </c>
      <c r="H2471" s="140" t="s">
        <v>4115</v>
      </c>
      <c r="I2471" s="57"/>
      <c r="J2471" s="165">
        <f t="shared" ref="J2471:J2472" si="209">L2471/K2471</f>
        <v>37.386792452830186</v>
      </c>
      <c r="K2471" s="57">
        <v>106</v>
      </c>
      <c r="L2471" s="164">
        <v>3963</v>
      </c>
    </row>
    <row r="2472" spans="2:12" x14ac:dyDescent="0.3">
      <c r="B2472" s="57">
        <f t="shared" si="204"/>
        <v>2469</v>
      </c>
      <c r="C2472" s="149">
        <v>46206</v>
      </c>
      <c r="D2472" s="57" t="s">
        <v>968</v>
      </c>
      <c r="E2472" s="57" t="s">
        <v>146</v>
      </c>
      <c r="F2472" s="57" t="s">
        <v>300</v>
      </c>
      <c r="G2472" s="57" t="s">
        <v>530</v>
      </c>
      <c r="H2472" s="140" t="s">
        <v>4095</v>
      </c>
      <c r="I2472" s="57"/>
      <c r="J2472" s="165">
        <f t="shared" si="209"/>
        <v>41.462264150943398</v>
      </c>
      <c r="K2472" s="57">
        <v>106</v>
      </c>
      <c r="L2472" s="164">
        <v>4395</v>
      </c>
    </row>
    <row r="2473" spans="2:12" x14ac:dyDescent="0.3">
      <c r="B2473" s="57">
        <f t="shared" si="204"/>
        <v>2470</v>
      </c>
      <c r="C2473" s="149">
        <v>46206</v>
      </c>
      <c r="D2473" s="57" t="s">
        <v>968</v>
      </c>
      <c r="E2473" s="57" t="s">
        <v>532</v>
      </c>
      <c r="F2473" s="57" t="s">
        <v>446</v>
      </c>
      <c r="G2473" s="57" t="s">
        <v>313</v>
      </c>
      <c r="H2473" s="140" t="s">
        <v>3106</v>
      </c>
      <c r="I2473" s="57" t="s">
        <v>532</v>
      </c>
      <c r="J2473" s="57">
        <v>15</v>
      </c>
      <c r="K2473" s="167">
        <f>L2473/J2473</f>
        <v>264</v>
      </c>
      <c r="L2473" s="164">
        <v>3960</v>
      </c>
    </row>
    <row r="2474" spans="2:12" x14ac:dyDescent="0.3">
      <c r="B2474" s="57">
        <f t="shared" si="204"/>
        <v>2471</v>
      </c>
      <c r="C2474" s="149">
        <v>46206</v>
      </c>
      <c r="D2474" s="57" t="s">
        <v>968</v>
      </c>
      <c r="E2474" s="57" t="s">
        <v>146</v>
      </c>
      <c r="F2474" s="57" t="s">
        <v>546</v>
      </c>
      <c r="G2474" s="57" t="s">
        <v>545</v>
      </c>
      <c r="H2474" s="140" t="s">
        <v>3107</v>
      </c>
      <c r="I2474" s="57"/>
      <c r="J2474" s="165">
        <f>L2474/K2474</f>
        <v>9.8207547169811313</v>
      </c>
      <c r="K2474" s="57">
        <v>106</v>
      </c>
      <c r="L2474" s="164">
        <v>1041</v>
      </c>
    </row>
    <row r="2475" spans="2:12" x14ac:dyDescent="0.3">
      <c r="B2475" s="57">
        <f t="shared" si="204"/>
        <v>2472</v>
      </c>
      <c r="C2475" s="149">
        <v>46206</v>
      </c>
      <c r="D2475" s="57" t="s">
        <v>968</v>
      </c>
      <c r="E2475" s="57" t="s">
        <v>767</v>
      </c>
      <c r="F2475" s="57" t="s">
        <v>546</v>
      </c>
      <c r="G2475" s="57" t="s">
        <v>545</v>
      </c>
      <c r="H2475" s="140" t="s">
        <v>3126</v>
      </c>
      <c r="I2475" s="57"/>
      <c r="J2475" s="57"/>
      <c r="L2475" s="164">
        <v>300</v>
      </c>
    </row>
    <row r="2476" spans="2:12" x14ac:dyDescent="0.3">
      <c r="B2476" s="57">
        <f t="shared" si="204"/>
        <v>2473</v>
      </c>
      <c r="C2476" s="149">
        <v>46206</v>
      </c>
      <c r="D2476" s="57" t="s">
        <v>968</v>
      </c>
      <c r="E2476" s="57" t="s">
        <v>767</v>
      </c>
      <c r="F2476" s="57" t="s">
        <v>546</v>
      </c>
      <c r="G2476" s="57" t="s">
        <v>545</v>
      </c>
      <c r="H2476" s="140" t="s">
        <v>3127</v>
      </c>
      <c r="I2476" s="57"/>
      <c r="J2476" s="57"/>
      <c r="L2476" s="164">
        <v>200</v>
      </c>
    </row>
    <row r="2477" spans="2:12" x14ac:dyDescent="0.3">
      <c r="B2477" s="57">
        <f t="shared" si="204"/>
        <v>2474</v>
      </c>
      <c r="C2477" s="149">
        <v>46206</v>
      </c>
      <c r="D2477" s="57" t="s">
        <v>968</v>
      </c>
      <c r="E2477" s="57" t="s">
        <v>532</v>
      </c>
      <c r="F2477" s="57" t="s">
        <v>546</v>
      </c>
      <c r="G2477" s="57" t="s">
        <v>545</v>
      </c>
      <c r="H2477" s="140" t="s">
        <v>3128</v>
      </c>
      <c r="I2477" s="57" t="s">
        <v>532</v>
      </c>
      <c r="J2477" s="57">
        <v>2</v>
      </c>
      <c r="K2477" s="167">
        <f>L2477/J2477</f>
        <v>260</v>
      </c>
      <c r="L2477" s="164">
        <v>520</v>
      </c>
    </row>
    <row r="2478" spans="2:12" x14ac:dyDescent="0.3">
      <c r="B2478" s="57">
        <f t="shared" si="204"/>
        <v>2475</v>
      </c>
      <c r="C2478" s="149">
        <v>46206</v>
      </c>
      <c r="D2478" s="57" t="s">
        <v>968</v>
      </c>
      <c r="E2478" s="57" t="s">
        <v>532</v>
      </c>
      <c r="F2478" s="57" t="s">
        <v>546</v>
      </c>
      <c r="G2478" s="57" t="s">
        <v>545</v>
      </c>
      <c r="H2478" s="140" t="s">
        <v>3129</v>
      </c>
      <c r="I2478" s="57" t="s">
        <v>532</v>
      </c>
      <c r="J2478" s="57">
        <v>5</v>
      </c>
      <c r="K2478" s="167">
        <f>L2478/J2478</f>
        <v>260</v>
      </c>
      <c r="L2478" s="164">
        <v>1300</v>
      </c>
    </row>
    <row r="2479" spans="2:12" x14ac:dyDescent="0.3">
      <c r="B2479" s="57">
        <f t="shared" si="204"/>
        <v>2476</v>
      </c>
      <c r="C2479" s="149">
        <v>46206</v>
      </c>
      <c r="D2479" s="57" t="s">
        <v>968</v>
      </c>
      <c r="E2479" s="57" t="s">
        <v>237</v>
      </c>
      <c r="F2479" s="57" t="s">
        <v>546</v>
      </c>
      <c r="G2479" s="57" t="s">
        <v>545</v>
      </c>
      <c r="H2479" s="140" t="s">
        <v>3130</v>
      </c>
      <c r="I2479" s="57"/>
      <c r="J2479" s="57">
        <v>30</v>
      </c>
      <c r="K2479" s="57">
        <v>130</v>
      </c>
      <c r="L2479" s="164">
        <f t="shared" si="201"/>
        <v>3900</v>
      </c>
    </row>
    <row r="2480" spans="2:12" x14ac:dyDescent="0.3">
      <c r="B2480" s="57">
        <f t="shared" si="204"/>
        <v>2477</v>
      </c>
      <c r="C2480" s="149">
        <v>46206</v>
      </c>
      <c r="D2480" s="57" t="s">
        <v>968</v>
      </c>
      <c r="E2480" s="57" t="s">
        <v>434</v>
      </c>
      <c r="F2480" s="57" t="s">
        <v>621</v>
      </c>
      <c r="G2480" s="57" t="s">
        <v>345</v>
      </c>
      <c r="H2480" s="140" t="s">
        <v>3108</v>
      </c>
      <c r="I2480" s="57"/>
      <c r="J2480" s="57"/>
      <c r="L2480" s="164">
        <v>4900</v>
      </c>
    </row>
    <row r="2481" spans="2:12" x14ac:dyDescent="0.3">
      <c r="B2481" s="57">
        <f t="shared" si="204"/>
        <v>2478</v>
      </c>
      <c r="C2481" s="149">
        <v>46206</v>
      </c>
      <c r="D2481" s="57" t="s">
        <v>968</v>
      </c>
      <c r="E2481" s="57" t="s">
        <v>434</v>
      </c>
      <c r="F2481" s="57" t="s">
        <v>502</v>
      </c>
      <c r="G2481" s="57" t="s">
        <v>2344</v>
      </c>
      <c r="H2481" s="140" t="s">
        <v>3109</v>
      </c>
      <c r="I2481" s="57"/>
      <c r="J2481" s="57"/>
      <c r="L2481" s="164">
        <v>2000</v>
      </c>
    </row>
    <row r="2482" spans="2:12" x14ac:dyDescent="0.3">
      <c r="B2482" s="57">
        <f t="shared" si="204"/>
        <v>2479</v>
      </c>
      <c r="C2482" s="149">
        <v>46206</v>
      </c>
      <c r="D2482" s="57" t="s">
        <v>968</v>
      </c>
      <c r="E2482" s="57" t="s">
        <v>434</v>
      </c>
      <c r="F2482" s="57" t="s">
        <v>502</v>
      </c>
      <c r="G2482" s="57" t="s">
        <v>257</v>
      </c>
      <c r="H2482" s="140" t="s">
        <v>3110</v>
      </c>
      <c r="I2482" s="57"/>
      <c r="J2482" s="57"/>
      <c r="L2482" s="164">
        <v>1540</v>
      </c>
    </row>
    <row r="2483" spans="2:12" x14ac:dyDescent="0.3">
      <c r="B2483" s="57">
        <f t="shared" si="204"/>
        <v>2480</v>
      </c>
      <c r="C2483" s="149">
        <v>46206</v>
      </c>
      <c r="D2483" s="57" t="s">
        <v>968</v>
      </c>
      <c r="E2483" s="57" t="s">
        <v>434</v>
      </c>
      <c r="F2483" s="57" t="s">
        <v>300</v>
      </c>
      <c r="G2483" s="57" t="s">
        <v>530</v>
      </c>
      <c r="H2483" s="140" t="s">
        <v>3111</v>
      </c>
      <c r="I2483" s="57"/>
      <c r="J2483" s="57"/>
      <c r="L2483" s="164">
        <v>4500</v>
      </c>
    </row>
    <row r="2484" spans="2:12" x14ac:dyDescent="0.3">
      <c r="B2484" s="57">
        <f t="shared" si="204"/>
        <v>2481</v>
      </c>
      <c r="C2484" s="149">
        <v>46206</v>
      </c>
      <c r="D2484" s="57" t="s">
        <v>968</v>
      </c>
      <c r="E2484" s="57" t="s">
        <v>2022</v>
      </c>
      <c r="F2484" s="57" t="s">
        <v>300</v>
      </c>
      <c r="G2484" s="57" t="s">
        <v>530</v>
      </c>
      <c r="H2484" s="140" t="s">
        <v>3112</v>
      </c>
      <c r="I2484" s="57"/>
      <c r="J2484" s="57"/>
      <c r="L2484" s="164">
        <v>4500</v>
      </c>
    </row>
    <row r="2485" spans="2:12" x14ac:dyDescent="0.3">
      <c r="B2485" s="57">
        <f t="shared" si="204"/>
        <v>2482</v>
      </c>
      <c r="C2485" s="149">
        <v>46206</v>
      </c>
      <c r="D2485" s="57" t="s">
        <v>968</v>
      </c>
      <c r="E2485" s="57" t="s">
        <v>2765</v>
      </c>
      <c r="F2485" s="57" t="s">
        <v>261</v>
      </c>
      <c r="G2485" s="57" t="s">
        <v>626</v>
      </c>
      <c r="H2485" s="140" t="s">
        <v>3113</v>
      </c>
      <c r="I2485" s="57"/>
      <c r="J2485" s="57"/>
      <c r="L2485" s="164">
        <v>3000</v>
      </c>
    </row>
    <row r="2486" spans="2:12" x14ac:dyDescent="0.3">
      <c r="B2486" s="57">
        <f t="shared" si="204"/>
        <v>2483</v>
      </c>
      <c r="C2486" s="149">
        <v>46207</v>
      </c>
      <c r="D2486" s="57" t="s">
        <v>968</v>
      </c>
      <c r="E2486" s="57" t="s">
        <v>146</v>
      </c>
      <c r="F2486" s="57" t="s">
        <v>350</v>
      </c>
      <c r="G2486" s="57" t="s">
        <v>701</v>
      </c>
      <c r="H2486" s="140" t="s">
        <v>3114</v>
      </c>
      <c r="I2486" s="57"/>
      <c r="J2486" s="165">
        <f>L2486/K2486</f>
        <v>28.30188679245283</v>
      </c>
      <c r="K2486" s="57">
        <v>106</v>
      </c>
      <c r="L2486" s="164">
        <v>3000</v>
      </c>
    </row>
    <row r="2487" spans="2:12" x14ac:dyDescent="0.3">
      <c r="B2487" s="57">
        <f t="shared" si="204"/>
        <v>2484</v>
      </c>
      <c r="C2487" s="149">
        <v>46207</v>
      </c>
      <c r="D2487" s="57" t="s">
        <v>968</v>
      </c>
      <c r="E2487" s="57" t="s">
        <v>434</v>
      </c>
      <c r="F2487" s="57" t="s">
        <v>350</v>
      </c>
      <c r="G2487" s="57" t="s">
        <v>675</v>
      </c>
      <c r="H2487" s="140" t="s">
        <v>3115</v>
      </c>
      <c r="I2487" s="57"/>
      <c r="J2487" s="57"/>
      <c r="L2487" s="164">
        <v>3000</v>
      </c>
    </row>
    <row r="2488" spans="2:12" x14ac:dyDescent="0.3">
      <c r="B2488" s="57">
        <f t="shared" si="204"/>
        <v>2485</v>
      </c>
      <c r="C2488" s="149">
        <v>46207</v>
      </c>
      <c r="D2488" s="57" t="s">
        <v>968</v>
      </c>
      <c r="E2488" s="57" t="s">
        <v>146</v>
      </c>
      <c r="F2488" s="57" t="s">
        <v>502</v>
      </c>
      <c r="G2488" s="57" t="s">
        <v>257</v>
      </c>
      <c r="H2488" s="140" t="s">
        <v>4100</v>
      </c>
      <c r="I2488" s="57"/>
      <c r="J2488" s="165">
        <f t="shared" ref="J2488:J2489" si="210">L2488/K2488</f>
        <v>28.30188679245283</v>
      </c>
      <c r="K2488" s="57">
        <v>106</v>
      </c>
      <c r="L2488" s="164">
        <v>3000</v>
      </c>
    </row>
    <row r="2489" spans="2:12" x14ac:dyDescent="0.3">
      <c r="B2489" s="57">
        <f t="shared" si="204"/>
        <v>2486</v>
      </c>
      <c r="C2489" s="149">
        <v>46207</v>
      </c>
      <c r="D2489" s="57" t="s">
        <v>968</v>
      </c>
      <c r="E2489" s="57" t="s">
        <v>146</v>
      </c>
      <c r="F2489" s="78" t="s">
        <v>350</v>
      </c>
      <c r="G2489" s="57" t="s">
        <v>2350</v>
      </c>
      <c r="H2489" s="140" t="s">
        <v>3116</v>
      </c>
      <c r="I2489" s="57"/>
      <c r="J2489" s="165">
        <f t="shared" si="210"/>
        <v>25.471698113207548</v>
      </c>
      <c r="K2489" s="57">
        <v>106</v>
      </c>
      <c r="L2489" s="164">
        <v>2700</v>
      </c>
    </row>
    <row r="2490" spans="2:12" x14ac:dyDescent="0.3">
      <c r="B2490" s="57">
        <f t="shared" si="204"/>
        <v>2487</v>
      </c>
      <c r="C2490" s="149">
        <v>46207</v>
      </c>
      <c r="D2490" s="57" t="s">
        <v>968</v>
      </c>
      <c r="E2490" s="57" t="s">
        <v>434</v>
      </c>
      <c r="F2490" s="57" t="s">
        <v>436</v>
      </c>
      <c r="G2490" s="57" t="s">
        <v>780</v>
      </c>
      <c r="H2490" s="140" t="s">
        <v>3117</v>
      </c>
      <c r="I2490" s="57"/>
      <c r="J2490" s="57"/>
      <c r="L2490" s="164">
        <v>400</v>
      </c>
    </row>
    <row r="2491" spans="2:12" x14ac:dyDescent="0.3">
      <c r="B2491" s="57">
        <f t="shared" si="204"/>
        <v>2488</v>
      </c>
      <c r="C2491" s="149">
        <v>46207</v>
      </c>
      <c r="D2491" s="57" t="s">
        <v>968</v>
      </c>
      <c r="E2491" s="57" t="s">
        <v>146</v>
      </c>
      <c r="F2491" s="57" t="s">
        <v>446</v>
      </c>
      <c r="G2491" s="57" t="s">
        <v>572</v>
      </c>
      <c r="H2491" s="140" t="s">
        <v>885</v>
      </c>
      <c r="I2491" s="57"/>
      <c r="J2491" s="165">
        <f>L2491/K2491</f>
        <v>28.30188679245283</v>
      </c>
      <c r="K2491" s="57">
        <v>106</v>
      </c>
      <c r="L2491" s="164">
        <v>3000</v>
      </c>
    </row>
    <row r="2492" spans="2:12" x14ac:dyDescent="0.3">
      <c r="B2492" s="57">
        <f t="shared" si="204"/>
        <v>2489</v>
      </c>
      <c r="C2492" s="149">
        <v>46207</v>
      </c>
      <c r="D2492" s="57" t="s">
        <v>968</v>
      </c>
      <c r="E2492" s="57" t="s">
        <v>434</v>
      </c>
      <c r="F2492" s="57" t="s">
        <v>621</v>
      </c>
      <c r="G2492" s="57" t="s">
        <v>345</v>
      </c>
      <c r="H2492" s="140" t="s">
        <v>3118</v>
      </c>
      <c r="I2492" s="57"/>
      <c r="J2492" s="57"/>
      <c r="L2492" s="164">
        <v>9315</v>
      </c>
    </row>
    <row r="2493" spans="2:12" x14ac:dyDescent="0.3">
      <c r="B2493" s="57">
        <f t="shared" si="204"/>
        <v>2490</v>
      </c>
      <c r="C2493" s="149">
        <v>46207</v>
      </c>
      <c r="D2493" s="57" t="s">
        <v>968</v>
      </c>
      <c r="E2493" s="57" t="s">
        <v>3124</v>
      </c>
      <c r="F2493" s="57" t="s">
        <v>446</v>
      </c>
      <c r="G2493" s="57" t="s">
        <v>316</v>
      </c>
      <c r="H2493" s="140" t="s">
        <v>3119</v>
      </c>
      <c r="I2493" s="57"/>
      <c r="J2493" s="57"/>
      <c r="L2493" s="164">
        <v>660</v>
      </c>
    </row>
    <row r="2494" spans="2:12" x14ac:dyDescent="0.3">
      <c r="B2494" s="57">
        <f t="shared" si="204"/>
        <v>2491</v>
      </c>
      <c r="C2494" s="149">
        <v>46207</v>
      </c>
      <c r="D2494" s="57" t="s">
        <v>968</v>
      </c>
      <c r="E2494" s="57" t="s">
        <v>532</v>
      </c>
      <c r="F2494" s="57" t="s">
        <v>446</v>
      </c>
      <c r="G2494" s="57" t="s">
        <v>316</v>
      </c>
      <c r="H2494" s="140" t="s">
        <v>3120</v>
      </c>
      <c r="I2494" s="57" t="s">
        <v>532</v>
      </c>
      <c r="J2494" s="57">
        <v>10</v>
      </c>
      <c r="K2494" s="167">
        <f>L2494/J2494</f>
        <v>280</v>
      </c>
      <c r="L2494" s="164">
        <v>2800</v>
      </c>
    </row>
    <row r="2495" spans="2:12" x14ac:dyDescent="0.3">
      <c r="B2495" s="57">
        <f t="shared" si="204"/>
        <v>2492</v>
      </c>
      <c r="C2495" s="149">
        <v>46207</v>
      </c>
      <c r="D2495" s="57" t="s">
        <v>968</v>
      </c>
      <c r="E2495" s="57" t="s">
        <v>146</v>
      </c>
      <c r="F2495" s="57" t="s">
        <v>2332</v>
      </c>
      <c r="G2495" s="57" t="s">
        <v>1004</v>
      </c>
      <c r="H2495" s="140" t="s">
        <v>4098</v>
      </c>
      <c r="I2495" s="57"/>
      <c r="J2495" s="165">
        <f>L2495/K2495</f>
        <v>28.30188679245283</v>
      </c>
      <c r="K2495" s="57">
        <v>106</v>
      </c>
      <c r="L2495" s="164">
        <v>3000</v>
      </c>
    </row>
    <row r="2496" spans="2:12" x14ac:dyDescent="0.3">
      <c r="B2496" s="57">
        <f t="shared" si="204"/>
        <v>2493</v>
      </c>
      <c r="C2496" s="149">
        <v>46207</v>
      </c>
      <c r="D2496" s="57" t="s">
        <v>968</v>
      </c>
      <c r="E2496" s="57" t="s">
        <v>2027</v>
      </c>
      <c r="F2496" s="57" t="s">
        <v>300</v>
      </c>
      <c r="G2496" s="57" t="s">
        <v>616</v>
      </c>
      <c r="H2496" s="140" t="s">
        <v>3121</v>
      </c>
      <c r="I2496" s="57"/>
      <c r="J2496" s="57"/>
      <c r="L2496" s="164">
        <v>230</v>
      </c>
    </row>
    <row r="2497" spans="2:12" x14ac:dyDescent="0.3">
      <c r="B2497" s="57">
        <f t="shared" si="204"/>
        <v>2494</v>
      </c>
      <c r="C2497" s="149">
        <v>46208</v>
      </c>
      <c r="D2497" s="57" t="s">
        <v>968</v>
      </c>
      <c r="E2497" s="57" t="s">
        <v>146</v>
      </c>
      <c r="F2497" s="57" t="s">
        <v>2332</v>
      </c>
      <c r="G2497" s="57" t="s">
        <v>1004</v>
      </c>
      <c r="H2497" s="140" t="s">
        <v>4094</v>
      </c>
      <c r="I2497" s="57" t="s">
        <v>146</v>
      </c>
      <c r="J2497" s="165">
        <f>L2497/K2497</f>
        <v>51.622641509433961</v>
      </c>
      <c r="K2497" s="57">
        <v>106</v>
      </c>
      <c r="L2497" s="164">
        <v>5472</v>
      </c>
    </row>
    <row r="2498" spans="2:12" x14ac:dyDescent="0.3">
      <c r="B2498" s="57">
        <f t="shared" si="204"/>
        <v>2495</v>
      </c>
      <c r="C2498" s="149">
        <v>46208</v>
      </c>
      <c r="D2498" s="57" t="s">
        <v>968</v>
      </c>
      <c r="E2498" s="57" t="s">
        <v>532</v>
      </c>
      <c r="F2498" s="57" t="s">
        <v>300</v>
      </c>
      <c r="G2498" s="57" t="s">
        <v>572</v>
      </c>
      <c r="H2498" s="140" t="s">
        <v>3162</v>
      </c>
      <c r="I2498" s="57" t="s">
        <v>532</v>
      </c>
      <c r="J2498" s="57">
        <v>20</v>
      </c>
      <c r="K2498" s="167">
        <f>L2498/J2498</f>
        <v>260</v>
      </c>
      <c r="L2498" s="164">
        <v>5200</v>
      </c>
    </row>
    <row r="2499" spans="2:12" x14ac:dyDescent="0.3">
      <c r="B2499" s="57">
        <f t="shared" si="204"/>
        <v>2496</v>
      </c>
      <c r="C2499" s="149">
        <v>46208</v>
      </c>
      <c r="D2499" s="57" t="s">
        <v>968</v>
      </c>
      <c r="E2499" s="57" t="s">
        <v>146</v>
      </c>
      <c r="F2499" s="57" t="s">
        <v>300</v>
      </c>
      <c r="G2499" s="57" t="s">
        <v>530</v>
      </c>
      <c r="H2499" s="140" t="s">
        <v>4092</v>
      </c>
      <c r="I2499" s="57"/>
      <c r="J2499" s="165">
        <f>L2499/K2499</f>
        <v>133.90566037735849</v>
      </c>
      <c r="K2499" s="57">
        <v>106</v>
      </c>
      <c r="L2499" s="164">
        <v>14194</v>
      </c>
    </row>
    <row r="2500" spans="2:12" x14ac:dyDescent="0.3">
      <c r="B2500" s="57">
        <f t="shared" si="204"/>
        <v>2497</v>
      </c>
      <c r="C2500" s="149">
        <v>46208</v>
      </c>
      <c r="D2500" s="57" t="s">
        <v>968</v>
      </c>
      <c r="E2500" s="57" t="s">
        <v>3124</v>
      </c>
      <c r="F2500" s="57" t="s">
        <v>300</v>
      </c>
      <c r="G2500" s="57" t="s">
        <v>530</v>
      </c>
      <c r="H2500" s="140" t="s">
        <v>3163</v>
      </c>
      <c r="I2500" s="57"/>
      <c r="J2500" s="57"/>
      <c r="L2500" s="164">
        <v>7700</v>
      </c>
    </row>
    <row r="2501" spans="2:12" x14ac:dyDescent="0.3">
      <c r="B2501" s="57">
        <f t="shared" si="204"/>
        <v>2498</v>
      </c>
      <c r="C2501" s="149">
        <v>46208</v>
      </c>
      <c r="D2501" s="57" t="s">
        <v>968</v>
      </c>
      <c r="E2501" s="57" t="s">
        <v>146</v>
      </c>
      <c r="F2501" s="57" t="s">
        <v>350</v>
      </c>
      <c r="G2501" s="57" t="s">
        <v>3103</v>
      </c>
      <c r="H2501" s="140" t="s">
        <v>4106</v>
      </c>
      <c r="I2501" s="57"/>
      <c r="J2501" s="165">
        <f t="shared" ref="J2501:J2506" si="211">L2501/K2501</f>
        <v>18.867924528301888</v>
      </c>
      <c r="K2501" s="57">
        <v>106</v>
      </c>
      <c r="L2501" s="164">
        <v>2000</v>
      </c>
    </row>
    <row r="2502" spans="2:12" x14ac:dyDescent="0.3">
      <c r="B2502" s="57">
        <f t="shared" ref="B2502:B2565" si="212">+B2501+1</f>
        <v>2499</v>
      </c>
      <c r="C2502" s="149">
        <v>46208</v>
      </c>
      <c r="D2502" s="57" t="s">
        <v>968</v>
      </c>
      <c r="E2502" s="57" t="s">
        <v>146</v>
      </c>
      <c r="F2502" s="57" t="s">
        <v>300</v>
      </c>
      <c r="G2502" s="57" t="s">
        <v>530</v>
      </c>
      <c r="H2502" s="140" t="s">
        <v>3164</v>
      </c>
      <c r="I2502" s="57"/>
      <c r="J2502" s="165">
        <f t="shared" si="211"/>
        <v>18.867924528301888</v>
      </c>
      <c r="K2502" s="57">
        <v>106</v>
      </c>
      <c r="L2502" s="164">
        <v>2000</v>
      </c>
    </row>
    <row r="2503" spans="2:12" x14ac:dyDescent="0.3">
      <c r="B2503" s="57">
        <f t="shared" si="212"/>
        <v>2500</v>
      </c>
      <c r="C2503" s="149">
        <v>46208</v>
      </c>
      <c r="D2503" s="57" t="s">
        <v>968</v>
      </c>
      <c r="E2503" s="57" t="s">
        <v>146</v>
      </c>
      <c r="F2503" s="57" t="s">
        <v>652</v>
      </c>
      <c r="G2503" s="57" t="s">
        <v>2584</v>
      </c>
      <c r="H2503" s="140" t="s">
        <v>3165</v>
      </c>
      <c r="I2503" s="57"/>
      <c r="J2503" s="165">
        <f t="shared" si="211"/>
        <v>37.735849056603776</v>
      </c>
      <c r="K2503" s="57">
        <v>106</v>
      </c>
      <c r="L2503" s="164">
        <v>4000</v>
      </c>
    </row>
    <row r="2504" spans="2:12" x14ac:dyDescent="0.3">
      <c r="B2504" s="57">
        <f t="shared" si="212"/>
        <v>2501</v>
      </c>
      <c r="C2504" s="149">
        <v>46209</v>
      </c>
      <c r="D2504" s="57" t="s">
        <v>968</v>
      </c>
      <c r="E2504" s="57" t="s">
        <v>146</v>
      </c>
      <c r="F2504" s="57" t="s">
        <v>446</v>
      </c>
      <c r="G2504" s="57" t="s">
        <v>313</v>
      </c>
      <c r="H2504" s="140" t="s">
        <v>4099</v>
      </c>
      <c r="I2504" s="57"/>
      <c r="J2504" s="165">
        <f t="shared" si="211"/>
        <v>20</v>
      </c>
      <c r="K2504" s="57">
        <v>106</v>
      </c>
      <c r="L2504" s="164">
        <v>2120</v>
      </c>
    </row>
    <row r="2505" spans="2:12" x14ac:dyDescent="0.3">
      <c r="B2505" s="57">
        <f t="shared" si="212"/>
        <v>2502</v>
      </c>
      <c r="C2505" s="149">
        <v>46209</v>
      </c>
      <c r="D2505" s="57" t="s">
        <v>968</v>
      </c>
      <c r="E2505" s="57" t="s">
        <v>146</v>
      </c>
      <c r="F2505" s="57" t="s">
        <v>300</v>
      </c>
      <c r="G2505" s="57" t="s">
        <v>530</v>
      </c>
      <c r="H2505" s="140" t="s">
        <v>4109</v>
      </c>
      <c r="I2505" s="57"/>
      <c r="J2505" s="165">
        <f t="shared" si="211"/>
        <v>31.773584905660378</v>
      </c>
      <c r="K2505" s="57">
        <v>106</v>
      </c>
      <c r="L2505" s="164">
        <v>3368</v>
      </c>
    </row>
    <row r="2506" spans="2:12" x14ac:dyDescent="0.3">
      <c r="B2506" s="57">
        <f t="shared" si="212"/>
        <v>2503</v>
      </c>
      <c r="C2506" s="149">
        <v>46209</v>
      </c>
      <c r="D2506" s="57" t="s">
        <v>968</v>
      </c>
      <c r="E2506" s="57" t="s">
        <v>146</v>
      </c>
      <c r="F2506" s="57" t="s">
        <v>300</v>
      </c>
      <c r="G2506" s="57" t="s">
        <v>530</v>
      </c>
      <c r="H2506" s="140" t="s">
        <v>3166</v>
      </c>
      <c r="I2506" s="57"/>
      <c r="J2506" s="165">
        <f t="shared" si="211"/>
        <v>18.877358490566039</v>
      </c>
      <c r="K2506" s="57">
        <v>106</v>
      </c>
      <c r="L2506" s="164">
        <v>2001</v>
      </c>
    </row>
    <row r="2507" spans="2:12" x14ac:dyDescent="0.3">
      <c r="B2507" s="57">
        <f t="shared" si="212"/>
        <v>2504</v>
      </c>
      <c r="C2507" s="149">
        <v>46209</v>
      </c>
      <c r="D2507" s="57" t="s">
        <v>968</v>
      </c>
      <c r="E2507" s="57" t="s">
        <v>434</v>
      </c>
      <c r="F2507" s="57" t="s">
        <v>446</v>
      </c>
      <c r="G2507" s="57" t="s">
        <v>316</v>
      </c>
      <c r="H2507" s="140" t="s">
        <v>3167</v>
      </c>
      <c r="I2507" s="57"/>
      <c r="J2507" s="57"/>
      <c r="L2507" s="164">
        <v>2425</v>
      </c>
    </row>
    <row r="2508" spans="2:12" x14ac:dyDescent="0.3">
      <c r="B2508" s="57">
        <f t="shared" si="212"/>
        <v>2505</v>
      </c>
      <c r="C2508" s="149">
        <v>46209</v>
      </c>
      <c r="D2508" s="57" t="s">
        <v>435</v>
      </c>
      <c r="E2508" s="57" t="s">
        <v>146</v>
      </c>
      <c r="I2508" s="57"/>
      <c r="J2508" s="165">
        <f t="shared" ref="J2508:J2509" si="213">L2508/K2508</f>
        <v>28.30188679245283</v>
      </c>
      <c r="K2508" s="57">
        <v>106</v>
      </c>
      <c r="L2508" s="164">
        <v>3000</v>
      </c>
    </row>
    <row r="2509" spans="2:12" x14ac:dyDescent="0.3">
      <c r="B2509" s="57">
        <f t="shared" si="212"/>
        <v>2506</v>
      </c>
      <c r="C2509" s="149">
        <v>46208</v>
      </c>
      <c r="D2509" s="57" t="s">
        <v>968</v>
      </c>
      <c r="E2509" s="57" t="s">
        <v>146</v>
      </c>
      <c r="F2509" s="57" t="s">
        <v>621</v>
      </c>
      <c r="G2509" s="57" t="s">
        <v>345</v>
      </c>
      <c r="H2509" s="140" t="s">
        <v>3168</v>
      </c>
      <c r="I2509" s="57"/>
      <c r="J2509" s="165">
        <f t="shared" si="213"/>
        <v>47.160377358490564</v>
      </c>
      <c r="K2509" s="57">
        <v>106</v>
      </c>
      <c r="L2509" s="164">
        <v>4999</v>
      </c>
    </row>
    <row r="2510" spans="2:12" x14ac:dyDescent="0.3">
      <c r="B2510" s="57">
        <f t="shared" si="212"/>
        <v>2507</v>
      </c>
      <c r="C2510" s="149">
        <v>46209</v>
      </c>
      <c r="D2510" s="57" t="s">
        <v>968</v>
      </c>
      <c r="E2510" s="57" t="s">
        <v>532</v>
      </c>
      <c r="F2510" s="57" t="s">
        <v>300</v>
      </c>
      <c r="G2510" s="57" t="s">
        <v>530</v>
      </c>
      <c r="H2510" s="140" t="s">
        <v>3169</v>
      </c>
      <c r="I2510" s="57" t="s">
        <v>532</v>
      </c>
      <c r="J2510" s="57">
        <v>100</v>
      </c>
      <c r="K2510" s="167">
        <f>L2510/J2510</f>
        <v>260</v>
      </c>
      <c r="L2510" s="164">
        <v>26000</v>
      </c>
    </row>
    <row r="2511" spans="2:12" x14ac:dyDescent="0.3">
      <c r="B2511" s="57">
        <f t="shared" si="212"/>
        <v>2508</v>
      </c>
      <c r="C2511" s="149">
        <v>46209</v>
      </c>
      <c r="D2511" s="57" t="s">
        <v>968</v>
      </c>
      <c r="E2511" s="57" t="s">
        <v>958</v>
      </c>
      <c r="F2511" s="57" t="s">
        <v>621</v>
      </c>
      <c r="G2511" s="57" t="s">
        <v>345</v>
      </c>
      <c r="H2511" s="140" t="s">
        <v>3170</v>
      </c>
      <c r="I2511" s="57"/>
      <c r="J2511" s="57"/>
      <c r="L2511" s="164">
        <v>5000</v>
      </c>
    </row>
    <row r="2512" spans="2:12" x14ac:dyDescent="0.3">
      <c r="B2512" s="57">
        <f t="shared" si="212"/>
        <v>2509</v>
      </c>
      <c r="C2512" s="149">
        <v>46209</v>
      </c>
      <c r="D2512" s="57" t="s">
        <v>968</v>
      </c>
      <c r="E2512" s="57" t="s">
        <v>146</v>
      </c>
      <c r="F2512" s="78" t="s">
        <v>350</v>
      </c>
      <c r="G2512" s="57" t="s">
        <v>2350</v>
      </c>
      <c r="H2512" s="140" t="s">
        <v>3171</v>
      </c>
      <c r="I2512" s="57"/>
      <c r="J2512" s="165">
        <f>L2512/K2512</f>
        <v>18.867924528301888</v>
      </c>
      <c r="K2512" s="57">
        <v>106</v>
      </c>
      <c r="L2512" s="164">
        <v>2000</v>
      </c>
    </row>
    <row r="2513" spans="2:12" x14ac:dyDescent="0.3">
      <c r="B2513" s="57">
        <f t="shared" si="212"/>
        <v>2510</v>
      </c>
      <c r="C2513" s="149">
        <v>46209</v>
      </c>
      <c r="D2513" s="57" t="s">
        <v>968</v>
      </c>
      <c r="E2513" s="57" t="s">
        <v>434</v>
      </c>
      <c r="F2513" s="57" t="s">
        <v>502</v>
      </c>
      <c r="G2513" s="57" t="s">
        <v>2344</v>
      </c>
      <c r="H2513" s="140" t="s">
        <v>3172</v>
      </c>
      <c r="I2513" s="57"/>
      <c r="J2513" s="57"/>
      <c r="L2513" s="164">
        <v>800</v>
      </c>
    </row>
    <row r="2514" spans="2:12" x14ac:dyDescent="0.3">
      <c r="B2514" s="57">
        <f t="shared" si="212"/>
        <v>2511</v>
      </c>
      <c r="C2514" s="149">
        <v>46209</v>
      </c>
      <c r="D2514" s="57" t="s">
        <v>968</v>
      </c>
      <c r="E2514" s="57" t="s">
        <v>3173</v>
      </c>
      <c r="F2514" s="57" t="s">
        <v>2769</v>
      </c>
      <c r="G2514" s="57" t="s">
        <v>2769</v>
      </c>
      <c r="H2514" s="140" t="s">
        <v>3174</v>
      </c>
      <c r="I2514" s="57"/>
      <c r="J2514" s="57"/>
      <c r="L2514" s="164">
        <v>5980</v>
      </c>
    </row>
    <row r="2515" spans="2:12" x14ac:dyDescent="0.3">
      <c r="B2515" s="57">
        <f t="shared" si="212"/>
        <v>2512</v>
      </c>
      <c r="C2515" s="149">
        <v>46210</v>
      </c>
      <c r="D2515" s="57" t="s">
        <v>968</v>
      </c>
      <c r="E2515" s="57" t="s">
        <v>146</v>
      </c>
      <c r="F2515" s="57" t="s">
        <v>350</v>
      </c>
      <c r="G2515" s="57" t="s">
        <v>701</v>
      </c>
      <c r="H2515" s="140" t="s">
        <v>3175</v>
      </c>
      <c r="I2515" s="57"/>
      <c r="J2515" s="165">
        <f>L2515/K2515</f>
        <v>18.867924528301888</v>
      </c>
      <c r="K2515" s="57">
        <v>106</v>
      </c>
      <c r="L2515" s="164">
        <v>2000</v>
      </c>
    </row>
    <row r="2516" spans="2:12" x14ac:dyDescent="0.3">
      <c r="B2516" s="57">
        <f t="shared" si="212"/>
        <v>2513</v>
      </c>
      <c r="C2516" s="149">
        <v>46210</v>
      </c>
      <c r="D2516" s="57" t="s">
        <v>968</v>
      </c>
      <c r="E2516" s="57" t="s">
        <v>532</v>
      </c>
      <c r="F2516" s="57" t="s">
        <v>350</v>
      </c>
      <c r="G2516" s="57" t="s">
        <v>701</v>
      </c>
      <c r="H2516" s="140" t="s">
        <v>3176</v>
      </c>
      <c r="I2516" s="57" t="s">
        <v>532</v>
      </c>
      <c r="J2516" s="57">
        <v>1</v>
      </c>
      <c r="K2516" s="57">
        <v>270</v>
      </c>
      <c r="L2516" s="164">
        <v>270</v>
      </c>
    </row>
    <row r="2517" spans="2:12" x14ac:dyDescent="0.3">
      <c r="B2517" s="57">
        <f t="shared" si="212"/>
        <v>2514</v>
      </c>
      <c r="C2517" s="149">
        <v>46210</v>
      </c>
      <c r="D2517" s="57" t="s">
        <v>968</v>
      </c>
      <c r="E2517" s="57" t="s">
        <v>434</v>
      </c>
      <c r="F2517" s="57" t="s">
        <v>502</v>
      </c>
      <c r="G2517" s="57" t="s">
        <v>257</v>
      </c>
      <c r="H2517" s="140" t="s">
        <v>3177</v>
      </c>
      <c r="I2517" s="57"/>
      <c r="J2517" s="57"/>
      <c r="L2517" s="164">
        <v>8865</v>
      </c>
    </row>
    <row r="2518" spans="2:12" x14ac:dyDescent="0.3">
      <c r="B2518" s="57">
        <f t="shared" si="212"/>
        <v>2515</v>
      </c>
      <c r="C2518" s="149">
        <v>46210</v>
      </c>
      <c r="D2518" s="57" t="s">
        <v>968</v>
      </c>
      <c r="E2518" s="57" t="s">
        <v>146</v>
      </c>
      <c r="F2518" s="57" t="s">
        <v>300</v>
      </c>
      <c r="G2518" s="57" t="s">
        <v>530</v>
      </c>
      <c r="H2518" s="140" t="s">
        <v>4112</v>
      </c>
      <c r="I2518" s="57" t="s">
        <v>146</v>
      </c>
      <c r="J2518" s="165">
        <f>L2518/K2518</f>
        <v>28.30188679245283</v>
      </c>
      <c r="K2518" s="57">
        <v>106</v>
      </c>
      <c r="L2518" s="164">
        <v>3000</v>
      </c>
    </row>
    <row r="2519" spans="2:12" x14ac:dyDescent="0.3">
      <c r="B2519" s="57">
        <f t="shared" si="212"/>
        <v>2516</v>
      </c>
      <c r="C2519" s="149">
        <v>46210</v>
      </c>
      <c r="D2519" s="57" t="s">
        <v>968</v>
      </c>
      <c r="E2519" s="57" t="s">
        <v>958</v>
      </c>
      <c r="F2519" s="57" t="s">
        <v>446</v>
      </c>
      <c r="G2519" s="57" t="s">
        <v>316</v>
      </c>
      <c r="H2519" s="140" t="s">
        <v>3178</v>
      </c>
      <c r="I2519" s="57"/>
      <c r="J2519" s="57"/>
      <c r="L2519" s="164">
        <v>5000</v>
      </c>
    </row>
    <row r="2520" spans="2:12" x14ac:dyDescent="0.3">
      <c r="B2520" s="57">
        <f t="shared" si="212"/>
        <v>2517</v>
      </c>
      <c r="C2520" s="149">
        <v>46210</v>
      </c>
      <c r="D2520" s="57" t="s">
        <v>968</v>
      </c>
      <c r="E2520" s="57" t="s">
        <v>146</v>
      </c>
      <c r="F2520" s="57" t="s">
        <v>446</v>
      </c>
      <c r="G2520" s="57" t="s">
        <v>313</v>
      </c>
      <c r="H2520" s="140" t="s">
        <v>3179</v>
      </c>
      <c r="I2520" s="57"/>
      <c r="J2520" s="165">
        <f>L2520/K2520</f>
        <v>9.433962264150944</v>
      </c>
      <c r="K2520" s="57">
        <v>106</v>
      </c>
      <c r="L2520" s="164">
        <v>1000</v>
      </c>
    </row>
    <row r="2521" spans="2:12" x14ac:dyDescent="0.3">
      <c r="B2521" s="57">
        <f t="shared" si="212"/>
        <v>2518</v>
      </c>
      <c r="C2521" s="149">
        <v>46210</v>
      </c>
      <c r="D2521" s="57" t="s">
        <v>968</v>
      </c>
      <c r="E2521" s="57" t="s">
        <v>434</v>
      </c>
      <c r="F2521" s="57" t="s">
        <v>446</v>
      </c>
      <c r="G2521" s="57" t="s">
        <v>313</v>
      </c>
      <c r="H2521" s="140" t="s">
        <v>3180</v>
      </c>
      <c r="I2521" s="57"/>
      <c r="J2521" s="57"/>
      <c r="L2521" s="164">
        <v>9085</v>
      </c>
    </row>
    <row r="2522" spans="2:12" x14ac:dyDescent="0.3">
      <c r="B2522" s="57">
        <f t="shared" si="212"/>
        <v>2519</v>
      </c>
      <c r="C2522" s="149">
        <v>46210</v>
      </c>
      <c r="D2522" s="57" t="s">
        <v>968</v>
      </c>
      <c r="E2522" s="57" t="s">
        <v>767</v>
      </c>
      <c r="F2522" s="57" t="s">
        <v>502</v>
      </c>
      <c r="G2522" s="57" t="s">
        <v>257</v>
      </c>
      <c r="H2522" s="140" t="s">
        <v>3181</v>
      </c>
      <c r="I2522" s="57"/>
      <c r="J2522" s="57"/>
      <c r="L2522" s="164">
        <v>1750</v>
      </c>
    </row>
    <row r="2523" spans="2:12" x14ac:dyDescent="0.3">
      <c r="B2523" s="57">
        <f t="shared" si="212"/>
        <v>2520</v>
      </c>
      <c r="C2523" s="149">
        <v>46210</v>
      </c>
      <c r="D2523" s="57" t="s">
        <v>968</v>
      </c>
      <c r="E2523" s="57" t="s">
        <v>4129</v>
      </c>
      <c r="F2523" s="57" t="s">
        <v>502</v>
      </c>
      <c r="G2523" s="57" t="s">
        <v>257</v>
      </c>
      <c r="H2523" s="140" t="s">
        <v>3182</v>
      </c>
      <c r="I2523" s="57"/>
      <c r="J2523" s="57"/>
      <c r="L2523" s="164">
        <v>1800</v>
      </c>
    </row>
    <row r="2524" spans="2:12" x14ac:dyDescent="0.3">
      <c r="B2524" s="57">
        <f t="shared" si="212"/>
        <v>2521</v>
      </c>
      <c r="C2524" s="149">
        <v>46210</v>
      </c>
      <c r="D2524" s="57" t="s">
        <v>968</v>
      </c>
      <c r="E2524" s="57" t="s">
        <v>532</v>
      </c>
      <c r="F2524" s="57" t="s">
        <v>350</v>
      </c>
      <c r="G2524" s="57" t="s">
        <v>675</v>
      </c>
      <c r="H2524" s="140" t="s">
        <v>3183</v>
      </c>
      <c r="I2524" s="57" t="s">
        <v>532</v>
      </c>
      <c r="J2524" s="57">
        <v>50</v>
      </c>
      <c r="K2524" s="167">
        <f>L2524/J2524</f>
        <v>265</v>
      </c>
      <c r="L2524" s="164">
        <v>13250</v>
      </c>
    </row>
    <row r="2525" spans="2:12" x14ac:dyDescent="0.3">
      <c r="B2525" s="57">
        <f t="shared" si="212"/>
        <v>2522</v>
      </c>
      <c r="C2525" s="149">
        <v>46210</v>
      </c>
      <c r="D2525" s="57" t="s">
        <v>968</v>
      </c>
      <c r="E2525" s="57" t="s">
        <v>574</v>
      </c>
      <c r="F2525" s="57" t="s">
        <v>446</v>
      </c>
      <c r="G2525" s="57" t="s">
        <v>316</v>
      </c>
      <c r="H2525" s="140" t="s">
        <v>3184</v>
      </c>
      <c r="I2525" s="140" t="s">
        <v>4081</v>
      </c>
      <c r="J2525" s="57">
        <v>4</v>
      </c>
      <c r="K2525" s="167">
        <f>L2525/J2525</f>
        <v>575</v>
      </c>
      <c r="L2525" s="164">
        <v>2300</v>
      </c>
    </row>
    <row r="2526" spans="2:12" x14ac:dyDescent="0.3">
      <c r="B2526" s="57">
        <f t="shared" si="212"/>
        <v>2523</v>
      </c>
      <c r="C2526" s="149">
        <v>46210</v>
      </c>
      <c r="D2526" s="57" t="s">
        <v>968</v>
      </c>
      <c r="E2526" s="57" t="s">
        <v>146</v>
      </c>
      <c r="F2526" s="57" t="s">
        <v>546</v>
      </c>
      <c r="G2526" s="57" t="s">
        <v>999</v>
      </c>
      <c r="H2526" s="140" t="s">
        <v>3185</v>
      </c>
      <c r="I2526" s="57"/>
      <c r="J2526" s="165">
        <f>L2526/K2526</f>
        <v>33.018867924528301</v>
      </c>
      <c r="K2526" s="57">
        <v>106</v>
      </c>
      <c r="L2526" s="164">
        <v>3500</v>
      </c>
    </row>
    <row r="2527" spans="2:12" x14ac:dyDescent="0.3">
      <c r="B2527" s="57">
        <f t="shared" si="212"/>
        <v>2524</v>
      </c>
      <c r="C2527" s="149">
        <v>46210</v>
      </c>
      <c r="D2527" s="57" t="s">
        <v>968</v>
      </c>
      <c r="E2527" s="57" t="s">
        <v>767</v>
      </c>
      <c r="F2527" s="57" t="s">
        <v>300</v>
      </c>
      <c r="G2527" s="57" t="s">
        <v>616</v>
      </c>
      <c r="H2527" s="140" t="s">
        <v>3186</v>
      </c>
      <c r="I2527" s="57"/>
      <c r="J2527" s="57"/>
      <c r="L2527" s="164">
        <v>1250</v>
      </c>
    </row>
    <row r="2528" spans="2:12" x14ac:dyDescent="0.3">
      <c r="B2528" s="57">
        <f t="shared" si="212"/>
        <v>2525</v>
      </c>
      <c r="C2528" s="149">
        <v>46210</v>
      </c>
      <c r="D2528" s="57" t="s">
        <v>968</v>
      </c>
      <c r="E2528" s="57" t="s">
        <v>574</v>
      </c>
      <c r="F2528" s="57" t="s">
        <v>2332</v>
      </c>
      <c r="G2528" s="57" t="s">
        <v>1004</v>
      </c>
      <c r="H2528" s="140" t="s">
        <v>3187</v>
      </c>
      <c r="I2528" s="140" t="s">
        <v>2635</v>
      </c>
      <c r="J2528" s="57">
        <v>4</v>
      </c>
      <c r="K2528" s="167">
        <f>L2528/J2528</f>
        <v>750</v>
      </c>
      <c r="L2528" s="164">
        <v>3000</v>
      </c>
    </row>
    <row r="2529" spans="2:12" x14ac:dyDescent="0.3">
      <c r="B2529" s="57">
        <f t="shared" si="212"/>
        <v>2526</v>
      </c>
      <c r="C2529" s="149">
        <v>46210</v>
      </c>
      <c r="D2529" s="57" t="s">
        <v>968</v>
      </c>
      <c r="E2529" s="57" t="s">
        <v>4097</v>
      </c>
      <c r="F2529" s="57" t="s">
        <v>446</v>
      </c>
      <c r="G2529" s="57" t="s">
        <v>352</v>
      </c>
      <c r="H2529" s="140" t="s">
        <v>3188</v>
      </c>
      <c r="I2529" s="57"/>
      <c r="J2529" s="165">
        <f>L2529/K2529</f>
        <v>50.943396226415096</v>
      </c>
      <c r="K2529" s="57">
        <v>106</v>
      </c>
      <c r="L2529" s="164">
        <v>5400</v>
      </c>
    </row>
    <row r="2530" spans="2:12" x14ac:dyDescent="0.3">
      <c r="B2530" s="57">
        <f t="shared" si="212"/>
        <v>2527</v>
      </c>
      <c r="C2530" s="149">
        <v>46210</v>
      </c>
      <c r="D2530" s="57" t="s">
        <v>968</v>
      </c>
      <c r="E2530" s="57" t="s">
        <v>958</v>
      </c>
      <c r="F2530" s="57" t="s">
        <v>350</v>
      </c>
      <c r="G2530" s="57" t="s">
        <v>675</v>
      </c>
      <c r="H2530" s="140" t="s">
        <v>3189</v>
      </c>
      <c r="I2530" s="57"/>
      <c r="J2530" s="57"/>
      <c r="L2530" s="164">
        <v>4492</v>
      </c>
    </row>
    <row r="2531" spans="2:12" x14ac:dyDescent="0.3">
      <c r="B2531" s="57">
        <f t="shared" si="212"/>
        <v>2528</v>
      </c>
      <c r="C2531" s="149">
        <v>46210</v>
      </c>
      <c r="D2531" s="57" t="s">
        <v>968</v>
      </c>
      <c r="E2531" s="57" t="s">
        <v>4128</v>
      </c>
      <c r="F2531" s="57" t="s">
        <v>350</v>
      </c>
      <c r="G2531" s="57" t="s">
        <v>675</v>
      </c>
      <c r="H2531" s="140" t="s">
        <v>3190</v>
      </c>
      <c r="I2531" s="57"/>
      <c r="J2531" s="57"/>
      <c r="L2531" s="164">
        <v>1550</v>
      </c>
    </row>
    <row r="2532" spans="2:12" x14ac:dyDescent="0.3">
      <c r="B2532" s="57">
        <f t="shared" si="212"/>
        <v>2529</v>
      </c>
      <c r="C2532" s="149">
        <v>46210</v>
      </c>
      <c r="D2532" s="57" t="s">
        <v>435</v>
      </c>
      <c r="E2532" s="57" t="s">
        <v>2427</v>
      </c>
      <c r="F2532" s="57" t="s">
        <v>350</v>
      </c>
      <c r="G2532" s="57" t="s">
        <v>675</v>
      </c>
      <c r="H2532" s="140" t="s">
        <v>3191</v>
      </c>
      <c r="I2532" s="57" t="s">
        <v>2427</v>
      </c>
      <c r="J2532" s="57"/>
      <c r="L2532" s="164">
        <v>75361</v>
      </c>
    </row>
    <row r="2533" spans="2:12" x14ac:dyDescent="0.3">
      <c r="B2533" s="57">
        <f t="shared" si="212"/>
        <v>2530</v>
      </c>
      <c r="C2533" s="149">
        <v>46210</v>
      </c>
      <c r="D2533" s="57" t="s">
        <v>968</v>
      </c>
      <c r="E2533" s="57" t="s">
        <v>434</v>
      </c>
      <c r="F2533" s="57" t="s">
        <v>300</v>
      </c>
      <c r="G2533" s="57" t="s">
        <v>530</v>
      </c>
      <c r="H2533" s="140" t="s">
        <v>3192</v>
      </c>
      <c r="I2533" s="57"/>
      <c r="J2533" s="57"/>
      <c r="L2533" s="164">
        <v>5280</v>
      </c>
    </row>
    <row r="2534" spans="2:12" x14ac:dyDescent="0.3">
      <c r="B2534" s="57">
        <f t="shared" si="212"/>
        <v>2531</v>
      </c>
      <c r="C2534" s="149">
        <v>46210</v>
      </c>
      <c r="D2534" s="57" t="s">
        <v>968</v>
      </c>
      <c r="E2534" s="57" t="s">
        <v>532</v>
      </c>
      <c r="F2534" s="57" t="s">
        <v>300</v>
      </c>
      <c r="G2534" s="57" t="s">
        <v>572</v>
      </c>
      <c r="H2534" s="140" t="s">
        <v>3193</v>
      </c>
      <c r="I2534" s="57" t="s">
        <v>532</v>
      </c>
      <c r="J2534" s="57">
        <v>20</v>
      </c>
      <c r="K2534" s="57">
        <v>280</v>
      </c>
      <c r="L2534" s="164">
        <f t="shared" si="201"/>
        <v>5600</v>
      </c>
    </row>
    <row r="2535" spans="2:12" x14ac:dyDescent="0.3">
      <c r="B2535" s="57">
        <f t="shared" si="212"/>
        <v>2532</v>
      </c>
      <c r="C2535" s="149">
        <v>46210</v>
      </c>
      <c r="D2535" s="57" t="s">
        <v>968</v>
      </c>
      <c r="E2535" s="57" t="s">
        <v>767</v>
      </c>
      <c r="F2535" s="57" t="s">
        <v>350</v>
      </c>
      <c r="G2535" s="57" t="s">
        <v>701</v>
      </c>
      <c r="H2535" s="140" t="s">
        <v>3194</v>
      </c>
      <c r="I2535" s="57"/>
      <c r="J2535" s="57"/>
      <c r="L2535" s="164">
        <v>650</v>
      </c>
    </row>
    <row r="2536" spans="2:12" x14ac:dyDescent="0.3">
      <c r="B2536" s="57">
        <f t="shared" si="212"/>
        <v>2533</v>
      </c>
      <c r="C2536" s="149">
        <v>46211</v>
      </c>
      <c r="D2536" s="57" t="s">
        <v>968</v>
      </c>
      <c r="E2536" s="57" t="s">
        <v>146</v>
      </c>
      <c r="F2536" s="57" t="s">
        <v>446</v>
      </c>
      <c r="G2536" s="57" t="s">
        <v>316</v>
      </c>
      <c r="H2536" s="140" t="s">
        <v>3199</v>
      </c>
      <c r="I2536" s="57"/>
      <c r="J2536" s="165">
        <f t="shared" ref="J2536:J2541" si="214">L2536/K2536</f>
        <v>18.867924528301888</v>
      </c>
      <c r="K2536" s="57">
        <v>106</v>
      </c>
      <c r="L2536" s="164">
        <v>2000</v>
      </c>
    </row>
    <row r="2537" spans="2:12" x14ac:dyDescent="0.3">
      <c r="B2537" s="57">
        <f t="shared" si="212"/>
        <v>2534</v>
      </c>
      <c r="C2537" s="149">
        <v>46211</v>
      </c>
      <c r="D2537" s="57" t="s">
        <v>968</v>
      </c>
      <c r="E2537" s="57" t="s">
        <v>146</v>
      </c>
      <c r="F2537" s="57" t="s">
        <v>502</v>
      </c>
      <c r="G2537" s="57" t="s">
        <v>2344</v>
      </c>
      <c r="H2537" s="140" t="s">
        <v>3200</v>
      </c>
      <c r="I2537" s="57"/>
      <c r="J2537" s="165">
        <f t="shared" si="214"/>
        <v>14.150943396226415</v>
      </c>
      <c r="K2537" s="57">
        <v>106</v>
      </c>
      <c r="L2537" s="164">
        <v>1500</v>
      </c>
    </row>
    <row r="2538" spans="2:12" x14ac:dyDescent="0.3">
      <c r="B2538" s="57">
        <f t="shared" si="212"/>
        <v>2535</v>
      </c>
      <c r="C2538" s="149">
        <v>46211</v>
      </c>
      <c r="D2538" s="57" t="s">
        <v>968</v>
      </c>
      <c r="E2538" s="57" t="s">
        <v>146</v>
      </c>
      <c r="F2538" s="57" t="s">
        <v>446</v>
      </c>
      <c r="G2538" s="57" t="s">
        <v>313</v>
      </c>
      <c r="H2538" s="140" t="s">
        <v>4099</v>
      </c>
      <c r="I2538" s="57"/>
      <c r="J2538" s="165">
        <f t="shared" si="214"/>
        <v>17.433962264150942</v>
      </c>
      <c r="K2538" s="57">
        <v>106</v>
      </c>
      <c r="L2538" s="164">
        <v>1848</v>
      </c>
    </row>
    <row r="2539" spans="2:12" x14ac:dyDescent="0.3">
      <c r="B2539" s="57">
        <f t="shared" si="212"/>
        <v>2536</v>
      </c>
      <c r="C2539" s="149">
        <v>46211</v>
      </c>
      <c r="D2539" s="57" t="s">
        <v>968</v>
      </c>
      <c r="E2539" s="57" t="s">
        <v>146</v>
      </c>
      <c r="F2539" s="57" t="s">
        <v>2332</v>
      </c>
      <c r="G2539" s="57" t="s">
        <v>1004</v>
      </c>
      <c r="H2539" s="140" t="s">
        <v>4098</v>
      </c>
      <c r="I2539" s="57"/>
      <c r="J2539" s="165">
        <f t="shared" si="214"/>
        <v>48.113207547169814</v>
      </c>
      <c r="K2539" s="57">
        <v>106</v>
      </c>
      <c r="L2539" s="164">
        <v>5100</v>
      </c>
    </row>
    <row r="2540" spans="2:12" x14ac:dyDescent="0.3">
      <c r="B2540" s="57">
        <f t="shared" si="212"/>
        <v>2537</v>
      </c>
      <c r="C2540" s="149">
        <v>46211</v>
      </c>
      <c r="D2540" s="57" t="s">
        <v>968</v>
      </c>
      <c r="E2540" s="57" t="s">
        <v>146</v>
      </c>
      <c r="F2540" s="57" t="s">
        <v>446</v>
      </c>
      <c r="G2540" s="57" t="s">
        <v>316</v>
      </c>
      <c r="H2540" s="140" t="s">
        <v>2789</v>
      </c>
      <c r="I2540" s="57"/>
      <c r="J2540" s="165">
        <f t="shared" si="214"/>
        <v>23.584905660377359</v>
      </c>
      <c r="K2540" s="57">
        <v>106</v>
      </c>
      <c r="L2540" s="164">
        <v>2500</v>
      </c>
    </row>
    <row r="2541" spans="2:12" x14ac:dyDescent="0.3">
      <c r="B2541" s="57">
        <f t="shared" si="212"/>
        <v>2538</v>
      </c>
      <c r="C2541" s="149">
        <v>46211</v>
      </c>
      <c r="D2541" s="57" t="s">
        <v>968</v>
      </c>
      <c r="E2541" s="57" t="s">
        <v>146</v>
      </c>
      <c r="F2541" s="57" t="s">
        <v>446</v>
      </c>
      <c r="G2541" s="57" t="s">
        <v>352</v>
      </c>
      <c r="H2541" s="140" t="s">
        <v>879</v>
      </c>
      <c r="I2541" s="57"/>
      <c r="J2541" s="165">
        <f t="shared" si="214"/>
        <v>49.632075471698116</v>
      </c>
      <c r="K2541" s="57">
        <v>106</v>
      </c>
      <c r="L2541" s="164">
        <v>5261</v>
      </c>
    </row>
    <row r="2542" spans="2:12" x14ac:dyDescent="0.3">
      <c r="B2542" s="57">
        <f t="shared" si="212"/>
        <v>2539</v>
      </c>
      <c r="C2542" s="149">
        <v>46211</v>
      </c>
      <c r="D2542" s="57" t="s">
        <v>968</v>
      </c>
      <c r="E2542" s="57" t="s">
        <v>532</v>
      </c>
      <c r="F2542" s="57" t="s">
        <v>300</v>
      </c>
      <c r="G2542" s="57" t="s">
        <v>3214</v>
      </c>
      <c r="H2542" s="140" t="s">
        <v>3201</v>
      </c>
      <c r="I2542" s="57" t="s">
        <v>532</v>
      </c>
      <c r="J2542" s="57">
        <v>5</v>
      </c>
      <c r="L2542" s="164">
        <v>1700</v>
      </c>
    </row>
    <row r="2543" spans="2:12" x14ac:dyDescent="0.3">
      <c r="B2543" s="57">
        <f t="shared" si="212"/>
        <v>2540</v>
      </c>
      <c r="C2543" s="149">
        <v>46211</v>
      </c>
      <c r="D2543" s="57" t="s">
        <v>968</v>
      </c>
      <c r="E2543" s="57" t="s">
        <v>2029</v>
      </c>
      <c r="F2543" s="57" t="s">
        <v>350</v>
      </c>
      <c r="G2543" s="57" t="s">
        <v>675</v>
      </c>
      <c r="H2543" s="140" t="s">
        <v>3202</v>
      </c>
      <c r="I2543" s="57"/>
      <c r="J2543" s="165">
        <f t="shared" ref="J2543:J2544" si="215">L2543/K2543</f>
        <v>35.849056603773583</v>
      </c>
      <c r="K2543" s="57">
        <v>106</v>
      </c>
      <c r="L2543" s="164">
        <v>3800</v>
      </c>
    </row>
    <row r="2544" spans="2:12" x14ac:dyDescent="0.3">
      <c r="B2544" s="57">
        <f t="shared" si="212"/>
        <v>2541</v>
      </c>
      <c r="C2544" s="149">
        <v>46211</v>
      </c>
      <c r="D2544" s="57" t="s">
        <v>968</v>
      </c>
      <c r="E2544" s="57" t="s">
        <v>146</v>
      </c>
      <c r="F2544" s="57" t="s">
        <v>350</v>
      </c>
      <c r="G2544" s="57" t="s">
        <v>675</v>
      </c>
      <c r="H2544" s="140" t="s">
        <v>3203</v>
      </c>
      <c r="I2544" s="57"/>
      <c r="J2544" s="165">
        <f t="shared" si="215"/>
        <v>46.528301886792455</v>
      </c>
      <c r="K2544" s="57">
        <v>106</v>
      </c>
      <c r="L2544" s="164">
        <v>4932</v>
      </c>
    </row>
    <row r="2545" spans="2:12" x14ac:dyDescent="0.3">
      <c r="B2545" s="57">
        <f t="shared" si="212"/>
        <v>2542</v>
      </c>
      <c r="C2545" s="149">
        <v>46211</v>
      </c>
      <c r="D2545" s="57" t="s">
        <v>968</v>
      </c>
      <c r="E2545" s="57" t="s">
        <v>2427</v>
      </c>
      <c r="F2545" s="78" t="s">
        <v>350</v>
      </c>
      <c r="G2545" s="57" t="s">
        <v>2350</v>
      </c>
      <c r="H2545" s="140" t="s">
        <v>3216</v>
      </c>
      <c r="I2545" s="57"/>
      <c r="J2545" s="57"/>
      <c r="L2545" s="164">
        <v>19342</v>
      </c>
    </row>
    <row r="2546" spans="2:12" x14ac:dyDescent="0.3">
      <c r="B2546" s="57">
        <f t="shared" si="212"/>
        <v>2543</v>
      </c>
      <c r="C2546" s="149">
        <v>46211</v>
      </c>
      <c r="D2546" s="57" t="s">
        <v>968</v>
      </c>
      <c r="E2546" s="57" t="s">
        <v>434</v>
      </c>
      <c r="F2546" s="57" t="s">
        <v>446</v>
      </c>
      <c r="G2546" s="57" t="s">
        <v>316</v>
      </c>
      <c r="H2546" s="140" t="s">
        <v>3204</v>
      </c>
      <c r="I2546" s="57"/>
      <c r="J2546" s="57"/>
      <c r="L2546" s="164">
        <v>1650</v>
      </c>
    </row>
    <row r="2547" spans="2:12" x14ac:dyDescent="0.3">
      <c r="B2547" s="57">
        <f t="shared" si="212"/>
        <v>2544</v>
      </c>
      <c r="C2547" s="149">
        <v>46211</v>
      </c>
      <c r="D2547" s="57" t="s">
        <v>968</v>
      </c>
      <c r="E2547" s="57" t="s">
        <v>4097</v>
      </c>
      <c r="F2547" s="57" t="s">
        <v>350</v>
      </c>
      <c r="G2547" s="57" t="s">
        <v>3103</v>
      </c>
      <c r="H2547" s="140" t="s">
        <v>3205</v>
      </c>
      <c r="I2547" s="57"/>
      <c r="L2547" s="164">
        <v>5000</v>
      </c>
    </row>
    <row r="2548" spans="2:12" x14ac:dyDescent="0.3">
      <c r="B2548" s="57">
        <f t="shared" si="212"/>
        <v>2545</v>
      </c>
      <c r="C2548" s="149">
        <v>46211</v>
      </c>
      <c r="D2548" s="57" t="s">
        <v>435</v>
      </c>
      <c r="E2548" s="57" t="s">
        <v>146</v>
      </c>
      <c r="H2548" s="140" t="s">
        <v>2295</v>
      </c>
      <c r="I2548" s="57"/>
      <c r="J2548" s="165">
        <f t="shared" ref="J2548" si="216">L2548/K2548</f>
        <v>30.188679245283019</v>
      </c>
      <c r="K2548" s="57">
        <v>106</v>
      </c>
      <c r="L2548" s="164">
        <v>3200</v>
      </c>
    </row>
    <row r="2549" spans="2:12" x14ac:dyDescent="0.3">
      <c r="B2549" s="57">
        <f t="shared" si="212"/>
        <v>2546</v>
      </c>
      <c r="C2549" s="149">
        <v>46211</v>
      </c>
      <c r="D2549" s="57" t="s">
        <v>968</v>
      </c>
      <c r="E2549" s="57" t="s">
        <v>4128</v>
      </c>
      <c r="F2549" s="57" t="s">
        <v>300</v>
      </c>
      <c r="G2549" s="57" t="s">
        <v>530</v>
      </c>
      <c r="H2549" s="140" t="s">
        <v>3206</v>
      </c>
      <c r="I2549" s="57"/>
      <c r="J2549" s="57"/>
      <c r="L2549" s="164">
        <v>800</v>
      </c>
    </row>
    <row r="2550" spans="2:12" x14ac:dyDescent="0.3">
      <c r="B2550" s="57">
        <f t="shared" si="212"/>
        <v>2547</v>
      </c>
      <c r="C2550" s="149">
        <v>46211</v>
      </c>
      <c r="D2550" s="57" t="s">
        <v>968</v>
      </c>
      <c r="E2550" s="57" t="s">
        <v>574</v>
      </c>
      <c r="F2550" s="57" t="s">
        <v>446</v>
      </c>
      <c r="G2550" s="57" t="s">
        <v>649</v>
      </c>
      <c r="H2550" s="140" t="s">
        <v>3215</v>
      </c>
      <c r="I2550" s="140" t="s">
        <v>2635</v>
      </c>
      <c r="J2550" s="57">
        <v>4</v>
      </c>
      <c r="K2550" s="167">
        <f>L2550/J2550</f>
        <v>750</v>
      </c>
      <c r="L2550" s="164">
        <v>3000</v>
      </c>
    </row>
    <row r="2551" spans="2:12" x14ac:dyDescent="0.3">
      <c r="B2551" s="57">
        <f t="shared" si="212"/>
        <v>2548</v>
      </c>
      <c r="C2551" s="149">
        <v>46211</v>
      </c>
      <c r="D2551" s="57" t="s">
        <v>968</v>
      </c>
      <c r="E2551" s="57" t="s">
        <v>434</v>
      </c>
      <c r="F2551" s="57" t="s">
        <v>350</v>
      </c>
      <c r="G2551" s="57" t="s">
        <v>675</v>
      </c>
      <c r="H2551" s="140" t="s">
        <v>3207</v>
      </c>
      <c r="I2551" s="57"/>
      <c r="J2551" s="57"/>
      <c r="L2551" s="164">
        <v>1600</v>
      </c>
    </row>
    <row r="2552" spans="2:12" x14ac:dyDescent="0.3">
      <c r="B2552" s="57">
        <f t="shared" si="212"/>
        <v>2549</v>
      </c>
      <c r="C2552" s="149">
        <v>46211</v>
      </c>
      <c r="D2552" s="57" t="s">
        <v>968</v>
      </c>
      <c r="E2552" s="57" t="s">
        <v>2022</v>
      </c>
      <c r="F2552" s="57" t="s">
        <v>300</v>
      </c>
      <c r="G2552" s="57" t="s">
        <v>572</v>
      </c>
      <c r="H2552" s="140" t="s">
        <v>3208</v>
      </c>
      <c r="I2552" s="57"/>
      <c r="J2552" s="57"/>
      <c r="L2552" s="164">
        <v>11920</v>
      </c>
    </row>
    <row r="2553" spans="2:12" x14ac:dyDescent="0.3">
      <c r="B2553" s="57">
        <f t="shared" si="212"/>
        <v>2550</v>
      </c>
      <c r="C2553" s="149">
        <v>46211</v>
      </c>
      <c r="D2553" s="57" t="s">
        <v>968</v>
      </c>
      <c r="E2553" s="57" t="s">
        <v>574</v>
      </c>
      <c r="F2553" s="57" t="s">
        <v>2332</v>
      </c>
      <c r="G2553" s="57" t="s">
        <v>1004</v>
      </c>
      <c r="H2553" s="140" t="s">
        <v>3209</v>
      </c>
      <c r="I2553" s="140" t="s">
        <v>4081</v>
      </c>
      <c r="J2553" s="57">
        <v>4</v>
      </c>
      <c r="K2553" s="167">
        <f>L2553/J2553</f>
        <v>625</v>
      </c>
      <c r="L2553" s="164">
        <v>2500</v>
      </c>
    </row>
    <row r="2554" spans="2:12" x14ac:dyDescent="0.3">
      <c r="B2554" s="57">
        <f t="shared" si="212"/>
        <v>2551</v>
      </c>
      <c r="C2554" s="149">
        <v>46211</v>
      </c>
      <c r="D2554" s="57" t="s">
        <v>968</v>
      </c>
      <c r="E2554" s="57" t="s">
        <v>434</v>
      </c>
      <c r="F2554" s="57" t="s">
        <v>2332</v>
      </c>
      <c r="G2554" s="57" t="s">
        <v>1004</v>
      </c>
      <c r="H2554" s="140" t="s">
        <v>3210</v>
      </c>
      <c r="I2554" s="57"/>
      <c r="J2554" s="57"/>
      <c r="L2554" s="164">
        <v>950</v>
      </c>
    </row>
    <row r="2555" spans="2:12" x14ac:dyDescent="0.3">
      <c r="B2555" s="57">
        <f t="shared" si="212"/>
        <v>2552</v>
      </c>
      <c r="C2555" s="149">
        <v>46211</v>
      </c>
      <c r="D2555" s="57" t="s">
        <v>968</v>
      </c>
      <c r="E2555" s="57" t="s">
        <v>532</v>
      </c>
      <c r="F2555" s="57" t="s">
        <v>300</v>
      </c>
      <c r="G2555" s="57" t="s">
        <v>572</v>
      </c>
      <c r="H2555" s="140" t="s">
        <v>3211</v>
      </c>
      <c r="I2555" s="57" t="s">
        <v>532</v>
      </c>
      <c r="J2555" s="57">
        <v>20</v>
      </c>
      <c r="K2555" s="167">
        <f>L2555/J2555</f>
        <v>270</v>
      </c>
      <c r="L2555" s="164">
        <v>5400</v>
      </c>
    </row>
    <row r="2556" spans="2:12" x14ac:dyDescent="0.3">
      <c r="B2556" s="57">
        <f t="shared" si="212"/>
        <v>2553</v>
      </c>
      <c r="C2556" s="149">
        <v>46211</v>
      </c>
      <c r="D2556" s="57" t="s">
        <v>968</v>
      </c>
      <c r="E2556" s="57" t="s">
        <v>146</v>
      </c>
      <c r="F2556" s="57" t="s">
        <v>300</v>
      </c>
      <c r="G2556" s="57" t="s">
        <v>530</v>
      </c>
      <c r="H2556" s="140" t="s">
        <v>3212</v>
      </c>
      <c r="I2556" s="57"/>
      <c r="J2556" s="165">
        <f>L2556/K2556</f>
        <v>41.226415094339622</v>
      </c>
      <c r="K2556" s="57">
        <v>106</v>
      </c>
      <c r="L2556" s="164">
        <v>4370</v>
      </c>
    </row>
    <row r="2557" spans="2:12" x14ac:dyDescent="0.3">
      <c r="B2557" s="57">
        <f t="shared" si="212"/>
        <v>2554</v>
      </c>
      <c r="C2557" s="149">
        <v>46211</v>
      </c>
      <c r="D2557" s="57" t="s">
        <v>968</v>
      </c>
      <c r="E2557" s="57" t="s">
        <v>574</v>
      </c>
      <c r="F2557" s="57" t="s">
        <v>350</v>
      </c>
      <c r="G2557" s="57" t="s">
        <v>675</v>
      </c>
      <c r="H2557" s="140" t="s">
        <v>3218</v>
      </c>
      <c r="I2557" s="140" t="s">
        <v>2635</v>
      </c>
      <c r="J2557" s="57">
        <v>4.8600000000000003</v>
      </c>
      <c r="K2557" s="57">
        <v>800</v>
      </c>
      <c r="L2557" s="164">
        <f t="shared" si="201"/>
        <v>3888.0000000000005</v>
      </c>
    </row>
    <row r="2558" spans="2:12" x14ac:dyDescent="0.3">
      <c r="B2558" s="57">
        <f t="shared" si="212"/>
        <v>2555</v>
      </c>
      <c r="C2558" s="149">
        <v>46211</v>
      </c>
      <c r="D2558" s="57" t="s">
        <v>968</v>
      </c>
      <c r="E2558" s="57" t="s">
        <v>574</v>
      </c>
      <c r="F2558" s="57" t="s">
        <v>350</v>
      </c>
      <c r="G2558" s="57" t="s">
        <v>675</v>
      </c>
      <c r="H2558" s="140" t="s">
        <v>3217</v>
      </c>
      <c r="I2558" s="140" t="s">
        <v>4081</v>
      </c>
      <c r="J2558" s="57">
        <v>3.81</v>
      </c>
      <c r="K2558" s="57">
        <v>800</v>
      </c>
      <c r="L2558" s="164">
        <f t="shared" si="201"/>
        <v>3048</v>
      </c>
    </row>
    <row r="2559" spans="2:12" x14ac:dyDescent="0.3">
      <c r="B2559" s="57">
        <f t="shared" si="212"/>
        <v>2556</v>
      </c>
      <c r="C2559" s="149">
        <v>46211</v>
      </c>
      <c r="D2559" s="57" t="s">
        <v>968</v>
      </c>
      <c r="E2559" s="57" t="s">
        <v>574</v>
      </c>
      <c r="F2559" s="57" t="s">
        <v>350</v>
      </c>
      <c r="G2559" s="57" t="s">
        <v>675</v>
      </c>
      <c r="H2559" s="140" t="s">
        <v>3218</v>
      </c>
      <c r="I2559" s="140" t="s">
        <v>2635</v>
      </c>
      <c r="J2559" s="57">
        <v>5.13</v>
      </c>
      <c r="K2559" s="57">
        <v>800</v>
      </c>
      <c r="L2559" s="164">
        <f t="shared" si="201"/>
        <v>4104</v>
      </c>
    </row>
    <row r="2560" spans="2:12" x14ac:dyDescent="0.3">
      <c r="B2560" s="57">
        <f t="shared" si="212"/>
        <v>2557</v>
      </c>
      <c r="C2560" s="149">
        <v>46211</v>
      </c>
      <c r="D2560" s="57" t="s">
        <v>968</v>
      </c>
      <c r="E2560" s="57" t="s">
        <v>146</v>
      </c>
      <c r="F2560" s="57" t="s">
        <v>350</v>
      </c>
      <c r="G2560" s="57" t="s">
        <v>675</v>
      </c>
      <c r="H2560" s="140" t="s">
        <v>4102</v>
      </c>
      <c r="I2560" s="57" t="s">
        <v>146</v>
      </c>
      <c r="J2560" s="165">
        <f t="shared" ref="J2560:J2565" si="217">L2560/K2560</f>
        <v>31.528301886792452</v>
      </c>
      <c r="K2560" s="57">
        <v>106</v>
      </c>
      <c r="L2560" s="164">
        <v>3342</v>
      </c>
    </row>
    <row r="2561" spans="1:12" x14ac:dyDescent="0.3">
      <c r="B2561" s="57">
        <f t="shared" si="212"/>
        <v>2558</v>
      </c>
      <c r="C2561" s="149">
        <v>46211</v>
      </c>
      <c r="D2561" s="57" t="s">
        <v>968</v>
      </c>
      <c r="E2561" s="57" t="s">
        <v>146</v>
      </c>
      <c r="F2561" s="78" t="s">
        <v>350</v>
      </c>
      <c r="G2561" s="57" t="s">
        <v>2350</v>
      </c>
      <c r="H2561" s="140" t="s">
        <v>3213</v>
      </c>
      <c r="I2561" s="57"/>
      <c r="J2561" s="165">
        <f t="shared" si="217"/>
        <v>18.867924528301888</v>
      </c>
      <c r="K2561" s="57">
        <v>106</v>
      </c>
      <c r="L2561" s="164">
        <v>2000</v>
      </c>
    </row>
    <row r="2562" spans="1:12" x14ac:dyDescent="0.3">
      <c r="B2562" s="57">
        <f t="shared" si="212"/>
        <v>2559</v>
      </c>
      <c r="C2562" s="149">
        <v>46211</v>
      </c>
      <c r="D2562" s="57" t="s">
        <v>968</v>
      </c>
      <c r="E2562" s="57" t="s">
        <v>146</v>
      </c>
      <c r="F2562" s="57" t="s">
        <v>446</v>
      </c>
      <c r="G2562" s="57" t="s">
        <v>316</v>
      </c>
      <c r="H2562" s="140" t="s">
        <v>3219</v>
      </c>
      <c r="I2562" s="57"/>
      <c r="J2562" s="165">
        <f t="shared" si="217"/>
        <v>28.773584905660378</v>
      </c>
      <c r="K2562" s="57">
        <v>106</v>
      </c>
      <c r="L2562" s="164">
        <v>3050</v>
      </c>
    </row>
    <row r="2563" spans="1:12" x14ac:dyDescent="0.3">
      <c r="B2563" s="57">
        <f t="shared" si="212"/>
        <v>2560</v>
      </c>
      <c r="C2563" s="149">
        <v>46212</v>
      </c>
      <c r="D2563" s="57" t="s">
        <v>968</v>
      </c>
      <c r="E2563" s="57" t="s">
        <v>146</v>
      </c>
      <c r="F2563" s="57" t="s">
        <v>502</v>
      </c>
      <c r="G2563" s="57" t="s">
        <v>2344</v>
      </c>
      <c r="H2563" s="140" t="s">
        <v>3220</v>
      </c>
      <c r="I2563" s="57"/>
      <c r="J2563" s="165">
        <f t="shared" si="217"/>
        <v>28.30188679245283</v>
      </c>
      <c r="K2563" s="57">
        <v>106</v>
      </c>
      <c r="L2563" s="164">
        <v>3000</v>
      </c>
    </row>
    <row r="2564" spans="1:12" x14ac:dyDescent="0.3">
      <c r="B2564" s="57">
        <f t="shared" si="212"/>
        <v>2561</v>
      </c>
      <c r="C2564" s="149">
        <v>46212</v>
      </c>
      <c r="D2564" s="57" t="s">
        <v>968</v>
      </c>
      <c r="E2564" s="57" t="s">
        <v>146</v>
      </c>
      <c r="F2564" s="57" t="s">
        <v>300</v>
      </c>
      <c r="G2564" s="57" t="s">
        <v>530</v>
      </c>
      <c r="H2564" s="140" t="s">
        <v>3221</v>
      </c>
      <c r="I2564" s="57"/>
      <c r="J2564" s="165">
        <f t="shared" si="217"/>
        <v>37.905660377358494</v>
      </c>
      <c r="K2564" s="57">
        <v>106</v>
      </c>
      <c r="L2564" s="164">
        <v>4018</v>
      </c>
    </row>
    <row r="2565" spans="1:12" x14ac:dyDescent="0.3">
      <c r="B2565" s="57">
        <f t="shared" si="212"/>
        <v>2562</v>
      </c>
      <c r="C2565" s="149">
        <v>46212</v>
      </c>
      <c r="D2565" s="57" t="s">
        <v>968</v>
      </c>
      <c r="E2565" s="57" t="s">
        <v>146</v>
      </c>
      <c r="F2565" s="57" t="s">
        <v>350</v>
      </c>
      <c r="G2565" s="57" t="s">
        <v>3103</v>
      </c>
      <c r="H2565" s="140" t="s">
        <v>4106</v>
      </c>
      <c r="I2565" s="57"/>
      <c r="J2565" s="165">
        <f t="shared" si="217"/>
        <v>37.735849056603776</v>
      </c>
      <c r="K2565" s="57">
        <v>106</v>
      </c>
      <c r="L2565" s="164">
        <v>4000</v>
      </c>
    </row>
    <row r="2566" spans="1:12" x14ac:dyDescent="0.3">
      <c r="A2566" s="175"/>
      <c r="B2566" s="57">
        <f t="shared" ref="B2566:B2629" si="218">+B2565+1</f>
        <v>2563</v>
      </c>
      <c r="C2566" s="153">
        <v>46212</v>
      </c>
      <c r="D2566" s="173" t="s">
        <v>968</v>
      </c>
      <c r="E2566" s="173" t="s">
        <v>532</v>
      </c>
      <c r="F2566" s="173" t="s">
        <v>300</v>
      </c>
      <c r="G2566" s="173" t="s">
        <v>530</v>
      </c>
      <c r="H2566" s="181" t="s">
        <v>3222</v>
      </c>
      <c r="I2566" s="173" t="s">
        <v>532</v>
      </c>
      <c r="J2566" s="173">
        <v>100</v>
      </c>
      <c r="K2566" s="173"/>
      <c r="L2566" s="174">
        <v>1500</v>
      </c>
    </row>
    <row r="2567" spans="1:12" x14ac:dyDescent="0.3">
      <c r="B2567" s="57">
        <f t="shared" si="218"/>
        <v>2564</v>
      </c>
      <c r="C2567" s="149">
        <v>46212</v>
      </c>
      <c r="D2567" s="57" t="s">
        <v>968</v>
      </c>
      <c r="E2567" s="57" t="s">
        <v>146</v>
      </c>
      <c r="F2567" s="57" t="s">
        <v>2332</v>
      </c>
      <c r="G2567" s="57" t="s">
        <v>1004</v>
      </c>
      <c r="H2567" s="140" t="s">
        <v>3223</v>
      </c>
      <c r="I2567" s="57"/>
      <c r="J2567" s="165">
        <f t="shared" ref="J2567:J2568" si="219">L2567/K2567</f>
        <v>43.867924528301884</v>
      </c>
      <c r="K2567" s="57">
        <v>106</v>
      </c>
      <c r="L2567" s="164">
        <v>4650</v>
      </c>
    </row>
    <row r="2568" spans="1:12" x14ac:dyDescent="0.3">
      <c r="B2568" s="57">
        <f t="shared" si="218"/>
        <v>2565</v>
      </c>
      <c r="C2568" s="149">
        <v>46212</v>
      </c>
      <c r="D2568" s="57" t="s">
        <v>968</v>
      </c>
      <c r="E2568" s="57" t="s">
        <v>146</v>
      </c>
      <c r="F2568" s="57" t="s">
        <v>300</v>
      </c>
      <c r="G2568" s="57" t="s">
        <v>530</v>
      </c>
      <c r="H2568" s="140" t="s">
        <v>4088</v>
      </c>
      <c r="I2568" s="57"/>
      <c r="J2568" s="165">
        <f t="shared" si="219"/>
        <v>20.188679245283019</v>
      </c>
      <c r="K2568" s="57">
        <v>106</v>
      </c>
      <c r="L2568" s="164">
        <v>2140</v>
      </c>
    </row>
    <row r="2569" spans="1:12" x14ac:dyDescent="0.3">
      <c r="B2569" s="57">
        <f t="shared" si="218"/>
        <v>2566</v>
      </c>
      <c r="C2569" s="149">
        <v>46212</v>
      </c>
      <c r="D2569" s="57" t="s">
        <v>968</v>
      </c>
      <c r="E2569" s="57" t="s">
        <v>434</v>
      </c>
      <c r="F2569" s="57" t="s">
        <v>300</v>
      </c>
      <c r="G2569" s="57" t="s">
        <v>530</v>
      </c>
      <c r="H2569" s="140" t="s">
        <v>3224</v>
      </c>
      <c r="I2569" s="57"/>
      <c r="J2569" s="57"/>
      <c r="L2569" s="164">
        <v>1600</v>
      </c>
    </row>
    <row r="2570" spans="1:12" x14ac:dyDescent="0.3">
      <c r="B2570" s="57">
        <f t="shared" si="218"/>
        <v>2567</v>
      </c>
      <c r="C2570" s="149">
        <v>46212</v>
      </c>
      <c r="D2570" s="57" t="s">
        <v>968</v>
      </c>
      <c r="E2570" s="57" t="s">
        <v>146</v>
      </c>
      <c r="F2570" s="57" t="s">
        <v>300</v>
      </c>
      <c r="G2570" s="57" t="s">
        <v>2653</v>
      </c>
      <c r="H2570" s="140" t="s">
        <v>3225</v>
      </c>
      <c r="I2570" s="57"/>
      <c r="J2570" s="165">
        <f>L2570/K2570</f>
        <v>41.037735849056602</v>
      </c>
      <c r="K2570" s="57">
        <v>106</v>
      </c>
      <c r="L2570" s="164">
        <v>4350</v>
      </c>
    </row>
    <row r="2571" spans="1:12" x14ac:dyDescent="0.3">
      <c r="B2571" s="57">
        <f t="shared" si="218"/>
        <v>2568</v>
      </c>
      <c r="C2571" s="149">
        <v>46212</v>
      </c>
      <c r="D2571" s="57" t="s">
        <v>968</v>
      </c>
      <c r="E2571" s="57" t="s">
        <v>434</v>
      </c>
      <c r="F2571" s="57" t="s">
        <v>300</v>
      </c>
      <c r="G2571" s="57" t="s">
        <v>2473</v>
      </c>
      <c r="H2571" s="140" t="s">
        <v>3226</v>
      </c>
      <c r="I2571" s="57"/>
      <c r="J2571" s="57"/>
      <c r="L2571" s="164">
        <v>980</v>
      </c>
    </row>
    <row r="2572" spans="1:12" x14ac:dyDescent="0.3">
      <c r="B2572" s="57">
        <f t="shared" si="218"/>
        <v>2569</v>
      </c>
      <c r="C2572" s="149">
        <v>46212</v>
      </c>
      <c r="D2572" s="57" t="s">
        <v>968</v>
      </c>
      <c r="E2572" s="57" t="s">
        <v>532</v>
      </c>
      <c r="F2572" s="57" t="s">
        <v>546</v>
      </c>
      <c r="G2572" s="57" t="s">
        <v>545</v>
      </c>
      <c r="H2572" s="140" t="s">
        <v>3227</v>
      </c>
      <c r="I2572" s="57" t="s">
        <v>532</v>
      </c>
      <c r="J2572" s="57">
        <v>30</v>
      </c>
      <c r="K2572" s="57">
        <v>260</v>
      </c>
      <c r="L2572" s="164">
        <f t="shared" ref="L2572:L2575" si="220">J2572*K2572</f>
        <v>7800</v>
      </c>
    </row>
    <row r="2573" spans="1:12" x14ac:dyDescent="0.3">
      <c r="B2573" s="57">
        <f t="shared" si="218"/>
        <v>2570</v>
      </c>
      <c r="C2573" s="149">
        <v>46212</v>
      </c>
      <c r="D2573" s="57" t="s">
        <v>968</v>
      </c>
      <c r="E2573" s="57" t="s">
        <v>146</v>
      </c>
      <c r="F2573" s="57" t="s">
        <v>436</v>
      </c>
      <c r="G2573" s="57" t="s">
        <v>270</v>
      </c>
      <c r="H2573" s="140" t="s">
        <v>4112</v>
      </c>
      <c r="I2573" s="57" t="s">
        <v>146</v>
      </c>
      <c r="J2573" s="165">
        <f>L2573/K2573</f>
        <v>28.30188679245283</v>
      </c>
      <c r="K2573" s="57">
        <v>106</v>
      </c>
      <c r="L2573" s="164">
        <v>3000</v>
      </c>
    </row>
    <row r="2574" spans="1:12" x14ac:dyDescent="0.3">
      <c r="B2574" s="57">
        <f t="shared" si="218"/>
        <v>2571</v>
      </c>
      <c r="C2574" s="149">
        <v>46212</v>
      </c>
      <c r="D2574" s="57" t="s">
        <v>968</v>
      </c>
      <c r="E2574" s="57" t="s">
        <v>434</v>
      </c>
      <c r="F2574" s="57" t="s">
        <v>621</v>
      </c>
      <c r="G2574" s="57" t="s">
        <v>345</v>
      </c>
      <c r="H2574" s="140" t="s">
        <v>3228</v>
      </c>
      <c r="I2574" s="57"/>
      <c r="J2574" s="57"/>
      <c r="L2574" s="164">
        <v>1500</v>
      </c>
    </row>
    <row r="2575" spans="1:12" x14ac:dyDescent="0.3">
      <c r="B2575" s="57">
        <f t="shared" si="218"/>
        <v>2572</v>
      </c>
      <c r="C2575" s="149">
        <v>46212</v>
      </c>
      <c r="D2575" s="57" t="s">
        <v>968</v>
      </c>
      <c r="E2575" s="57" t="s">
        <v>574</v>
      </c>
      <c r="F2575" s="57" t="s">
        <v>446</v>
      </c>
      <c r="G2575" s="57" t="s">
        <v>352</v>
      </c>
      <c r="H2575" s="140" t="s">
        <v>3229</v>
      </c>
      <c r="J2575" s="57">
        <v>3</v>
      </c>
      <c r="K2575" s="57">
        <v>2000</v>
      </c>
      <c r="L2575" s="164">
        <f t="shared" si="220"/>
        <v>6000</v>
      </c>
    </row>
    <row r="2576" spans="1:12" x14ac:dyDescent="0.3">
      <c r="B2576" s="57">
        <f t="shared" si="218"/>
        <v>2573</v>
      </c>
      <c r="C2576" s="149">
        <v>46212</v>
      </c>
      <c r="D2576" s="57" t="s">
        <v>968</v>
      </c>
      <c r="E2576" s="57" t="s">
        <v>532</v>
      </c>
      <c r="F2576" s="57" t="s">
        <v>446</v>
      </c>
      <c r="G2576" s="57" t="s">
        <v>352</v>
      </c>
      <c r="H2576" s="140" t="s">
        <v>3230</v>
      </c>
      <c r="I2576" s="57" t="s">
        <v>532</v>
      </c>
      <c r="J2576" s="57">
        <v>50</v>
      </c>
      <c r="K2576" s="167">
        <f>L2576/J2576</f>
        <v>310</v>
      </c>
      <c r="L2576" s="164">
        <v>15500</v>
      </c>
    </row>
    <row r="2577" spans="2:12" x14ac:dyDescent="0.3">
      <c r="B2577" s="57">
        <f t="shared" si="218"/>
        <v>2574</v>
      </c>
      <c r="C2577" s="149">
        <v>46212</v>
      </c>
      <c r="D2577" s="57" t="s">
        <v>968</v>
      </c>
      <c r="E2577" s="57" t="s">
        <v>2427</v>
      </c>
      <c r="F2577" s="57" t="s">
        <v>300</v>
      </c>
      <c r="G2577" s="57" t="s">
        <v>530</v>
      </c>
      <c r="H2577" s="140" t="s">
        <v>3231</v>
      </c>
      <c r="I2577" s="57" t="s">
        <v>2914</v>
      </c>
      <c r="J2577" s="165">
        <f>L2577/K2577</f>
        <v>2023.6363636363637</v>
      </c>
      <c r="K2577" s="57">
        <v>55</v>
      </c>
      <c r="L2577" s="164">
        <v>111300</v>
      </c>
    </row>
    <row r="2578" spans="2:12" x14ac:dyDescent="0.3">
      <c r="B2578" s="57">
        <f t="shared" si="218"/>
        <v>2575</v>
      </c>
      <c r="C2578" s="149">
        <v>46212</v>
      </c>
      <c r="D2578" s="57" t="s">
        <v>968</v>
      </c>
      <c r="E2578" s="57" t="s">
        <v>434</v>
      </c>
      <c r="F2578" s="57" t="s">
        <v>621</v>
      </c>
      <c r="G2578" s="57" t="s">
        <v>345</v>
      </c>
      <c r="H2578" s="140" t="s">
        <v>3232</v>
      </c>
      <c r="I2578" s="57"/>
      <c r="J2578" s="57"/>
      <c r="L2578" s="164">
        <v>1340</v>
      </c>
    </row>
    <row r="2579" spans="2:12" x14ac:dyDescent="0.3">
      <c r="B2579" s="57">
        <f t="shared" si="218"/>
        <v>2576</v>
      </c>
      <c r="C2579" s="149">
        <v>46212</v>
      </c>
      <c r="D2579" s="57" t="s">
        <v>968</v>
      </c>
      <c r="E2579" s="57" t="s">
        <v>434</v>
      </c>
      <c r="F2579" s="57" t="s">
        <v>652</v>
      </c>
      <c r="G2579" s="57" t="s">
        <v>2584</v>
      </c>
      <c r="H2579" s="140" t="s">
        <v>3233</v>
      </c>
      <c r="I2579" s="57"/>
      <c r="J2579" s="57"/>
      <c r="L2579" s="164">
        <v>1600</v>
      </c>
    </row>
    <row r="2580" spans="2:12" x14ac:dyDescent="0.3">
      <c r="B2580" s="57">
        <f t="shared" si="218"/>
        <v>2577</v>
      </c>
      <c r="C2580" s="149">
        <v>46212</v>
      </c>
      <c r="D2580" s="57" t="s">
        <v>968</v>
      </c>
      <c r="E2580" s="57" t="s">
        <v>146</v>
      </c>
      <c r="F2580" s="57" t="s">
        <v>546</v>
      </c>
      <c r="G2580" s="57" t="s">
        <v>545</v>
      </c>
      <c r="H2580" s="140" t="s">
        <v>3234</v>
      </c>
      <c r="I2580" s="57"/>
      <c r="J2580" s="165">
        <f t="shared" ref="J2580:J2581" si="221">L2580/K2580</f>
        <v>28.30188679245283</v>
      </c>
      <c r="K2580" s="57">
        <v>106</v>
      </c>
      <c r="L2580" s="164">
        <v>3000</v>
      </c>
    </row>
    <row r="2581" spans="2:12" x14ac:dyDescent="0.3">
      <c r="B2581" s="57">
        <f t="shared" si="218"/>
        <v>2578</v>
      </c>
      <c r="C2581" s="149">
        <v>46212</v>
      </c>
      <c r="D2581" s="57" t="s">
        <v>968</v>
      </c>
      <c r="E2581" s="57" t="s">
        <v>146</v>
      </c>
      <c r="F2581" s="57" t="s">
        <v>300</v>
      </c>
      <c r="G2581" s="57" t="s">
        <v>530</v>
      </c>
      <c r="H2581" s="140" t="s">
        <v>4095</v>
      </c>
      <c r="I2581" s="57"/>
      <c r="J2581" s="165">
        <f t="shared" si="221"/>
        <v>41.490566037735846</v>
      </c>
      <c r="K2581" s="57">
        <v>106</v>
      </c>
      <c r="L2581" s="164">
        <v>4398</v>
      </c>
    </row>
    <row r="2582" spans="2:12" x14ac:dyDescent="0.3">
      <c r="B2582" s="57">
        <f t="shared" si="218"/>
        <v>2579</v>
      </c>
      <c r="C2582" s="149">
        <v>46212</v>
      </c>
      <c r="D2582" s="57" t="s">
        <v>968</v>
      </c>
      <c r="E2582" s="57" t="s">
        <v>434</v>
      </c>
      <c r="H2582" s="140" t="s">
        <v>3235</v>
      </c>
      <c r="I2582" s="57"/>
      <c r="J2582" s="57"/>
      <c r="L2582" s="164">
        <v>1200</v>
      </c>
    </row>
    <row r="2583" spans="2:12" x14ac:dyDescent="0.3">
      <c r="B2583" s="57">
        <f t="shared" si="218"/>
        <v>2580</v>
      </c>
      <c r="C2583" s="149">
        <v>46212</v>
      </c>
      <c r="D2583" s="57" t="s">
        <v>968</v>
      </c>
      <c r="E2583" s="57" t="s">
        <v>767</v>
      </c>
      <c r="F2583" s="57" t="s">
        <v>300</v>
      </c>
      <c r="G2583" s="57" t="s">
        <v>3214</v>
      </c>
      <c r="H2583" s="140" t="s">
        <v>3236</v>
      </c>
      <c r="I2583" s="57"/>
      <c r="J2583" s="57"/>
      <c r="L2583" s="164">
        <v>750</v>
      </c>
    </row>
    <row r="2584" spans="2:12" x14ac:dyDescent="0.3">
      <c r="B2584" s="57">
        <f t="shared" si="218"/>
        <v>2581</v>
      </c>
      <c r="C2584" s="149">
        <v>46212</v>
      </c>
      <c r="D2584" s="57" t="s">
        <v>968</v>
      </c>
      <c r="E2584" s="57" t="s">
        <v>146</v>
      </c>
      <c r="F2584" s="57" t="s">
        <v>300</v>
      </c>
      <c r="H2584" s="140" t="s">
        <v>4092</v>
      </c>
      <c r="I2584" s="57"/>
      <c r="J2584" s="165">
        <f>L2584/K2584</f>
        <v>152.01886792452831</v>
      </c>
      <c r="K2584" s="57">
        <v>106</v>
      </c>
      <c r="L2584" s="164">
        <v>16114</v>
      </c>
    </row>
    <row r="2585" spans="2:12" x14ac:dyDescent="0.3">
      <c r="B2585" s="57">
        <f t="shared" si="218"/>
        <v>2582</v>
      </c>
      <c r="C2585" s="149">
        <v>46212</v>
      </c>
      <c r="D2585" s="57" t="s">
        <v>968</v>
      </c>
      <c r="E2585" s="57" t="s">
        <v>4129</v>
      </c>
      <c r="F2585" s="57" t="s">
        <v>300</v>
      </c>
      <c r="G2585" s="57" t="s">
        <v>2653</v>
      </c>
      <c r="H2585" s="140" t="s">
        <v>3237</v>
      </c>
      <c r="I2585" s="57"/>
      <c r="J2585" s="57"/>
      <c r="L2585" s="164">
        <v>2600</v>
      </c>
    </row>
    <row r="2586" spans="2:12" x14ac:dyDescent="0.3">
      <c r="B2586" s="57">
        <f t="shared" si="218"/>
        <v>2583</v>
      </c>
      <c r="C2586" s="149">
        <v>46212</v>
      </c>
      <c r="D2586" s="57" t="s">
        <v>968</v>
      </c>
      <c r="E2586" s="57" t="s">
        <v>146</v>
      </c>
      <c r="F2586" s="57" t="s">
        <v>300</v>
      </c>
      <c r="G2586" s="57" t="s">
        <v>572</v>
      </c>
      <c r="H2586" s="140" t="s">
        <v>879</v>
      </c>
      <c r="I2586" s="57"/>
      <c r="J2586" s="165">
        <f>L2586/K2586</f>
        <v>28.30188679245283</v>
      </c>
      <c r="K2586" s="57">
        <v>106</v>
      </c>
      <c r="L2586" s="164">
        <v>3000</v>
      </c>
    </row>
    <row r="2587" spans="2:12" x14ac:dyDescent="0.3">
      <c r="B2587" s="57">
        <f t="shared" si="218"/>
        <v>2584</v>
      </c>
      <c r="C2587" s="149">
        <v>46212</v>
      </c>
      <c r="D2587" s="57" t="s">
        <v>968</v>
      </c>
      <c r="E2587" s="57" t="s">
        <v>3124</v>
      </c>
      <c r="F2587" s="57" t="s">
        <v>446</v>
      </c>
      <c r="G2587" s="57" t="s">
        <v>990</v>
      </c>
      <c r="H2587" s="140" t="s">
        <v>3238</v>
      </c>
      <c r="I2587" s="57"/>
      <c r="J2587" s="57"/>
      <c r="L2587" s="164">
        <v>5200</v>
      </c>
    </row>
    <row r="2588" spans="2:12" x14ac:dyDescent="0.3">
      <c r="B2588" s="57">
        <f t="shared" si="218"/>
        <v>2585</v>
      </c>
      <c r="C2588" s="149">
        <v>46212</v>
      </c>
      <c r="D2588" s="57" t="s">
        <v>968</v>
      </c>
      <c r="E2588" s="57" t="s">
        <v>3248</v>
      </c>
      <c r="F2588" s="57" t="s">
        <v>2332</v>
      </c>
      <c r="G2588" s="57" t="s">
        <v>1004</v>
      </c>
      <c r="H2588" s="140" t="s">
        <v>3239</v>
      </c>
      <c r="I2588" s="57"/>
      <c r="J2588" s="57"/>
      <c r="L2588" s="164">
        <v>120</v>
      </c>
    </row>
    <row r="2589" spans="2:12" x14ac:dyDescent="0.3">
      <c r="B2589" s="57">
        <f t="shared" si="218"/>
        <v>2586</v>
      </c>
      <c r="C2589" s="149">
        <v>46212</v>
      </c>
      <c r="D2589" s="57" t="s">
        <v>968</v>
      </c>
      <c r="E2589" s="57" t="s">
        <v>532</v>
      </c>
      <c r="F2589" s="57" t="s">
        <v>446</v>
      </c>
      <c r="G2589" s="57" t="s">
        <v>313</v>
      </c>
      <c r="H2589" s="140" t="s">
        <v>3240</v>
      </c>
      <c r="I2589" s="57" t="s">
        <v>532</v>
      </c>
      <c r="J2589" s="57">
        <v>17</v>
      </c>
      <c r="K2589" s="167">
        <f>L2589/J2589</f>
        <v>256</v>
      </c>
      <c r="L2589" s="164">
        <v>4352</v>
      </c>
    </row>
    <row r="2590" spans="2:12" x14ac:dyDescent="0.3">
      <c r="B2590" s="57">
        <f t="shared" si="218"/>
        <v>2587</v>
      </c>
      <c r="C2590" s="149">
        <v>46212</v>
      </c>
      <c r="D2590" s="57" t="s">
        <v>968</v>
      </c>
      <c r="E2590" s="57" t="s">
        <v>4128</v>
      </c>
      <c r="F2590" s="57" t="s">
        <v>446</v>
      </c>
      <c r="G2590" s="57" t="s">
        <v>313</v>
      </c>
      <c r="H2590" s="140" t="s">
        <v>3241</v>
      </c>
      <c r="I2590" s="57"/>
      <c r="J2590" s="57"/>
      <c r="L2590" s="164">
        <v>1100</v>
      </c>
    </row>
    <row r="2591" spans="2:12" x14ac:dyDescent="0.3">
      <c r="B2591" s="57">
        <f t="shared" si="218"/>
        <v>2588</v>
      </c>
      <c r="C2591" s="149">
        <v>46212</v>
      </c>
      <c r="D2591" s="57" t="s">
        <v>968</v>
      </c>
      <c r="E2591" s="57" t="s">
        <v>522</v>
      </c>
      <c r="F2591" s="57" t="s">
        <v>446</v>
      </c>
      <c r="G2591" s="57" t="s">
        <v>313</v>
      </c>
      <c r="H2591" s="140" t="s">
        <v>3242</v>
      </c>
      <c r="I2591" s="57"/>
      <c r="J2591" s="57"/>
      <c r="L2591" s="164">
        <v>450</v>
      </c>
    </row>
    <row r="2592" spans="2:12" x14ac:dyDescent="0.3">
      <c r="B2592" s="57">
        <f t="shared" si="218"/>
        <v>2589</v>
      </c>
      <c r="C2592" s="149">
        <v>46212</v>
      </c>
      <c r="D2592" s="57" t="s">
        <v>968</v>
      </c>
      <c r="E2592" s="57" t="s">
        <v>767</v>
      </c>
      <c r="F2592" s="57" t="s">
        <v>300</v>
      </c>
      <c r="G2592" s="57" t="s">
        <v>530</v>
      </c>
      <c r="H2592" s="140" t="s">
        <v>3243</v>
      </c>
      <c r="I2592" s="57"/>
      <c r="J2592" s="57"/>
      <c r="L2592" s="164">
        <v>750</v>
      </c>
    </row>
    <row r="2593" spans="2:12" x14ac:dyDescent="0.3">
      <c r="B2593" s="57">
        <f t="shared" si="218"/>
        <v>2590</v>
      </c>
      <c r="C2593" s="149">
        <v>46212</v>
      </c>
      <c r="D2593" s="57" t="s">
        <v>968</v>
      </c>
      <c r="E2593" s="57" t="s">
        <v>434</v>
      </c>
      <c r="F2593" s="57" t="s">
        <v>446</v>
      </c>
      <c r="G2593" s="57" t="s">
        <v>990</v>
      </c>
      <c r="H2593" s="140" t="s">
        <v>3244</v>
      </c>
      <c r="I2593" s="57"/>
      <c r="J2593" s="57"/>
      <c r="L2593" s="164">
        <v>2230</v>
      </c>
    </row>
    <row r="2594" spans="2:12" x14ac:dyDescent="0.3">
      <c r="B2594" s="57">
        <f t="shared" si="218"/>
        <v>2591</v>
      </c>
      <c r="C2594" s="149">
        <v>46212</v>
      </c>
      <c r="D2594" s="57" t="s">
        <v>968</v>
      </c>
      <c r="E2594" s="57" t="s">
        <v>434</v>
      </c>
      <c r="F2594" s="57" t="s">
        <v>300</v>
      </c>
      <c r="G2594" s="57" t="s">
        <v>572</v>
      </c>
      <c r="H2594" s="140" t="s">
        <v>3245</v>
      </c>
      <c r="I2594" s="57"/>
      <c r="J2594" s="57"/>
      <c r="L2594" s="164">
        <v>910</v>
      </c>
    </row>
    <row r="2595" spans="2:12" x14ac:dyDescent="0.3">
      <c r="B2595" s="57">
        <f t="shared" si="218"/>
        <v>2592</v>
      </c>
      <c r="C2595" s="149">
        <v>46212</v>
      </c>
      <c r="D2595" s="57" t="s">
        <v>968</v>
      </c>
      <c r="E2595" s="57" t="s">
        <v>3892</v>
      </c>
      <c r="F2595" s="57" t="s">
        <v>300</v>
      </c>
      <c r="G2595" s="57" t="s">
        <v>530</v>
      </c>
      <c r="H2595" s="140" t="s">
        <v>3246</v>
      </c>
      <c r="I2595" s="57"/>
      <c r="J2595" s="57"/>
      <c r="L2595" s="164">
        <v>1500</v>
      </c>
    </row>
    <row r="2596" spans="2:12" x14ac:dyDescent="0.3">
      <c r="B2596" s="57">
        <f t="shared" si="218"/>
        <v>2593</v>
      </c>
      <c r="C2596" s="149">
        <v>46212</v>
      </c>
      <c r="D2596" s="57" t="s">
        <v>968</v>
      </c>
      <c r="E2596" s="57" t="s">
        <v>146</v>
      </c>
      <c r="H2596" s="140" t="s">
        <v>3247</v>
      </c>
      <c r="I2596" s="57"/>
      <c r="J2596" s="165">
        <f t="shared" ref="J2596:J2599" si="222">L2596/K2596</f>
        <v>35.745283018867923</v>
      </c>
      <c r="K2596" s="57">
        <v>106</v>
      </c>
      <c r="L2596" s="164">
        <v>3789</v>
      </c>
    </row>
    <row r="2597" spans="2:12" x14ac:dyDescent="0.3">
      <c r="B2597" s="57">
        <f t="shared" si="218"/>
        <v>2594</v>
      </c>
      <c r="C2597" s="149">
        <v>46213</v>
      </c>
      <c r="D2597" s="57" t="s">
        <v>968</v>
      </c>
      <c r="E2597" s="57" t="s">
        <v>146</v>
      </c>
      <c r="F2597" s="57" t="s">
        <v>300</v>
      </c>
      <c r="G2597" s="57" t="s">
        <v>530</v>
      </c>
      <c r="H2597" s="140" t="s">
        <v>4088</v>
      </c>
      <c r="I2597" s="57"/>
      <c r="J2597" s="165">
        <f t="shared" si="222"/>
        <v>52.547169811320757</v>
      </c>
      <c r="K2597" s="57">
        <v>106</v>
      </c>
      <c r="L2597" s="164">
        <v>5570</v>
      </c>
    </row>
    <row r="2598" spans="2:12" x14ac:dyDescent="0.3">
      <c r="B2598" s="57">
        <f t="shared" si="218"/>
        <v>2595</v>
      </c>
      <c r="C2598" s="149">
        <v>46213</v>
      </c>
      <c r="D2598" s="57" t="s">
        <v>968</v>
      </c>
      <c r="E2598" s="57" t="s">
        <v>146</v>
      </c>
      <c r="F2598" s="57" t="s">
        <v>446</v>
      </c>
      <c r="G2598" s="57" t="s">
        <v>313</v>
      </c>
      <c r="H2598" s="140" t="s">
        <v>4099</v>
      </c>
      <c r="I2598" s="57"/>
      <c r="J2598" s="165">
        <f t="shared" si="222"/>
        <v>49.075471698113205</v>
      </c>
      <c r="K2598" s="57">
        <v>106</v>
      </c>
      <c r="L2598" s="164">
        <v>5202</v>
      </c>
    </row>
    <row r="2599" spans="2:12" x14ac:dyDescent="0.3">
      <c r="B2599" s="57">
        <f t="shared" si="218"/>
        <v>2596</v>
      </c>
      <c r="C2599" s="149">
        <v>46213</v>
      </c>
      <c r="D2599" s="57" t="s">
        <v>968</v>
      </c>
      <c r="E2599" s="57" t="s">
        <v>146</v>
      </c>
      <c r="F2599" s="57" t="s">
        <v>2332</v>
      </c>
      <c r="G2599" s="57" t="s">
        <v>1004</v>
      </c>
      <c r="H2599" s="140" t="s">
        <v>3273</v>
      </c>
      <c r="I2599" s="57"/>
      <c r="J2599" s="165">
        <f t="shared" si="222"/>
        <v>15.311320754716981</v>
      </c>
      <c r="K2599" s="57">
        <v>106</v>
      </c>
      <c r="L2599" s="164">
        <v>1623</v>
      </c>
    </row>
    <row r="2600" spans="2:12" x14ac:dyDescent="0.3">
      <c r="B2600" s="57">
        <f t="shared" si="218"/>
        <v>2597</v>
      </c>
      <c r="C2600" s="149">
        <v>46213</v>
      </c>
      <c r="D2600" s="57" t="s">
        <v>968</v>
      </c>
      <c r="E2600" s="57" t="s">
        <v>434</v>
      </c>
      <c r="F2600" s="57" t="s">
        <v>621</v>
      </c>
      <c r="G2600" s="57" t="s">
        <v>345</v>
      </c>
      <c r="H2600" s="140" t="s">
        <v>3294</v>
      </c>
      <c r="I2600" s="57"/>
      <c r="J2600" s="57"/>
      <c r="L2600" s="164">
        <v>900</v>
      </c>
    </row>
    <row r="2601" spans="2:12" x14ac:dyDescent="0.3">
      <c r="B2601" s="57">
        <f t="shared" si="218"/>
        <v>2598</v>
      </c>
      <c r="C2601" s="149">
        <v>46213</v>
      </c>
      <c r="D2601" s="57" t="s">
        <v>968</v>
      </c>
      <c r="E2601" s="57" t="s">
        <v>434</v>
      </c>
      <c r="F2601" s="57" t="s">
        <v>300</v>
      </c>
      <c r="G2601" s="57" t="s">
        <v>530</v>
      </c>
      <c r="H2601" s="140" t="s">
        <v>3274</v>
      </c>
      <c r="I2601" s="57"/>
      <c r="J2601" s="57"/>
      <c r="L2601" s="164">
        <v>500</v>
      </c>
    </row>
    <row r="2602" spans="2:12" x14ac:dyDescent="0.3">
      <c r="B2602" s="57">
        <f t="shared" si="218"/>
        <v>2599</v>
      </c>
      <c r="C2602" s="149">
        <v>46213</v>
      </c>
      <c r="D2602" s="57" t="s">
        <v>968</v>
      </c>
      <c r="E2602" s="57" t="s">
        <v>146</v>
      </c>
      <c r="F2602" s="57" t="s">
        <v>300</v>
      </c>
      <c r="G2602" s="57" t="s">
        <v>3214</v>
      </c>
      <c r="H2602" s="140" t="s">
        <v>1051</v>
      </c>
      <c r="I2602" s="57"/>
      <c r="J2602" s="165">
        <f>L2602/K2602</f>
        <v>41.037735849056602</v>
      </c>
      <c r="K2602" s="57">
        <v>106</v>
      </c>
      <c r="L2602" s="164">
        <v>4350</v>
      </c>
    </row>
    <row r="2603" spans="2:12" x14ac:dyDescent="0.3">
      <c r="B2603" s="57">
        <f t="shared" si="218"/>
        <v>2600</v>
      </c>
      <c r="C2603" s="149">
        <v>46213</v>
      </c>
      <c r="D2603" s="57" t="s">
        <v>968</v>
      </c>
      <c r="E2603" s="57" t="s">
        <v>958</v>
      </c>
      <c r="F2603" s="57" t="s">
        <v>350</v>
      </c>
      <c r="G2603" s="57" t="s">
        <v>675</v>
      </c>
      <c r="H2603" s="140" t="s">
        <v>3275</v>
      </c>
      <c r="I2603" s="57"/>
      <c r="J2603" s="57"/>
      <c r="L2603" s="164">
        <v>3000</v>
      </c>
    </row>
    <row r="2604" spans="2:12" x14ac:dyDescent="0.3">
      <c r="B2604" s="57">
        <f t="shared" si="218"/>
        <v>2601</v>
      </c>
      <c r="C2604" s="149">
        <v>46213</v>
      </c>
      <c r="D2604" s="57" t="s">
        <v>968</v>
      </c>
      <c r="E2604" s="57" t="s">
        <v>434</v>
      </c>
      <c r="F2604" s="57" t="s">
        <v>350</v>
      </c>
      <c r="G2604" s="57" t="s">
        <v>2350</v>
      </c>
      <c r="H2604" s="140" t="s">
        <v>3276</v>
      </c>
      <c r="I2604" s="57"/>
      <c r="J2604" s="57">
        <v>6</v>
      </c>
      <c r="K2604" s="57">
        <v>150</v>
      </c>
      <c r="L2604" s="164">
        <v>900</v>
      </c>
    </row>
    <row r="2605" spans="2:12" x14ac:dyDescent="0.3">
      <c r="B2605" s="57">
        <f t="shared" si="218"/>
        <v>2602</v>
      </c>
      <c r="C2605" s="149">
        <v>46213</v>
      </c>
      <c r="D2605" s="57" t="s">
        <v>968</v>
      </c>
      <c r="E2605" s="57" t="s">
        <v>532</v>
      </c>
      <c r="F2605" s="57" t="s">
        <v>446</v>
      </c>
      <c r="G2605" s="57" t="s">
        <v>316</v>
      </c>
      <c r="H2605" s="140" t="s">
        <v>3277</v>
      </c>
      <c r="I2605" s="57" t="s">
        <v>532</v>
      </c>
      <c r="J2605" s="57">
        <v>10</v>
      </c>
      <c r="K2605" s="57">
        <v>285</v>
      </c>
      <c r="L2605" s="164">
        <v>2850</v>
      </c>
    </row>
    <row r="2606" spans="2:12" x14ac:dyDescent="0.3">
      <c r="B2606" s="57">
        <f t="shared" si="218"/>
        <v>2603</v>
      </c>
      <c r="C2606" s="149">
        <v>46213</v>
      </c>
      <c r="D2606" s="57" t="s">
        <v>968</v>
      </c>
      <c r="E2606" s="57" t="s">
        <v>574</v>
      </c>
      <c r="F2606" s="57" t="s">
        <v>446</v>
      </c>
      <c r="G2606" s="57" t="s">
        <v>990</v>
      </c>
      <c r="H2606" s="140" t="s">
        <v>3278</v>
      </c>
      <c r="I2606" s="140" t="s">
        <v>2635</v>
      </c>
      <c r="J2606" s="57">
        <v>4</v>
      </c>
      <c r="K2606" s="167">
        <f>L2606/J2606</f>
        <v>750</v>
      </c>
      <c r="L2606" s="164">
        <v>3000</v>
      </c>
    </row>
    <row r="2607" spans="2:12" x14ac:dyDescent="0.3">
      <c r="B2607" s="57">
        <f t="shared" si="218"/>
        <v>2604</v>
      </c>
      <c r="C2607" s="149">
        <v>46213</v>
      </c>
      <c r="D2607" s="57" t="s">
        <v>968</v>
      </c>
      <c r="E2607" s="57" t="s">
        <v>532</v>
      </c>
      <c r="F2607" s="57" t="s">
        <v>300</v>
      </c>
      <c r="G2607" s="57" t="s">
        <v>2653</v>
      </c>
      <c r="H2607" s="140" t="s">
        <v>3279</v>
      </c>
      <c r="I2607" s="57" t="s">
        <v>532</v>
      </c>
      <c r="J2607" s="57">
        <v>20</v>
      </c>
      <c r="K2607" s="167">
        <f>L2607/J2607</f>
        <v>265</v>
      </c>
      <c r="L2607" s="164">
        <v>5300</v>
      </c>
    </row>
    <row r="2608" spans="2:12" x14ac:dyDescent="0.3">
      <c r="B2608" s="57">
        <f t="shared" si="218"/>
        <v>2605</v>
      </c>
      <c r="C2608" s="149">
        <v>46213</v>
      </c>
      <c r="D2608" s="57" t="s">
        <v>968</v>
      </c>
      <c r="E2608" s="57" t="s">
        <v>434</v>
      </c>
      <c r="F2608" s="57" t="s">
        <v>2332</v>
      </c>
      <c r="G2608" s="57" t="s">
        <v>1004</v>
      </c>
      <c r="H2608" s="140" t="s">
        <v>3280</v>
      </c>
      <c r="I2608" s="57"/>
      <c r="J2608" s="57"/>
      <c r="L2608" s="164">
        <v>4400</v>
      </c>
    </row>
    <row r="2609" spans="2:12" x14ac:dyDescent="0.3">
      <c r="B2609" s="57">
        <f t="shared" si="218"/>
        <v>2606</v>
      </c>
      <c r="C2609" s="149">
        <v>46213</v>
      </c>
      <c r="D2609" s="57" t="s">
        <v>968</v>
      </c>
      <c r="E2609" s="57" t="s">
        <v>574</v>
      </c>
      <c r="F2609" s="57" t="s">
        <v>446</v>
      </c>
      <c r="G2609" s="57" t="s">
        <v>990</v>
      </c>
      <c r="H2609" s="140" t="s">
        <v>2847</v>
      </c>
      <c r="I2609" s="140" t="s">
        <v>2635</v>
      </c>
      <c r="J2609" s="57">
        <v>2</v>
      </c>
      <c r="K2609" s="167">
        <f>L2609/J2609</f>
        <v>650</v>
      </c>
      <c r="L2609" s="164">
        <v>1300</v>
      </c>
    </row>
    <row r="2610" spans="2:12" x14ac:dyDescent="0.3">
      <c r="B2610" s="57">
        <f t="shared" si="218"/>
        <v>2607</v>
      </c>
      <c r="C2610" s="149">
        <v>46213</v>
      </c>
      <c r="D2610" s="57" t="s">
        <v>968</v>
      </c>
      <c r="E2610" s="57" t="s">
        <v>595</v>
      </c>
      <c r="F2610" s="57" t="s">
        <v>2332</v>
      </c>
      <c r="G2610" s="57" t="s">
        <v>3292</v>
      </c>
      <c r="H2610" s="140" t="s">
        <v>3281</v>
      </c>
      <c r="I2610" s="57" t="s">
        <v>2698</v>
      </c>
      <c r="J2610" s="57"/>
      <c r="L2610" s="164">
        <v>3000</v>
      </c>
    </row>
    <row r="2611" spans="2:12" x14ac:dyDescent="0.3">
      <c r="B2611" s="57">
        <f t="shared" si="218"/>
        <v>2608</v>
      </c>
      <c r="C2611" s="149">
        <v>46213</v>
      </c>
      <c r="D2611" s="57" t="s">
        <v>968</v>
      </c>
      <c r="E2611" s="57" t="s">
        <v>146</v>
      </c>
      <c r="F2611" s="57" t="s">
        <v>436</v>
      </c>
      <c r="G2611" s="57" t="s">
        <v>987</v>
      </c>
      <c r="H2611" s="140" t="s">
        <v>3282</v>
      </c>
      <c r="I2611" s="57"/>
      <c r="J2611" s="165">
        <f>L2611/K2611</f>
        <v>18.867924528301888</v>
      </c>
      <c r="K2611" s="57">
        <v>106</v>
      </c>
      <c r="L2611" s="164">
        <v>2000</v>
      </c>
    </row>
    <row r="2612" spans="2:12" x14ac:dyDescent="0.3">
      <c r="B2612" s="57">
        <f t="shared" si="218"/>
        <v>2609</v>
      </c>
      <c r="C2612" s="149">
        <v>46213</v>
      </c>
      <c r="D2612" s="57" t="s">
        <v>968</v>
      </c>
      <c r="E2612" s="57" t="s">
        <v>574</v>
      </c>
      <c r="F2612" s="57" t="s">
        <v>350</v>
      </c>
      <c r="G2612" s="57" t="s">
        <v>2330</v>
      </c>
      <c r="H2612" s="140" t="s">
        <v>3293</v>
      </c>
      <c r="I2612" s="140" t="s">
        <v>4118</v>
      </c>
      <c r="J2612" s="57">
        <v>5.5</v>
      </c>
      <c r="K2612" s="167">
        <f>L2612/J2612</f>
        <v>636.36363636363637</v>
      </c>
      <c r="L2612" s="164">
        <v>3500</v>
      </c>
    </row>
    <row r="2613" spans="2:12" x14ac:dyDescent="0.3">
      <c r="B2613" s="57">
        <f t="shared" si="218"/>
        <v>2610</v>
      </c>
      <c r="C2613" s="149">
        <v>46213</v>
      </c>
      <c r="D2613" s="57" t="s">
        <v>968</v>
      </c>
      <c r="E2613" s="57" t="s">
        <v>434</v>
      </c>
      <c r="F2613" s="57" t="s">
        <v>300</v>
      </c>
      <c r="G2613" s="57" t="s">
        <v>300</v>
      </c>
      <c r="H2613" s="140" t="s">
        <v>3283</v>
      </c>
      <c r="I2613" s="57"/>
      <c r="J2613" s="57"/>
      <c r="L2613" s="164">
        <v>6515</v>
      </c>
    </row>
    <row r="2614" spans="2:12" x14ac:dyDescent="0.3">
      <c r="B2614" s="57">
        <f t="shared" si="218"/>
        <v>2611</v>
      </c>
      <c r="C2614" s="149">
        <v>46213</v>
      </c>
      <c r="D2614" s="57" t="s">
        <v>968</v>
      </c>
      <c r="E2614" s="57" t="s">
        <v>434</v>
      </c>
      <c r="F2614" s="57" t="s">
        <v>436</v>
      </c>
      <c r="G2614" s="57" t="s">
        <v>987</v>
      </c>
      <c r="H2614" s="140" t="s">
        <v>3284</v>
      </c>
      <c r="I2614" s="57"/>
      <c r="J2614" s="57"/>
      <c r="L2614" s="164">
        <v>300</v>
      </c>
    </row>
    <row r="2615" spans="2:12" x14ac:dyDescent="0.3">
      <c r="B2615" s="57">
        <f t="shared" si="218"/>
        <v>2612</v>
      </c>
      <c r="C2615" s="149">
        <v>46213</v>
      </c>
      <c r="D2615" s="57" t="s">
        <v>968</v>
      </c>
      <c r="E2615" s="57" t="s">
        <v>434</v>
      </c>
      <c r="F2615" s="57" t="s">
        <v>350</v>
      </c>
      <c r="G2615" s="57" t="s">
        <v>675</v>
      </c>
      <c r="H2615" s="140" t="s">
        <v>3285</v>
      </c>
      <c r="I2615" s="57"/>
      <c r="J2615" s="57"/>
      <c r="L2615" s="164">
        <v>5500</v>
      </c>
    </row>
    <row r="2616" spans="2:12" x14ac:dyDescent="0.3">
      <c r="B2616" s="57">
        <f t="shared" si="218"/>
        <v>2613</v>
      </c>
      <c r="C2616" s="149">
        <v>46213</v>
      </c>
      <c r="D2616" s="57" t="s">
        <v>968</v>
      </c>
      <c r="E2616" s="57" t="s">
        <v>574</v>
      </c>
      <c r="F2616" s="57" t="s">
        <v>2332</v>
      </c>
      <c r="G2616" s="57" t="s">
        <v>1004</v>
      </c>
      <c r="H2616" s="140" t="s">
        <v>3286</v>
      </c>
      <c r="I2616" s="140" t="s">
        <v>2635</v>
      </c>
      <c r="J2616" s="57">
        <v>4.2</v>
      </c>
      <c r="K2616" s="167">
        <f>L2616/J2616</f>
        <v>654.7619047619047</v>
      </c>
      <c r="L2616" s="164">
        <v>2750</v>
      </c>
    </row>
    <row r="2617" spans="2:12" x14ac:dyDescent="0.3">
      <c r="B2617" s="57">
        <f t="shared" si="218"/>
        <v>2614</v>
      </c>
      <c r="C2617" s="149">
        <v>46213</v>
      </c>
      <c r="D2617" s="57" t="s">
        <v>968</v>
      </c>
      <c r="E2617" s="57" t="s">
        <v>434</v>
      </c>
      <c r="F2617" s="57" t="s">
        <v>300</v>
      </c>
      <c r="G2617" s="57" t="s">
        <v>530</v>
      </c>
      <c r="H2617" s="140" t="s">
        <v>3287</v>
      </c>
      <c r="I2617" s="57"/>
      <c r="J2617" s="57"/>
      <c r="L2617" s="164">
        <v>11100</v>
      </c>
    </row>
    <row r="2618" spans="2:12" x14ac:dyDescent="0.3">
      <c r="B2618" s="57">
        <f t="shared" si="218"/>
        <v>2615</v>
      </c>
      <c r="C2618" s="149">
        <v>46213</v>
      </c>
      <c r="D2618" s="57" t="s">
        <v>968</v>
      </c>
      <c r="E2618" s="57" t="s">
        <v>574</v>
      </c>
      <c r="F2618" s="57" t="s">
        <v>446</v>
      </c>
      <c r="G2618" s="57" t="s">
        <v>990</v>
      </c>
      <c r="H2618" s="140" t="s">
        <v>3288</v>
      </c>
      <c r="I2618" s="140" t="s">
        <v>4081</v>
      </c>
      <c r="J2618" s="57">
        <v>4</v>
      </c>
      <c r="K2618" s="167">
        <f>L2618/J2618</f>
        <v>650</v>
      </c>
      <c r="L2618" s="164">
        <v>2600</v>
      </c>
    </row>
    <row r="2619" spans="2:12" x14ac:dyDescent="0.3">
      <c r="B2619" s="57">
        <f t="shared" si="218"/>
        <v>2616</v>
      </c>
      <c r="C2619" s="149">
        <v>46213</v>
      </c>
      <c r="D2619" s="57" t="s">
        <v>968</v>
      </c>
      <c r="E2619" s="57" t="s">
        <v>434</v>
      </c>
      <c r="F2619" s="57" t="s">
        <v>300</v>
      </c>
      <c r="G2619" s="57" t="s">
        <v>300</v>
      </c>
      <c r="H2619" s="140" t="s">
        <v>3289</v>
      </c>
      <c r="I2619" s="57"/>
      <c r="J2619" s="57"/>
      <c r="L2619" s="164">
        <v>1520</v>
      </c>
    </row>
    <row r="2620" spans="2:12" x14ac:dyDescent="0.3">
      <c r="B2620" s="57">
        <f t="shared" si="218"/>
        <v>2617</v>
      </c>
      <c r="C2620" s="149">
        <v>46213</v>
      </c>
      <c r="D2620" s="57" t="s">
        <v>968</v>
      </c>
      <c r="E2620" s="57" t="s">
        <v>2022</v>
      </c>
      <c r="F2620" s="57" t="s">
        <v>446</v>
      </c>
      <c r="G2620" s="57" t="s">
        <v>313</v>
      </c>
      <c r="H2620" s="140" t="s">
        <v>3290</v>
      </c>
      <c r="I2620" s="57"/>
      <c r="J2620" s="57"/>
      <c r="L2620" s="164">
        <v>7200</v>
      </c>
    </row>
    <row r="2621" spans="2:12" x14ac:dyDescent="0.3">
      <c r="B2621" s="57">
        <f t="shared" si="218"/>
        <v>2618</v>
      </c>
      <c r="C2621" s="149">
        <v>46213</v>
      </c>
      <c r="D2621" s="57" t="s">
        <v>968</v>
      </c>
      <c r="E2621" s="57" t="s">
        <v>146</v>
      </c>
      <c r="F2621" s="57" t="s">
        <v>446</v>
      </c>
      <c r="G2621" s="57" t="s">
        <v>990</v>
      </c>
      <c r="H2621" s="140" t="s">
        <v>4089</v>
      </c>
      <c r="I2621" s="57"/>
      <c r="J2621" s="165">
        <f>L2621/K2621</f>
        <v>28.30188679245283</v>
      </c>
      <c r="K2621" s="57">
        <v>106</v>
      </c>
      <c r="L2621" s="164">
        <v>3000</v>
      </c>
    </row>
    <row r="2622" spans="2:12" x14ac:dyDescent="0.3">
      <c r="B2622" s="57">
        <f t="shared" si="218"/>
        <v>2619</v>
      </c>
      <c r="C2622" s="149">
        <v>46213</v>
      </c>
      <c r="D2622" s="57" t="s">
        <v>968</v>
      </c>
      <c r="E2622" s="57" t="s">
        <v>574</v>
      </c>
      <c r="F2622" s="57" t="s">
        <v>2332</v>
      </c>
      <c r="G2622" s="57" t="s">
        <v>1004</v>
      </c>
      <c r="H2622" s="140" t="s">
        <v>3291</v>
      </c>
      <c r="I2622" s="140" t="s">
        <v>4127</v>
      </c>
      <c r="J2622" s="57">
        <v>9</v>
      </c>
      <c r="K2622" s="167">
        <f>L2622/J2622</f>
        <v>611.11111111111109</v>
      </c>
      <c r="L2622" s="164">
        <v>5500</v>
      </c>
    </row>
    <row r="2623" spans="2:12" x14ac:dyDescent="0.3">
      <c r="B2623" s="57">
        <f t="shared" si="218"/>
        <v>2620</v>
      </c>
      <c r="C2623" s="149">
        <v>46214</v>
      </c>
      <c r="D2623" s="57" t="s">
        <v>968</v>
      </c>
      <c r="E2623" s="57" t="s">
        <v>146</v>
      </c>
      <c r="F2623" s="57" t="s">
        <v>350</v>
      </c>
      <c r="G2623" s="57" t="s">
        <v>2350</v>
      </c>
      <c r="H2623" s="140" t="s">
        <v>2780</v>
      </c>
      <c r="I2623" s="57"/>
      <c r="J2623" s="165">
        <f t="shared" ref="J2623:J2624" si="223">L2623/K2623</f>
        <v>24.528301886792452</v>
      </c>
      <c r="K2623" s="57">
        <v>106</v>
      </c>
      <c r="L2623" s="164">
        <v>2600</v>
      </c>
    </row>
    <row r="2624" spans="2:12" x14ac:dyDescent="0.3">
      <c r="B2624" s="57">
        <f t="shared" si="218"/>
        <v>2621</v>
      </c>
      <c r="C2624" s="149">
        <v>46214</v>
      </c>
      <c r="D2624" s="57" t="s">
        <v>968</v>
      </c>
      <c r="E2624" s="57" t="s">
        <v>146</v>
      </c>
      <c r="F2624" s="57" t="s">
        <v>621</v>
      </c>
      <c r="G2624" s="57" t="s">
        <v>345</v>
      </c>
      <c r="H2624" s="140" t="s">
        <v>3302</v>
      </c>
      <c r="I2624" s="57"/>
      <c r="J2624" s="165">
        <f t="shared" si="223"/>
        <v>37.735849056603776</v>
      </c>
      <c r="K2624" s="57">
        <v>106</v>
      </c>
      <c r="L2624" s="164">
        <v>4000</v>
      </c>
    </row>
    <row r="2625" spans="2:12" x14ac:dyDescent="0.3">
      <c r="B2625" s="57">
        <f t="shared" si="218"/>
        <v>2622</v>
      </c>
      <c r="C2625" s="149">
        <v>46214</v>
      </c>
      <c r="D2625" s="57" t="s">
        <v>968</v>
      </c>
      <c r="E2625" s="57" t="s">
        <v>434</v>
      </c>
      <c r="F2625" s="57" t="s">
        <v>300</v>
      </c>
      <c r="G2625" s="57" t="s">
        <v>626</v>
      </c>
      <c r="H2625" s="140" t="s">
        <v>3303</v>
      </c>
      <c r="I2625" s="57"/>
      <c r="J2625" s="57"/>
      <c r="L2625" s="164">
        <v>480</v>
      </c>
    </row>
    <row r="2626" spans="2:12" x14ac:dyDescent="0.3">
      <c r="B2626" s="57">
        <f t="shared" si="218"/>
        <v>2623</v>
      </c>
      <c r="C2626" s="149">
        <v>46214</v>
      </c>
      <c r="D2626" s="57" t="s">
        <v>968</v>
      </c>
      <c r="E2626" s="57" t="s">
        <v>146</v>
      </c>
      <c r="F2626" s="57" t="s">
        <v>350</v>
      </c>
      <c r="G2626" s="57" t="s">
        <v>2350</v>
      </c>
      <c r="H2626" s="140" t="s">
        <v>3304</v>
      </c>
      <c r="I2626" s="57"/>
      <c r="J2626" s="165">
        <f>L2626/K2626</f>
        <v>18.867924528301888</v>
      </c>
      <c r="K2626" s="57">
        <v>106</v>
      </c>
      <c r="L2626" s="164">
        <v>2000</v>
      </c>
    </row>
    <row r="2627" spans="2:12" x14ac:dyDescent="0.3">
      <c r="B2627" s="57">
        <f t="shared" si="218"/>
        <v>2624</v>
      </c>
      <c r="C2627" s="149">
        <v>46214</v>
      </c>
      <c r="D2627" s="57" t="s">
        <v>968</v>
      </c>
      <c r="E2627" s="57" t="s">
        <v>532</v>
      </c>
      <c r="F2627" s="57" t="s">
        <v>436</v>
      </c>
      <c r="G2627" s="57" t="s">
        <v>270</v>
      </c>
      <c r="H2627" s="140" t="s">
        <v>3305</v>
      </c>
      <c r="I2627" s="57" t="s">
        <v>532</v>
      </c>
      <c r="J2627" s="57">
        <v>20</v>
      </c>
      <c r="K2627" s="167">
        <f>L2627/J2627</f>
        <v>270</v>
      </c>
      <c r="L2627" s="164">
        <v>5400</v>
      </c>
    </row>
    <row r="2628" spans="2:12" x14ac:dyDescent="0.3">
      <c r="B2628" s="57">
        <f t="shared" si="218"/>
        <v>2625</v>
      </c>
      <c r="C2628" s="149">
        <v>46214</v>
      </c>
      <c r="D2628" s="57" t="s">
        <v>968</v>
      </c>
      <c r="E2628" s="57" t="s">
        <v>434</v>
      </c>
      <c r="F2628" s="57" t="s">
        <v>300</v>
      </c>
      <c r="G2628" s="57" t="s">
        <v>626</v>
      </c>
      <c r="H2628" s="140" t="s">
        <v>3306</v>
      </c>
      <c r="I2628" s="57"/>
      <c r="J2628" s="57"/>
      <c r="L2628" s="164">
        <v>180</v>
      </c>
    </row>
    <row r="2629" spans="2:12" x14ac:dyDescent="0.3">
      <c r="B2629" s="57">
        <f t="shared" si="218"/>
        <v>2626</v>
      </c>
      <c r="C2629" s="149">
        <v>46214</v>
      </c>
      <c r="D2629" s="57" t="s">
        <v>968</v>
      </c>
      <c r="E2629" s="57" t="s">
        <v>532</v>
      </c>
      <c r="F2629" s="57" t="s">
        <v>446</v>
      </c>
      <c r="G2629" s="57" t="s">
        <v>316</v>
      </c>
      <c r="H2629" s="140" t="s">
        <v>3307</v>
      </c>
      <c r="I2629" s="57" t="s">
        <v>532</v>
      </c>
      <c r="J2629" s="57">
        <v>20</v>
      </c>
      <c r="K2629" s="167">
        <f>L2629/J2629</f>
        <v>285</v>
      </c>
      <c r="L2629" s="164">
        <v>5700</v>
      </c>
    </row>
    <row r="2630" spans="2:12" x14ac:dyDescent="0.3">
      <c r="B2630" s="57">
        <f t="shared" ref="B2630:B2693" si="224">+B2629+1</f>
        <v>2627</v>
      </c>
      <c r="C2630" s="149">
        <v>46214</v>
      </c>
      <c r="D2630" s="57" t="s">
        <v>968</v>
      </c>
      <c r="E2630" s="57" t="s">
        <v>434</v>
      </c>
      <c r="F2630" s="57" t="s">
        <v>300</v>
      </c>
      <c r="G2630" s="57" t="s">
        <v>2473</v>
      </c>
      <c r="H2630" s="140" t="s">
        <v>3308</v>
      </c>
      <c r="I2630" s="57"/>
      <c r="J2630" s="57"/>
      <c r="L2630" s="164">
        <v>1664</v>
      </c>
    </row>
    <row r="2631" spans="2:12" x14ac:dyDescent="0.3">
      <c r="B2631" s="57">
        <f t="shared" si="224"/>
        <v>2628</v>
      </c>
      <c r="C2631" s="149">
        <v>46214</v>
      </c>
      <c r="D2631" s="57" t="s">
        <v>968</v>
      </c>
      <c r="F2631" s="57" t="s">
        <v>621</v>
      </c>
      <c r="G2631" s="57" t="s">
        <v>345</v>
      </c>
      <c r="H2631" s="140" t="s">
        <v>3309</v>
      </c>
      <c r="I2631" s="57"/>
      <c r="J2631" s="57">
        <v>6</v>
      </c>
      <c r="K2631" s="57">
        <v>550</v>
      </c>
      <c r="L2631" s="164">
        <f t="shared" ref="L2631:L2658" si="225">J2631*K2631</f>
        <v>3300</v>
      </c>
    </row>
    <row r="2632" spans="2:12" x14ac:dyDescent="0.3">
      <c r="B2632" s="57">
        <f t="shared" si="224"/>
        <v>2629</v>
      </c>
      <c r="C2632" s="149">
        <v>46214</v>
      </c>
      <c r="D2632" s="57" t="s">
        <v>968</v>
      </c>
      <c r="E2632" s="57" t="s">
        <v>574</v>
      </c>
      <c r="F2632" s="57" t="s">
        <v>2332</v>
      </c>
      <c r="G2632" s="57" t="s">
        <v>1004</v>
      </c>
      <c r="H2632" s="140" t="s">
        <v>3320</v>
      </c>
      <c r="I2632" s="140" t="s">
        <v>2635</v>
      </c>
      <c r="J2632" s="57">
        <v>4</v>
      </c>
      <c r="K2632" s="167">
        <f>L2632/J2632</f>
        <v>750</v>
      </c>
      <c r="L2632" s="164">
        <v>3000</v>
      </c>
    </row>
    <row r="2633" spans="2:12" x14ac:dyDescent="0.3">
      <c r="B2633" s="57">
        <f t="shared" si="224"/>
        <v>2630</v>
      </c>
      <c r="C2633" s="149">
        <v>46214</v>
      </c>
      <c r="D2633" s="57" t="s">
        <v>968</v>
      </c>
      <c r="E2633" s="57" t="s">
        <v>574</v>
      </c>
      <c r="F2633" s="57" t="s">
        <v>2332</v>
      </c>
      <c r="G2633" s="57" t="s">
        <v>1004</v>
      </c>
      <c r="H2633" s="140" t="s">
        <v>3319</v>
      </c>
      <c r="I2633" s="140" t="s">
        <v>4081</v>
      </c>
      <c r="J2633" s="57">
        <v>4</v>
      </c>
      <c r="K2633" s="167">
        <f>L2633/J2633</f>
        <v>625</v>
      </c>
      <c r="L2633" s="164">
        <v>2500</v>
      </c>
    </row>
    <row r="2634" spans="2:12" x14ac:dyDescent="0.3">
      <c r="B2634" s="57">
        <f t="shared" si="224"/>
        <v>2631</v>
      </c>
      <c r="C2634" s="149">
        <v>46214</v>
      </c>
      <c r="D2634" s="57" t="s">
        <v>968</v>
      </c>
      <c r="E2634" s="57" t="s">
        <v>146</v>
      </c>
      <c r="F2634" s="57" t="s">
        <v>446</v>
      </c>
      <c r="G2634" s="57" t="s">
        <v>316</v>
      </c>
      <c r="H2634" s="140" t="s">
        <v>3310</v>
      </c>
      <c r="I2634" s="57"/>
      <c r="J2634" s="165">
        <f>L2634/K2634</f>
        <v>28.30188679245283</v>
      </c>
      <c r="K2634" s="57">
        <v>106</v>
      </c>
      <c r="L2634" s="164">
        <v>3000</v>
      </c>
    </row>
    <row r="2635" spans="2:12" x14ac:dyDescent="0.3">
      <c r="B2635" s="57">
        <f t="shared" si="224"/>
        <v>2632</v>
      </c>
      <c r="C2635" s="149">
        <v>46214</v>
      </c>
      <c r="D2635" s="57" t="s">
        <v>968</v>
      </c>
      <c r="E2635" s="57" t="s">
        <v>574</v>
      </c>
      <c r="F2635" s="57" t="s">
        <v>446</v>
      </c>
      <c r="G2635" s="57" t="s">
        <v>990</v>
      </c>
      <c r="H2635" s="140" t="s">
        <v>3311</v>
      </c>
      <c r="I2635" s="140" t="s">
        <v>4081</v>
      </c>
      <c r="J2635" s="57">
        <v>4</v>
      </c>
      <c r="K2635" s="167">
        <f>L2635/J2635</f>
        <v>650</v>
      </c>
      <c r="L2635" s="164">
        <v>2600</v>
      </c>
    </row>
    <row r="2636" spans="2:12" x14ac:dyDescent="0.3">
      <c r="B2636" s="57">
        <f t="shared" si="224"/>
        <v>2633</v>
      </c>
      <c r="C2636" s="149">
        <v>46214</v>
      </c>
      <c r="D2636" s="57" t="s">
        <v>968</v>
      </c>
      <c r="E2636" s="57" t="s">
        <v>4128</v>
      </c>
      <c r="F2636" s="57" t="s">
        <v>446</v>
      </c>
      <c r="G2636" s="57" t="s">
        <v>316</v>
      </c>
      <c r="H2636" s="140" t="s">
        <v>3312</v>
      </c>
      <c r="I2636" s="57"/>
      <c r="J2636" s="57"/>
      <c r="L2636" s="164">
        <v>1450</v>
      </c>
    </row>
    <row r="2637" spans="2:12" x14ac:dyDescent="0.3">
      <c r="B2637" s="57">
        <f t="shared" si="224"/>
        <v>2634</v>
      </c>
      <c r="C2637" s="149">
        <v>46214</v>
      </c>
      <c r="D2637" s="57" t="s">
        <v>968</v>
      </c>
      <c r="E2637" s="57" t="s">
        <v>146</v>
      </c>
      <c r="F2637" s="57" t="s">
        <v>2332</v>
      </c>
      <c r="G2637" s="57" t="s">
        <v>1004</v>
      </c>
      <c r="H2637" s="140" t="s">
        <v>4094</v>
      </c>
      <c r="I2637" s="57" t="s">
        <v>146</v>
      </c>
      <c r="J2637" s="165">
        <f>L2637/K2637</f>
        <v>18.867924528301888</v>
      </c>
      <c r="K2637" s="57">
        <v>106</v>
      </c>
      <c r="L2637" s="164">
        <v>2000</v>
      </c>
    </row>
    <row r="2638" spans="2:12" x14ac:dyDescent="0.3">
      <c r="B2638" s="57">
        <f t="shared" si="224"/>
        <v>2635</v>
      </c>
      <c r="C2638" s="149">
        <v>46214</v>
      </c>
      <c r="D2638" s="57" t="s">
        <v>435</v>
      </c>
      <c r="I2638" s="57"/>
      <c r="J2638" s="57"/>
      <c r="L2638" s="164">
        <v>8496</v>
      </c>
    </row>
    <row r="2639" spans="2:12" x14ac:dyDescent="0.3">
      <c r="B2639" s="57">
        <f t="shared" si="224"/>
        <v>2636</v>
      </c>
      <c r="C2639" s="149">
        <v>46214</v>
      </c>
      <c r="D2639" s="57" t="s">
        <v>968</v>
      </c>
      <c r="E2639" s="57" t="s">
        <v>146</v>
      </c>
      <c r="F2639" s="57" t="s">
        <v>2332</v>
      </c>
      <c r="G2639" s="57" t="s">
        <v>1004</v>
      </c>
      <c r="H2639" s="140" t="s">
        <v>4098</v>
      </c>
      <c r="I2639" s="57"/>
      <c r="J2639" s="165">
        <f>L2639/K2639</f>
        <v>18.867924528301888</v>
      </c>
      <c r="K2639" s="57">
        <v>106</v>
      </c>
      <c r="L2639" s="164">
        <v>2000</v>
      </c>
    </row>
    <row r="2640" spans="2:12" x14ac:dyDescent="0.3">
      <c r="B2640" s="57">
        <f t="shared" si="224"/>
        <v>2637</v>
      </c>
      <c r="C2640" s="149">
        <v>46214</v>
      </c>
      <c r="D2640" s="57" t="s">
        <v>968</v>
      </c>
      <c r="E2640" s="57" t="s">
        <v>532</v>
      </c>
      <c r="F2640" s="57" t="s">
        <v>300</v>
      </c>
      <c r="G2640" s="57" t="s">
        <v>572</v>
      </c>
      <c r="H2640" s="140" t="s">
        <v>3211</v>
      </c>
      <c r="I2640" s="57" t="s">
        <v>532</v>
      </c>
      <c r="J2640" s="57">
        <v>20</v>
      </c>
      <c r="K2640" s="167">
        <f>L2640/J2640</f>
        <v>270</v>
      </c>
      <c r="L2640" s="164">
        <v>5400</v>
      </c>
    </row>
    <row r="2641" spans="2:12" x14ac:dyDescent="0.3">
      <c r="B2641" s="57">
        <f t="shared" si="224"/>
        <v>2638</v>
      </c>
      <c r="C2641" s="149">
        <v>46214</v>
      </c>
      <c r="D2641" s="57" t="s">
        <v>968</v>
      </c>
      <c r="E2641" s="57" t="s">
        <v>2427</v>
      </c>
      <c r="F2641" s="57" t="s">
        <v>300</v>
      </c>
      <c r="G2641" s="57" t="s">
        <v>572</v>
      </c>
      <c r="H2641" s="140" t="s">
        <v>3313</v>
      </c>
      <c r="I2641" s="57" t="s">
        <v>2914</v>
      </c>
      <c r="J2641" s="165" t="s">
        <v>3321</v>
      </c>
      <c r="K2641" s="57">
        <v>55</v>
      </c>
      <c r="L2641" s="164">
        <v>7994</v>
      </c>
    </row>
    <row r="2642" spans="2:12" x14ac:dyDescent="0.3">
      <c r="B2642" s="57">
        <f t="shared" si="224"/>
        <v>2639</v>
      </c>
      <c r="C2642" s="149">
        <v>46214</v>
      </c>
      <c r="D2642" s="57" t="s">
        <v>968</v>
      </c>
      <c r="E2642" s="57" t="s">
        <v>574</v>
      </c>
      <c r="F2642" s="57" t="s">
        <v>300</v>
      </c>
      <c r="G2642" s="57" t="s">
        <v>2653</v>
      </c>
      <c r="H2642" s="140" t="s">
        <v>3314</v>
      </c>
      <c r="I2642" s="140" t="s">
        <v>4127</v>
      </c>
      <c r="J2642" s="57">
        <v>6.5</v>
      </c>
      <c r="K2642" s="167">
        <f>L2642/J2642</f>
        <v>641.53846153846155</v>
      </c>
      <c r="L2642" s="164">
        <v>4170</v>
      </c>
    </row>
    <row r="2643" spans="2:12" x14ac:dyDescent="0.3">
      <c r="B2643" s="57">
        <f t="shared" si="224"/>
        <v>2640</v>
      </c>
      <c r="C2643" s="149">
        <v>46214</v>
      </c>
      <c r="D2643" s="57" t="s">
        <v>968</v>
      </c>
      <c r="E2643" s="57" t="s">
        <v>574</v>
      </c>
      <c r="F2643" s="57" t="s">
        <v>546</v>
      </c>
      <c r="G2643" s="57" t="s">
        <v>545</v>
      </c>
      <c r="H2643" s="140" t="s">
        <v>3315</v>
      </c>
      <c r="I2643" s="140" t="s">
        <v>2635</v>
      </c>
      <c r="J2643" s="57">
        <v>4</v>
      </c>
      <c r="K2643" s="168">
        <f>L2643/J2643</f>
        <v>587.5</v>
      </c>
      <c r="L2643" s="164">
        <v>2350</v>
      </c>
    </row>
    <row r="2644" spans="2:12" x14ac:dyDescent="0.3">
      <c r="B2644" s="57">
        <f t="shared" si="224"/>
        <v>2641</v>
      </c>
      <c r="C2644" s="149">
        <v>46214</v>
      </c>
      <c r="D2644" s="57" t="s">
        <v>968</v>
      </c>
      <c r="E2644" s="57" t="s">
        <v>574</v>
      </c>
      <c r="F2644" s="57" t="s">
        <v>2332</v>
      </c>
      <c r="G2644" s="57" t="s">
        <v>1004</v>
      </c>
      <c r="H2644" s="140" t="s">
        <v>3322</v>
      </c>
      <c r="I2644" s="140" t="s">
        <v>4081</v>
      </c>
      <c r="J2644" s="57">
        <v>4</v>
      </c>
      <c r="K2644" s="167">
        <f>L2644/J2644</f>
        <v>625</v>
      </c>
      <c r="L2644" s="164">
        <v>2500</v>
      </c>
    </row>
    <row r="2645" spans="2:12" x14ac:dyDescent="0.3">
      <c r="B2645" s="57">
        <f t="shared" si="224"/>
        <v>2642</v>
      </c>
      <c r="C2645" s="149">
        <v>46214</v>
      </c>
      <c r="D2645" s="57" t="s">
        <v>968</v>
      </c>
      <c r="E2645" s="57" t="s">
        <v>574</v>
      </c>
      <c r="F2645" s="57" t="s">
        <v>2332</v>
      </c>
      <c r="G2645" s="57" t="s">
        <v>1004</v>
      </c>
      <c r="H2645" s="140" t="s">
        <v>3322</v>
      </c>
      <c r="I2645" s="140" t="s">
        <v>2635</v>
      </c>
      <c r="J2645" s="57">
        <v>4</v>
      </c>
      <c r="K2645" s="167">
        <f>L2645/J2645</f>
        <v>750</v>
      </c>
      <c r="L2645" s="164">
        <v>3000</v>
      </c>
    </row>
    <row r="2646" spans="2:12" x14ac:dyDescent="0.3">
      <c r="B2646" s="57">
        <f t="shared" si="224"/>
        <v>2643</v>
      </c>
      <c r="C2646" s="149">
        <v>46214</v>
      </c>
      <c r="D2646" s="57" t="s">
        <v>968</v>
      </c>
      <c r="E2646" s="57" t="s">
        <v>532</v>
      </c>
      <c r="F2646" s="57" t="s">
        <v>300</v>
      </c>
      <c r="G2646" s="57" t="s">
        <v>2331</v>
      </c>
      <c r="H2646" s="140" t="s">
        <v>3316</v>
      </c>
      <c r="I2646" s="57" t="s">
        <v>532</v>
      </c>
      <c r="J2646" s="57">
        <v>3</v>
      </c>
      <c r="K2646" s="168">
        <f>L2646/J2646</f>
        <v>266.66666666666669</v>
      </c>
      <c r="L2646" s="164">
        <v>800</v>
      </c>
    </row>
    <row r="2647" spans="2:12" x14ac:dyDescent="0.3">
      <c r="B2647" s="57">
        <f t="shared" si="224"/>
        <v>2644</v>
      </c>
      <c r="C2647" s="149">
        <v>46214</v>
      </c>
      <c r="D2647" s="57" t="s">
        <v>968</v>
      </c>
      <c r="E2647" s="57" t="s">
        <v>146</v>
      </c>
      <c r="F2647" s="57" t="s">
        <v>300</v>
      </c>
      <c r="G2647" s="57" t="s">
        <v>438</v>
      </c>
      <c r="H2647" s="140" t="s">
        <v>4110</v>
      </c>
      <c r="I2647" s="57"/>
      <c r="J2647" s="165">
        <f>L2647/K2647</f>
        <v>32.905660377358494</v>
      </c>
      <c r="K2647" s="57">
        <v>106</v>
      </c>
      <c r="L2647" s="164">
        <v>3488</v>
      </c>
    </row>
    <row r="2648" spans="2:12" x14ac:dyDescent="0.3">
      <c r="B2648" s="57">
        <f t="shared" si="224"/>
        <v>2645</v>
      </c>
      <c r="C2648" s="149">
        <v>46214</v>
      </c>
      <c r="D2648" s="57" t="s">
        <v>968</v>
      </c>
      <c r="E2648" s="57" t="s">
        <v>434</v>
      </c>
      <c r="F2648" s="57" t="s">
        <v>350</v>
      </c>
      <c r="G2648" s="57" t="s">
        <v>675</v>
      </c>
      <c r="H2648" s="140" t="s">
        <v>3317</v>
      </c>
      <c r="I2648" s="57"/>
      <c r="J2648" s="57"/>
      <c r="L2648" s="164">
        <v>540</v>
      </c>
    </row>
    <row r="2649" spans="2:12" x14ac:dyDescent="0.3">
      <c r="B2649" s="57">
        <f t="shared" si="224"/>
        <v>2646</v>
      </c>
      <c r="C2649" s="149">
        <v>46214</v>
      </c>
      <c r="D2649" s="57" t="s">
        <v>968</v>
      </c>
      <c r="E2649" s="57" t="s">
        <v>146</v>
      </c>
      <c r="F2649" s="57" t="s">
        <v>300</v>
      </c>
      <c r="G2649" s="57" t="s">
        <v>3271</v>
      </c>
      <c r="H2649" s="140" t="s">
        <v>4109</v>
      </c>
      <c r="I2649" s="57"/>
      <c r="J2649" s="165">
        <f>L2649/K2649</f>
        <v>41.632075471698116</v>
      </c>
      <c r="K2649" s="57">
        <v>106</v>
      </c>
      <c r="L2649" s="164">
        <v>4413</v>
      </c>
    </row>
    <row r="2650" spans="2:12" x14ac:dyDescent="0.3">
      <c r="B2650" s="57">
        <f t="shared" si="224"/>
        <v>2647</v>
      </c>
      <c r="C2650" s="149">
        <v>46214</v>
      </c>
      <c r="D2650" s="57" t="s">
        <v>968</v>
      </c>
      <c r="E2650" s="57" t="s">
        <v>967</v>
      </c>
      <c r="F2650" s="57" t="s">
        <v>300</v>
      </c>
      <c r="G2650" s="57" t="s">
        <v>530</v>
      </c>
      <c r="H2650" s="140" t="s">
        <v>3893</v>
      </c>
      <c r="I2650" s="57"/>
      <c r="J2650" s="57"/>
      <c r="L2650" s="164">
        <v>2000</v>
      </c>
    </row>
    <row r="2651" spans="2:12" x14ac:dyDescent="0.3">
      <c r="B2651" s="57">
        <f t="shared" si="224"/>
        <v>2648</v>
      </c>
      <c r="C2651" s="149">
        <v>46214</v>
      </c>
      <c r="D2651" s="57" t="s">
        <v>968</v>
      </c>
      <c r="E2651" s="57" t="s">
        <v>146</v>
      </c>
      <c r="F2651" s="57" t="s">
        <v>502</v>
      </c>
      <c r="G2651" s="57" t="s">
        <v>2344</v>
      </c>
      <c r="H2651" s="140" t="s">
        <v>4092</v>
      </c>
      <c r="I2651" s="57"/>
      <c r="J2651" s="165">
        <f>L2651/K2651</f>
        <v>145.73584905660377</v>
      </c>
      <c r="K2651" s="57">
        <v>106</v>
      </c>
      <c r="L2651" s="164">
        <v>15448</v>
      </c>
    </row>
    <row r="2652" spans="2:12" x14ac:dyDescent="0.3">
      <c r="B2652" s="57">
        <f t="shared" si="224"/>
        <v>2649</v>
      </c>
      <c r="C2652" s="149">
        <v>46214</v>
      </c>
      <c r="D2652" s="57" t="s">
        <v>968</v>
      </c>
      <c r="E2652" s="57" t="s">
        <v>4128</v>
      </c>
      <c r="F2652" s="57" t="s">
        <v>502</v>
      </c>
      <c r="G2652" s="57" t="s">
        <v>2344</v>
      </c>
      <c r="H2652" s="140" t="s">
        <v>3318</v>
      </c>
      <c r="I2652" s="57"/>
      <c r="J2652" s="57"/>
      <c r="L2652" s="164">
        <v>4000</v>
      </c>
    </row>
    <row r="2653" spans="2:12" x14ac:dyDescent="0.3">
      <c r="B2653" s="57">
        <f t="shared" si="224"/>
        <v>2650</v>
      </c>
      <c r="C2653" s="149">
        <v>46215</v>
      </c>
      <c r="D2653" s="57" t="s">
        <v>968</v>
      </c>
      <c r="E2653" s="57" t="s">
        <v>146</v>
      </c>
      <c r="F2653" s="57" t="s">
        <v>2332</v>
      </c>
      <c r="G2653" s="57" t="s">
        <v>1004</v>
      </c>
      <c r="H2653" s="140" t="s">
        <v>4098</v>
      </c>
      <c r="I2653" s="57"/>
      <c r="J2653" s="165">
        <f t="shared" ref="J2653:J2654" si="226">L2653/K2653</f>
        <v>18.867924528301888</v>
      </c>
      <c r="K2653" s="57">
        <v>106</v>
      </c>
      <c r="L2653" s="164">
        <v>2000</v>
      </c>
    </row>
    <row r="2654" spans="2:12" x14ac:dyDescent="0.3">
      <c r="B2654" s="57">
        <f t="shared" si="224"/>
        <v>2651</v>
      </c>
      <c r="C2654" s="149">
        <v>46215</v>
      </c>
      <c r="D2654" s="57" t="s">
        <v>968</v>
      </c>
      <c r="E2654" s="57" t="s">
        <v>146</v>
      </c>
      <c r="F2654" s="57" t="s">
        <v>2332</v>
      </c>
      <c r="G2654" s="57" t="s">
        <v>1004</v>
      </c>
      <c r="H2654" s="140" t="s">
        <v>4094</v>
      </c>
      <c r="I2654" s="57" t="s">
        <v>146</v>
      </c>
      <c r="J2654" s="165">
        <f t="shared" si="226"/>
        <v>18.867924528301888</v>
      </c>
      <c r="K2654" s="57">
        <v>106</v>
      </c>
      <c r="L2654" s="164">
        <v>2000</v>
      </c>
    </row>
    <row r="2655" spans="2:12" x14ac:dyDescent="0.3">
      <c r="B2655" s="57">
        <f t="shared" si="224"/>
        <v>2652</v>
      </c>
      <c r="C2655" s="149">
        <v>46215</v>
      </c>
      <c r="D2655" s="57" t="s">
        <v>968</v>
      </c>
      <c r="E2655" s="57" t="s">
        <v>574</v>
      </c>
      <c r="F2655" s="57" t="s">
        <v>2332</v>
      </c>
      <c r="G2655" s="57" t="s">
        <v>1004</v>
      </c>
      <c r="H2655" s="140" t="s">
        <v>3332</v>
      </c>
      <c r="I2655" s="140" t="s">
        <v>2635</v>
      </c>
      <c r="J2655" s="57">
        <v>4</v>
      </c>
      <c r="K2655" s="167">
        <f>L2655/J2655</f>
        <v>750</v>
      </c>
      <c r="L2655" s="164">
        <v>3000</v>
      </c>
    </row>
    <row r="2656" spans="2:12" x14ac:dyDescent="0.3">
      <c r="B2656" s="57">
        <f t="shared" si="224"/>
        <v>2653</v>
      </c>
      <c r="C2656" s="149">
        <v>46215</v>
      </c>
      <c r="D2656" s="57" t="s">
        <v>968</v>
      </c>
      <c r="E2656" s="57" t="s">
        <v>574</v>
      </c>
      <c r="F2656" s="57" t="s">
        <v>2332</v>
      </c>
      <c r="G2656" s="57" t="s">
        <v>1004</v>
      </c>
      <c r="H2656" s="140" t="s">
        <v>3331</v>
      </c>
      <c r="I2656" s="140" t="s">
        <v>4081</v>
      </c>
      <c r="J2656" s="57">
        <v>4</v>
      </c>
      <c r="K2656" s="167">
        <f>L2656/J2656</f>
        <v>625</v>
      </c>
      <c r="L2656" s="164">
        <v>2500</v>
      </c>
    </row>
    <row r="2657" spans="2:12" x14ac:dyDescent="0.3">
      <c r="B2657" s="57">
        <f t="shared" si="224"/>
        <v>2654</v>
      </c>
      <c r="C2657" s="149">
        <v>46215</v>
      </c>
      <c r="D2657" s="57" t="s">
        <v>968</v>
      </c>
      <c r="E2657" s="57" t="s">
        <v>532</v>
      </c>
      <c r="F2657" s="57" t="s">
        <v>446</v>
      </c>
      <c r="G2657" s="57" t="s">
        <v>1000</v>
      </c>
      <c r="H2657" s="140" t="s">
        <v>3333</v>
      </c>
      <c r="I2657" s="57" t="s">
        <v>532</v>
      </c>
      <c r="J2657" s="57">
        <v>260</v>
      </c>
      <c r="K2657" s="57">
        <v>10</v>
      </c>
      <c r="L2657" s="164">
        <f t="shared" si="225"/>
        <v>2600</v>
      </c>
    </row>
    <row r="2658" spans="2:12" x14ac:dyDescent="0.3">
      <c r="B2658" s="57">
        <f t="shared" si="224"/>
        <v>2655</v>
      </c>
      <c r="C2658" s="149">
        <v>46215</v>
      </c>
      <c r="D2658" s="57" t="s">
        <v>968</v>
      </c>
      <c r="E2658" s="57" t="s">
        <v>481</v>
      </c>
      <c r="F2658" s="57" t="s">
        <v>300</v>
      </c>
      <c r="G2658" s="57" t="s">
        <v>530</v>
      </c>
      <c r="H2658" s="140" t="s">
        <v>3334</v>
      </c>
      <c r="I2658" s="57" t="s">
        <v>481</v>
      </c>
      <c r="J2658" s="57">
        <v>15</v>
      </c>
      <c r="K2658" s="57">
        <v>60</v>
      </c>
      <c r="L2658" s="164">
        <f t="shared" si="225"/>
        <v>900</v>
      </c>
    </row>
    <row r="2659" spans="2:12" x14ac:dyDescent="0.3">
      <c r="B2659" s="57">
        <f t="shared" si="224"/>
        <v>2656</v>
      </c>
      <c r="C2659" s="149">
        <v>46215</v>
      </c>
      <c r="D2659" s="57" t="s">
        <v>968</v>
      </c>
      <c r="E2659" s="57" t="s">
        <v>958</v>
      </c>
      <c r="F2659" s="57" t="s">
        <v>300</v>
      </c>
      <c r="G2659" s="57" t="s">
        <v>443</v>
      </c>
      <c r="H2659" s="140" t="s">
        <v>3335</v>
      </c>
      <c r="I2659" s="57"/>
      <c r="J2659" s="57"/>
      <c r="L2659" s="164">
        <v>2000</v>
      </c>
    </row>
    <row r="2660" spans="2:12" x14ac:dyDescent="0.3">
      <c r="B2660" s="57">
        <f t="shared" si="224"/>
        <v>2657</v>
      </c>
      <c r="C2660" s="149">
        <v>46215</v>
      </c>
      <c r="D2660" s="57" t="s">
        <v>968</v>
      </c>
      <c r="E2660" s="57" t="s">
        <v>434</v>
      </c>
      <c r="F2660" s="57" t="s">
        <v>446</v>
      </c>
      <c r="G2660" s="57" t="s">
        <v>316</v>
      </c>
      <c r="H2660" s="140" t="s">
        <v>3336</v>
      </c>
      <c r="I2660" s="57"/>
      <c r="J2660" s="57"/>
      <c r="L2660" s="164">
        <v>12100</v>
      </c>
    </row>
    <row r="2661" spans="2:12" x14ac:dyDescent="0.3">
      <c r="B2661" s="57">
        <f t="shared" si="224"/>
        <v>2658</v>
      </c>
      <c r="C2661" s="149">
        <v>46215</v>
      </c>
      <c r="D2661" s="57" t="s">
        <v>968</v>
      </c>
      <c r="E2661" s="57" t="s">
        <v>4128</v>
      </c>
      <c r="F2661" s="57" t="s">
        <v>300</v>
      </c>
      <c r="G2661" s="57" t="s">
        <v>530</v>
      </c>
      <c r="H2661" s="140" t="s">
        <v>3337</v>
      </c>
      <c r="I2661" s="57"/>
      <c r="J2661" s="57"/>
      <c r="L2661" s="164">
        <v>15292</v>
      </c>
    </row>
    <row r="2662" spans="2:12" x14ac:dyDescent="0.3">
      <c r="B2662" s="57">
        <f t="shared" si="224"/>
        <v>2659</v>
      </c>
      <c r="C2662" s="149">
        <v>46215</v>
      </c>
      <c r="D2662" s="57" t="s">
        <v>968</v>
      </c>
      <c r="E2662" s="57" t="s">
        <v>146</v>
      </c>
      <c r="F2662" s="57" t="s">
        <v>300</v>
      </c>
      <c r="G2662" s="57" t="s">
        <v>2331</v>
      </c>
      <c r="H2662" s="140" t="s">
        <v>4105</v>
      </c>
      <c r="I2662" s="57"/>
      <c r="J2662" s="165">
        <f>L2662/K2662</f>
        <v>48.801886792452834</v>
      </c>
      <c r="K2662" s="57">
        <v>106</v>
      </c>
      <c r="L2662" s="164">
        <v>5173</v>
      </c>
    </row>
    <row r="2663" spans="2:12" x14ac:dyDescent="0.3">
      <c r="B2663" s="57">
        <f t="shared" si="224"/>
        <v>2660</v>
      </c>
      <c r="C2663" s="149">
        <v>46215</v>
      </c>
      <c r="D2663" s="57" t="s">
        <v>968</v>
      </c>
      <c r="E2663" s="57" t="s">
        <v>2027</v>
      </c>
      <c r="F2663" s="57" t="s">
        <v>502</v>
      </c>
      <c r="G2663" s="57" t="s">
        <v>2344</v>
      </c>
      <c r="H2663" s="140" t="s">
        <v>3338</v>
      </c>
      <c r="I2663" s="57"/>
      <c r="J2663" s="57"/>
      <c r="L2663" s="164">
        <v>1010</v>
      </c>
    </row>
    <row r="2664" spans="2:12" x14ac:dyDescent="0.3">
      <c r="B2664" s="57">
        <f t="shared" si="224"/>
        <v>2661</v>
      </c>
      <c r="C2664" s="149">
        <v>46215</v>
      </c>
      <c r="D2664" s="57" t="s">
        <v>968</v>
      </c>
      <c r="E2664" s="57" t="s">
        <v>3349</v>
      </c>
      <c r="F2664" s="57" t="s">
        <v>300</v>
      </c>
      <c r="G2664" s="57" t="s">
        <v>300</v>
      </c>
      <c r="H2664" s="140" t="s">
        <v>3348</v>
      </c>
      <c r="I2664" s="57"/>
      <c r="J2664" s="57"/>
      <c r="L2664" s="164">
        <v>606</v>
      </c>
    </row>
    <row r="2665" spans="2:12" x14ac:dyDescent="0.3">
      <c r="B2665" s="57">
        <f t="shared" si="224"/>
        <v>2662</v>
      </c>
      <c r="C2665" s="149">
        <v>46215</v>
      </c>
      <c r="D2665" s="57" t="s">
        <v>968</v>
      </c>
      <c r="E2665" s="57" t="s">
        <v>574</v>
      </c>
      <c r="F2665" s="57" t="s">
        <v>2332</v>
      </c>
      <c r="G2665" s="57" t="s">
        <v>1004</v>
      </c>
      <c r="H2665" s="140" t="s">
        <v>3332</v>
      </c>
      <c r="I2665" s="140" t="s">
        <v>2635</v>
      </c>
      <c r="J2665" s="57">
        <v>4</v>
      </c>
      <c r="K2665" s="167">
        <f>L2665/J2665</f>
        <v>750</v>
      </c>
      <c r="L2665" s="164">
        <v>3000</v>
      </c>
    </row>
    <row r="2666" spans="2:12" x14ac:dyDescent="0.3">
      <c r="B2666" s="57">
        <f t="shared" si="224"/>
        <v>2663</v>
      </c>
      <c r="C2666" s="149">
        <v>46215</v>
      </c>
      <c r="D2666" s="57" t="s">
        <v>968</v>
      </c>
      <c r="E2666" s="57" t="s">
        <v>574</v>
      </c>
      <c r="F2666" s="57" t="s">
        <v>2332</v>
      </c>
      <c r="G2666" s="57" t="s">
        <v>1004</v>
      </c>
      <c r="H2666" s="140" t="s">
        <v>3331</v>
      </c>
      <c r="I2666" s="140" t="s">
        <v>4081</v>
      </c>
      <c r="J2666" s="57">
        <v>4</v>
      </c>
      <c r="K2666" s="167">
        <f>L2666/J2666</f>
        <v>625</v>
      </c>
      <c r="L2666" s="164">
        <v>2500</v>
      </c>
    </row>
    <row r="2667" spans="2:12" x14ac:dyDescent="0.3">
      <c r="B2667" s="57">
        <f t="shared" si="224"/>
        <v>2664</v>
      </c>
      <c r="C2667" s="149">
        <v>46215</v>
      </c>
      <c r="D2667" s="57" t="s">
        <v>968</v>
      </c>
      <c r="E2667" s="57" t="s">
        <v>767</v>
      </c>
      <c r="F2667" s="57" t="s">
        <v>300</v>
      </c>
      <c r="G2667" s="57" t="s">
        <v>616</v>
      </c>
      <c r="H2667" s="140" t="s">
        <v>3339</v>
      </c>
      <c r="I2667" s="57"/>
      <c r="J2667" s="57"/>
      <c r="L2667" s="164">
        <v>750</v>
      </c>
    </row>
    <row r="2668" spans="2:12" x14ac:dyDescent="0.3">
      <c r="B2668" s="57">
        <f t="shared" si="224"/>
        <v>2665</v>
      </c>
      <c r="C2668" s="149">
        <v>46215</v>
      </c>
      <c r="D2668" s="57" t="s">
        <v>968</v>
      </c>
      <c r="E2668" s="57" t="s">
        <v>434</v>
      </c>
      <c r="F2668" s="57" t="s">
        <v>300</v>
      </c>
      <c r="G2668" s="57" t="s">
        <v>2653</v>
      </c>
      <c r="H2668" s="140" t="s">
        <v>3340</v>
      </c>
      <c r="I2668" s="57"/>
      <c r="J2668" s="57"/>
      <c r="L2668" s="164">
        <v>300</v>
      </c>
    </row>
    <row r="2669" spans="2:12" x14ac:dyDescent="0.3">
      <c r="B2669" s="57">
        <f t="shared" si="224"/>
        <v>2666</v>
      </c>
      <c r="C2669" s="149">
        <v>46215</v>
      </c>
      <c r="D2669" s="57" t="s">
        <v>968</v>
      </c>
      <c r="E2669" s="57" t="s">
        <v>2029</v>
      </c>
      <c r="F2669" s="57" t="s">
        <v>350</v>
      </c>
      <c r="G2669" s="57" t="s">
        <v>2350</v>
      </c>
      <c r="H2669" s="140" t="s">
        <v>3341</v>
      </c>
      <c r="I2669" s="57"/>
      <c r="J2669" s="165">
        <f>L2669/K2669</f>
        <v>18.867924528301888</v>
      </c>
      <c r="K2669" s="57">
        <v>106</v>
      </c>
      <c r="L2669" s="164">
        <v>2000</v>
      </c>
    </row>
    <row r="2670" spans="2:12" x14ac:dyDescent="0.3">
      <c r="B2670" s="57">
        <f t="shared" si="224"/>
        <v>2667</v>
      </c>
      <c r="C2670" s="149">
        <v>46215</v>
      </c>
      <c r="D2670" s="57" t="s">
        <v>968</v>
      </c>
      <c r="E2670" s="57" t="s">
        <v>574</v>
      </c>
      <c r="F2670" s="57" t="s">
        <v>2332</v>
      </c>
      <c r="G2670" s="57" t="s">
        <v>1004</v>
      </c>
      <c r="H2670" s="140" t="s">
        <v>3332</v>
      </c>
      <c r="I2670" s="140" t="s">
        <v>2635</v>
      </c>
      <c r="J2670" s="57">
        <v>4</v>
      </c>
      <c r="K2670" s="167">
        <f>L2670/J2670</f>
        <v>750</v>
      </c>
      <c r="L2670" s="164">
        <v>3000</v>
      </c>
    </row>
    <row r="2671" spans="2:12" x14ac:dyDescent="0.3">
      <c r="B2671" s="57">
        <f t="shared" si="224"/>
        <v>2668</v>
      </c>
      <c r="C2671" s="149">
        <v>46215</v>
      </c>
      <c r="D2671" s="57" t="s">
        <v>968</v>
      </c>
      <c r="E2671" s="57" t="s">
        <v>574</v>
      </c>
      <c r="F2671" s="57" t="s">
        <v>2332</v>
      </c>
      <c r="G2671" s="57" t="s">
        <v>1004</v>
      </c>
      <c r="H2671" s="140" t="s">
        <v>3331</v>
      </c>
      <c r="I2671" s="140" t="s">
        <v>4081</v>
      </c>
      <c r="J2671" s="57">
        <v>4</v>
      </c>
      <c r="K2671" s="167">
        <f>L2671/J2671</f>
        <v>625</v>
      </c>
      <c r="L2671" s="164">
        <v>2500</v>
      </c>
    </row>
    <row r="2672" spans="2:12" x14ac:dyDescent="0.3">
      <c r="B2672" s="57">
        <f t="shared" si="224"/>
        <v>2669</v>
      </c>
      <c r="C2672" s="149">
        <v>46215</v>
      </c>
      <c r="D2672" s="57" t="s">
        <v>968</v>
      </c>
      <c r="E2672" s="57" t="s">
        <v>767</v>
      </c>
      <c r="F2672" s="57" t="s">
        <v>300</v>
      </c>
      <c r="G2672" s="57" t="s">
        <v>2331</v>
      </c>
      <c r="H2672" s="140" t="s">
        <v>3342</v>
      </c>
      <c r="I2672" s="57"/>
      <c r="J2672" s="57"/>
      <c r="L2672" s="164">
        <v>1100</v>
      </c>
    </row>
    <row r="2673" spans="2:12" x14ac:dyDescent="0.3">
      <c r="B2673" s="57">
        <f t="shared" si="224"/>
        <v>2670</v>
      </c>
      <c r="C2673" s="149">
        <v>46215</v>
      </c>
      <c r="D2673" s="57" t="s">
        <v>968</v>
      </c>
      <c r="E2673" s="57" t="s">
        <v>434</v>
      </c>
      <c r="F2673" s="57" t="s">
        <v>300</v>
      </c>
      <c r="G2673" s="57" t="s">
        <v>530</v>
      </c>
      <c r="H2673" s="140" t="s">
        <v>3343</v>
      </c>
      <c r="I2673" s="57"/>
      <c r="J2673" s="57"/>
      <c r="L2673" s="164">
        <v>300</v>
      </c>
    </row>
    <row r="2674" spans="2:12" x14ac:dyDescent="0.3">
      <c r="B2674" s="57">
        <f t="shared" si="224"/>
        <v>2671</v>
      </c>
      <c r="C2674" s="149">
        <v>46215</v>
      </c>
      <c r="D2674" s="57" t="s">
        <v>968</v>
      </c>
      <c r="E2674" s="57" t="s">
        <v>4128</v>
      </c>
      <c r="F2674" s="57" t="s">
        <v>300</v>
      </c>
      <c r="G2674" s="57" t="s">
        <v>2653</v>
      </c>
      <c r="H2674" s="140" t="s">
        <v>3344</v>
      </c>
      <c r="I2674" s="57"/>
      <c r="J2674" s="57"/>
      <c r="L2674" s="164">
        <v>1500</v>
      </c>
    </row>
    <row r="2675" spans="2:12" x14ac:dyDescent="0.3">
      <c r="B2675" s="57">
        <f t="shared" si="224"/>
        <v>2672</v>
      </c>
      <c r="C2675" s="149">
        <v>46215</v>
      </c>
      <c r="D2675" s="57" t="s">
        <v>968</v>
      </c>
      <c r="E2675" s="57" t="s">
        <v>2022</v>
      </c>
      <c r="F2675" s="57" t="s">
        <v>621</v>
      </c>
      <c r="G2675" s="57" t="s">
        <v>345</v>
      </c>
      <c r="H2675" s="140" t="s">
        <v>3345</v>
      </c>
      <c r="I2675" s="57"/>
      <c r="J2675" s="57"/>
      <c r="L2675" s="164">
        <v>6150</v>
      </c>
    </row>
    <row r="2676" spans="2:12" x14ac:dyDescent="0.3">
      <c r="B2676" s="57">
        <f t="shared" si="224"/>
        <v>2673</v>
      </c>
      <c r="C2676" s="149">
        <v>46215</v>
      </c>
      <c r="D2676" s="57" t="s">
        <v>968</v>
      </c>
      <c r="E2676" s="57" t="s">
        <v>2022</v>
      </c>
      <c r="F2676" s="57" t="s">
        <v>621</v>
      </c>
      <c r="G2676" s="57" t="s">
        <v>345</v>
      </c>
      <c r="H2676" s="140" t="s">
        <v>3346</v>
      </c>
      <c r="I2676" s="57"/>
      <c r="J2676" s="57"/>
      <c r="L2676" s="164">
        <v>4310</v>
      </c>
    </row>
    <row r="2677" spans="2:12" x14ac:dyDescent="0.3">
      <c r="B2677" s="57">
        <f t="shared" si="224"/>
        <v>2674</v>
      </c>
      <c r="C2677" s="149">
        <v>46215</v>
      </c>
      <c r="D2677" s="57" t="s">
        <v>968</v>
      </c>
      <c r="E2677" s="57" t="s">
        <v>434</v>
      </c>
      <c r="F2677" s="57" t="s">
        <v>300</v>
      </c>
      <c r="G2677" s="57" t="s">
        <v>2653</v>
      </c>
      <c r="H2677" s="140" t="s">
        <v>3347</v>
      </c>
      <c r="I2677" s="57"/>
      <c r="J2677" s="57"/>
      <c r="L2677" s="164">
        <v>645</v>
      </c>
    </row>
    <row r="2678" spans="2:12" x14ac:dyDescent="0.3">
      <c r="B2678" s="57">
        <f t="shared" si="224"/>
        <v>2675</v>
      </c>
      <c r="C2678" s="142">
        <v>46216</v>
      </c>
      <c r="D2678" s="57" t="s">
        <v>968</v>
      </c>
      <c r="E2678" s="57" t="s">
        <v>2022</v>
      </c>
      <c r="F2678" s="57" t="s">
        <v>300</v>
      </c>
      <c r="G2678" s="57" t="s">
        <v>2330</v>
      </c>
      <c r="H2678" s="140" t="s">
        <v>2643</v>
      </c>
      <c r="I2678" s="57" t="s">
        <v>2644</v>
      </c>
      <c r="J2678" s="57">
        <v>10</v>
      </c>
      <c r="K2678" s="57">
        <v>95</v>
      </c>
      <c r="L2678" s="164">
        <f t="shared" si="201"/>
        <v>950</v>
      </c>
    </row>
    <row r="2679" spans="2:12" x14ac:dyDescent="0.3">
      <c r="B2679" s="57">
        <f t="shared" si="224"/>
        <v>2676</v>
      </c>
      <c r="C2679" s="142">
        <v>46216</v>
      </c>
      <c r="D2679" s="57" t="s">
        <v>968</v>
      </c>
      <c r="E2679" s="57" t="s">
        <v>2022</v>
      </c>
      <c r="F2679" s="57" t="s">
        <v>300</v>
      </c>
      <c r="G2679" s="57" t="s">
        <v>2330</v>
      </c>
      <c r="H2679" s="140" t="s">
        <v>2704</v>
      </c>
      <c r="I2679" s="57" t="s">
        <v>2645</v>
      </c>
      <c r="J2679" s="57">
        <v>10</v>
      </c>
      <c r="K2679" s="57">
        <v>20</v>
      </c>
      <c r="L2679" s="164">
        <f t="shared" si="201"/>
        <v>200</v>
      </c>
    </row>
    <row r="2680" spans="2:12" x14ac:dyDescent="0.3">
      <c r="B2680" s="57">
        <f t="shared" si="224"/>
        <v>2677</v>
      </c>
      <c r="C2680" s="142">
        <v>46216</v>
      </c>
      <c r="D2680" s="57" t="s">
        <v>968</v>
      </c>
      <c r="E2680" s="57" t="s">
        <v>2022</v>
      </c>
      <c r="F2680" s="57" t="s">
        <v>300</v>
      </c>
      <c r="G2680" s="57" t="s">
        <v>2330</v>
      </c>
      <c r="H2680" s="140" t="s">
        <v>2705</v>
      </c>
      <c r="I2680" s="57" t="s">
        <v>2646</v>
      </c>
      <c r="J2680" s="57">
        <v>20</v>
      </c>
      <c r="K2680" s="57">
        <v>9</v>
      </c>
      <c r="L2680" s="164">
        <f t="shared" si="201"/>
        <v>180</v>
      </c>
    </row>
    <row r="2681" spans="2:12" x14ac:dyDescent="0.3">
      <c r="B2681" s="57">
        <f t="shared" si="224"/>
        <v>2678</v>
      </c>
      <c r="C2681" s="142">
        <v>46216</v>
      </c>
      <c r="D2681" s="57" t="s">
        <v>968</v>
      </c>
      <c r="E2681" s="57" t="s">
        <v>146</v>
      </c>
      <c r="F2681" s="57" t="s">
        <v>2332</v>
      </c>
      <c r="G2681" s="57" t="s">
        <v>1004</v>
      </c>
      <c r="H2681" s="140" t="s">
        <v>4094</v>
      </c>
      <c r="I2681" s="57" t="s">
        <v>146</v>
      </c>
      <c r="J2681" s="165">
        <f t="shared" ref="J2681:J2685" si="227">L2681/K2681</f>
        <v>46.226415094339622</v>
      </c>
      <c r="K2681" s="57">
        <v>106</v>
      </c>
      <c r="L2681" s="164">
        <v>4900</v>
      </c>
    </row>
    <row r="2682" spans="2:12" x14ac:dyDescent="0.3">
      <c r="B2682" s="57">
        <f t="shared" si="224"/>
        <v>2679</v>
      </c>
      <c r="C2682" s="142">
        <v>46216</v>
      </c>
      <c r="D2682" s="57" t="s">
        <v>968</v>
      </c>
      <c r="E2682" s="57" t="s">
        <v>146</v>
      </c>
      <c r="F2682" s="57" t="s">
        <v>2332</v>
      </c>
      <c r="G2682" s="57" t="s">
        <v>1004</v>
      </c>
      <c r="H2682" s="140" t="s">
        <v>4098</v>
      </c>
      <c r="I2682" s="57"/>
      <c r="J2682" s="165">
        <f t="shared" si="227"/>
        <v>32.066037735849058</v>
      </c>
      <c r="K2682" s="57">
        <v>106</v>
      </c>
      <c r="L2682" s="164">
        <v>3399</v>
      </c>
    </row>
    <row r="2683" spans="2:12" x14ac:dyDescent="0.3">
      <c r="B2683" s="57">
        <f t="shared" si="224"/>
        <v>2680</v>
      </c>
      <c r="C2683" s="142">
        <v>46216</v>
      </c>
      <c r="D2683" s="57" t="s">
        <v>968</v>
      </c>
      <c r="E2683" s="57" t="s">
        <v>146</v>
      </c>
      <c r="F2683" s="57" t="s">
        <v>300</v>
      </c>
      <c r="H2683" s="140" t="s">
        <v>4095</v>
      </c>
      <c r="I2683" s="57"/>
      <c r="J2683" s="165">
        <f t="shared" si="227"/>
        <v>38.150943396226417</v>
      </c>
      <c r="K2683" s="57">
        <v>106</v>
      </c>
      <c r="L2683" s="164">
        <v>4044</v>
      </c>
    </row>
    <row r="2684" spans="2:12" x14ac:dyDescent="0.3">
      <c r="B2684" s="57">
        <f t="shared" si="224"/>
        <v>2681</v>
      </c>
      <c r="C2684" s="142">
        <v>46216</v>
      </c>
      <c r="D2684" s="57" t="s">
        <v>968</v>
      </c>
      <c r="E2684" s="57" t="s">
        <v>146</v>
      </c>
      <c r="F2684" s="57" t="s">
        <v>446</v>
      </c>
      <c r="G2684" s="57" t="s">
        <v>1000</v>
      </c>
      <c r="H2684" s="140" t="s">
        <v>4099</v>
      </c>
      <c r="I2684" s="57"/>
      <c r="J2684" s="165">
        <f t="shared" si="227"/>
        <v>20.70754716981132</v>
      </c>
      <c r="K2684" s="57">
        <v>106</v>
      </c>
      <c r="L2684" s="164">
        <v>2195</v>
      </c>
    </row>
    <row r="2685" spans="2:12" x14ac:dyDescent="0.3">
      <c r="B2685" s="57">
        <f t="shared" si="224"/>
        <v>2682</v>
      </c>
      <c r="C2685" s="142">
        <v>46216</v>
      </c>
      <c r="D2685" s="57" t="s">
        <v>968</v>
      </c>
      <c r="E2685" s="57" t="s">
        <v>146</v>
      </c>
      <c r="F2685" s="57" t="s">
        <v>300</v>
      </c>
      <c r="G2685" s="57" t="s">
        <v>530</v>
      </c>
      <c r="H2685" s="140" t="s">
        <v>4115</v>
      </c>
      <c r="I2685" s="57"/>
      <c r="J2685" s="165">
        <f t="shared" si="227"/>
        <v>38.216981132075475</v>
      </c>
      <c r="K2685" s="57">
        <v>106</v>
      </c>
      <c r="L2685" s="164">
        <v>4051</v>
      </c>
    </row>
    <row r="2686" spans="2:12" x14ac:dyDescent="0.3">
      <c r="B2686" s="57">
        <f t="shared" si="224"/>
        <v>2683</v>
      </c>
      <c r="C2686" s="142">
        <v>46216</v>
      </c>
      <c r="D2686" s="57" t="s">
        <v>968</v>
      </c>
      <c r="E2686" s="57" t="s">
        <v>2022</v>
      </c>
      <c r="F2686" s="57" t="s">
        <v>300</v>
      </c>
      <c r="H2686" s="140" t="s">
        <v>2706</v>
      </c>
      <c r="I2686" s="57" t="s">
        <v>2647</v>
      </c>
      <c r="J2686" s="57">
        <v>2</v>
      </c>
      <c r="L2686" s="164">
        <v>200</v>
      </c>
    </row>
    <row r="2687" spans="2:12" x14ac:dyDescent="0.3">
      <c r="B2687" s="57">
        <f t="shared" si="224"/>
        <v>2684</v>
      </c>
      <c r="C2687" s="142">
        <v>46216</v>
      </c>
      <c r="D2687" s="57" t="s">
        <v>968</v>
      </c>
      <c r="E2687" s="57" t="s">
        <v>2022</v>
      </c>
      <c r="F2687" s="57" t="s">
        <v>300</v>
      </c>
      <c r="H2687" s="140" t="s">
        <v>2707</v>
      </c>
      <c r="I2687" s="57" t="s">
        <v>855</v>
      </c>
      <c r="J2687" s="57">
        <v>2</v>
      </c>
      <c r="L2687" s="164">
        <v>30</v>
      </c>
    </row>
    <row r="2688" spans="2:12" x14ac:dyDescent="0.3">
      <c r="B2688" s="57">
        <f t="shared" si="224"/>
        <v>2685</v>
      </c>
      <c r="C2688" s="142">
        <v>46216</v>
      </c>
      <c r="D2688" s="57" t="s">
        <v>968</v>
      </c>
      <c r="E2688" s="57" t="s">
        <v>574</v>
      </c>
      <c r="F2688" s="57" t="s">
        <v>2332</v>
      </c>
      <c r="G2688" s="57" t="s">
        <v>1004</v>
      </c>
      <c r="H2688" s="140" t="s">
        <v>2708</v>
      </c>
      <c r="I2688" s="140" t="s">
        <v>4081</v>
      </c>
      <c r="J2688" s="57">
        <v>4</v>
      </c>
      <c r="K2688" s="167">
        <f>L2688/J2688</f>
        <v>625</v>
      </c>
      <c r="L2688" s="164">
        <v>2500</v>
      </c>
    </row>
    <row r="2689" spans="2:12" x14ac:dyDescent="0.3">
      <c r="B2689" s="57">
        <f t="shared" si="224"/>
        <v>2686</v>
      </c>
      <c r="C2689" s="142">
        <v>46216</v>
      </c>
      <c r="D2689" s="57" t="s">
        <v>968</v>
      </c>
      <c r="E2689" s="57" t="s">
        <v>574</v>
      </c>
      <c r="F2689" s="57" t="s">
        <v>2332</v>
      </c>
      <c r="G2689" s="57" t="s">
        <v>1004</v>
      </c>
      <c r="H2689" s="140" t="s">
        <v>2709</v>
      </c>
      <c r="I2689" s="140" t="s">
        <v>2635</v>
      </c>
      <c r="J2689" s="57">
        <v>4</v>
      </c>
      <c r="K2689" s="167">
        <f>L2689/J2689</f>
        <v>750</v>
      </c>
      <c r="L2689" s="164">
        <v>3000</v>
      </c>
    </row>
    <row r="2690" spans="2:12" x14ac:dyDescent="0.3">
      <c r="B2690" s="57">
        <f t="shared" si="224"/>
        <v>2687</v>
      </c>
      <c r="C2690" s="142">
        <v>46216</v>
      </c>
      <c r="D2690" s="57" t="s">
        <v>968</v>
      </c>
      <c r="E2690" s="57" t="s">
        <v>146</v>
      </c>
      <c r="F2690" s="57" t="s">
        <v>300</v>
      </c>
      <c r="G2690" s="57" t="s">
        <v>2653</v>
      </c>
      <c r="H2690" s="140" t="s">
        <v>2648</v>
      </c>
      <c r="I2690" s="57"/>
      <c r="J2690" s="165">
        <f>L2690/K2690</f>
        <v>18.867924528301888</v>
      </c>
      <c r="K2690" s="57">
        <v>106</v>
      </c>
      <c r="L2690" s="164">
        <v>2000</v>
      </c>
    </row>
    <row r="2691" spans="2:12" x14ac:dyDescent="0.3">
      <c r="B2691" s="57">
        <f t="shared" si="224"/>
        <v>2688</v>
      </c>
      <c r="C2691" s="142">
        <v>46216</v>
      </c>
      <c r="D2691" s="57" t="s">
        <v>968</v>
      </c>
      <c r="E2691" s="57" t="s">
        <v>434</v>
      </c>
      <c r="F2691" s="57" t="s">
        <v>300</v>
      </c>
      <c r="G2691" s="57" t="s">
        <v>616</v>
      </c>
      <c r="H2691" s="140" t="s">
        <v>2649</v>
      </c>
      <c r="I2691" s="57" t="s">
        <v>2654</v>
      </c>
      <c r="J2691" s="57" t="s">
        <v>2655</v>
      </c>
      <c r="L2691" s="164">
        <v>500</v>
      </c>
    </row>
    <row r="2692" spans="2:12" x14ac:dyDescent="0.3">
      <c r="B2692" s="57">
        <f t="shared" si="224"/>
        <v>2689</v>
      </c>
      <c r="C2692" s="142">
        <v>46216</v>
      </c>
      <c r="D2692" s="57" t="s">
        <v>968</v>
      </c>
      <c r="E2692" s="57" t="s">
        <v>237</v>
      </c>
      <c r="F2692" s="57" t="s">
        <v>300</v>
      </c>
      <c r="G2692" s="57" t="s">
        <v>530</v>
      </c>
      <c r="H2692" s="140" t="s">
        <v>2650</v>
      </c>
      <c r="I2692" s="57" t="s">
        <v>2656</v>
      </c>
      <c r="J2692" s="57" t="s">
        <v>2658</v>
      </c>
      <c r="L2692" s="164">
        <v>950</v>
      </c>
    </row>
    <row r="2693" spans="2:12" x14ac:dyDescent="0.3">
      <c r="B2693" s="57">
        <f t="shared" si="224"/>
        <v>2690</v>
      </c>
      <c r="C2693" s="142">
        <v>46216</v>
      </c>
      <c r="D2693" s="57" t="s">
        <v>968</v>
      </c>
      <c r="E2693" s="57" t="s">
        <v>237</v>
      </c>
      <c r="F2693" s="57" t="s">
        <v>300</v>
      </c>
      <c r="G2693" s="57" t="s">
        <v>530</v>
      </c>
      <c r="H2693" s="140" t="s">
        <v>2650</v>
      </c>
      <c r="I2693" s="57" t="s">
        <v>2657</v>
      </c>
      <c r="J2693" s="57" t="s">
        <v>2659</v>
      </c>
      <c r="L2693" s="164">
        <v>64</v>
      </c>
    </row>
    <row r="2694" spans="2:12" x14ac:dyDescent="0.3">
      <c r="B2694" s="57">
        <f t="shared" ref="B2694:B2757" si="228">+B2693+1</f>
        <v>2691</v>
      </c>
      <c r="C2694" s="142">
        <v>46216</v>
      </c>
      <c r="D2694" s="57" t="s">
        <v>968</v>
      </c>
      <c r="E2694" s="57" t="s">
        <v>237</v>
      </c>
      <c r="F2694" s="57" t="s">
        <v>261</v>
      </c>
      <c r="G2694" s="57" t="s">
        <v>2331</v>
      </c>
      <c r="H2694" s="140" t="s">
        <v>2651</v>
      </c>
      <c r="I2694" s="57" t="s">
        <v>908</v>
      </c>
      <c r="J2694" s="57" t="s">
        <v>2660</v>
      </c>
      <c r="L2694" s="164">
        <v>2640</v>
      </c>
    </row>
    <row r="2695" spans="2:12" x14ac:dyDescent="0.3">
      <c r="B2695" s="57">
        <f t="shared" si="228"/>
        <v>2692</v>
      </c>
      <c r="C2695" s="142">
        <v>46216</v>
      </c>
      <c r="D2695" s="57" t="s">
        <v>968</v>
      </c>
      <c r="E2695" s="57" t="s">
        <v>434</v>
      </c>
      <c r="F2695" s="57" t="s">
        <v>300</v>
      </c>
      <c r="G2695" s="57" t="s">
        <v>530</v>
      </c>
      <c r="H2695" s="140" t="s">
        <v>2710</v>
      </c>
      <c r="I2695" s="57" t="s">
        <v>2661</v>
      </c>
      <c r="J2695" s="57">
        <v>6</v>
      </c>
      <c r="K2695" s="57">
        <v>70</v>
      </c>
      <c r="L2695" s="164">
        <f t="shared" ref="L2695:L2763" si="229">J2695*K2695</f>
        <v>420</v>
      </c>
    </row>
    <row r="2696" spans="2:12" x14ac:dyDescent="0.3">
      <c r="B2696" s="57">
        <f t="shared" si="228"/>
        <v>2693</v>
      </c>
      <c r="C2696" s="142">
        <v>46216</v>
      </c>
      <c r="D2696" s="57" t="s">
        <v>968</v>
      </c>
      <c r="E2696" s="57" t="s">
        <v>434</v>
      </c>
      <c r="F2696" s="57" t="s">
        <v>300</v>
      </c>
      <c r="G2696" s="57" t="s">
        <v>530</v>
      </c>
      <c r="H2696" s="140" t="s">
        <v>2711</v>
      </c>
      <c r="I2696" s="57" t="s">
        <v>2662</v>
      </c>
      <c r="J2696" s="57">
        <v>2</v>
      </c>
      <c r="K2696" s="57">
        <v>15</v>
      </c>
      <c r="L2696" s="164">
        <f>J2696*K2696</f>
        <v>30</v>
      </c>
    </row>
    <row r="2697" spans="2:12" x14ac:dyDescent="0.3">
      <c r="B2697" s="57">
        <f t="shared" si="228"/>
        <v>2694</v>
      </c>
      <c r="C2697" s="142">
        <v>46216</v>
      </c>
      <c r="D2697" s="57" t="s">
        <v>968</v>
      </c>
      <c r="E2697" s="57" t="s">
        <v>434</v>
      </c>
      <c r="F2697" s="57" t="s">
        <v>300</v>
      </c>
      <c r="G2697" s="57" t="s">
        <v>530</v>
      </c>
      <c r="H2697" s="140" t="s">
        <v>2712</v>
      </c>
      <c r="I2697" s="57" t="s">
        <v>2663</v>
      </c>
      <c r="J2697" s="57">
        <v>1</v>
      </c>
      <c r="K2697" s="57">
        <v>30</v>
      </c>
      <c r="L2697" s="164">
        <f t="shared" ref="L2697:L2698" si="230">J2697*K2697</f>
        <v>30</v>
      </c>
    </row>
    <row r="2698" spans="2:12" x14ac:dyDescent="0.3">
      <c r="B2698" s="57">
        <f t="shared" si="228"/>
        <v>2695</v>
      </c>
      <c r="C2698" s="142">
        <v>46216</v>
      </c>
      <c r="D2698" s="57" t="s">
        <v>968</v>
      </c>
      <c r="E2698" s="57" t="s">
        <v>434</v>
      </c>
      <c r="F2698" s="57" t="s">
        <v>300</v>
      </c>
      <c r="G2698" s="57" t="s">
        <v>530</v>
      </c>
      <c r="H2698" s="140" t="s">
        <v>2713</v>
      </c>
      <c r="I2698" s="57" t="s">
        <v>2664</v>
      </c>
      <c r="J2698" s="57">
        <v>5</v>
      </c>
      <c r="K2698" s="57">
        <v>110</v>
      </c>
      <c r="L2698" s="164">
        <f t="shared" si="230"/>
        <v>550</v>
      </c>
    </row>
    <row r="2699" spans="2:12" x14ac:dyDescent="0.3">
      <c r="B2699" s="57">
        <f t="shared" si="228"/>
        <v>2696</v>
      </c>
      <c r="C2699" s="142">
        <v>46216</v>
      </c>
      <c r="D2699" s="57" t="s">
        <v>968</v>
      </c>
      <c r="E2699" s="57" t="s">
        <v>434</v>
      </c>
      <c r="F2699" s="57" t="s">
        <v>300</v>
      </c>
      <c r="G2699" s="57" t="s">
        <v>530</v>
      </c>
      <c r="H2699" s="140" t="s">
        <v>2714</v>
      </c>
      <c r="I2699" s="57" t="s">
        <v>2665</v>
      </c>
      <c r="J2699" s="57">
        <v>2</v>
      </c>
      <c r="K2699" s="57">
        <v>40</v>
      </c>
      <c r="L2699" s="164">
        <f>J2699*K2699</f>
        <v>80</v>
      </c>
    </row>
    <row r="2700" spans="2:12" x14ac:dyDescent="0.3">
      <c r="B2700" s="57">
        <f t="shared" si="228"/>
        <v>2697</v>
      </c>
      <c r="C2700" s="142">
        <v>46216</v>
      </c>
      <c r="D2700" s="57" t="s">
        <v>968</v>
      </c>
      <c r="E2700" s="57" t="s">
        <v>2022</v>
      </c>
      <c r="F2700" s="57" t="s">
        <v>2332</v>
      </c>
      <c r="G2700" s="57" t="s">
        <v>530</v>
      </c>
      <c r="H2700" s="140" t="s">
        <v>2652</v>
      </c>
      <c r="I2700" s="57" t="s">
        <v>2666</v>
      </c>
      <c r="J2700" s="57"/>
      <c r="L2700" s="164">
        <v>5000</v>
      </c>
    </row>
    <row r="2701" spans="2:12" x14ac:dyDescent="0.3">
      <c r="B2701" s="57">
        <f t="shared" si="228"/>
        <v>2698</v>
      </c>
      <c r="C2701" s="142">
        <v>46216</v>
      </c>
      <c r="D2701" s="57" t="s">
        <v>968</v>
      </c>
      <c r="E2701" s="57" t="s">
        <v>146</v>
      </c>
      <c r="F2701" s="57" t="s">
        <v>350</v>
      </c>
      <c r="G2701" s="57" t="s">
        <v>675</v>
      </c>
      <c r="H2701" s="140" t="s">
        <v>2667</v>
      </c>
      <c r="I2701" s="57"/>
      <c r="J2701" s="165">
        <f>L2701/K2701</f>
        <v>37.735849056603776</v>
      </c>
      <c r="K2701" s="57">
        <v>106</v>
      </c>
      <c r="L2701" s="164">
        <v>4000</v>
      </c>
    </row>
    <row r="2702" spans="2:12" x14ac:dyDescent="0.3">
      <c r="B2702" s="57">
        <f t="shared" si="228"/>
        <v>2699</v>
      </c>
      <c r="C2702" s="142">
        <v>46216</v>
      </c>
      <c r="D2702" s="57" t="s">
        <v>968</v>
      </c>
      <c r="E2702" s="57" t="s">
        <v>574</v>
      </c>
      <c r="F2702" s="57" t="s">
        <v>546</v>
      </c>
      <c r="G2702" s="57" t="s">
        <v>545</v>
      </c>
      <c r="H2702" s="140" t="s">
        <v>2668</v>
      </c>
      <c r="I2702" s="140" t="s">
        <v>4081</v>
      </c>
      <c r="J2702" s="57">
        <v>4.07</v>
      </c>
      <c r="K2702" s="167">
        <f>L2702/J2702</f>
        <v>599.50859950859945</v>
      </c>
      <c r="L2702" s="164">
        <v>2440</v>
      </c>
    </row>
    <row r="2703" spans="2:12" x14ac:dyDescent="0.3">
      <c r="B2703" s="57">
        <f t="shared" si="228"/>
        <v>2700</v>
      </c>
      <c r="C2703" s="142">
        <v>46216</v>
      </c>
      <c r="D2703" s="57" t="s">
        <v>968</v>
      </c>
      <c r="E2703" s="57" t="s">
        <v>574</v>
      </c>
      <c r="F2703" s="57" t="s">
        <v>2332</v>
      </c>
      <c r="G2703" s="57" t="s">
        <v>1004</v>
      </c>
      <c r="H2703" s="140" t="s">
        <v>2708</v>
      </c>
      <c r="I2703" s="140" t="s">
        <v>4081</v>
      </c>
      <c r="J2703" s="57">
        <v>4</v>
      </c>
      <c r="K2703" s="167">
        <f>L2703/J2703</f>
        <v>750</v>
      </c>
      <c r="L2703" s="164">
        <v>3000</v>
      </c>
    </row>
    <row r="2704" spans="2:12" x14ac:dyDescent="0.3">
      <c r="B2704" s="57">
        <f t="shared" si="228"/>
        <v>2701</v>
      </c>
      <c r="C2704" s="142">
        <v>46216</v>
      </c>
      <c r="D2704" s="57" t="s">
        <v>968</v>
      </c>
      <c r="E2704" s="57" t="s">
        <v>574</v>
      </c>
      <c r="F2704" s="57" t="s">
        <v>2332</v>
      </c>
      <c r="G2704" s="57" t="s">
        <v>1004</v>
      </c>
      <c r="H2704" s="140" t="s">
        <v>2709</v>
      </c>
      <c r="I2704" s="140" t="s">
        <v>2635</v>
      </c>
      <c r="J2704" s="57">
        <v>4</v>
      </c>
      <c r="K2704" s="167">
        <f>L2704/J2704</f>
        <v>625</v>
      </c>
      <c r="L2704" s="164">
        <v>2500</v>
      </c>
    </row>
    <row r="2705" spans="2:12" x14ac:dyDescent="0.3">
      <c r="B2705" s="57">
        <f t="shared" si="228"/>
        <v>2702</v>
      </c>
      <c r="C2705" s="142">
        <v>46216</v>
      </c>
      <c r="D2705" s="57" t="s">
        <v>968</v>
      </c>
      <c r="E2705" s="57" t="s">
        <v>146</v>
      </c>
      <c r="F2705" s="57" t="s">
        <v>350</v>
      </c>
      <c r="G2705" s="57" t="s">
        <v>675</v>
      </c>
      <c r="H2705" s="140" t="s">
        <v>4102</v>
      </c>
      <c r="I2705" s="57" t="s">
        <v>146</v>
      </c>
      <c r="J2705" s="165">
        <f t="shared" ref="J2705:J2706" si="231">L2705/K2705</f>
        <v>33.60377358490566</v>
      </c>
      <c r="K2705" s="57">
        <v>106</v>
      </c>
      <c r="L2705" s="164">
        <v>3562</v>
      </c>
    </row>
    <row r="2706" spans="2:12" x14ac:dyDescent="0.3">
      <c r="B2706" s="57">
        <f t="shared" si="228"/>
        <v>2703</v>
      </c>
      <c r="C2706" s="142">
        <v>46216</v>
      </c>
      <c r="D2706" s="57" t="s">
        <v>968</v>
      </c>
      <c r="E2706" s="57" t="s">
        <v>146</v>
      </c>
      <c r="F2706" s="57" t="s">
        <v>300</v>
      </c>
      <c r="G2706" s="57" t="s">
        <v>616</v>
      </c>
      <c r="H2706" s="140" t="s">
        <v>894</v>
      </c>
      <c r="I2706" s="57"/>
      <c r="J2706" s="165">
        <f t="shared" si="231"/>
        <v>18.867924528301888</v>
      </c>
      <c r="K2706" s="57">
        <v>106</v>
      </c>
      <c r="L2706" s="164">
        <v>2000</v>
      </c>
    </row>
    <row r="2707" spans="2:12" x14ac:dyDescent="0.3">
      <c r="B2707" s="57">
        <f t="shared" si="228"/>
        <v>2704</v>
      </c>
      <c r="C2707" s="142">
        <v>46216</v>
      </c>
      <c r="D2707" s="57" t="s">
        <v>968</v>
      </c>
      <c r="E2707" s="57" t="s">
        <v>2034</v>
      </c>
      <c r="F2707" s="57" t="s">
        <v>300</v>
      </c>
      <c r="G2707" s="57" t="s">
        <v>2330</v>
      </c>
      <c r="H2707" s="140" t="s">
        <v>2715</v>
      </c>
      <c r="I2707" s="57" t="s">
        <v>2678</v>
      </c>
      <c r="J2707" s="57" t="s">
        <v>2680</v>
      </c>
      <c r="L2707" s="164">
        <v>400</v>
      </c>
    </row>
    <row r="2708" spans="2:12" x14ac:dyDescent="0.3">
      <c r="B2708" s="57">
        <f t="shared" si="228"/>
        <v>2705</v>
      </c>
      <c r="C2708" s="142">
        <v>46216</v>
      </c>
      <c r="D2708" s="57" t="s">
        <v>968</v>
      </c>
      <c r="E2708" s="57" t="s">
        <v>2034</v>
      </c>
      <c r="F2708" s="57" t="s">
        <v>300</v>
      </c>
      <c r="G2708" s="57" t="s">
        <v>2330</v>
      </c>
      <c r="H2708" s="140" t="s">
        <v>2716</v>
      </c>
      <c r="I2708" s="57" t="s">
        <v>2677</v>
      </c>
      <c r="J2708" s="57" t="s">
        <v>2680</v>
      </c>
      <c r="L2708" s="164">
        <v>400</v>
      </c>
    </row>
    <row r="2709" spans="2:12" x14ac:dyDescent="0.3">
      <c r="B2709" s="57">
        <f t="shared" si="228"/>
        <v>2706</v>
      </c>
      <c r="C2709" s="142">
        <v>46216</v>
      </c>
      <c r="D2709" s="57" t="s">
        <v>968</v>
      </c>
      <c r="E2709" s="57" t="s">
        <v>986</v>
      </c>
      <c r="F2709" s="57" t="s">
        <v>300</v>
      </c>
      <c r="G2709" s="57" t="s">
        <v>2330</v>
      </c>
      <c r="H2709" s="140" t="s">
        <v>2717</v>
      </c>
      <c r="I2709" s="57" t="s">
        <v>986</v>
      </c>
      <c r="J2709" s="57">
        <v>25</v>
      </c>
      <c r="L2709" s="164">
        <v>2000</v>
      </c>
    </row>
    <row r="2710" spans="2:12" x14ac:dyDescent="0.3">
      <c r="B2710" s="57">
        <f t="shared" si="228"/>
        <v>2707</v>
      </c>
      <c r="C2710" s="142">
        <v>46216</v>
      </c>
      <c r="D2710" s="57" t="s">
        <v>968</v>
      </c>
      <c r="E2710" s="57" t="s">
        <v>574</v>
      </c>
      <c r="F2710" s="57" t="s">
        <v>300</v>
      </c>
      <c r="G2710" s="57" t="s">
        <v>2331</v>
      </c>
      <c r="H2710" s="140" t="s">
        <v>2669</v>
      </c>
      <c r="I2710" s="140" t="s">
        <v>4081</v>
      </c>
      <c r="J2710" s="57">
        <v>4.38</v>
      </c>
      <c r="K2710" s="167">
        <f>L2710/J2710</f>
        <v>502.28310502283108</v>
      </c>
      <c r="L2710" s="164">
        <v>2200</v>
      </c>
    </row>
    <row r="2711" spans="2:12" x14ac:dyDescent="0.3">
      <c r="B2711" s="57">
        <f t="shared" si="228"/>
        <v>2708</v>
      </c>
      <c r="C2711" s="142">
        <v>46216</v>
      </c>
      <c r="D2711" s="57" t="s">
        <v>968</v>
      </c>
      <c r="E2711" s="57" t="s">
        <v>892</v>
      </c>
      <c r="F2711" s="57" t="s">
        <v>300</v>
      </c>
      <c r="G2711" s="57" t="s">
        <v>530</v>
      </c>
      <c r="H2711" s="140" t="s">
        <v>2670</v>
      </c>
      <c r="I2711" s="57" t="s">
        <v>2681</v>
      </c>
      <c r="J2711" s="57"/>
      <c r="L2711" s="164">
        <v>10000</v>
      </c>
    </row>
    <row r="2712" spans="2:12" x14ac:dyDescent="0.3">
      <c r="B2712" s="57">
        <f t="shared" si="228"/>
        <v>2709</v>
      </c>
      <c r="C2712" s="142">
        <v>46216</v>
      </c>
      <c r="D2712" s="57" t="s">
        <v>968</v>
      </c>
      <c r="E2712" s="57" t="s">
        <v>434</v>
      </c>
      <c r="F2712" s="57" t="s">
        <v>446</v>
      </c>
      <c r="G2712" s="57" t="s">
        <v>572</v>
      </c>
      <c r="H2712" s="140" t="s">
        <v>2671</v>
      </c>
      <c r="I2712" s="57" t="s">
        <v>2682</v>
      </c>
      <c r="J2712" s="57">
        <v>2</v>
      </c>
      <c r="L2712" s="164">
        <v>900</v>
      </c>
    </row>
    <row r="2713" spans="2:12" x14ac:dyDescent="0.3">
      <c r="B2713" s="57">
        <f t="shared" si="228"/>
        <v>2710</v>
      </c>
      <c r="C2713" s="142">
        <v>46216</v>
      </c>
      <c r="D2713" s="57" t="s">
        <v>968</v>
      </c>
      <c r="E2713" s="57" t="s">
        <v>434</v>
      </c>
      <c r="F2713" s="57" t="s">
        <v>446</v>
      </c>
      <c r="G2713" s="57" t="s">
        <v>572</v>
      </c>
      <c r="H2713" s="140" t="s">
        <v>2671</v>
      </c>
      <c r="I2713" s="57" t="s">
        <v>2683</v>
      </c>
      <c r="J2713" s="57">
        <v>2</v>
      </c>
      <c r="L2713" s="164">
        <v>100</v>
      </c>
    </row>
    <row r="2714" spans="2:12" x14ac:dyDescent="0.3">
      <c r="B2714" s="57">
        <f t="shared" si="228"/>
        <v>2711</v>
      </c>
      <c r="C2714" s="142">
        <v>46216</v>
      </c>
      <c r="D2714" s="57" t="s">
        <v>968</v>
      </c>
      <c r="E2714" s="57" t="s">
        <v>2027</v>
      </c>
      <c r="F2714" s="57" t="s">
        <v>300</v>
      </c>
      <c r="G2714" s="57" t="s">
        <v>300</v>
      </c>
      <c r="H2714" s="140" t="s">
        <v>2672</v>
      </c>
      <c r="I2714" s="57" t="s">
        <v>2684</v>
      </c>
      <c r="J2714" s="57">
        <v>1</v>
      </c>
      <c r="L2714" s="164">
        <v>40</v>
      </c>
    </row>
    <row r="2715" spans="2:12" x14ac:dyDescent="0.3">
      <c r="B2715" s="57">
        <f t="shared" si="228"/>
        <v>2712</v>
      </c>
      <c r="C2715" s="142">
        <v>46216</v>
      </c>
      <c r="D2715" s="57" t="s">
        <v>968</v>
      </c>
      <c r="E2715" s="57" t="s">
        <v>2027</v>
      </c>
      <c r="F2715" s="57" t="s">
        <v>300</v>
      </c>
      <c r="G2715" s="57" t="s">
        <v>300</v>
      </c>
      <c r="H2715" s="140" t="s">
        <v>2672</v>
      </c>
      <c r="I2715" s="57" t="s">
        <v>2646</v>
      </c>
      <c r="J2715" s="57">
        <v>4</v>
      </c>
      <c r="L2715" s="164">
        <v>40</v>
      </c>
    </row>
    <row r="2716" spans="2:12" x14ac:dyDescent="0.3">
      <c r="B2716" s="57">
        <f t="shared" si="228"/>
        <v>2713</v>
      </c>
      <c r="C2716" s="142">
        <v>46216</v>
      </c>
      <c r="D2716" s="57" t="s">
        <v>968</v>
      </c>
      <c r="E2716" s="57" t="s">
        <v>2027</v>
      </c>
      <c r="F2716" s="57" t="s">
        <v>300</v>
      </c>
      <c r="G2716" s="57" t="s">
        <v>300</v>
      </c>
      <c r="H2716" s="140" t="s">
        <v>2672</v>
      </c>
      <c r="I2716" s="57" t="s">
        <v>2685</v>
      </c>
      <c r="J2716" s="57">
        <v>1</v>
      </c>
      <c r="L2716" s="164">
        <v>90</v>
      </c>
    </row>
    <row r="2717" spans="2:12" x14ac:dyDescent="0.3">
      <c r="B2717" s="57">
        <f t="shared" si="228"/>
        <v>2714</v>
      </c>
      <c r="C2717" s="142">
        <v>46216</v>
      </c>
      <c r="D2717" s="57" t="s">
        <v>968</v>
      </c>
      <c r="E2717" s="57" t="s">
        <v>2022</v>
      </c>
      <c r="F2717" s="57" t="s">
        <v>350</v>
      </c>
      <c r="G2717" s="57" t="s">
        <v>675</v>
      </c>
      <c r="H2717" s="140" t="s">
        <v>2675</v>
      </c>
      <c r="I2717" s="57"/>
      <c r="J2717" s="57"/>
      <c r="L2717" s="164">
        <v>2000</v>
      </c>
    </row>
    <row r="2718" spans="2:12" x14ac:dyDescent="0.3">
      <c r="B2718" s="57">
        <f t="shared" si="228"/>
        <v>2715</v>
      </c>
      <c r="C2718" s="142">
        <v>46216</v>
      </c>
      <c r="D2718" s="57" t="s">
        <v>968</v>
      </c>
      <c r="E2718" s="57" t="s">
        <v>2022</v>
      </c>
      <c r="F2718" s="57" t="s">
        <v>350</v>
      </c>
      <c r="G2718" s="57" t="s">
        <v>675</v>
      </c>
      <c r="H2718" s="140" t="s">
        <v>2676</v>
      </c>
      <c r="I2718" s="57"/>
      <c r="J2718" s="57"/>
      <c r="L2718" s="164">
        <v>2700</v>
      </c>
    </row>
    <row r="2719" spans="2:12" x14ac:dyDescent="0.3">
      <c r="B2719" s="57">
        <f t="shared" si="228"/>
        <v>2716</v>
      </c>
      <c r="C2719" s="142">
        <v>46216</v>
      </c>
      <c r="D2719" s="57" t="s">
        <v>968</v>
      </c>
      <c r="E2719" s="57" t="s">
        <v>146</v>
      </c>
      <c r="F2719" s="57" t="s">
        <v>621</v>
      </c>
      <c r="G2719" s="57" t="s">
        <v>345</v>
      </c>
      <c r="H2719" s="140" t="s">
        <v>2673</v>
      </c>
      <c r="I2719" s="57"/>
      <c r="J2719" s="165">
        <f>L2719/K2719</f>
        <v>37.735849056603776</v>
      </c>
      <c r="K2719" s="57">
        <v>106</v>
      </c>
      <c r="L2719" s="164">
        <v>4000</v>
      </c>
    </row>
    <row r="2720" spans="2:12" x14ac:dyDescent="0.3">
      <c r="B2720" s="57">
        <f t="shared" si="228"/>
        <v>2717</v>
      </c>
      <c r="C2720" s="142">
        <v>46216</v>
      </c>
      <c r="D2720" s="57" t="s">
        <v>968</v>
      </c>
      <c r="E2720" s="57" t="s">
        <v>4128</v>
      </c>
      <c r="F2720" s="57" t="s">
        <v>300</v>
      </c>
      <c r="G2720" s="57" t="s">
        <v>530</v>
      </c>
      <c r="H2720" s="140" t="s">
        <v>2972</v>
      </c>
      <c r="I2720" s="57" t="s">
        <v>2686</v>
      </c>
      <c r="J2720" s="57"/>
      <c r="L2720" s="164">
        <v>24800</v>
      </c>
    </row>
    <row r="2721" spans="2:12" x14ac:dyDescent="0.3">
      <c r="B2721" s="57">
        <f t="shared" si="228"/>
        <v>2718</v>
      </c>
      <c r="C2721" s="142">
        <v>46216</v>
      </c>
      <c r="D2721" s="57" t="s">
        <v>968</v>
      </c>
      <c r="E2721" s="57" t="s">
        <v>4128</v>
      </c>
      <c r="F2721" s="57" t="s">
        <v>300</v>
      </c>
      <c r="G2721" s="57" t="s">
        <v>530</v>
      </c>
      <c r="H2721" s="140" t="s">
        <v>2973</v>
      </c>
      <c r="I2721" s="57" t="s">
        <v>2686</v>
      </c>
      <c r="J2721" s="57"/>
      <c r="L2721" s="164">
        <v>800</v>
      </c>
    </row>
    <row r="2722" spans="2:12" x14ac:dyDescent="0.3">
      <c r="B2722" s="57">
        <f t="shared" si="228"/>
        <v>2719</v>
      </c>
      <c r="C2722" s="142">
        <v>46216</v>
      </c>
      <c r="D2722" s="57" t="s">
        <v>968</v>
      </c>
      <c r="E2722" s="57" t="s">
        <v>2697</v>
      </c>
      <c r="F2722" s="57" t="s">
        <v>446</v>
      </c>
      <c r="G2722" s="57" t="s">
        <v>990</v>
      </c>
      <c r="H2722" s="140" t="s">
        <v>2674</v>
      </c>
      <c r="I2722" s="57" t="s">
        <v>2687</v>
      </c>
      <c r="J2722" s="57">
        <v>3</v>
      </c>
      <c r="L2722" s="164">
        <v>3450</v>
      </c>
    </row>
    <row r="2723" spans="2:12" x14ac:dyDescent="0.3">
      <c r="B2723" s="57">
        <f t="shared" si="228"/>
        <v>2720</v>
      </c>
      <c r="C2723" s="142">
        <v>46216</v>
      </c>
      <c r="D2723" s="57" t="s">
        <v>968</v>
      </c>
      <c r="E2723" s="57" t="s">
        <v>2697</v>
      </c>
      <c r="F2723" s="57" t="s">
        <v>446</v>
      </c>
      <c r="G2723" s="57" t="s">
        <v>990</v>
      </c>
      <c r="H2723" s="140" t="s">
        <v>2674</v>
      </c>
      <c r="I2723" s="57" t="s">
        <v>2688</v>
      </c>
      <c r="J2723" s="57">
        <v>15</v>
      </c>
      <c r="L2723" s="164">
        <v>1350</v>
      </c>
    </row>
    <row r="2724" spans="2:12" x14ac:dyDescent="0.3">
      <c r="B2724" s="57">
        <f t="shared" si="228"/>
        <v>2721</v>
      </c>
      <c r="C2724" s="142">
        <v>46216</v>
      </c>
      <c r="D2724" s="57" t="s">
        <v>968</v>
      </c>
      <c r="E2724" s="57" t="s">
        <v>2697</v>
      </c>
      <c r="F2724" s="57" t="s">
        <v>446</v>
      </c>
      <c r="G2724" s="57" t="s">
        <v>990</v>
      </c>
      <c r="H2724" s="140" t="s">
        <v>2674</v>
      </c>
      <c r="I2724" s="57" t="s">
        <v>2689</v>
      </c>
      <c r="J2724" s="57">
        <v>1</v>
      </c>
      <c r="L2724" s="164">
        <v>2600</v>
      </c>
    </row>
    <row r="2725" spans="2:12" x14ac:dyDescent="0.3">
      <c r="B2725" s="57">
        <f t="shared" si="228"/>
        <v>2722</v>
      </c>
      <c r="C2725" s="142">
        <v>46216</v>
      </c>
      <c r="D2725" s="57" t="s">
        <v>968</v>
      </c>
      <c r="E2725" s="57" t="s">
        <v>2697</v>
      </c>
      <c r="F2725" s="57" t="s">
        <v>446</v>
      </c>
      <c r="G2725" s="57" t="s">
        <v>990</v>
      </c>
      <c r="H2725" s="140" t="s">
        <v>2674</v>
      </c>
      <c r="I2725" s="57" t="s">
        <v>377</v>
      </c>
      <c r="J2725" s="57">
        <v>4</v>
      </c>
      <c r="L2725" s="164">
        <v>1000</v>
      </c>
    </row>
    <row r="2726" spans="2:12" x14ac:dyDescent="0.3">
      <c r="B2726" s="57">
        <f t="shared" si="228"/>
        <v>2723</v>
      </c>
      <c r="C2726" s="142">
        <v>46216</v>
      </c>
      <c r="D2726" s="57" t="s">
        <v>968</v>
      </c>
      <c r="E2726" s="57" t="s">
        <v>2697</v>
      </c>
      <c r="F2726" s="57" t="s">
        <v>446</v>
      </c>
      <c r="G2726" s="57" t="s">
        <v>990</v>
      </c>
      <c r="H2726" s="140" t="s">
        <v>2674</v>
      </c>
      <c r="I2726" s="57" t="s">
        <v>2690</v>
      </c>
      <c r="J2726" s="57">
        <v>2</v>
      </c>
      <c r="L2726" s="164">
        <v>640</v>
      </c>
    </row>
    <row r="2727" spans="2:12" x14ac:dyDescent="0.3">
      <c r="B2727" s="57">
        <f t="shared" si="228"/>
        <v>2724</v>
      </c>
      <c r="C2727" s="142">
        <v>46216</v>
      </c>
      <c r="D2727" s="57" t="s">
        <v>968</v>
      </c>
      <c r="E2727" s="57" t="s">
        <v>2697</v>
      </c>
      <c r="F2727" s="57" t="s">
        <v>446</v>
      </c>
      <c r="G2727" s="57" t="s">
        <v>990</v>
      </c>
      <c r="H2727" s="140" t="s">
        <v>2674</v>
      </c>
      <c r="I2727" s="57" t="s">
        <v>2682</v>
      </c>
      <c r="J2727" s="57">
        <v>4</v>
      </c>
      <c r="L2727" s="164">
        <v>1000</v>
      </c>
    </row>
    <row r="2728" spans="2:12" x14ac:dyDescent="0.3">
      <c r="B2728" s="57">
        <f t="shared" si="228"/>
        <v>2725</v>
      </c>
      <c r="C2728" s="142">
        <v>46216</v>
      </c>
      <c r="D2728" s="57" t="s">
        <v>968</v>
      </c>
      <c r="E2728" s="57" t="s">
        <v>2697</v>
      </c>
      <c r="F2728" s="57" t="s">
        <v>446</v>
      </c>
      <c r="G2728" s="57" t="s">
        <v>990</v>
      </c>
      <c r="H2728" s="140" t="s">
        <v>2674</v>
      </c>
      <c r="I2728" s="57" t="s">
        <v>2691</v>
      </c>
      <c r="J2728" s="57">
        <v>3</v>
      </c>
      <c r="L2728" s="164">
        <v>150</v>
      </c>
    </row>
    <row r="2729" spans="2:12" x14ac:dyDescent="0.3">
      <c r="B2729" s="57">
        <f t="shared" si="228"/>
        <v>2726</v>
      </c>
      <c r="C2729" s="142">
        <v>46216</v>
      </c>
      <c r="D2729" s="57" t="s">
        <v>968</v>
      </c>
      <c r="E2729" s="57" t="s">
        <v>2697</v>
      </c>
      <c r="F2729" s="57" t="s">
        <v>446</v>
      </c>
      <c r="G2729" s="57" t="s">
        <v>990</v>
      </c>
      <c r="H2729" s="140" t="s">
        <v>2674</v>
      </c>
      <c r="I2729" s="57" t="s">
        <v>377</v>
      </c>
      <c r="J2729" s="57">
        <v>12</v>
      </c>
      <c r="L2729" s="164">
        <v>300</v>
      </c>
    </row>
    <row r="2730" spans="2:12" x14ac:dyDescent="0.3">
      <c r="B2730" s="57">
        <f t="shared" si="228"/>
        <v>2727</v>
      </c>
      <c r="C2730" s="142">
        <v>46216</v>
      </c>
      <c r="D2730" s="57" t="s">
        <v>968</v>
      </c>
      <c r="E2730" s="57" t="s">
        <v>2697</v>
      </c>
      <c r="F2730" s="57" t="s">
        <v>446</v>
      </c>
      <c r="G2730" s="57" t="s">
        <v>990</v>
      </c>
      <c r="H2730" s="140" t="s">
        <v>2674</v>
      </c>
      <c r="I2730" s="57" t="s">
        <v>2692</v>
      </c>
      <c r="J2730" s="57">
        <v>2</v>
      </c>
      <c r="L2730" s="164">
        <v>240</v>
      </c>
    </row>
    <row r="2731" spans="2:12" x14ac:dyDescent="0.3">
      <c r="B2731" s="57">
        <f t="shared" si="228"/>
        <v>2728</v>
      </c>
      <c r="C2731" s="142">
        <v>46216</v>
      </c>
      <c r="D2731" s="57" t="s">
        <v>435</v>
      </c>
      <c r="E2731" s="57" t="s">
        <v>146</v>
      </c>
      <c r="F2731" s="57" t="s">
        <v>446</v>
      </c>
      <c r="G2731" s="57" t="s">
        <v>990</v>
      </c>
      <c r="H2731" s="140" t="s">
        <v>879</v>
      </c>
      <c r="I2731" s="57"/>
      <c r="J2731" s="165">
        <f>L2731/K2731</f>
        <v>52.361886792452829</v>
      </c>
      <c r="K2731" s="57">
        <v>106</v>
      </c>
      <c r="L2731" s="164">
        <v>5550.36</v>
      </c>
    </row>
    <row r="2732" spans="2:12" x14ac:dyDescent="0.3">
      <c r="B2732" s="57">
        <f t="shared" si="228"/>
        <v>2729</v>
      </c>
      <c r="C2732" s="142">
        <v>46216</v>
      </c>
      <c r="D2732" s="57" t="s">
        <v>968</v>
      </c>
      <c r="E2732" s="57" t="s">
        <v>2022</v>
      </c>
      <c r="F2732" s="57" t="s">
        <v>350</v>
      </c>
      <c r="G2732" s="57" t="s">
        <v>675</v>
      </c>
      <c r="H2732" s="140" t="s">
        <v>2693</v>
      </c>
      <c r="I2732" s="57" t="s">
        <v>2694</v>
      </c>
      <c r="J2732" s="57">
        <v>50</v>
      </c>
      <c r="K2732" s="57">
        <v>7</v>
      </c>
      <c r="L2732" s="164">
        <f t="shared" si="229"/>
        <v>350</v>
      </c>
    </row>
    <row r="2733" spans="2:12" x14ac:dyDescent="0.3">
      <c r="B2733" s="57">
        <f t="shared" si="228"/>
        <v>2730</v>
      </c>
      <c r="C2733" s="142">
        <v>46216</v>
      </c>
      <c r="D2733" s="57" t="s">
        <v>968</v>
      </c>
      <c r="E2733" s="57" t="s">
        <v>2022</v>
      </c>
      <c r="F2733" s="57" t="s">
        <v>350</v>
      </c>
      <c r="G2733" s="57" t="s">
        <v>675</v>
      </c>
      <c r="H2733" s="140" t="s">
        <v>2693</v>
      </c>
      <c r="I2733" s="57" t="s">
        <v>2695</v>
      </c>
      <c r="J2733" s="57">
        <v>50</v>
      </c>
      <c r="K2733" s="57">
        <v>5</v>
      </c>
      <c r="L2733" s="164">
        <f t="shared" si="229"/>
        <v>250</v>
      </c>
    </row>
    <row r="2734" spans="2:12" x14ac:dyDescent="0.3">
      <c r="B2734" s="57">
        <f t="shared" si="228"/>
        <v>2731</v>
      </c>
      <c r="C2734" s="142">
        <v>46217</v>
      </c>
      <c r="D2734" s="57" t="s">
        <v>435</v>
      </c>
      <c r="E2734" s="57" t="s">
        <v>574</v>
      </c>
      <c r="F2734" s="57" t="s">
        <v>502</v>
      </c>
      <c r="G2734" s="57" t="s">
        <v>2344</v>
      </c>
      <c r="H2734" s="140" t="s">
        <v>2696</v>
      </c>
      <c r="I2734" s="140" t="s">
        <v>4122</v>
      </c>
      <c r="J2734" s="57">
        <v>35.85</v>
      </c>
      <c r="K2734" s="167">
        <f>L2734/J2734</f>
        <v>1700</v>
      </c>
      <c r="L2734" s="164">
        <v>60945</v>
      </c>
    </row>
    <row r="2735" spans="2:12" x14ac:dyDescent="0.3">
      <c r="B2735" s="57">
        <f t="shared" si="228"/>
        <v>2732</v>
      </c>
      <c r="C2735" s="142">
        <v>46217</v>
      </c>
      <c r="D2735" s="57" t="s">
        <v>968</v>
      </c>
      <c r="E2735" s="57" t="s">
        <v>146</v>
      </c>
      <c r="F2735" s="57" t="s">
        <v>350</v>
      </c>
      <c r="G2735" s="57" t="s">
        <v>337</v>
      </c>
      <c r="H2735" s="140" t="s">
        <v>2699</v>
      </c>
      <c r="I2735" s="57"/>
      <c r="J2735" s="165">
        <f>L2735/K2735</f>
        <v>9.433962264150944</v>
      </c>
      <c r="K2735" s="57">
        <v>106</v>
      </c>
      <c r="L2735" s="164">
        <v>1000</v>
      </c>
    </row>
    <row r="2736" spans="2:12" x14ac:dyDescent="0.3">
      <c r="B2736" s="57">
        <f t="shared" si="228"/>
        <v>2733</v>
      </c>
      <c r="C2736" s="142">
        <v>46217</v>
      </c>
      <c r="D2736" s="57" t="s">
        <v>968</v>
      </c>
      <c r="E2736" s="57" t="s">
        <v>574</v>
      </c>
      <c r="F2736" s="57" t="s">
        <v>546</v>
      </c>
      <c r="G2736" s="57" t="s">
        <v>545</v>
      </c>
      <c r="H2736" s="140" t="s">
        <v>2700</v>
      </c>
      <c r="I2736" s="140" t="s">
        <v>2635</v>
      </c>
      <c r="J2736" s="57">
        <v>5.04</v>
      </c>
      <c r="K2736" s="57">
        <v>575</v>
      </c>
      <c r="L2736" s="164">
        <v>2900</v>
      </c>
    </row>
    <row r="2737" spans="2:12" x14ac:dyDescent="0.3">
      <c r="B2737" s="57">
        <f t="shared" si="228"/>
        <v>2734</v>
      </c>
      <c r="C2737" s="142">
        <v>46217</v>
      </c>
      <c r="D2737" s="57" t="s">
        <v>968</v>
      </c>
      <c r="E2737" s="57" t="s">
        <v>532</v>
      </c>
      <c r="F2737" s="57" t="s">
        <v>446</v>
      </c>
      <c r="G2737" s="57" t="s">
        <v>990</v>
      </c>
      <c r="H2737" s="140" t="s">
        <v>2703</v>
      </c>
      <c r="I2737" s="57" t="s">
        <v>532</v>
      </c>
      <c r="J2737" s="57">
        <v>50</v>
      </c>
      <c r="K2737" s="57">
        <v>280</v>
      </c>
      <c r="L2737" s="164">
        <f t="shared" si="229"/>
        <v>14000</v>
      </c>
    </row>
    <row r="2738" spans="2:12" x14ac:dyDescent="0.3">
      <c r="B2738" s="57">
        <f t="shared" si="228"/>
        <v>2735</v>
      </c>
      <c r="C2738" s="142">
        <v>46217</v>
      </c>
      <c r="D2738" s="57" t="s">
        <v>968</v>
      </c>
      <c r="E2738" s="57" t="s">
        <v>2427</v>
      </c>
      <c r="F2738" s="57" t="s">
        <v>446</v>
      </c>
      <c r="G2738" s="57" t="s">
        <v>990</v>
      </c>
      <c r="H2738" s="140" t="s">
        <v>2702</v>
      </c>
      <c r="I2738" s="57" t="s">
        <v>2427</v>
      </c>
      <c r="J2738" s="57">
        <v>359.1</v>
      </c>
      <c r="K2738" s="57">
        <v>60</v>
      </c>
      <c r="L2738" s="164">
        <f t="shared" si="229"/>
        <v>21546</v>
      </c>
    </row>
    <row r="2739" spans="2:12" x14ac:dyDescent="0.3">
      <c r="B2739" s="57">
        <f t="shared" si="228"/>
        <v>2736</v>
      </c>
      <c r="C2739" s="142">
        <v>46217</v>
      </c>
      <c r="D2739" s="57" t="s">
        <v>968</v>
      </c>
      <c r="E2739" s="57" t="s">
        <v>2427</v>
      </c>
      <c r="F2739" s="57" t="s">
        <v>446</v>
      </c>
      <c r="G2739" s="57" t="s">
        <v>990</v>
      </c>
      <c r="H2739" s="140" t="s">
        <v>2702</v>
      </c>
      <c r="I2739" s="57"/>
      <c r="J2739" s="57"/>
      <c r="L2739" s="164">
        <v>465</v>
      </c>
    </row>
    <row r="2740" spans="2:12" x14ac:dyDescent="0.3">
      <c r="B2740" s="57">
        <f t="shared" si="228"/>
        <v>2737</v>
      </c>
      <c r="C2740" s="142">
        <v>46217</v>
      </c>
      <c r="D2740" s="57" t="s">
        <v>968</v>
      </c>
      <c r="E2740" s="57" t="s">
        <v>2427</v>
      </c>
      <c r="F2740" s="57" t="s">
        <v>446</v>
      </c>
      <c r="G2740" s="57" t="s">
        <v>990</v>
      </c>
      <c r="H2740" s="140" t="s">
        <v>2702</v>
      </c>
      <c r="I2740" s="57" t="s">
        <v>2720</v>
      </c>
      <c r="J2740" s="57"/>
      <c r="L2740" s="164">
        <v>1000</v>
      </c>
    </row>
    <row r="2741" spans="2:12" x14ac:dyDescent="0.3">
      <c r="B2741" s="57">
        <f t="shared" si="228"/>
        <v>2738</v>
      </c>
      <c r="C2741" s="142">
        <v>46217</v>
      </c>
      <c r="D2741" s="57" t="s">
        <v>968</v>
      </c>
      <c r="E2741" s="57" t="s">
        <v>146</v>
      </c>
      <c r="F2741" s="57" t="s">
        <v>2332</v>
      </c>
      <c r="G2741" s="57" t="s">
        <v>1004</v>
      </c>
      <c r="H2741" s="140" t="s">
        <v>4094</v>
      </c>
      <c r="I2741" s="57" t="s">
        <v>146</v>
      </c>
      <c r="J2741" s="165">
        <f t="shared" ref="J2741:J2743" si="232">L2741/K2741</f>
        <v>24.60377358490566</v>
      </c>
      <c r="K2741" s="57">
        <v>106</v>
      </c>
      <c r="L2741" s="164">
        <v>2608</v>
      </c>
    </row>
    <row r="2742" spans="2:12" x14ac:dyDescent="0.3">
      <c r="B2742" s="57">
        <f t="shared" si="228"/>
        <v>2739</v>
      </c>
      <c r="C2742" s="142">
        <v>46217</v>
      </c>
      <c r="D2742" s="57" t="s">
        <v>968</v>
      </c>
      <c r="E2742" s="57" t="s">
        <v>146</v>
      </c>
      <c r="F2742" s="57" t="s">
        <v>2332</v>
      </c>
      <c r="G2742" s="57" t="s">
        <v>1004</v>
      </c>
      <c r="H2742" s="140" t="s">
        <v>4098</v>
      </c>
      <c r="I2742" s="57"/>
      <c r="J2742" s="165">
        <f t="shared" si="232"/>
        <v>23.39622641509434</v>
      </c>
      <c r="K2742" s="57">
        <v>106</v>
      </c>
      <c r="L2742" s="164">
        <v>2480</v>
      </c>
    </row>
    <row r="2743" spans="2:12" x14ac:dyDescent="0.3">
      <c r="B2743" s="57">
        <f t="shared" si="228"/>
        <v>2740</v>
      </c>
      <c r="C2743" s="142">
        <v>46217</v>
      </c>
      <c r="D2743" s="57" t="s">
        <v>968</v>
      </c>
      <c r="E2743" s="57" t="s">
        <v>146</v>
      </c>
      <c r="F2743" s="57" t="s">
        <v>2332</v>
      </c>
      <c r="G2743" s="57" t="s">
        <v>1004</v>
      </c>
      <c r="H2743" s="140" t="s">
        <v>2701</v>
      </c>
      <c r="I2743" s="57"/>
      <c r="J2743" s="165">
        <f t="shared" si="232"/>
        <v>37.735849056603776</v>
      </c>
      <c r="K2743" s="57">
        <v>106</v>
      </c>
      <c r="L2743" s="164">
        <v>4000</v>
      </c>
    </row>
    <row r="2744" spans="2:12" x14ac:dyDescent="0.3">
      <c r="B2744" s="57">
        <f t="shared" si="228"/>
        <v>2741</v>
      </c>
      <c r="C2744" s="142">
        <v>46217</v>
      </c>
      <c r="D2744" s="57" t="s">
        <v>968</v>
      </c>
      <c r="E2744" s="57" t="s">
        <v>574</v>
      </c>
      <c r="F2744" s="57" t="s">
        <v>2332</v>
      </c>
      <c r="G2744" s="57" t="s">
        <v>1004</v>
      </c>
      <c r="H2744" s="140" t="s">
        <v>2718</v>
      </c>
      <c r="I2744" s="140" t="s">
        <v>4081</v>
      </c>
      <c r="J2744" s="57">
        <v>4</v>
      </c>
      <c r="K2744" s="167">
        <f>L2744/J2744</f>
        <v>625</v>
      </c>
      <c r="L2744" s="164">
        <v>2500</v>
      </c>
    </row>
    <row r="2745" spans="2:12" x14ac:dyDescent="0.3">
      <c r="B2745" s="57">
        <f t="shared" si="228"/>
        <v>2742</v>
      </c>
      <c r="C2745" s="142">
        <v>46217</v>
      </c>
      <c r="D2745" s="57" t="s">
        <v>968</v>
      </c>
      <c r="E2745" s="57" t="s">
        <v>574</v>
      </c>
      <c r="F2745" s="57" t="s">
        <v>2332</v>
      </c>
      <c r="G2745" s="57" t="s">
        <v>1004</v>
      </c>
      <c r="H2745" s="140" t="s">
        <v>2719</v>
      </c>
      <c r="I2745" s="140" t="s">
        <v>2635</v>
      </c>
      <c r="J2745" s="57">
        <v>4</v>
      </c>
      <c r="K2745" s="167">
        <f>L2745/J2745</f>
        <v>750</v>
      </c>
      <c r="L2745" s="164">
        <v>3000</v>
      </c>
    </row>
    <row r="2746" spans="2:12" x14ac:dyDescent="0.3">
      <c r="B2746" s="57">
        <f t="shared" si="228"/>
        <v>2743</v>
      </c>
      <c r="C2746" s="142">
        <v>46217</v>
      </c>
      <c r="D2746" s="57" t="s">
        <v>968</v>
      </c>
      <c r="E2746" s="57" t="s">
        <v>146</v>
      </c>
      <c r="F2746" s="57" t="s">
        <v>300</v>
      </c>
      <c r="G2746" s="57" t="s">
        <v>530</v>
      </c>
      <c r="H2746" s="140" t="s">
        <v>2721</v>
      </c>
      <c r="I2746" s="57"/>
      <c r="J2746" s="165">
        <f t="shared" ref="J2746:J2747" si="233">L2746/K2746</f>
        <v>125.04716981132076</v>
      </c>
      <c r="K2746" s="57">
        <v>106</v>
      </c>
      <c r="L2746" s="164">
        <v>13255</v>
      </c>
    </row>
    <row r="2747" spans="2:12" x14ac:dyDescent="0.3">
      <c r="B2747" s="57">
        <f t="shared" si="228"/>
        <v>2744</v>
      </c>
      <c r="C2747" s="142">
        <v>46217</v>
      </c>
      <c r="D2747" s="57" t="s">
        <v>968</v>
      </c>
      <c r="E2747" s="57" t="s">
        <v>146</v>
      </c>
      <c r="F2747" s="57" t="s">
        <v>546</v>
      </c>
      <c r="G2747" s="57" t="s">
        <v>545</v>
      </c>
      <c r="H2747" s="140" t="s">
        <v>2722</v>
      </c>
      <c r="I2747" s="57"/>
      <c r="J2747" s="165">
        <f t="shared" si="233"/>
        <v>5.6603773584905657</v>
      </c>
      <c r="K2747" s="57">
        <v>106</v>
      </c>
      <c r="L2747" s="164">
        <v>600</v>
      </c>
    </row>
    <row r="2748" spans="2:12" x14ac:dyDescent="0.3">
      <c r="B2748" s="57">
        <f t="shared" si="228"/>
        <v>2745</v>
      </c>
      <c r="C2748" s="142">
        <v>46217</v>
      </c>
      <c r="D2748" s="57" t="s">
        <v>968</v>
      </c>
      <c r="E2748" s="57" t="s">
        <v>767</v>
      </c>
      <c r="F2748" s="57" t="s">
        <v>300</v>
      </c>
      <c r="G2748" s="57" t="s">
        <v>2330</v>
      </c>
      <c r="H2748" s="140" t="s">
        <v>2723</v>
      </c>
      <c r="I2748" s="57" t="s">
        <v>2724</v>
      </c>
      <c r="J2748" s="57"/>
      <c r="L2748" s="164">
        <v>1500</v>
      </c>
    </row>
    <row r="2749" spans="2:12" x14ac:dyDescent="0.3">
      <c r="B2749" s="57">
        <f t="shared" si="228"/>
        <v>2746</v>
      </c>
      <c r="C2749" s="142">
        <v>46217</v>
      </c>
      <c r="D2749" s="57" t="s">
        <v>968</v>
      </c>
      <c r="E2749" s="57" t="s">
        <v>4128</v>
      </c>
      <c r="F2749" s="57" t="s">
        <v>446</v>
      </c>
      <c r="G2749" s="57" t="s">
        <v>1000</v>
      </c>
      <c r="H2749" s="140" t="s">
        <v>2725</v>
      </c>
      <c r="I2749" s="57" t="s">
        <v>2686</v>
      </c>
      <c r="J2749" s="57"/>
      <c r="K2749" s="167" t="e">
        <f>L2749/J2749</f>
        <v>#DIV/0!</v>
      </c>
      <c r="L2749" s="164">
        <v>500</v>
      </c>
    </row>
    <row r="2750" spans="2:12" x14ac:dyDescent="0.3">
      <c r="B2750" s="57">
        <f t="shared" si="228"/>
        <v>2747</v>
      </c>
      <c r="C2750" s="142">
        <v>46217</v>
      </c>
      <c r="D2750" s="57" t="s">
        <v>968</v>
      </c>
      <c r="E2750" s="57" t="s">
        <v>4128</v>
      </c>
      <c r="F2750" s="57" t="s">
        <v>446</v>
      </c>
      <c r="G2750" s="57" t="s">
        <v>1000</v>
      </c>
      <c r="H2750" s="140" t="s">
        <v>2726</v>
      </c>
      <c r="I2750" s="57" t="s">
        <v>2686</v>
      </c>
      <c r="J2750" s="57"/>
      <c r="L2750" s="164">
        <v>840</v>
      </c>
    </row>
    <row r="2751" spans="2:12" x14ac:dyDescent="0.3">
      <c r="B2751" s="57">
        <f t="shared" si="228"/>
        <v>2748</v>
      </c>
      <c r="C2751" s="142">
        <v>46217</v>
      </c>
      <c r="D2751" s="57" t="s">
        <v>968</v>
      </c>
      <c r="E2751" s="57" t="s">
        <v>4128</v>
      </c>
      <c r="F2751" s="57" t="s">
        <v>446</v>
      </c>
      <c r="G2751" s="57" t="s">
        <v>1000</v>
      </c>
      <c r="H2751" s="140" t="s">
        <v>2727</v>
      </c>
      <c r="I2751" s="57"/>
      <c r="J2751" s="57"/>
      <c r="L2751" s="164">
        <v>1000</v>
      </c>
    </row>
    <row r="2752" spans="2:12" x14ac:dyDescent="0.3">
      <c r="B2752" s="57">
        <f t="shared" si="228"/>
        <v>2749</v>
      </c>
      <c r="C2752" s="142">
        <v>46217</v>
      </c>
      <c r="D2752" s="57" t="s">
        <v>968</v>
      </c>
      <c r="E2752" s="57" t="s">
        <v>532</v>
      </c>
      <c r="F2752" s="57" t="s">
        <v>300</v>
      </c>
      <c r="G2752" s="57" t="s">
        <v>526</v>
      </c>
      <c r="H2752" s="140" t="s">
        <v>2728</v>
      </c>
      <c r="I2752" s="57" t="s">
        <v>532</v>
      </c>
      <c r="J2752" s="57">
        <v>8</v>
      </c>
      <c r="K2752" s="57">
        <v>300</v>
      </c>
      <c r="L2752" s="164">
        <f t="shared" si="229"/>
        <v>2400</v>
      </c>
    </row>
    <row r="2753" spans="2:12" x14ac:dyDescent="0.3">
      <c r="B2753" s="57">
        <f t="shared" si="228"/>
        <v>2750</v>
      </c>
      <c r="C2753" s="142">
        <v>46217</v>
      </c>
      <c r="D2753" s="57" t="s">
        <v>968</v>
      </c>
      <c r="E2753" s="57" t="s">
        <v>434</v>
      </c>
      <c r="F2753" s="57" t="s">
        <v>300</v>
      </c>
      <c r="G2753" s="57" t="s">
        <v>526</v>
      </c>
      <c r="H2753" s="140" t="s">
        <v>2729</v>
      </c>
      <c r="I2753" s="57" t="s">
        <v>2730</v>
      </c>
      <c r="J2753" s="57">
        <v>4</v>
      </c>
      <c r="K2753" s="57">
        <v>100</v>
      </c>
      <c r="L2753" s="164">
        <f t="shared" si="229"/>
        <v>400</v>
      </c>
    </row>
    <row r="2754" spans="2:12" x14ac:dyDescent="0.3">
      <c r="B2754" s="57">
        <f t="shared" si="228"/>
        <v>2751</v>
      </c>
      <c r="C2754" s="142">
        <v>46217</v>
      </c>
      <c r="D2754" s="57" t="s">
        <v>968</v>
      </c>
      <c r="E2754" s="57" t="s">
        <v>146</v>
      </c>
      <c r="F2754" s="57" t="s">
        <v>446</v>
      </c>
      <c r="G2754" s="57" t="s">
        <v>316</v>
      </c>
      <c r="H2754" s="140" t="s">
        <v>2731</v>
      </c>
      <c r="I2754" s="57"/>
      <c r="J2754" s="165">
        <f t="shared" ref="J2754:J2756" si="234">L2754/K2754</f>
        <v>18.867924528301888</v>
      </c>
      <c r="K2754" s="57">
        <v>106</v>
      </c>
      <c r="L2754" s="164">
        <v>2000</v>
      </c>
    </row>
    <row r="2755" spans="2:12" x14ac:dyDescent="0.3">
      <c r="B2755" s="57">
        <f t="shared" si="228"/>
        <v>2752</v>
      </c>
      <c r="C2755" s="142">
        <v>46217</v>
      </c>
      <c r="D2755" s="57" t="s">
        <v>968</v>
      </c>
      <c r="E2755" s="57" t="s">
        <v>146</v>
      </c>
      <c r="F2755" s="57" t="s">
        <v>546</v>
      </c>
      <c r="G2755" s="57" t="s">
        <v>545</v>
      </c>
      <c r="H2755" s="140" t="s">
        <v>2732</v>
      </c>
      <c r="I2755" s="57"/>
      <c r="J2755" s="165">
        <f t="shared" si="234"/>
        <v>9.433962264150944</v>
      </c>
      <c r="K2755" s="57">
        <v>106</v>
      </c>
      <c r="L2755" s="164">
        <v>1000</v>
      </c>
    </row>
    <row r="2756" spans="2:12" x14ac:dyDescent="0.3">
      <c r="B2756" s="57">
        <f t="shared" si="228"/>
        <v>2753</v>
      </c>
      <c r="C2756" s="142">
        <v>46217</v>
      </c>
      <c r="D2756" s="57" t="s">
        <v>968</v>
      </c>
      <c r="E2756" s="57" t="s">
        <v>2029</v>
      </c>
      <c r="F2756" s="57" t="s">
        <v>300</v>
      </c>
      <c r="H2756" s="140" t="s">
        <v>4093</v>
      </c>
      <c r="I2756" s="57"/>
      <c r="J2756" s="165">
        <f t="shared" si="234"/>
        <v>51.150943396226417</v>
      </c>
      <c r="K2756" s="57">
        <v>106</v>
      </c>
      <c r="L2756" s="164">
        <v>5422</v>
      </c>
    </row>
    <row r="2757" spans="2:12" x14ac:dyDescent="0.3">
      <c r="B2757" s="57">
        <f t="shared" si="228"/>
        <v>2754</v>
      </c>
      <c r="C2757" s="142">
        <v>46217</v>
      </c>
      <c r="D2757" s="57" t="s">
        <v>968</v>
      </c>
      <c r="E2757" s="57" t="s">
        <v>532</v>
      </c>
      <c r="F2757" s="57" t="s">
        <v>446</v>
      </c>
      <c r="G2757" s="57" t="s">
        <v>990</v>
      </c>
      <c r="H2757" s="140" t="s">
        <v>2733</v>
      </c>
      <c r="I2757" s="57" t="s">
        <v>532</v>
      </c>
      <c r="J2757" s="57">
        <v>10</v>
      </c>
      <c r="L2757" s="164">
        <v>2660</v>
      </c>
    </row>
    <row r="2758" spans="2:12" x14ac:dyDescent="0.3">
      <c r="B2758" s="57">
        <f t="shared" ref="B2758:B2821" si="235">+B2757+1</f>
        <v>2755</v>
      </c>
      <c r="C2758" s="142">
        <v>46217</v>
      </c>
      <c r="D2758" s="57" t="s">
        <v>968</v>
      </c>
      <c r="E2758" s="57" t="s">
        <v>481</v>
      </c>
      <c r="F2758" s="57" t="s">
        <v>502</v>
      </c>
      <c r="G2758" s="57" t="s">
        <v>773</v>
      </c>
      <c r="H2758" s="140" t="s">
        <v>2734</v>
      </c>
      <c r="I2758" s="57" t="s">
        <v>481</v>
      </c>
      <c r="J2758" s="57">
        <v>6</v>
      </c>
      <c r="L2758" s="164">
        <v>600</v>
      </c>
    </row>
    <row r="2759" spans="2:12" x14ac:dyDescent="0.3">
      <c r="B2759" s="57">
        <f t="shared" si="235"/>
        <v>2756</v>
      </c>
      <c r="C2759" s="142">
        <v>46217</v>
      </c>
      <c r="D2759" s="57" t="s">
        <v>968</v>
      </c>
      <c r="E2759" s="57" t="s">
        <v>2744</v>
      </c>
      <c r="F2759" s="57" t="s">
        <v>546</v>
      </c>
      <c r="G2759" s="57" t="s">
        <v>545</v>
      </c>
      <c r="H2759" s="140" t="s">
        <v>2743</v>
      </c>
      <c r="I2759" s="57"/>
      <c r="J2759" s="57"/>
      <c r="L2759" s="164">
        <v>600</v>
      </c>
    </row>
    <row r="2760" spans="2:12" x14ac:dyDescent="0.3">
      <c r="B2760" s="57">
        <f t="shared" si="235"/>
        <v>2757</v>
      </c>
      <c r="C2760" s="142">
        <v>46217</v>
      </c>
      <c r="D2760" s="57" t="s">
        <v>968</v>
      </c>
      <c r="E2760" s="57" t="s">
        <v>146</v>
      </c>
      <c r="F2760" s="57" t="s">
        <v>300</v>
      </c>
      <c r="G2760" s="57" t="s">
        <v>530</v>
      </c>
      <c r="H2760" s="140" t="s">
        <v>2735</v>
      </c>
      <c r="I2760" s="57"/>
      <c r="J2760" s="165">
        <f>L2760/K2760</f>
        <v>28.30188679245283</v>
      </c>
      <c r="K2760" s="57">
        <v>106</v>
      </c>
      <c r="L2760" s="164">
        <v>3000</v>
      </c>
    </row>
    <row r="2761" spans="2:12" x14ac:dyDescent="0.3">
      <c r="B2761" s="57">
        <f t="shared" si="235"/>
        <v>2758</v>
      </c>
      <c r="C2761" s="142">
        <v>46217</v>
      </c>
      <c r="D2761" s="57" t="s">
        <v>435</v>
      </c>
      <c r="E2761" s="57" t="s">
        <v>958</v>
      </c>
      <c r="F2761" s="57" t="s">
        <v>350</v>
      </c>
      <c r="G2761" s="57" t="s">
        <v>1005</v>
      </c>
      <c r="H2761" s="140" t="s">
        <v>2736</v>
      </c>
      <c r="I2761" s="57"/>
      <c r="J2761" s="57"/>
      <c r="L2761" s="164">
        <v>8500</v>
      </c>
    </row>
    <row r="2762" spans="2:12" x14ac:dyDescent="0.3">
      <c r="B2762" s="57">
        <f t="shared" si="235"/>
        <v>2759</v>
      </c>
      <c r="C2762" s="142">
        <v>46217</v>
      </c>
      <c r="D2762" s="57" t="s">
        <v>435</v>
      </c>
      <c r="E2762" s="57" t="s">
        <v>574</v>
      </c>
      <c r="F2762" s="57" t="s">
        <v>652</v>
      </c>
      <c r="G2762" s="57" t="s">
        <v>998</v>
      </c>
      <c r="H2762" s="140" t="s">
        <v>2737</v>
      </c>
      <c r="I2762" s="140" t="s">
        <v>4081</v>
      </c>
      <c r="J2762" s="57">
        <v>25.35</v>
      </c>
      <c r="K2762" s="57">
        <v>587</v>
      </c>
      <c r="L2762" s="164">
        <f t="shared" si="229"/>
        <v>14880.45</v>
      </c>
    </row>
    <row r="2763" spans="2:12" x14ac:dyDescent="0.3">
      <c r="B2763" s="57">
        <f t="shared" si="235"/>
        <v>2760</v>
      </c>
      <c r="C2763" s="142">
        <v>46217</v>
      </c>
      <c r="D2763" s="57" t="s">
        <v>435</v>
      </c>
      <c r="E2763" s="57" t="s">
        <v>574</v>
      </c>
      <c r="F2763" s="57" t="s">
        <v>652</v>
      </c>
      <c r="G2763" s="57" t="s">
        <v>998</v>
      </c>
      <c r="H2763" s="140" t="s">
        <v>2738</v>
      </c>
      <c r="I2763" s="140" t="s">
        <v>2635</v>
      </c>
      <c r="J2763" s="57">
        <v>26.36</v>
      </c>
      <c r="K2763" s="57">
        <v>681</v>
      </c>
      <c r="L2763" s="164">
        <f t="shared" si="229"/>
        <v>17951.16</v>
      </c>
    </row>
    <row r="2764" spans="2:12" x14ac:dyDescent="0.3">
      <c r="B2764" s="57">
        <f t="shared" si="235"/>
        <v>2761</v>
      </c>
      <c r="C2764" s="142">
        <v>46218</v>
      </c>
      <c r="D2764" s="57" t="s">
        <v>968</v>
      </c>
      <c r="E2764" s="57" t="s">
        <v>460</v>
      </c>
      <c r="F2764" s="57" t="s">
        <v>350</v>
      </c>
      <c r="G2764" s="57" t="s">
        <v>2741</v>
      </c>
      <c r="H2764" s="140" t="s">
        <v>2739</v>
      </c>
      <c r="I2764" s="57" t="s">
        <v>2740</v>
      </c>
      <c r="J2764" s="57" t="s">
        <v>2742</v>
      </c>
      <c r="K2764" s="57">
        <v>1</v>
      </c>
      <c r="L2764" s="164">
        <v>200</v>
      </c>
    </row>
    <row r="2765" spans="2:12" x14ac:dyDescent="0.3">
      <c r="B2765" s="57">
        <f t="shared" si="235"/>
        <v>2762</v>
      </c>
      <c r="C2765" s="142">
        <v>46218</v>
      </c>
      <c r="D2765" s="57" t="s">
        <v>968</v>
      </c>
      <c r="E2765" s="57" t="s">
        <v>146</v>
      </c>
      <c r="F2765" s="57" t="s">
        <v>446</v>
      </c>
      <c r="G2765" s="57" t="s">
        <v>1000</v>
      </c>
      <c r="H2765" s="140" t="s">
        <v>4099</v>
      </c>
      <c r="I2765" s="57"/>
      <c r="J2765" s="165">
        <f t="shared" ref="J2765:J2766" si="236">L2765/K2765</f>
        <v>17.924528301886792</v>
      </c>
      <c r="K2765" s="57">
        <v>106</v>
      </c>
      <c r="L2765" s="164">
        <v>1900</v>
      </c>
    </row>
    <row r="2766" spans="2:12" x14ac:dyDescent="0.3">
      <c r="B2766" s="57">
        <f t="shared" si="235"/>
        <v>2763</v>
      </c>
      <c r="C2766" s="142">
        <v>46218</v>
      </c>
      <c r="D2766" s="57" t="s">
        <v>968</v>
      </c>
      <c r="E2766" s="57" t="s">
        <v>146</v>
      </c>
      <c r="F2766" s="57" t="s">
        <v>300</v>
      </c>
      <c r="G2766" s="57" t="s">
        <v>2330</v>
      </c>
      <c r="H2766" s="140" t="s">
        <v>2745</v>
      </c>
      <c r="I2766" s="57"/>
      <c r="J2766" s="165">
        <f t="shared" si="236"/>
        <v>9.433962264150944</v>
      </c>
      <c r="K2766" s="57">
        <v>106</v>
      </c>
      <c r="L2766" s="164">
        <v>1000</v>
      </c>
    </row>
    <row r="2767" spans="2:12" x14ac:dyDescent="0.3">
      <c r="B2767" s="57">
        <f t="shared" si="235"/>
        <v>2764</v>
      </c>
      <c r="C2767" s="142">
        <v>46218</v>
      </c>
      <c r="D2767" s="57" t="s">
        <v>968</v>
      </c>
      <c r="E2767" s="57" t="s">
        <v>4128</v>
      </c>
      <c r="F2767" s="57" t="s">
        <v>621</v>
      </c>
      <c r="G2767" s="57" t="s">
        <v>345</v>
      </c>
      <c r="H2767" s="140" t="s">
        <v>2974</v>
      </c>
      <c r="I2767" s="57" t="s">
        <v>2686</v>
      </c>
      <c r="L2767" s="164">
        <v>3900</v>
      </c>
    </row>
    <row r="2768" spans="2:12" x14ac:dyDescent="0.3">
      <c r="B2768" s="57">
        <f t="shared" si="235"/>
        <v>2765</v>
      </c>
      <c r="C2768" s="142">
        <v>46218</v>
      </c>
      <c r="D2768" s="57" t="s">
        <v>968</v>
      </c>
      <c r="E2768" s="57" t="s">
        <v>2032</v>
      </c>
      <c r="F2768" s="57" t="s">
        <v>621</v>
      </c>
      <c r="G2768" s="57" t="s">
        <v>345</v>
      </c>
      <c r="H2768" s="140" t="s">
        <v>2753</v>
      </c>
      <c r="I2768" s="57" t="s">
        <v>2686</v>
      </c>
      <c r="J2768" s="57"/>
      <c r="L2768" s="164">
        <v>1000</v>
      </c>
    </row>
    <row r="2769" spans="2:12" x14ac:dyDescent="0.3">
      <c r="B2769" s="57">
        <f t="shared" si="235"/>
        <v>2766</v>
      </c>
      <c r="C2769" s="142">
        <v>46218</v>
      </c>
      <c r="D2769" s="57" t="s">
        <v>968</v>
      </c>
      <c r="E2769" s="57" t="s">
        <v>4128</v>
      </c>
      <c r="F2769" s="57" t="s">
        <v>621</v>
      </c>
      <c r="G2769" s="57" t="s">
        <v>345</v>
      </c>
      <c r="H2769" s="140" t="s">
        <v>2754</v>
      </c>
      <c r="I2769" s="57" t="s">
        <v>2686</v>
      </c>
      <c r="J2769" s="57"/>
      <c r="K2769" s="167" t="e">
        <f>L2769/J2769</f>
        <v>#DIV/0!</v>
      </c>
      <c r="L2769" s="164">
        <v>500</v>
      </c>
    </row>
    <row r="2770" spans="2:12" x14ac:dyDescent="0.3">
      <c r="B2770" s="57">
        <f t="shared" si="235"/>
        <v>2767</v>
      </c>
      <c r="C2770" s="142">
        <v>46218</v>
      </c>
      <c r="D2770" s="57" t="s">
        <v>968</v>
      </c>
      <c r="E2770" s="57" t="s">
        <v>532</v>
      </c>
      <c r="F2770" s="57" t="s">
        <v>446</v>
      </c>
      <c r="G2770" s="57" t="s">
        <v>1000</v>
      </c>
      <c r="H2770" s="140" t="s">
        <v>2747</v>
      </c>
      <c r="I2770" s="57" t="s">
        <v>532</v>
      </c>
      <c r="J2770" s="57">
        <v>260</v>
      </c>
      <c r="K2770" s="57">
        <v>30</v>
      </c>
      <c r="L2770" s="164">
        <f t="shared" ref="L2770:L2785" si="237">J2770*K2770</f>
        <v>7800</v>
      </c>
    </row>
    <row r="2771" spans="2:12" x14ac:dyDescent="0.3">
      <c r="B2771" s="57">
        <f t="shared" si="235"/>
        <v>2768</v>
      </c>
      <c r="C2771" s="142">
        <v>46218</v>
      </c>
      <c r="D2771" s="57" t="s">
        <v>968</v>
      </c>
      <c r="E2771" s="57" t="s">
        <v>237</v>
      </c>
      <c r="F2771" s="57" t="s">
        <v>446</v>
      </c>
      <c r="G2771" s="57" t="s">
        <v>1000</v>
      </c>
      <c r="H2771" s="140" t="s">
        <v>2746</v>
      </c>
      <c r="I2771" s="57" t="s">
        <v>2748</v>
      </c>
      <c r="J2771" s="57"/>
      <c r="L2771" s="164">
        <v>40</v>
      </c>
    </row>
    <row r="2772" spans="2:12" x14ac:dyDescent="0.3">
      <c r="B2772" s="57">
        <f t="shared" si="235"/>
        <v>2769</v>
      </c>
      <c r="C2772" s="142">
        <v>46218</v>
      </c>
      <c r="D2772" s="57" t="s">
        <v>968</v>
      </c>
      <c r="E2772" s="57" t="s">
        <v>237</v>
      </c>
      <c r="F2772" s="57" t="s">
        <v>446</v>
      </c>
      <c r="G2772" s="57" t="s">
        <v>1000</v>
      </c>
      <c r="H2772" s="140" t="s">
        <v>2746</v>
      </c>
      <c r="I2772" s="57" t="s">
        <v>2749</v>
      </c>
      <c r="J2772" s="57">
        <v>100</v>
      </c>
      <c r="K2772" s="57">
        <v>4</v>
      </c>
      <c r="L2772" s="164">
        <f t="shared" si="237"/>
        <v>400</v>
      </c>
    </row>
    <row r="2773" spans="2:12" x14ac:dyDescent="0.3">
      <c r="B2773" s="57">
        <f t="shared" si="235"/>
        <v>2770</v>
      </c>
      <c r="C2773" s="142">
        <v>46218</v>
      </c>
      <c r="D2773" s="57" t="s">
        <v>968</v>
      </c>
      <c r="E2773" s="57" t="s">
        <v>237</v>
      </c>
      <c r="F2773" s="57" t="s">
        <v>446</v>
      </c>
      <c r="G2773" s="57" t="s">
        <v>1000</v>
      </c>
      <c r="H2773" s="140" t="s">
        <v>2746</v>
      </c>
      <c r="I2773" s="57" t="s">
        <v>2750</v>
      </c>
      <c r="J2773" s="57">
        <v>80</v>
      </c>
      <c r="K2773" s="57">
        <v>2</v>
      </c>
      <c r="L2773" s="164">
        <f t="shared" si="237"/>
        <v>160</v>
      </c>
    </row>
    <row r="2774" spans="2:12" x14ac:dyDescent="0.3">
      <c r="B2774" s="57">
        <f t="shared" si="235"/>
        <v>2771</v>
      </c>
      <c r="C2774" s="142">
        <v>46218</v>
      </c>
      <c r="D2774" s="57" t="s">
        <v>968</v>
      </c>
      <c r="E2774" s="57" t="s">
        <v>2765</v>
      </c>
      <c r="F2774" s="57" t="s">
        <v>446</v>
      </c>
      <c r="G2774" s="57" t="s">
        <v>352</v>
      </c>
      <c r="H2774" s="140" t="s">
        <v>2751</v>
      </c>
      <c r="I2774" s="57"/>
      <c r="J2774" s="57"/>
      <c r="L2774" s="164">
        <v>7200</v>
      </c>
    </row>
    <row r="2775" spans="2:12" x14ac:dyDescent="0.3">
      <c r="B2775" s="57">
        <f t="shared" si="235"/>
        <v>2772</v>
      </c>
      <c r="C2775" s="142">
        <v>46218</v>
      </c>
      <c r="D2775" s="57" t="s">
        <v>968</v>
      </c>
      <c r="E2775" s="57" t="s">
        <v>2427</v>
      </c>
      <c r="F2775" s="57" t="s">
        <v>446</v>
      </c>
      <c r="G2775" s="57" t="s">
        <v>990</v>
      </c>
      <c r="H2775" s="140" t="s">
        <v>2752</v>
      </c>
      <c r="I2775" s="57" t="s">
        <v>2427</v>
      </c>
      <c r="J2775" s="57"/>
      <c r="L2775" s="164">
        <v>28650</v>
      </c>
    </row>
    <row r="2776" spans="2:12" x14ac:dyDescent="0.3">
      <c r="B2776" s="57">
        <f t="shared" si="235"/>
        <v>2773</v>
      </c>
      <c r="C2776" s="142">
        <v>46218</v>
      </c>
      <c r="D2776" s="57" t="s">
        <v>968</v>
      </c>
      <c r="E2776" s="57" t="s">
        <v>2427</v>
      </c>
      <c r="F2776" s="57" t="s">
        <v>446</v>
      </c>
      <c r="G2776" s="57" t="s">
        <v>572</v>
      </c>
      <c r="H2776" s="140" t="s">
        <v>2756</v>
      </c>
      <c r="I2776" s="57" t="s">
        <v>2427</v>
      </c>
      <c r="J2776" s="57"/>
      <c r="L2776" s="164">
        <v>35000</v>
      </c>
    </row>
    <row r="2777" spans="2:12" x14ac:dyDescent="0.3">
      <c r="B2777" s="57">
        <f t="shared" si="235"/>
        <v>2774</v>
      </c>
      <c r="C2777" s="142">
        <v>46218</v>
      </c>
      <c r="D2777" s="57" t="s">
        <v>435</v>
      </c>
      <c r="E2777" s="57" t="s">
        <v>2427</v>
      </c>
      <c r="F2777" s="57" t="s">
        <v>350</v>
      </c>
      <c r="G2777" s="57" t="s">
        <v>675</v>
      </c>
      <c r="H2777" s="140" t="s">
        <v>2636</v>
      </c>
      <c r="I2777" s="57" t="s">
        <v>4078</v>
      </c>
      <c r="J2777" s="57">
        <v>510</v>
      </c>
      <c r="K2777" s="57">
        <v>57</v>
      </c>
      <c r="L2777" s="164">
        <f t="shared" si="237"/>
        <v>29070</v>
      </c>
    </row>
    <row r="2778" spans="2:12" x14ac:dyDescent="0.3">
      <c r="B2778" s="57">
        <f t="shared" si="235"/>
        <v>2775</v>
      </c>
      <c r="C2778" s="142">
        <v>46218</v>
      </c>
      <c r="D2778" s="57" t="s">
        <v>435</v>
      </c>
      <c r="E2778" s="57" t="s">
        <v>2427</v>
      </c>
      <c r="F2778" s="57" t="s">
        <v>350</v>
      </c>
      <c r="G2778" s="57" t="s">
        <v>675</v>
      </c>
      <c r="H2778" s="140" t="s">
        <v>2757</v>
      </c>
      <c r="I2778" s="57" t="s">
        <v>2914</v>
      </c>
      <c r="J2778" s="165">
        <v>252</v>
      </c>
      <c r="K2778" s="57">
        <v>58.8</v>
      </c>
      <c r="L2778" s="164">
        <f t="shared" si="237"/>
        <v>14817.599999999999</v>
      </c>
    </row>
    <row r="2779" spans="2:12" x14ac:dyDescent="0.3">
      <c r="B2779" s="57">
        <f t="shared" si="235"/>
        <v>2776</v>
      </c>
      <c r="C2779" s="142">
        <v>46218</v>
      </c>
      <c r="D2779" s="57" t="s">
        <v>435</v>
      </c>
      <c r="E2779" s="57" t="s">
        <v>4128</v>
      </c>
      <c r="F2779" s="57" t="s">
        <v>350</v>
      </c>
      <c r="G2779" s="57" t="s">
        <v>675</v>
      </c>
      <c r="H2779" s="140" t="s">
        <v>2758</v>
      </c>
      <c r="I2779" s="57"/>
      <c r="J2779" s="57"/>
      <c r="L2779" s="164">
        <v>685</v>
      </c>
    </row>
    <row r="2780" spans="2:12" x14ac:dyDescent="0.3">
      <c r="B2780" s="57">
        <f t="shared" si="235"/>
        <v>2777</v>
      </c>
      <c r="C2780" s="142">
        <v>46218</v>
      </c>
      <c r="D2780" s="57" t="s">
        <v>435</v>
      </c>
      <c r="E2780" s="57" t="s">
        <v>460</v>
      </c>
      <c r="F2780" s="57" t="s">
        <v>350</v>
      </c>
      <c r="G2780" s="57" t="s">
        <v>675</v>
      </c>
      <c r="H2780" s="140" t="s">
        <v>2759</v>
      </c>
      <c r="I2780" s="57" t="s">
        <v>460</v>
      </c>
      <c r="J2780" s="57"/>
      <c r="L2780" s="164">
        <v>800</v>
      </c>
    </row>
    <row r="2781" spans="2:12" x14ac:dyDescent="0.3">
      <c r="B2781" s="57">
        <f t="shared" si="235"/>
        <v>2778</v>
      </c>
      <c r="C2781" s="142">
        <v>46218</v>
      </c>
      <c r="D2781" s="57" t="s">
        <v>435</v>
      </c>
      <c r="E2781" s="57" t="s">
        <v>574</v>
      </c>
      <c r="F2781" s="57" t="s">
        <v>446</v>
      </c>
      <c r="G2781" s="57" t="s">
        <v>572</v>
      </c>
      <c r="H2781" s="140" t="s">
        <v>2760</v>
      </c>
      <c r="I2781" s="140" t="s">
        <v>2635</v>
      </c>
      <c r="J2781" s="57">
        <v>26</v>
      </c>
      <c r="K2781" s="168">
        <f>L2781/J2781</f>
        <v>896.15384615384619</v>
      </c>
      <c r="L2781" s="164">
        <v>23300</v>
      </c>
    </row>
    <row r="2782" spans="2:12" x14ac:dyDescent="0.3">
      <c r="B2782" s="57">
        <f t="shared" si="235"/>
        <v>2779</v>
      </c>
      <c r="C2782" s="142">
        <v>46218</v>
      </c>
      <c r="D2782" s="57" t="s">
        <v>968</v>
      </c>
      <c r="E2782" s="57" t="s">
        <v>146</v>
      </c>
      <c r="F2782" s="57" t="s">
        <v>300</v>
      </c>
      <c r="G2782" s="57" t="s">
        <v>530</v>
      </c>
      <c r="H2782" s="140" t="s">
        <v>2755</v>
      </c>
      <c r="I2782" s="57"/>
      <c r="J2782" s="165">
        <f>L2782/K2782</f>
        <v>33.018867924528301</v>
      </c>
      <c r="K2782" s="57">
        <v>106</v>
      </c>
      <c r="L2782" s="164">
        <v>3500</v>
      </c>
    </row>
    <row r="2783" spans="2:12" x14ac:dyDescent="0.3">
      <c r="B2783" s="57">
        <f t="shared" si="235"/>
        <v>2780</v>
      </c>
      <c r="C2783" s="142">
        <v>46218</v>
      </c>
      <c r="D2783" s="57" t="s">
        <v>968</v>
      </c>
      <c r="E2783" s="57" t="s">
        <v>434</v>
      </c>
      <c r="F2783" s="57" t="s">
        <v>300</v>
      </c>
      <c r="G2783" s="57" t="s">
        <v>530</v>
      </c>
      <c r="H2783" s="140" t="s">
        <v>2761</v>
      </c>
      <c r="I2783" s="57"/>
      <c r="J2783" s="57"/>
      <c r="L2783" s="164">
        <v>6352</v>
      </c>
    </row>
    <row r="2784" spans="2:12" x14ac:dyDescent="0.3">
      <c r="B2784" s="57">
        <f t="shared" si="235"/>
        <v>2781</v>
      </c>
      <c r="C2784" s="142">
        <v>46218</v>
      </c>
      <c r="D2784" s="57" t="s">
        <v>968</v>
      </c>
      <c r="E2784" s="57" t="s">
        <v>532</v>
      </c>
      <c r="F2784" s="57" t="s">
        <v>446</v>
      </c>
      <c r="G2784" s="57" t="s">
        <v>316</v>
      </c>
      <c r="H2784" s="140" t="s">
        <v>2762</v>
      </c>
      <c r="I2784" s="57" t="s">
        <v>532</v>
      </c>
      <c r="J2784" s="57">
        <v>20</v>
      </c>
      <c r="K2784" s="167">
        <f>L2784/J2784</f>
        <v>285</v>
      </c>
      <c r="L2784" s="164">
        <v>5700</v>
      </c>
    </row>
    <row r="2785" spans="2:12" x14ac:dyDescent="0.3">
      <c r="B2785" s="57">
        <f t="shared" si="235"/>
        <v>2782</v>
      </c>
      <c r="C2785" s="142">
        <v>46218</v>
      </c>
      <c r="D2785" s="57" t="s">
        <v>968</v>
      </c>
      <c r="E2785" s="57" t="s">
        <v>574</v>
      </c>
      <c r="F2785" s="57" t="s">
        <v>546</v>
      </c>
      <c r="G2785" s="57" t="s">
        <v>545</v>
      </c>
      <c r="H2785" s="140" t="s">
        <v>2763</v>
      </c>
      <c r="I2785" s="140" t="s">
        <v>2635</v>
      </c>
      <c r="J2785" s="57">
        <v>4.28</v>
      </c>
      <c r="K2785" s="57">
        <v>575</v>
      </c>
      <c r="L2785" s="164">
        <f t="shared" si="237"/>
        <v>2461</v>
      </c>
    </row>
    <row r="2786" spans="2:12" x14ac:dyDescent="0.3">
      <c r="B2786" s="57">
        <f t="shared" si="235"/>
        <v>2783</v>
      </c>
      <c r="C2786" s="142">
        <v>46218</v>
      </c>
      <c r="D2786" s="57" t="s">
        <v>968</v>
      </c>
      <c r="E2786" s="57" t="s">
        <v>146</v>
      </c>
      <c r="F2786" s="57" t="s">
        <v>546</v>
      </c>
      <c r="G2786" s="57" t="s">
        <v>545</v>
      </c>
      <c r="H2786" s="140" t="s">
        <v>2764</v>
      </c>
      <c r="I2786" s="57"/>
      <c r="J2786" s="165">
        <f t="shared" ref="J2786:J2789" si="238">L2786/K2786</f>
        <v>9.433962264150944</v>
      </c>
      <c r="K2786" s="57">
        <v>106</v>
      </c>
      <c r="L2786" s="164">
        <v>1000</v>
      </c>
    </row>
    <row r="2787" spans="2:12" x14ac:dyDescent="0.3">
      <c r="B2787" s="57">
        <f t="shared" si="235"/>
        <v>2784</v>
      </c>
      <c r="C2787" s="142">
        <v>46218</v>
      </c>
      <c r="D2787" s="57" t="s">
        <v>968</v>
      </c>
      <c r="E2787" s="57" t="s">
        <v>146</v>
      </c>
      <c r="F2787" s="57" t="s">
        <v>300</v>
      </c>
      <c r="G2787" s="57" t="s">
        <v>530</v>
      </c>
      <c r="H2787" s="140" t="s">
        <v>4092</v>
      </c>
      <c r="I2787" s="57"/>
      <c r="J2787" s="165">
        <f t="shared" si="238"/>
        <v>152.83018867924528</v>
      </c>
      <c r="K2787" s="57">
        <v>106</v>
      </c>
      <c r="L2787" s="164">
        <v>16200</v>
      </c>
    </row>
    <row r="2788" spans="2:12" x14ac:dyDescent="0.3">
      <c r="B2788" s="57">
        <f t="shared" si="235"/>
        <v>2785</v>
      </c>
      <c r="C2788" s="142">
        <v>46218</v>
      </c>
      <c r="D2788" s="57" t="s">
        <v>968</v>
      </c>
      <c r="E2788" s="57" t="s">
        <v>146</v>
      </c>
      <c r="F2788" s="57" t="s">
        <v>300</v>
      </c>
      <c r="G2788" s="57" t="s">
        <v>530</v>
      </c>
      <c r="H2788" s="140" t="s">
        <v>4092</v>
      </c>
      <c r="I2788" s="57"/>
      <c r="J2788" s="165">
        <f t="shared" si="238"/>
        <v>18.867924528301888</v>
      </c>
      <c r="K2788" s="57">
        <v>106</v>
      </c>
      <c r="L2788" s="164">
        <v>2000</v>
      </c>
    </row>
    <row r="2789" spans="2:12" x14ac:dyDescent="0.3">
      <c r="B2789" s="57">
        <f t="shared" si="235"/>
        <v>2786</v>
      </c>
      <c r="C2789" s="142">
        <v>46218</v>
      </c>
      <c r="D2789" s="57" t="s">
        <v>968</v>
      </c>
      <c r="E2789" s="57" t="s">
        <v>2029</v>
      </c>
      <c r="F2789" s="57" t="s">
        <v>350</v>
      </c>
      <c r="G2789" s="57" t="s">
        <v>2770</v>
      </c>
      <c r="H2789" s="140" t="s">
        <v>2766</v>
      </c>
      <c r="I2789" s="57"/>
      <c r="J2789" s="165">
        <f t="shared" si="238"/>
        <v>18.867924528301888</v>
      </c>
      <c r="K2789" s="57">
        <v>106</v>
      </c>
      <c r="L2789" s="164">
        <v>2000</v>
      </c>
    </row>
    <row r="2790" spans="2:12" x14ac:dyDescent="0.3">
      <c r="B2790" s="57">
        <f t="shared" si="235"/>
        <v>2787</v>
      </c>
      <c r="C2790" s="142">
        <v>46218</v>
      </c>
      <c r="D2790" s="57" t="s">
        <v>968</v>
      </c>
      <c r="E2790" s="57" t="s">
        <v>434</v>
      </c>
      <c r="F2790" s="57" t="s">
        <v>502</v>
      </c>
      <c r="G2790" s="57" t="s">
        <v>2344</v>
      </c>
      <c r="H2790" s="140" t="s">
        <v>2767</v>
      </c>
      <c r="I2790" s="57"/>
      <c r="J2790" s="57"/>
      <c r="L2790" s="164">
        <v>3584</v>
      </c>
    </row>
    <row r="2791" spans="2:12" x14ac:dyDescent="0.3">
      <c r="B2791" s="57">
        <f t="shared" si="235"/>
        <v>2788</v>
      </c>
      <c r="C2791" s="142">
        <v>46218</v>
      </c>
      <c r="D2791" s="57" t="s">
        <v>968</v>
      </c>
      <c r="E2791" s="57" t="s">
        <v>434</v>
      </c>
      <c r="F2791" s="57" t="s">
        <v>2332</v>
      </c>
      <c r="G2791" s="57" t="s">
        <v>1004</v>
      </c>
      <c r="H2791" s="140" t="s">
        <v>2768</v>
      </c>
      <c r="I2791" s="57"/>
      <c r="J2791" s="57"/>
      <c r="L2791" s="164">
        <v>2600</v>
      </c>
    </row>
    <row r="2792" spans="2:12" x14ac:dyDescent="0.3">
      <c r="B2792" s="57">
        <f t="shared" si="235"/>
        <v>2789</v>
      </c>
      <c r="C2792" s="142">
        <v>46218</v>
      </c>
      <c r="D2792" s="57" t="s">
        <v>968</v>
      </c>
      <c r="E2792" s="57" t="s">
        <v>522</v>
      </c>
      <c r="F2792" s="57" t="s">
        <v>502</v>
      </c>
      <c r="G2792" s="57" t="s">
        <v>2344</v>
      </c>
      <c r="H2792" s="140" t="s">
        <v>2771</v>
      </c>
      <c r="I2792" s="57" t="s">
        <v>2686</v>
      </c>
      <c r="J2792" s="57"/>
      <c r="L2792" s="164">
        <v>2500</v>
      </c>
    </row>
    <row r="2793" spans="2:12" x14ac:dyDescent="0.3">
      <c r="B2793" s="57">
        <f t="shared" si="235"/>
        <v>2790</v>
      </c>
      <c r="C2793" s="142">
        <v>46218</v>
      </c>
      <c r="D2793" s="57" t="s">
        <v>968</v>
      </c>
      <c r="E2793" s="57" t="s">
        <v>146</v>
      </c>
      <c r="F2793" s="57" t="s">
        <v>300</v>
      </c>
      <c r="G2793" s="57" t="s">
        <v>526</v>
      </c>
      <c r="H2793" s="140" t="s">
        <v>1051</v>
      </c>
      <c r="I2793" s="57"/>
      <c r="J2793" s="165">
        <f>L2793/K2793</f>
        <v>18.867924528301888</v>
      </c>
      <c r="K2793" s="57">
        <v>106</v>
      </c>
      <c r="L2793" s="164">
        <v>2000</v>
      </c>
    </row>
    <row r="2794" spans="2:12" x14ac:dyDescent="0.3">
      <c r="B2794" s="57">
        <f t="shared" si="235"/>
        <v>2791</v>
      </c>
      <c r="C2794" s="142">
        <v>46218</v>
      </c>
      <c r="D2794" s="57" t="s">
        <v>968</v>
      </c>
      <c r="E2794" s="57" t="s">
        <v>434</v>
      </c>
      <c r="F2794" s="57" t="s">
        <v>446</v>
      </c>
      <c r="G2794" s="57" t="s">
        <v>990</v>
      </c>
      <c r="H2794" s="140" t="s">
        <v>2772</v>
      </c>
      <c r="I2794" s="57"/>
      <c r="J2794" s="57"/>
      <c r="L2794" s="164">
        <v>1310</v>
      </c>
    </row>
    <row r="2795" spans="2:12" x14ac:dyDescent="0.3">
      <c r="B2795" s="57">
        <f t="shared" si="235"/>
        <v>2792</v>
      </c>
      <c r="C2795" s="142">
        <v>46218</v>
      </c>
      <c r="D2795" s="57" t="s">
        <v>968</v>
      </c>
      <c r="E2795" s="57" t="s">
        <v>434</v>
      </c>
      <c r="F2795" s="57" t="s">
        <v>446</v>
      </c>
      <c r="G2795" s="57" t="s">
        <v>990</v>
      </c>
      <c r="H2795" s="140" t="s">
        <v>2773</v>
      </c>
      <c r="I2795" s="57"/>
      <c r="J2795" s="57"/>
      <c r="L2795" s="164">
        <v>3350</v>
      </c>
    </row>
    <row r="2796" spans="2:12" x14ac:dyDescent="0.3">
      <c r="B2796" s="57">
        <f t="shared" si="235"/>
        <v>2793</v>
      </c>
      <c r="C2796" s="142">
        <v>46218</v>
      </c>
      <c r="D2796" s="57" t="s">
        <v>968</v>
      </c>
      <c r="E2796" s="57" t="s">
        <v>958</v>
      </c>
      <c r="F2796" s="57" t="s">
        <v>350</v>
      </c>
      <c r="G2796" s="57" t="s">
        <v>337</v>
      </c>
      <c r="H2796" s="140" t="s">
        <v>2774</v>
      </c>
      <c r="I2796" s="57"/>
      <c r="J2796" s="57"/>
      <c r="L2796" s="164">
        <v>3500</v>
      </c>
    </row>
    <row r="2797" spans="2:12" x14ac:dyDescent="0.3">
      <c r="B2797" s="57">
        <f t="shared" si="235"/>
        <v>2794</v>
      </c>
      <c r="C2797" s="142">
        <v>46218</v>
      </c>
      <c r="D2797" s="57" t="s">
        <v>968</v>
      </c>
      <c r="E2797" s="57" t="s">
        <v>2033</v>
      </c>
      <c r="F2797" s="57" t="s">
        <v>2332</v>
      </c>
      <c r="G2797" s="57" t="s">
        <v>2332</v>
      </c>
      <c r="H2797" s="140" t="s">
        <v>2775</v>
      </c>
      <c r="I2797" s="57"/>
      <c r="J2797" s="57"/>
      <c r="L2797" s="164">
        <v>2625</v>
      </c>
    </row>
    <row r="2798" spans="2:12" x14ac:dyDescent="0.3">
      <c r="B2798" s="57">
        <f t="shared" si="235"/>
        <v>2795</v>
      </c>
      <c r="C2798" s="142">
        <v>46218</v>
      </c>
      <c r="D2798" s="57" t="s">
        <v>968</v>
      </c>
      <c r="E2798" s="57" t="s">
        <v>146</v>
      </c>
      <c r="F2798" s="57" t="s">
        <v>300</v>
      </c>
      <c r="H2798" s="140" t="s">
        <v>2776</v>
      </c>
      <c r="I2798" s="57"/>
      <c r="J2798" s="165">
        <f t="shared" ref="J2798:J2800" si="239">L2798/K2798</f>
        <v>33.018867924528301</v>
      </c>
      <c r="K2798" s="57">
        <v>106</v>
      </c>
      <c r="L2798" s="164">
        <v>3500</v>
      </c>
    </row>
    <row r="2799" spans="2:12" x14ac:dyDescent="0.3">
      <c r="B2799" s="57">
        <f t="shared" si="235"/>
        <v>2796</v>
      </c>
      <c r="C2799" s="142">
        <v>46219</v>
      </c>
      <c r="D2799" s="57" t="s">
        <v>968</v>
      </c>
      <c r="E2799" s="57" t="s">
        <v>146</v>
      </c>
      <c r="F2799" s="57" t="s">
        <v>300</v>
      </c>
      <c r="G2799" s="57" t="s">
        <v>530</v>
      </c>
      <c r="H2799" s="140" t="s">
        <v>2777</v>
      </c>
      <c r="I2799" s="57"/>
      <c r="J2799" s="165">
        <f t="shared" si="239"/>
        <v>37.773584905660378</v>
      </c>
      <c r="K2799" s="57">
        <v>106</v>
      </c>
      <c r="L2799" s="164">
        <v>4004</v>
      </c>
    </row>
    <row r="2800" spans="2:12" x14ac:dyDescent="0.3">
      <c r="B2800" s="57">
        <f t="shared" si="235"/>
        <v>2797</v>
      </c>
      <c r="C2800" s="142">
        <v>46219</v>
      </c>
      <c r="D2800" s="57" t="s">
        <v>435</v>
      </c>
      <c r="E2800" s="57" t="s">
        <v>146</v>
      </c>
      <c r="F2800" s="57" t="s">
        <v>546</v>
      </c>
      <c r="G2800" s="57" t="s">
        <v>545</v>
      </c>
      <c r="H2800" s="140" t="s">
        <v>4092</v>
      </c>
      <c r="I2800" s="57"/>
      <c r="J2800" s="165">
        <f t="shared" si="239"/>
        <v>47.169811320754718</v>
      </c>
      <c r="K2800" s="57">
        <v>106</v>
      </c>
      <c r="L2800" s="164">
        <v>5000</v>
      </c>
    </row>
    <row r="2801" spans="2:12" x14ac:dyDescent="0.3">
      <c r="B2801" s="57">
        <f t="shared" si="235"/>
        <v>2798</v>
      </c>
      <c r="C2801" s="142">
        <v>46219</v>
      </c>
      <c r="D2801" s="57" t="s">
        <v>968</v>
      </c>
      <c r="E2801" s="57" t="s">
        <v>958</v>
      </c>
      <c r="F2801" s="57" t="s">
        <v>446</v>
      </c>
      <c r="G2801" s="57" t="s">
        <v>990</v>
      </c>
      <c r="H2801" s="140" t="s">
        <v>2778</v>
      </c>
      <c r="I2801" s="57"/>
      <c r="J2801" s="57"/>
      <c r="L2801" s="164">
        <v>500</v>
      </c>
    </row>
    <row r="2802" spans="2:12" x14ac:dyDescent="0.3">
      <c r="B2802" s="57">
        <f t="shared" si="235"/>
        <v>2799</v>
      </c>
      <c r="C2802" s="142">
        <v>46219</v>
      </c>
      <c r="D2802" s="57" t="s">
        <v>968</v>
      </c>
      <c r="E2802" s="57" t="s">
        <v>767</v>
      </c>
      <c r="F2802" s="57" t="s">
        <v>300</v>
      </c>
      <c r="G2802" s="57" t="s">
        <v>2473</v>
      </c>
      <c r="H2802" s="140" t="s">
        <v>2779</v>
      </c>
      <c r="I2802" s="57"/>
      <c r="J2802" s="57"/>
      <c r="L2802" s="164">
        <v>750</v>
      </c>
    </row>
    <row r="2803" spans="2:12" x14ac:dyDescent="0.3">
      <c r="B2803" s="57">
        <f t="shared" si="235"/>
        <v>2800</v>
      </c>
      <c r="C2803" s="142">
        <v>46219</v>
      </c>
      <c r="D2803" s="57" t="s">
        <v>968</v>
      </c>
      <c r="E2803" s="57" t="s">
        <v>146</v>
      </c>
      <c r="F2803" s="57" t="s">
        <v>350</v>
      </c>
      <c r="G2803" s="57" t="s">
        <v>337</v>
      </c>
      <c r="H2803" s="140" t="s">
        <v>2780</v>
      </c>
      <c r="I2803" s="57"/>
      <c r="J2803" s="165">
        <f t="shared" ref="J2803:J2804" si="240">L2803/K2803</f>
        <v>25.537735849056602</v>
      </c>
      <c r="K2803" s="57">
        <v>106</v>
      </c>
      <c r="L2803" s="164">
        <v>2707</v>
      </c>
    </row>
    <row r="2804" spans="2:12" x14ac:dyDescent="0.3">
      <c r="B2804" s="57">
        <f t="shared" si="235"/>
        <v>2801</v>
      </c>
      <c r="C2804" s="142">
        <v>46219</v>
      </c>
      <c r="D2804" s="57" t="s">
        <v>968</v>
      </c>
      <c r="E2804" s="57" t="s">
        <v>146</v>
      </c>
      <c r="F2804" s="57" t="s">
        <v>350</v>
      </c>
      <c r="G2804" s="57" t="s">
        <v>337</v>
      </c>
      <c r="H2804" s="140" t="s">
        <v>2781</v>
      </c>
      <c r="I2804" s="57"/>
      <c r="J2804" s="165">
        <f t="shared" si="240"/>
        <v>9.433962264150944</v>
      </c>
      <c r="K2804" s="57">
        <v>106</v>
      </c>
      <c r="L2804" s="164">
        <v>1000</v>
      </c>
    </row>
    <row r="2805" spans="2:12" x14ac:dyDescent="0.3">
      <c r="B2805" s="57">
        <f t="shared" si="235"/>
        <v>2802</v>
      </c>
      <c r="C2805" s="142">
        <v>46219</v>
      </c>
      <c r="D2805" s="57" t="s">
        <v>968</v>
      </c>
      <c r="E2805" s="57" t="s">
        <v>532</v>
      </c>
      <c r="F2805" s="57" t="s">
        <v>2332</v>
      </c>
      <c r="G2805" s="57" t="s">
        <v>1004</v>
      </c>
      <c r="H2805" s="140" t="s">
        <v>2783</v>
      </c>
      <c r="I2805" s="57" t="s">
        <v>532</v>
      </c>
      <c r="J2805" s="57">
        <v>20</v>
      </c>
      <c r="K2805" s="57">
        <v>270</v>
      </c>
      <c r="L2805" s="164">
        <f t="shared" ref="L2805:L2850" si="241">J2805*K2805</f>
        <v>5400</v>
      </c>
    </row>
    <row r="2806" spans="2:12" x14ac:dyDescent="0.3">
      <c r="B2806" s="57">
        <f t="shared" si="235"/>
        <v>2803</v>
      </c>
      <c r="C2806" s="142">
        <v>46219</v>
      </c>
      <c r="D2806" s="57" t="s">
        <v>968</v>
      </c>
      <c r="E2806" s="57" t="s">
        <v>4128</v>
      </c>
      <c r="F2806" s="57" t="s">
        <v>2332</v>
      </c>
      <c r="G2806" s="57" t="s">
        <v>1004</v>
      </c>
      <c r="H2806" s="140" t="s">
        <v>2784</v>
      </c>
      <c r="I2806" s="57" t="s">
        <v>2782</v>
      </c>
      <c r="J2806" s="57">
        <v>20</v>
      </c>
      <c r="K2806" s="57">
        <v>5</v>
      </c>
      <c r="L2806" s="164">
        <f t="shared" si="241"/>
        <v>100</v>
      </c>
    </row>
    <row r="2807" spans="2:12" x14ac:dyDescent="0.3">
      <c r="B2807" s="57">
        <f t="shared" si="235"/>
        <v>2804</v>
      </c>
      <c r="C2807" s="142">
        <v>46219</v>
      </c>
      <c r="D2807" s="57" t="s">
        <v>968</v>
      </c>
      <c r="E2807" s="57" t="s">
        <v>986</v>
      </c>
      <c r="F2807" s="57" t="s">
        <v>2332</v>
      </c>
      <c r="G2807" s="57" t="s">
        <v>1004</v>
      </c>
      <c r="H2807" s="140" t="s">
        <v>2785</v>
      </c>
      <c r="I2807" s="57" t="s">
        <v>986</v>
      </c>
      <c r="J2807" s="57">
        <v>25</v>
      </c>
      <c r="K2807" s="57">
        <v>85</v>
      </c>
      <c r="L2807" s="164">
        <f t="shared" si="241"/>
        <v>2125</v>
      </c>
    </row>
    <row r="2808" spans="2:12" x14ac:dyDescent="0.3">
      <c r="B2808" s="57">
        <f t="shared" si="235"/>
        <v>2805</v>
      </c>
      <c r="C2808" s="142">
        <v>46219</v>
      </c>
      <c r="D2808" s="57" t="s">
        <v>968</v>
      </c>
      <c r="E2808" s="57" t="s">
        <v>958</v>
      </c>
      <c r="F2808" s="57" t="s">
        <v>446</v>
      </c>
      <c r="G2808" s="57" t="s">
        <v>352</v>
      </c>
      <c r="H2808" s="140" t="s">
        <v>2786</v>
      </c>
      <c r="I2808" s="57"/>
      <c r="J2808" s="57"/>
      <c r="L2808" s="164">
        <v>3500</v>
      </c>
    </row>
    <row r="2809" spans="2:12" x14ac:dyDescent="0.3">
      <c r="B2809" s="57">
        <f t="shared" si="235"/>
        <v>2806</v>
      </c>
      <c r="C2809" s="142">
        <v>46219</v>
      </c>
      <c r="D2809" s="57" t="s">
        <v>968</v>
      </c>
      <c r="E2809" s="57" t="s">
        <v>146</v>
      </c>
      <c r="F2809" s="57" t="s">
        <v>300</v>
      </c>
      <c r="G2809" s="57" t="s">
        <v>2787</v>
      </c>
      <c r="H2809" s="140" t="s">
        <v>4109</v>
      </c>
      <c r="I2809" s="57"/>
      <c r="J2809" s="165">
        <f>L2809/K2809</f>
        <v>41.981132075471699</v>
      </c>
      <c r="K2809" s="57">
        <v>106</v>
      </c>
      <c r="L2809" s="164">
        <v>4450</v>
      </c>
    </row>
    <row r="2810" spans="2:12" x14ac:dyDescent="0.3">
      <c r="B2810" s="57">
        <f t="shared" si="235"/>
        <v>2807</v>
      </c>
      <c r="C2810" s="142">
        <v>46219</v>
      </c>
      <c r="D2810" s="57" t="s">
        <v>968</v>
      </c>
      <c r="E2810" s="57" t="s">
        <v>2697</v>
      </c>
      <c r="F2810" s="57" t="s">
        <v>502</v>
      </c>
      <c r="G2810" s="57" t="s">
        <v>257</v>
      </c>
      <c r="H2810" s="140" t="s">
        <v>2788</v>
      </c>
      <c r="I2810" s="57" t="s">
        <v>377</v>
      </c>
      <c r="J2810" s="57"/>
      <c r="L2810" s="164">
        <v>9900</v>
      </c>
    </row>
    <row r="2811" spans="2:12" x14ac:dyDescent="0.3">
      <c r="B2811" s="57">
        <f t="shared" si="235"/>
        <v>2808</v>
      </c>
      <c r="C2811" s="142">
        <v>46219</v>
      </c>
      <c r="D2811" s="57" t="s">
        <v>968</v>
      </c>
      <c r="E2811" s="57" t="s">
        <v>146</v>
      </c>
      <c r="F2811" s="57" t="s">
        <v>446</v>
      </c>
      <c r="G2811" s="57" t="s">
        <v>316</v>
      </c>
      <c r="H2811" s="140" t="s">
        <v>2789</v>
      </c>
      <c r="I2811" s="57"/>
      <c r="J2811" s="165">
        <f t="shared" ref="J2811:J2812" si="242">L2811/K2811</f>
        <v>28.30188679245283</v>
      </c>
      <c r="K2811" s="57">
        <v>106</v>
      </c>
      <c r="L2811" s="164">
        <v>3000</v>
      </c>
    </row>
    <row r="2812" spans="2:12" x14ac:dyDescent="0.3">
      <c r="B2812" s="57">
        <f t="shared" si="235"/>
        <v>2809</v>
      </c>
      <c r="C2812" s="142">
        <v>46219</v>
      </c>
      <c r="D2812" s="57" t="s">
        <v>968</v>
      </c>
      <c r="E2812" s="57" t="s">
        <v>146</v>
      </c>
      <c r="F2812" s="57" t="s">
        <v>350</v>
      </c>
      <c r="G2812" s="57" t="s">
        <v>3270</v>
      </c>
      <c r="H2812" s="140" t="s">
        <v>2790</v>
      </c>
      <c r="I2812" s="57"/>
      <c r="J2812" s="165">
        <f t="shared" si="242"/>
        <v>28.30188679245283</v>
      </c>
      <c r="K2812" s="57">
        <v>106</v>
      </c>
      <c r="L2812" s="164">
        <v>3000</v>
      </c>
    </row>
    <row r="2813" spans="2:12" x14ac:dyDescent="0.3">
      <c r="B2813" s="57">
        <f t="shared" si="235"/>
        <v>2810</v>
      </c>
      <c r="C2813" s="142">
        <v>46219</v>
      </c>
      <c r="D2813" s="57" t="s">
        <v>968</v>
      </c>
      <c r="E2813" s="57" t="s">
        <v>434</v>
      </c>
      <c r="F2813" s="57" t="s">
        <v>300</v>
      </c>
      <c r="G2813" s="57" t="s">
        <v>300</v>
      </c>
      <c r="H2813" s="140" t="s">
        <v>2791</v>
      </c>
      <c r="I2813" s="57" t="s">
        <v>434</v>
      </c>
      <c r="J2813" s="57"/>
      <c r="L2813" s="164">
        <v>6100</v>
      </c>
    </row>
    <row r="2814" spans="2:12" x14ac:dyDescent="0.3">
      <c r="B2814" s="57">
        <f t="shared" si="235"/>
        <v>2811</v>
      </c>
      <c r="C2814" s="142">
        <v>46219</v>
      </c>
      <c r="D2814" s="57" t="s">
        <v>968</v>
      </c>
      <c r="E2814" s="57" t="s">
        <v>4128</v>
      </c>
      <c r="F2814" s="57" t="s">
        <v>300</v>
      </c>
      <c r="G2814" s="57" t="s">
        <v>530</v>
      </c>
      <c r="H2814" s="140" t="s">
        <v>2792</v>
      </c>
      <c r="I2814" s="57" t="s">
        <v>2686</v>
      </c>
      <c r="J2814" s="57"/>
      <c r="L2814" s="164">
        <v>2000</v>
      </c>
    </row>
    <row r="2815" spans="2:12" x14ac:dyDescent="0.3">
      <c r="B2815" s="57">
        <f t="shared" si="235"/>
        <v>2812</v>
      </c>
      <c r="C2815" s="142">
        <v>46219</v>
      </c>
      <c r="D2815" s="57" t="s">
        <v>968</v>
      </c>
      <c r="E2815" s="57" t="s">
        <v>532</v>
      </c>
      <c r="F2815" s="57" t="s">
        <v>300</v>
      </c>
      <c r="G2815" s="57" t="s">
        <v>2794</v>
      </c>
      <c r="H2815" s="140" t="s">
        <v>2793</v>
      </c>
      <c r="I2815" s="57" t="s">
        <v>532</v>
      </c>
      <c r="J2815" s="57">
        <v>20</v>
      </c>
      <c r="K2815" s="167">
        <f>L2815/J2815</f>
        <v>265</v>
      </c>
      <c r="L2815" s="164">
        <v>5300</v>
      </c>
    </row>
    <row r="2816" spans="2:12" x14ac:dyDescent="0.3">
      <c r="B2816" s="57">
        <f t="shared" si="235"/>
        <v>2813</v>
      </c>
      <c r="C2816" s="142">
        <v>46219</v>
      </c>
      <c r="D2816" s="57" t="s">
        <v>968</v>
      </c>
      <c r="E2816" s="57" t="s">
        <v>532</v>
      </c>
      <c r="F2816" s="57" t="s">
        <v>446</v>
      </c>
      <c r="G2816" s="57" t="s">
        <v>990</v>
      </c>
      <c r="H2816" s="140" t="s">
        <v>2795</v>
      </c>
      <c r="I2816" s="57" t="s">
        <v>532</v>
      </c>
      <c r="J2816" s="57">
        <v>15</v>
      </c>
      <c r="K2816" s="167">
        <f>L2816/J2816</f>
        <v>266</v>
      </c>
      <c r="L2816" s="164">
        <v>3990</v>
      </c>
    </row>
    <row r="2817" spans="2:12" x14ac:dyDescent="0.3">
      <c r="B2817" s="57">
        <f t="shared" si="235"/>
        <v>2814</v>
      </c>
      <c r="C2817" s="142">
        <v>46219</v>
      </c>
      <c r="D2817" s="57" t="s">
        <v>968</v>
      </c>
      <c r="E2817" s="57" t="s">
        <v>146</v>
      </c>
      <c r="F2817" s="57" t="s">
        <v>300</v>
      </c>
      <c r="G2817" s="57" t="s">
        <v>530</v>
      </c>
      <c r="H2817" s="140" t="s">
        <v>2798</v>
      </c>
      <c r="I2817" s="57"/>
      <c r="J2817" s="165">
        <f>L2817/K2817</f>
        <v>33.018867924528301</v>
      </c>
      <c r="K2817" s="57">
        <v>106</v>
      </c>
      <c r="L2817" s="164">
        <v>3500</v>
      </c>
    </row>
    <row r="2818" spans="2:12" x14ac:dyDescent="0.3">
      <c r="B2818" s="57">
        <f t="shared" si="235"/>
        <v>2815</v>
      </c>
      <c r="C2818" s="142">
        <v>46219</v>
      </c>
      <c r="D2818" s="57" t="s">
        <v>968</v>
      </c>
      <c r="E2818" s="57" t="s">
        <v>522</v>
      </c>
      <c r="F2818" s="57" t="s">
        <v>502</v>
      </c>
      <c r="G2818" s="57" t="s">
        <v>257</v>
      </c>
      <c r="H2818" s="140" t="s">
        <v>2796</v>
      </c>
      <c r="I2818" s="57"/>
      <c r="J2818" s="57"/>
      <c r="L2818" s="164">
        <v>1500</v>
      </c>
    </row>
    <row r="2819" spans="2:12" x14ac:dyDescent="0.3">
      <c r="B2819" s="57">
        <f t="shared" si="235"/>
        <v>2816</v>
      </c>
      <c r="C2819" s="142">
        <v>46219</v>
      </c>
      <c r="D2819" s="57" t="s">
        <v>968</v>
      </c>
      <c r="E2819" s="57" t="s">
        <v>522</v>
      </c>
      <c r="F2819" s="57" t="s">
        <v>502</v>
      </c>
      <c r="G2819" s="57" t="s">
        <v>257</v>
      </c>
      <c r="H2819" s="140" t="s">
        <v>2797</v>
      </c>
      <c r="I2819" s="57"/>
      <c r="J2819" s="57"/>
      <c r="L2819" s="164">
        <v>2500</v>
      </c>
    </row>
    <row r="2820" spans="2:12" x14ac:dyDescent="0.3">
      <c r="B2820" s="57">
        <f t="shared" si="235"/>
        <v>2817</v>
      </c>
      <c r="C2820" s="142">
        <v>46219</v>
      </c>
      <c r="D2820" s="57" t="s">
        <v>968</v>
      </c>
      <c r="E2820" s="57" t="s">
        <v>958</v>
      </c>
      <c r="F2820" s="57" t="s">
        <v>446</v>
      </c>
      <c r="G2820" s="57" t="s">
        <v>316</v>
      </c>
      <c r="H2820" s="140" t="s">
        <v>2801</v>
      </c>
      <c r="I2820" s="57"/>
      <c r="J2820" s="57"/>
      <c r="L2820" s="164">
        <v>5400</v>
      </c>
    </row>
    <row r="2821" spans="2:12" x14ac:dyDescent="0.3">
      <c r="B2821" s="57">
        <f t="shared" si="235"/>
        <v>2818</v>
      </c>
      <c r="C2821" s="142">
        <v>46219</v>
      </c>
      <c r="D2821" s="57" t="s">
        <v>435</v>
      </c>
      <c r="E2821" s="57" t="s">
        <v>532</v>
      </c>
      <c r="F2821" s="57" t="s">
        <v>350</v>
      </c>
      <c r="G2821" s="57" t="s">
        <v>337</v>
      </c>
      <c r="H2821" s="140" t="s">
        <v>2799</v>
      </c>
      <c r="I2821" s="57" t="s">
        <v>532</v>
      </c>
      <c r="J2821" s="57">
        <v>20</v>
      </c>
      <c r="K2821" s="167">
        <f>L2821/J2821</f>
        <v>250</v>
      </c>
      <c r="L2821" s="164">
        <v>5000</v>
      </c>
    </row>
    <row r="2822" spans="2:12" x14ac:dyDescent="0.3">
      <c r="B2822" s="57">
        <f t="shared" ref="B2822:B2885" si="243">+B2821+1</f>
        <v>2819</v>
      </c>
      <c r="C2822" s="142">
        <v>46219</v>
      </c>
      <c r="D2822" s="57" t="s">
        <v>435</v>
      </c>
      <c r="E2822" s="57" t="s">
        <v>2427</v>
      </c>
      <c r="F2822" s="57" t="s">
        <v>350</v>
      </c>
      <c r="G2822" s="57" t="s">
        <v>337</v>
      </c>
      <c r="H2822" s="140" t="s">
        <v>2257</v>
      </c>
      <c r="I2822" s="57" t="s">
        <v>2427</v>
      </c>
      <c r="J2822" s="57"/>
      <c r="L2822" s="164">
        <v>11137</v>
      </c>
    </row>
    <row r="2823" spans="2:12" x14ac:dyDescent="0.3">
      <c r="B2823" s="57">
        <f t="shared" si="243"/>
        <v>2820</v>
      </c>
      <c r="C2823" s="142">
        <v>46219</v>
      </c>
      <c r="D2823" s="57" t="s">
        <v>435</v>
      </c>
      <c r="E2823" s="57" t="s">
        <v>4128</v>
      </c>
      <c r="F2823" s="57" t="s">
        <v>350</v>
      </c>
      <c r="G2823" s="57" t="s">
        <v>337</v>
      </c>
      <c r="H2823" s="140" t="s">
        <v>2800</v>
      </c>
      <c r="I2823" s="57" t="s">
        <v>532</v>
      </c>
      <c r="J2823" s="57">
        <v>1</v>
      </c>
      <c r="K2823" s="57">
        <v>250</v>
      </c>
      <c r="L2823" s="164">
        <v>250</v>
      </c>
    </row>
    <row r="2824" spans="2:12" x14ac:dyDescent="0.3">
      <c r="B2824" s="57">
        <f t="shared" si="243"/>
        <v>2821</v>
      </c>
      <c r="C2824" s="142">
        <v>46219</v>
      </c>
      <c r="D2824" s="57" t="s">
        <v>968</v>
      </c>
      <c r="E2824" s="57" t="s">
        <v>146</v>
      </c>
      <c r="F2824" s="57" t="s">
        <v>621</v>
      </c>
      <c r="G2824" s="57" t="s">
        <v>345</v>
      </c>
      <c r="H2824" s="140" t="s">
        <v>2802</v>
      </c>
      <c r="I2824" s="57"/>
      <c r="J2824" s="165">
        <f>L2824/K2824</f>
        <v>19.811320754716981</v>
      </c>
      <c r="K2824" s="57">
        <v>106</v>
      </c>
      <c r="L2824" s="164">
        <v>2100</v>
      </c>
    </row>
    <row r="2825" spans="2:12" x14ac:dyDescent="0.3">
      <c r="B2825" s="57">
        <f t="shared" si="243"/>
        <v>2822</v>
      </c>
      <c r="C2825" s="142">
        <v>46219</v>
      </c>
      <c r="D2825" s="57" t="s">
        <v>968</v>
      </c>
      <c r="E2825" s="57" t="s">
        <v>2765</v>
      </c>
      <c r="F2825" s="57" t="s">
        <v>502</v>
      </c>
      <c r="G2825" s="57" t="s">
        <v>257</v>
      </c>
      <c r="H2825" s="140" t="s">
        <v>2803</v>
      </c>
      <c r="I2825" s="57"/>
      <c r="J2825" s="57"/>
      <c r="L2825" s="164">
        <v>1000</v>
      </c>
    </row>
    <row r="2826" spans="2:12" x14ac:dyDescent="0.3">
      <c r="B2826" s="57">
        <f t="shared" si="243"/>
        <v>2823</v>
      </c>
      <c r="C2826" s="142">
        <v>46220</v>
      </c>
      <c r="D2826" s="57" t="s">
        <v>968</v>
      </c>
      <c r="E2826" s="57" t="s">
        <v>146</v>
      </c>
      <c r="F2826" s="57" t="s">
        <v>502</v>
      </c>
      <c r="G2826" s="57" t="s">
        <v>257</v>
      </c>
      <c r="H2826" s="140" t="s">
        <v>4100</v>
      </c>
      <c r="I2826" s="57"/>
      <c r="J2826" s="165">
        <f>L2826/K2826</f>
        <v>18.867924528301888</v>
      </c>
      <c r="K2826" s="57">
        <v>106</v>
      </c>
      <c r="L2826" s="164">
        <v>2000</v>
      </c>
    </row>
    <row r="2827" spans="2:12" x14ac:dyDescent="0.3">
      <c r="B2827" s="57">
        <f t="shared" si="243"/>
        <v>2824</v>
      </c>
      <c r="C2827" s="142">
        <v>46220</v>
      </c>
      <c r="D2827" s="57" t="s">
        <v>968</v>
      </c>
      <c r="E2827" s="57" t="s">
        <v>434</v>
      </c>
      <c r="F2827" s="57" t="s">
        <v>621</v>
      </c>
      <c r="G2827" s="57" t="s">
        <v>345</v>
      </c>
      <c r="H2827" s="140" t="s">
        <v>2804</v>
      </c>
      <c r="I2827" s="57"/>
      <c r="J2827" s="57"/>
      <c r="L2827" s="164">
        <v>3250</v>
      </c>
    </row>
    <row r="2828" spans="2:12" x14ac:dyDescent="0.3">
      <c r="B2828" s="57">
        <f t="shared" si="243"/>
        <v>2825</v>
      </c>
      <c r="C2828" s="142">
        <v>46220</v>
      </c>
      <c r="D2828" s="57" t="s">
        <v>968</v>
      </c>
      <c r="E2828" s="57" t="s">
        <v>146</v>
      </c>
      <c r="F2828" s="57" t="s">
        <v>621</v>
      </c>
      <c r="G2828" s="57" t="s">
        <v>345</v>
      </c>
      <c r="H2828" s="140" t="s">
        <v>2805</v>
      </c>
      <c r="I2828" s="57"/>
      <c r="J2828" s="165">
        <f t="shared" ref="J2828:J2830" si="244">L2828/K2828</f>
        <v>37.735849056603776</v>
      </c>
      <c r="K2828" s="57">
        <v>106</v>
      </c>
      <c r="L2828" s="164">
        <v>4000</v>
      </c>
    </row>
    <row r="2829" spans="2:12" x14ac:dyDescent="0.3">
      <c r="B2829" s="57">
        <f t="shared" si="243"/>
        <v>2826</v>
      </c>
      <c r="C2829" s="142">
        <v>46220</v>
      </c>
      <c r="D2829" s="57" t="s">
        <v>968</v>
      </c>
      <c r="E2829" s="57" t="s">
        <v>146</v>
      </c>
      <c r="F2829" s="57" t="s">
        <v>300</v>
      </c>
      <c r="G2829" s="57" t="s">
        <v>530</v>
      </c>
      <c r="H2829" s="140" t="s">
        <v>4092</v>
      </c>
      <c r="I2829" s="57"/>
      <c r="J2829" s="165">
        <f t="shared" si="244"/>
        <v>144.79245283018867</v>
      </c>
      <c r="K2829" s="57">
        <v>106</v>
      </c>
      <c r="L2829" s="164">
        <v>15348</v>
      </c>
    </row>
    <row r="2830" spans="2:12" x14ac:dyDescent="0.3">
      <c r="B2830" s="57">
        <f t="shared" si="243"/>
        <v>2827</v>
      </c>
      <c r="C2830" s="142">
        <v>46220</v>
      </c>
      <c r="D2830" s="57" t="s">
        <v>968</v>
      </c>
      <c r="E2830" s="57" t="s">
        <v>146</v>
      </c>
      <c r="F2830" s="57" t="s">
        <v>446</v>
      </c>
      <c r="G2830" s="57" t="s">
        <v>990</v>
      </c>
      <c r="H2830" s="140" t="s">
        <v>4089</v>
      </c>
      <c r="I2830" s="57"/>
      <c r="J2830" s="165">
        <f t="shared" si="244"/>
        <v>18.867924528301888</v>
      </c>
      <c r="K2830" s="57">
        <v>106</v>
      </c>
      <c r="L2830" s="164">
        <v>2000</v>
      </c>
    </row>
    <row r="2831" spans="2:12" x14ac:dyDescent="0.3">
      <c r="B2831" s="57">
        <f t="shared" si="243"/>
        <v>2828</v>
      </c>
      <c r="C2831" s="142">
        <v>46220</v>
      </c>
      <c r="D2831" s="57" t="s">
        <v>968</v>
      </c>
      <c r="E2831" s="57" t="s">
        <v>574</v>
      </c>
      <c r="F2831" s="57" t="s">
        <v>300</v>
      </c>
      <c r="G2831" s="57" t="s">
        <v>2794</v>
      </c>
      <c r="H2831" s="140" t="s">
        <v>2806</v>
      </c>
      <c r="I2831" s="140" t="s">
        <v>4081</v>
      </c>
      <c r="J2831" s="57">
        <v>6</v>
      </c>
      <c r="K2831" s="167">
        <f>L2831/J2831</f>
        <v>753</v>
      </c>
      <c r="L2831" s="164">
        <v>4518</v>
      </c>
    </row>
    <row r="2832" spans="2:12" x14ac:dyDescent="0.3">
      <c r="B2832" s="57">
        <f t="shared" si="243"/>
        <v>2829</v>
      </c>
      <c r="C2832" s="142">
        <v>46220</v>
      </c>
      <c r="D2832" s="57" t="s">
        <v>968</v>
      </c>
      <c r="E2832" s="57" t="s">
        <v>146</v>
      </c>
      <c r="F2832" s="57" t="s">
        <v>502</v>
      </c>
      <c r="G2832" s="57" t="s">
        <v>257</v>
      </c>
      <c r="H2832" s="140" t="s">
        <v>2807</v>
      </c>
      <c r="I2832" s="57"/>
      <c r="J2832" s="165">
        <f>L2832/K2832</f>
        <v>18.867924528301888</v>
      </c>
      <c r="K2832" s="57">
        <v>106</v>
      </c>
      <c r="L2832" s="164">
        <v>2000</v>
      </c>
    </row>
    <row r="2833" spans="2:12" x14ac:dyDescent="0.3">
      <c r="B2833" s="57">
        <f t="shared" si="243"/>
        <v>2830</v>
      </c>
      <c r="C2833" s="142">
        <v>46220</v>
      </c>
      <c r="D2833" s="57" t="s">
        <v>968</v>
      </c>
      <c r="E2833" s="57" t="s">
        <v>574</v>
      </c>
      <c r="F2833" s="57" t="s">
        <v>446</v>
      </c>
      <c r="G2833" s="57" t="s">
        <v>990</v>
      </c>
      <c r="H2833" s="140" t="s">
        <v>2808</v>
      </c>
      <c r="I2833" s="140" t="s">
        <v>2635</v>
      </c>
      <c r="J2833" s="57">
        <v>6.25</v>
      </c>
      <c r="K2833" s="167">
        <f>L2833/J2833</f>
        <v>480</v>
      </c>
      <c r="L2833" s="164">
        <v>3000</v>
      </c>
    </row>
    <row r="2834" spans="2:12" x14ac:dyDescent="0.3">
      <c r="B2834" s="57">
        <f t="shared" si="243"/>
        <v>2831</v>
      </c>
      <c r="C2834" s="142">
        <v>46220</v>
      </c>
      <c r="D2834" s="57" t="s">
        <v>968</v>
      </c>
      <c r="E2834" s="57" t="s">
        <v>2029</v>
      </c>
      <c r="F2834" s="57" t="s">
        <v>2332</v>
      </c>
      <c r="G2834" s="57" t="s">
        <v>1004</v>
      </c>
      <c r="H2834" s="140" t="s">
        <v>2809</v>
      </c>
      <c r="I2834" s="57"/>
      <c r="J2834" s="165">
        <f>L2834/K2834</f>
        <v>52.10377358490566</v>
      </c>
      <c r="K2834" s="57">
        <v>106</v>
      </c>
      <c r="L2834" s="164">
        <v>5523</v>
      </c>
    </row>
    <row r="2835" spans="2:12" x14ac:dyDescent="0.3">
      <c r="B2835" s="57">
        <f t="shared" si="243"/>
        <v>2832</v>
      </c>
      <c r="C2835" s="142">
        <v>46220</v>
      </c>
      <c r="D2835" s="57" t="s">
        <v>968</v>
      </c>
      <c r="E2835" s="57" t="s">
        <v>532</v>
      </c>
      <c r="F2835" s="57" t="s">
        <v>502</v>
      </c>
      <c r="G2835" s="57" t="s">
        <v>2344</v>
      </c>
      <c r="H2835" s="140" t="s">
        <v>2813</v>
      </c>
      <c r="I2835" s="57" t="s">
        <v>532</v>
      </c>
      <c r="J2835" s="57">
        <v>12</v>
      </c>
      <c r="K2835" s="57">
        <v>270</v>
      </c>
      <c r="L2835" s="164">
        <f t="shared" si="241"/>
        <v>3240</v>
      </c>
    </row>
    <row r="2836" spans="2:12" x14ac:dyDescent="0.3">
      <c r="B2836" s="57">
        <f t="shared" si="243"/>
        <v>2833</v>
      </c>
      <c r="C2836" s="142">
        <v>46220</v>
      </c>
      <c r="D2836" s="57" t="s">
        <v>968</v>
      </c>
      <c r="E2836" s="57" t="s">
        <v>4128</v>
      </c>
      <c r="F2836" s="57" t="s">
        <v>502</v>
      </c>
      <c r="G2836" s="57" t="s">
        <v>2344</v>
      </c>
      <c r="H2836" s="140" t="s">
        <v>2810</v>
      </c>
      <c r="I2836" s="57" t="s">
        <v>2782</v>
      </c>
      <c r="J2836" s="57"/>
      <c r="L2836" s="164">
        <v>84</v>
      </c>
    </row>
    <row r="2837" spans="2:12" x14ac:dyDescent="0.3">
      <c r="B2837" s="57">
        <f t="shared" si="243"/>
        <v>2834</v>
      </c>
      <c r="C2837" s="142">
        <v>46220</v>
      </c>
      <c r="D2837" s="57" t="s">
        <v>968</v>
      </c>
      <c r="E2837" s="57" t="s">
        <v>2815</v>
      </c>
      <c r="F2837" s="57" t="s">
        <v>502</v>
      </c>
      <c r="G2837" s="57" t="s">
        <v>2344</v>
      </c>
      <c r="H2837" s="140" t="s">
        <v>2811</v>
      </c>
      <c r="I2837" s="57" t="s">
        <v>2812</v>
      </c>
      <c r="J2837" s="57">
        <v>100</v>
      </c>
      <c r="K2837" s="57">
        <v>10</v>
      </c>
      <c r="L2837" s="164">
        <v>1000</v>
      </c>
    </row>
    <row r="2838" spans="2:12" x14ac:dyDescent="0.3">
      <c r="B2838" s="57">
        <f t="shared" si="243"/>
        <v>2835</v>
      </c>
      <c r="C2838" s="142">
        <v>46220</v>
      </c>
      <c r="D2838" s="57" t="s">
        <v>968</v>
      </c>
      <c r="E2838" s="57" t="s">
        <v>2815</v>
      </c>
      <c r="F2838" s="57" t="s">
        <v>502</v>
      </c>
      <c r="G2838" s="57" t="s">
        <v>2344</v>
      </c>
      <c r="H2838" s="140" t="s">
        <v>2814</v>
      </c>
      <c r="I2838" s="57"/>
      <c r="J2838" s="57"/>
      <c r="L2838" s="164">
        <v>5460</v>
      </c>
    </row>
    <row r="2839" spans="2:12" x14ac:dyDescent="0.3">
      <c r="B2839" s="57">
        <f t="shared" si="243"/>
        <v>2836</v>
      </c>
      <c r="C2839" s="142">
        <v>46220</v>
      </c>
      <c r="D2839" s="57" t="s">
        <v>968</v>
      </c>
      <c r="E2839" s="57" t="s">
        <v>574</v>
      </c>
      <c r="F2839" s="57" t="s">
        <v>446</v>
      </c>
      <c r="G2839" s="57" t="s">
        <v>990</v>
      </c>
      <c r="H2839" s="140" t="s">
        <v>2816</v>
      </c>
      <c r="I2839" s="140" t="s">
        <v>4081</v>
      </c>
      <c r="J2839" s="57">
        <v>4</v>
      </c>
      <c r="K2839" s="167">
        <f>L2839/J2839</f>
        <v>650</v>
      </c>
      <c r="L2839" s="164">
        <v>2600</v>
      </c>
    </row>
    <row r="2840" spans="2:12" x14ac:dyDescent="0.3">
      <c r="B2840" s="57">
        <f t="shared" si="243"/>
        <v>2837</v>
      </c>
      <c r="C2840" s="142">
        <v>46220</v>
      </c>
      <c r="D2840" s="57" t="s">
        <v>968</v>
      </c>
      <c r="E2840" s="57" t="s">
        <v>434</v>
      </c>
      <c r="F2840" s="57" t="s">
        <v>300</v>
      </c>
      <c r="G2840" s="57" t="s">
        <v>300</v>
      </c>
      <c r="H2840" s="140" t="s">
        <v>2817</v>
      </c>
      <c r="I2840" s="57" t="s">
        <v>2820</v>
      </c>
      <c r="J2840" s="57"/>
      <c r="L2840" s="164">
        <v>600</v>
      </c>
    </row>
    <row r="2841" spans="2:12" x14ac:dyDescent="0.3">
      <c r="B2841" s="57">
        <f t="shared" si="243"/>
        <v>2838</v>
      </c>
      <c r="C2841" s="142">
        <v>46220</v>
      </c>
      <c r="D2841" s="57" t="s">
        <v>968</v>
      </c>
      <c r="E2841" s="57" t="s">
        <v>532</v>
      </c>
      <c r="F2841" s="57" t="s">
        <v>502</v>
      </c>
      <c r="G2841" s="57" t="s">
        <v>257</v>
      </c>
      <c r="H2841" s="140" t="s">
        <v>2819</v>
      </c>
      <c r="I2841" s="57" t="s">
        <v>532</v>
      </c>
      <c r="J2841" s="57">
        <v>10</v>
      </c>
      <c r="K2841" s="167">
        <f>L2841/J2841</f>
        <v>260</v>
      </c>
      <c r="L2841" s="164">
        <v>2600</v>
      </c>
    </row>
    <row r="2842" spans="2:12" x14ac:dyDescent="0.3">
      <c r="B2842" s="57">
        <f t="shared" si="243"/>
        <v>2839</v>
      </c>
      <c r="C2842" s="142">
        <v>46220</v>
      </c>
      <c r="D2842" s="57" t="s">
        <v>968</v>
      </c>
      <c r="E2842" s="57" t="s">
        <v>434</v>
      </c>
      <c r="F2842" s="57" t="s">
        <v>502</v>
      </c>
      <c r="G2842" s="57" t="s">
        <v>257</v>
      </c>
      <c r="H2842" s="140" t="s">
        <v>2818</v>
      </c>
      <c r="I2842" s="57" t="s">
        <v>532</v>
      </c>
      <c r="J2842" s="57"/>
      <c r="L2842" s="164">
        <v>350</v>
      </c>
    </row>
    <row r="2843" spans="2:12" x14ac:dyDescent="0.3">
      <c r="B2843" s="57">
        <f t="shared" si="243"/>
        <v>2840</v>
      </c>
      <c r="C2843" s="142">
        <v>46220</v>
      </c>
      <c r="D2843" s="57" t="s">
        <v>968</v>
      </c>
      <c r="E2843" s="57" t="s">
        <v>967</v>
      </c>
      <c r="F2843" s="57" t="s">
        <v>300</v>
      </c>
      <c r="G2843" s="57" t="s">
        <v>300</v>
      </c>
      <c r="H2843" s="140" t="s">
        <v>2821</v>
      </c>
      <c r="I2843" s="57"/>
      <c r="J2843" s="57"/>
      <c r="L2843" s="164">
        <v>2003</v>
      </c>
    </row>
    <row r="2844" spans="2:12" x14ac:dyDescent="0.3">
      <c r="B2844" s="57">
        <f t="shared" si="243"/>
        <v>2841</v>
      </c>
      <c r="C2844" s="142">
        <v>46220</v>
      </c>
      <c r="D2844" s="57" t="s">
        <v>968</v>
      </c>
      <c r="E2844" s="57" t="s">
        <v>434</v>
      </c>
      <c r="F2844" s="57" t="s">
        <v>502</v>
      </c>
      <c r="G2844" s="57" t="s">
        <v>257</v>
      </c>
      <c r="H2844" s="140" t="s">
        <v>2822</v>
      </c>
      <c r="I2844" s="57" t="s">
        <v>2823</v>
      </c>
      <c r="J2844" s="57"/>
      <c r="L2844" s="164">
        <v>1000</v>
      </c>
    </row>
    <row r="2845" spans="2:12" x14ac:dyDescent="0.3">
      <c r="B2845" s="57">
        <f t="shared" si="243"/>
        <v>2842</v>
      </c>
      <c r="C2845" s="142">
        <v>46220</v>
      </c>
      <c r="D2845" s="57" t="s">
        <v>968</v>
      </c>
      <c r="E2845" s="57" t="s">
        <v>146</v>
      </c>
      <c r="F2845" s="57" t="s">
        <v>300</v>
      </c>
      <c r="G2845" s="57" t="s">
        <v>2794</v>
      </c>
      <c r="H2845" s="140" t="s">
        <v>2824</v>
      </c>
      <c r="I2845" s="57"/>
      <c r="J2845" s="165">
        <f>L2845/K2845</f>
        <v>18.867924528301888</v>
      </c>
      <c r="K2845" s="57">
        <v>106</v>
      </c>
      <c r="L2845" s="164">
        <v>2000</v>
      </c>
    </row>
    <row r="2846" spans="2:12" x14ac:dyDescent="0.3">
      <c r="B2846" s="57">
        <f t="shared" si="243"/>
        <v>2843</v>
      </c>
      <c r="C2846" s="142">
        <v>46220</v>
      </c>
      <c r="D2846" s="57" t="s">
        <v>968</v>
      </c>
      <c r="E2846" s="57" t="s">
        <v>574</v>
      </c>
      <c r="F2846" s="57" t="s">
        <v>446</v>
      </c>
      <c r="G2846" s="57" t="s">
        <v>316</v>
      </c>
      <c r="H2846" s="140" t="s">
        <v>2825</v>
      </c>
      <c r="I2846" s="140" t="s">
        <v>4081</v>
      </c>
      <c r="J2846" s="57">
        <v>4</v>
      </c>
      <c r="K2846" s="167">
        <f>L2846/J2846</f>
        <v>575</v>
      </c>
      <c r="L2846" s="164">
        <v>2300</v>
      </c>
    </row>
    <row r="2847" spans="2:12" x14ac:dyDescent="0.3">
      <c r="B2847" s="57">
        <f t="shared" si="243"/>
        <v>2844</v>
      </c>
      <c r="C2847" s="142">
        <v>46220</v>
      </c>
      <c r="D2847" s="57" t="s">
        <v>968</v>
      </c>
      <c r="E2847" s="57" t="s">
        <v>146</v>
      </c>
      <c r="F2847" s="57" t="s">
        <v>621</v>
      </c>
      <c r="G2847" s="57" t="s">
        <v>345</v>
      </c>
      <c r="H2847" s="140" t="s">
        <v>2802</v>
      </c>
      <c r="I2847" s="57"/>
      <c r="J2847" s="165">
        <f>L2847/K2847</f>
        <v>18.867924528301888</v>
      </c>
      <c r="K2847" s="57">
        <v>106</v>
      </c>
      <c r="L2847" s="164">
        <v>2000</v>
      </c>
    </row>
    <row r="2848" spans="2:12" x14ac:dyDescent="0.3">
      <c r="B2848" s="57">
        <f t="shared" si="243"/>
        <v>2845</v>
      </c>
      <c r="C2848" s="142">
        <v>46220</v>
      </c>
      <c r="D2848" s="57" t="s">
        <v>968</v>
      </c>
      <c r="E2848" s="57" t="s">
        <v>958</v>
      </c>
      <c r="F2848" s="57" t="s">
        <v>546</v>
      </c>
      <c r="G2848" s="57" t="s">
        <v>545</v>
      </c>
      <c r="H2848" s="140" t="s">
        <v>2826</v>
      </c>
      <c r="I2848" s="57"/>
      <c r="J2848" s="57"/>
      <c r="L2848" s="164">
        <v>5000</v>
      </c>
    </row>
    <row r="2849" spans="2:12" x14ac:dyDescent="0.3">
      <c r="B2849" s="57">
        <f t="shared" si="243"/>
        <v>2846</v>
      </c>
      <c r="C2849" s="142">
        <v>46220</v>
      </c>
      <c r="D2849" s="57" t="s">
        <v>968</v>
      </c>
      <c r="E2849" s="57" t="s">
        <v>560</v>
      </c>
      <c r="F2849" s="57" t="s">
        <v>502</v>
      </c>
      <c r="G2849" s="57" t="s">
        <v>257</v>
      </c>
      <c r="H2849" s="140" t="s">
        <v>2828</v>
      </c>
      <c r="I2849" s="57"/>
      <c r="J2849" s="57"/>
      <c r="L2849" s="164">
        <v>2400</v>
      </c>
    </row>
    <row r="2850" spans="2:12" x14ac:dyDescent="0.3">
      <c r="B2850" s="57">
        <f t="shared" si="243"/>
        <v>2847</v>
      </c>
      <c r="C2850" s="142">
        <v>46220</v>
      </c>
      <c r="D2850" s="57" t="s">
        <v>968</v>
      </c>
      <c r="E2850" s="57" t="s">
        <v>481</v>
      </c>
      <c r="F2850" s="57" t="s">
        <v>502</v>
      </c>
      <c r="G2850" s="57" t="s">
        <v>257</v>
      </c>
      <c r="H2850" s="140" t="s">
        <v>2829</v>
      </c>
      <c r="I2850" s="57"/>
      <c r="J2850" s="57">
        <v>15</v>
      </c>
      <c r="K2850" s="57">
        <v>45</v>
      </c>
      <c r="L2850" s="164">
        <f t="shared" si="241"/>
        <v>675</v>
      </c>
    </row>
    <row r="2851" spans="2:12" x14ac:dyDescent="0.3">
      <c r="B2851" s="57">
        <f t="shared" si="243"/>
        <v>2848</v>
      </c>
      <c r="C2851" s="142">
        <v>46220</v>
      </c>
      <c r="D2851" s="57" t="s">
        <v>968</v>
      </c>
      <c r="E2851" s="57" t="s">
        <v>2765</v>
      </c>
      <c r="F2851" s="57" t="s">
        <v>502</v>
      </c>
      <c r="G2851" s="57" t="s">
        <v>257</v>
      </c>
      <c r="H2851" s="140" t="s">
        <v>2827</v>
      </c>
      <c r="I2851" s="57"/>
      <c r="J2851" s="57"/>
      <c r="L2851" s="164">
        <v>1000</v>
      </c>
    </row>
    <row r="2852" spans="2:12" x14ac:dyDescent="0.3">
      <c r="B2852" s="57">
        <f t="shared" si="243"/>
        <v>2849</v>
      </c>
      <c r="C2852" s="142">
        <v>46221</v>
      </c>
      <c r="D2852" s="57" t="s">
        <v>968</v>
      </c>
      <c r="E2852" s="57" t="s">
        <v>146</v>
      </c>
      <c r="F2852" s="57" t="s">
        <v>300</v>
      </c>
      <c r="G2852" s="57" t="s">
        <v>300</v>
      </c>
      <c r="H2852" s="140" t="s">
        <v>4088</v>
      </c>
      <c r="I2852" s="57"/>
      <c r="J2852" s="165">
        <f t="shared" ref="J2852:J2853" si="245">L2852/K2852</f>
        <v>18.867924528301888</v>
      </c>
      <c r="K2852" s="57">
        <v>106</v>
      </c>
      <c r="L2852" s="164">
        <v>2000</v>
      </c>
    </row>
    <row r="2853" spans="2:12" x14ac:dyDescent="0.3">
      <c r="B2853" s="57">
        <f t="shared" si="243"/>
        <v>2850</v>
      </c>
      <c r="C2853" s="142">
        <v>46221</v>
      </c>
      <c r="D2853" s="57" t="s">
        <v>968</v>
      </c>
      <c r="E2853" s="57" t="s">
        <v>146</v>
      </c>
      <c r="F2853" s="57" t="s">
        <v>300</v>
      </c>
      <c r="G2853" s="57" t="s">
        <v>300</v>
      </c>
      <c r="H2853" s="140" t="s">
        <v>4095</v>
      </c>
      <c r="I2853" s="57"/>
      <c r="J2853" s="165">
        <f t="shared" si="245"/>
        <v>18.867924528301888</v>
      </c>
      <c r="K2853" s="57">
        <v>106</v>
      </c>
      <c r="L2853" s="164">
        <v>2000</v>
      </c>
    </row>
    <row r="2854" spans="2:12" x14ac:dyDescent="0.3">
      <c r="B2854" s="57">
        <f t="shared" si="243"/>
        <v>2851</v>
      </c>
      <c r="C2854" s="142">
        <v>46221</v>
      </c>
      <c r="D2854" s="57" t="s">
        <v>968</v>
      </c>
      <c r="E2854" s="57" t="s">
        <v>532</v>
      </c>
      <c r="F2854" s="57" t="s">
        <v>350</v>
      </c>
      <c r="G2854" s="57" t="s">
        <v>337</v>
      </c>
      <c r="H2854" s="140" t="s">
        <v>2835</v>
      </c>
      <c r="I2854" s="57" t="s">
        <v>532</v>
      </c>
      <c r="J2854" s="57">
        <v>10</v>
      </c>
      <c r="K2854" s="57">
        <v>250</v>
      </c>
      <c r="L2854" s="164">
        <v>2500</v>
      </c>
    </row>
    <row r="2855" spans="2:12" x14ac:dyDescent="0.3">
      <c r="B2855" s="57">
        <f t="shared" si="243"/>
        <v>2852</v>
      </c>
      <c r="C2855" s="142">
        <v>46221</v>
      </c>
      <c r="D2855" s="57" t="s">
        <v>968</v>
      </c>
      <c r="E2855" s="57" t="s">
        <v>2427</v>
      </c>
      <c r="F2855" s="57" t="s">
        <v>350</v>
      </c>
      <c r="G2855" s="57" t="s">
        <v>337</v>
      </c>
      <c r="H2855" s="140" t="s">
        <v>2833</v>
      </c>
      <c r="I2855" s="57" t="s">
        <v>2427</v>
      </c>
      <c r="J2855" s="57">
        <v>30</v>
      </c>
      <c r="L2855" s="164">
        <v>7425</v>
      </c>
    </row>
    <row r="2856" spans="2:12" x14ac:dyDescent="0.3">
      <c r="B2856" s="57">
        <f t="shared" si="243"/>
        <v>2853</v>
      </c>
      <c r="C2856" s="142">
        <v>46221</v>
      </c>
      <c r="D2856" s="57" t="s">
        <v>968</v>
      </c>
      <c r="E2856" s="57" t="s">
        <v>4128</v>
      </c>
      <c r="F2856" s="57" t="s">
        <v>350</v>
      </c>
      <c r="G2856" s="57" t="s">
        <v>337</v>
      </c>
      <c r="H2856" s="140" t="s">
        <v>2834</v>
      </c>
      <c r="I2856" s="57" t="s">
        <v>532</v>
      </c>
      <c r="J2856" s="57"/>
      <c r="L2856" s="164">
        <v>100</v>
      </c>
    </row>
    <row r="2857" spans="2:12" x14ac:dyDescent="0.3">
      <c r="B2857" s="57">
        <f t="shared" si="243"/>
        <v>2854</v>
      </c>
      <c r="C2857" s="142">
        <v>46221</v>
      </c>
      <c r="D2857" s="57" t="s">
        <v>968</v>
      </c>
      <c r="E2857" s="57" t="s">
        <v>146</v>
      </c>
      <c r="F2857" s="57" t="s">
        <v>546</v>
      </c>
      <c r="G2857" s="57" t="s">
        <v>2832</v>
      </c>
      <c r="H2857" s="140" t="s">
        <v>2830</v>
      </c>
      <c r="I2857" s="57"/>
      <c r="J2857" s="165">
        <f t="shared" ref="J2857:J2858" si="246">L2857/K2857</f>
        <v>28.30188679245283</v>
      </c>
      <c r="K2857" s="57">
        <v>106</v>
      </c>
      <c r="L2857" s="164">
        <v>3000</v>
      </c>
    </row>
    <row r="2858" spans="2:12" x14ac:dyDescent="0.3">
      <c r="B2858" s="57">
        <f t="shared" si="243"/>
        <v>2855</v>
      </c>
      <c r="C2858" s="142">
        <v>46221</v>
      </c>
      <c r="D2858" s="57" t="s">
        <v>968</v>
      </c>
      <c r="E2858" s="57" t="s">
        <v>146</v>
      </c>
      <c r="F2858" s="57" t="s">
        <v>350</v>
      </c>
      <c r="G2858" s="57" t="s">
        <v>337</v>
      </c>
      <c r="H2858" s="140" t="s">
        <v>2780</v>
      </c>
      <c r="I2858" s="57"/>
      <c r="J2858" s="165">
        <f t="shared" si="246"/>
        <v>18.867924528301888</v>
      </c>
      <c r="K2858" s="57">
        <v>106</v>
      </c>
      <c r="L2858" s="164">
        <v>2000</v>
      </c>
    </row>
    <row r="2859" spans="2:12" x14ac:dyDescent="0.3">
      <c r="B2859" s="57">
        <f t="shared" si="243"/>
        <v>2856</v>
      </c>
      <c r="C2859" s="142">
        <v>46221</v>
      </c>
      <c r="D2859" s="57" t="s">
        <v>435</v>
      </c>
      <c r="E2859" s="57" t="s">
        <v>434</v>
      </c>
      <c r="F2859" s="57" t="s">
        <v>300</v>
      </c>
      <c r="G2859" s="57" t="s">
        <v>530</v>
      </c>
      <c r="H2859" s="140" t="s">
        <v>2831</v>
      </c>
      <c r="I2859" s="57" t="s">
        <v>2839</v>
      </c>
      <c r="J2859" s="57"/>
      <c r="L2859" s="164">
        <v>8250</v>
      </c>
    </row>
    <row r="2860" spans="2:12" x14ac:dyDescent="0.3">
      <c r="B2860" s="57">
        <f t="shared" si="243"/>
        <v>2857</v>
      </c>
      <c r="C2860" s="142">
        <v>46221</v>
      </c>
      <c r="D2860" s="57" t="s">
        <v>968</v>
      </c>
      <c r="E2860" s="57" t="s">
        <v>146</v>
      </c>
      <c r="F2860" s="57" t="s">
        <v>300</v>
      </c>
      <c r="G2860" s="57" t="s">
        <v>526</v>
      </c>
      <c r="H2860" s="140" t="s">
        <v>1051</v>
      </c>
      <c r="I2860" s="57"/>
      <c r="J2860" s="165">
        <f t="shared" ref="J2860:J2861" si="247">L2860/K2860</f>
        <v>18.867924528301888</v>
      </c>
      <c r="K2860" s="57">
        <v>106</v>
      </c>
      <c r="L2860" s="164">
        <v>2000</v>
      </c>
    </row>
    <row r="2861" spans="2:12" x14ac:dyDescent="0.3">
      <c r="B2861" s="57">
        <f t="shared" si="243"/>
        <v>2858</v>
      </c>
      <c r="C2861" s="142">
        <v>46221</v>
      </c>
      <c r="D2861" s="57" t="s">
        <v>968</v>
      </c>
      <c r="E2861" s="57" t="s">
        <v>146</v>
      </c>
      <c r="F2861" s="57" t="s">
        <v>300</v>
      </c>
      <c r="G2861" s="57" t="s">
        <v>2794</v>
      </c>
      <c r="H2861" s="140" t="s">
        <v>2836</v>
      </c>
      <c r="I2861" s="57"/>
      <c r="J2861" s="165">
        <f t="shared" si="247"/>
        <v>18.867924528301888</v>
      </c>
      <c r="K2861" s="57">
        <v>106</v>
      </c>
      <c r="L2861" s="164">
        <v>2000</v>
      </c>
    </row>
    <row r="2862" spans="2:12" x14ac:dyDescent="0.3">
      <c r="B2862" s="57">
        <f t="shared" si="243"/>
        <v>2859</v>
      </c>
      <c r="C2862" s="142">
        <v>46221</v>
      </c>
      <c r="D2862" s="57" t="s">
        <v>968</v>
      </c>
      <c r="E2862" s="57" t="s">
        <v>237</v>
      </c>
      <c r="F2862" s="57" t="s">
        <v>350</v>
      </c>
      <c r="G2862" s="57" t="s">
        <v>3270</v>
      </c>
      <c r="H2862" s="140" t="s">
        <v>2837</v>
      </c>
      <c r="I2862" s="57" t="s">
        <v>2748</v>
      </c>
      <c r="J2862" s="57"/>
      <c r="L2862" s="164">
        <v>450</v>
      </c>
    </row>
    <row r="2863" spans="2:12" x14ac:dyDescent="0.3">
      <c r="B2863" s="57">
        <f t="shared" si="243"/>
        <v>2860</v>
      </c>
      <c r="C2863" s="142">
        <v>46221</v>
      </c>
      <c r="D2863" s="57" t="s">
        <v>968</v>
      </c>
      <c r="E2863" s="57" t="s">
        <v>532</v>
      </c>
      <c r="F2863" s="57" t="s">
        <v>446</v>
      </c>
      <c r="G2863" s="57" t="s">
        <v>572</v>
      </c>
      <c r="H2863" s="140" t="s">
        <v>2838</v>
      </c>
      <c r="I2863" s="57" t="s">
        <v>532</v>
      </c>
      <c r="J2863" s="57">
        <v>20</v>
      </c>
      <c r="K2863" s="167">
        <f>L2863/J2863</f>
        <v>270</v>
      </c>
      <c r="L2863" s="164">
        <v>5400</v>
      </c>
    </row>
    <row r="2864" spans="2:12" x14ac:dyDescent="0.3">
      <c r="B2864" s="57">
        <f t="shared" si="243"/>
        <v>2861</v>
      </c>
      <c r="C2864" s="142">
        <v>46221</v>
      </c>
      <c r="D2864" s="57" t="s">
        <v>968</v>
      </c>
      <c r="E2864" s="57" t="s">
        <v>843</v>
      </c>
      <c r="F2864" s="57" t="s">
        <v>300</v>
      </c>
      <c r="G2864" s="57" t="s">
        <v>300</v>
      </c>
      <c r="H2864" s="140" t="s">
        <v>2840</v>
      </c>
      <c r="I2864" s="57"/>
      <c r="J2864" s="57"/>
      <c r="L2864" s="164">
        <v>850</v>
      </c>
    </row>
    <row r="2865" spans="2:12" x14ac:dyDescent="0.3">
      <c r="B2865" s="57">
        <f t="shared" si="243"/>
        <v>2862</v>
      </c>
      <c r="C2865" s="142">
        <v>46221</v>
      </c>
      <c r="D2865" s="57" t="s">
        <v>968</v>
      </c>
      <c r="E2865" s="57" t="s">
        <v>434</v>
      </c>
      <c r="F2865" s="57" t="s">
        <v>300</v>
      </c>
      <c r="G2865" s="57" t="s">
        <v>300</v>
      </c>
      <c r="H2865" s="140" t="s">
        <v>2841</v>
      </c>
      <c r="I2865" s="57" t="s">
        <v>2842</v>
      </c>
      <c r="J2865" s="57"/>
      <c r="L2865" s="164">
        <v>705</v>
      </c>
    </row>
    <row r="2866" spans="2:12" x14ac:dyDescent="0.3">
      <c r="B2866" s="57">
        <f t="shared" si="243"/>
        <v>2863</v>
      </c>
      <c r="C2866" s="142">
        <v>46221</v>
      </c>
      <c r="D2866" s="57" t="s">
        <v>968</v>
      </c>
      <c r="E2866" s="57" t="s">
        <v>146</v>
      </c>
      <c r="F2866" s="57" t="s">
        <v>546</v>
      </c>
      <c r="G2866" s="57" t="s">
        <v>545</v>
      </c>
      <c r="H2866" s="140" t="s">
        <v>4098</v>
      </c>
      <c r="I2866" s="57"/>
      <c r="J2866" s="165">
        <f>L2866/K2866</f>
        <v>18.867924528301888</v>
      </c>
      <c r="K2866" s="57">
        <v>106</v>
      </c>
      <c r="L2866" s="164">
        <v>2000</v>
      </c>
    </row>
    <row r="2867" spans="2:12" x14ac:dyDescent="0.3">
      <c r="B2867" s="57">
        <f t="shared" si="243"/>
        <v>2864</v>
      </c>
      <c r="C2867" s="142">
        <v>46221</v>
      </c>
      <c r="D2867" s="57" t="s">
        <v>968</v>
      </c>
      <c r="E2867" s="57" t="s">
        <v>4128</v>
      </c>
      <c r="F2867" s="57" t="s">
        <v>2332</v>
      </c>
      <c r="G2867" s="57" t="s">
        <v>1004</v>
      </c>
      <c r="H2867" s="140" t="s">
        <v>2975</v>
      </c>
      <c r="I2867" s="57" t="s">
        <v>2686</v>
      </c>
      <c r="J2867" s="57"/>
      <c r="L2867" s="164">
        <v>1500</v>
      </c>
    </row>
    <row r="2868" spans="2:12" x14ac:dyDescent="0.3">
      <c r="B2868" s="57">
        <f t="shared" si="243"/>
        <v>2865</v>
      </c>
      <c r="C2868" s="142">
        <v>46221</v>
      </c>
      <c r="D2868" s="57" t="s">
        <v>968</v>
      </c>
      <c r="E2868" s="57" t="s">
        <v>146</v>
      </c>
      <c r="F2868" s="57" t="s">
        <v>350</v>
      </c>
      <c r="G2868" s="57" t="s">
        <v>675</v>
      </c>
      <c r="H2868" s="140" t="s">
        <v>4102</v>
      </c>
      <c r="I2868" s="57" t="s">
        <v>146</v>
      </c>
      <c r="J2868" s="165">
        <f t="shared" ref="J2868:J2869" si="248">L2868/K2868</f>
        <v>18.867924528301888</v>
      </c>
      <c r="K2868" s="57">
        <v>106</v>
      </c>
      <c r="L2868" s="164">
        <v>2000</v>
      </c>
    </row>
    <row r="2869" spans="2:12" x14ac:dyDescent="0.3">
      <c r="B2869" s="57">
        <f t="shared" si="243"/>
        <v>2866</v>
      </c>
      <c r="C2869" s="142">
        <v>46221</v>
      </c>
      <c r="D2869" s="57" t="s">
        <v>968</v>
      </c>
      <c r="E2869" s="57" t="s">
        <v>146</v>
      </c>
      <c r="F2869" s="57" t="s">
        <v>2332</v>
      </c>
      <c r="G2869" s="57" t="s">
        <v>1004</v>
      </c>
      <c r="H2869" s="140" t="s">
        <v>2701</v>
      </c>
      <c r="I2869" s="57"/>
      <c r="J2869" s="165">
        <f t="shared" si="248"/>
        <v>18.867924528301888</v>
      </c>
      <c r="K2869" s="57">
        <v>106</v>
      </c>
      <c r="L2869" s="164">
        <v>2000</v>
      </c>
    </row>
    <row r="2870" spans="2:12" x14ac:dyDescent="0.3">
      <c r="B2870" s="57">
        <f t="shared" si="243"/>
        <v>2867</v>
      </c>
      <c r="C2870" s="142">
        <v>46221</v>
      </c>
      <c r="D2870" s="57" t="s">
        <v>968</v>
      </c>
      <c r="E2870" s="57" t="s">
        <v>574</v>
      </c>
      <c r="F2870" s="57" t="s">
        <v>300</v>
      </c>
      <c r="G2870" s="57" t="s">
        <v>2331</v>
      </c>
      <c r="H2870" s="140" t="s">
        <v>2843</v>
      </c>
      <c r="I2870" s="140" t="s">
        <v>2635</v>
      </c>
      <c r="J2870" s="57">
        <v>4.25</v>
      </c>
      <c r="K2870" s="168">
        <f>L2870/J2870</f>
        <v>494.11764705882354</v>
      </c>
      <c r="L2870" s="164">
        <v>2100</v>
      </c>
    </row>
    <row r="2871" spans="2:12" x14ac:dyDescent="0.3">
      <c r="B2871" s="57">
        <f t="shared" si="243"/>
        <v>2868</v>
      </c>
      <c r="C2871" s="142">
        <v>46221</v>
      </c>
      <c r="D2871" s="57" t="s">
        <v>968</v>
      </c>
      <c r="E2871" s="57" t="s">
        <v>4128</v>
      </c>
      <c r="F2871" s="57" t="s">
        <v>300</v>
      </c>
      <c r="G2871" s="57" t="s">
        <v>300</v>
      </c>
      <c r="H2871" s="140" t="s">
        <v>2976</v>
      </c>
      <c r="I2871" s="57"/>
      <c r="J2871" s="57"/>
      <c r="L2871" s="164">
        <v>2200</v>
      </c>
    </row>
    <row r="2872" spans="2:12" x14ac:dyDescent="0.3">
      <c r="B2872" s="57">
        <f t="shared" si="243"/>
        <v>2869</v>
      </c>
      <c r="C2872" s="142">
        <v>46221</v>
      </c>
      <c r="D2872" s="57" t="s">
        <v>968</v>
      </c>
      <c r="E2872" s="57" t="s">
        <v>958</v>
      </c>
      <c r="F2872" s="57" t="s">
        <v>546</v>
      </c>
      <c r="G2872" s="57" t="s">
        <v>545</v>
      </c>
      <c r="H2872" s="140" t="s">
        <v>2844</v>
      </c>
      <c r="I2872" s="57"/>
      <c r="J2872" s="57"/>
      <c r="L2872" s="164">
        <v>5000</v>
      </c>
    </row>
    <row r="2873" spans="2:12" x14ac:dyDescent="0.3">
      <c r="B2873" s="57">
        <f t="shared" si="243"/>
        <v>2870</v>
      </c>
      <c r="C2873" s="142">
        <v>46221</v>
      </c>
      <c r="D2873" s="57" t="s">
        <v>968</v>
      </c>
      <c r="E2873" s="57" t="s">
        <v>767</v>
      </c>
      <c r="F2873" s="57" t="s">
        <v>350</v>
      </c>
      <c r="G2873" s="57" t="s">
        <v>675</v>
      </c>
      <c r="H2873" s="140" t="s">
        <v>2845</v>
      </c>
      <c r="I2873" s="57"/>
      <c r="J2873" s="57"/>
      <c r="L2873" s="164">
        <v>1350</v>
      </c>
    </row>
    <row r="2874" spans="2:12" x14ac:dyDescent="0.3">
      <c r="B2874" s="57">
        <f t="shared" si="243"/>
        <v>2871</v>
      </c>
      <c r="C2874" s="142">
        <v>46222</v>
      </c>
      <c r="D2874" s="57" t="s">
        <v>968</v>
      </c>
      <c r="E2874" s="57" t="s">
        <v>958</v>
      </c>
      <c r="F2874" s="57" t="s">
        <v>446</v>
      </c>
      <c r="G2874" s="57" t="s">
        <v>359</v>
      </c>
      <c r="H2874" s="140" t="s">
        <v>2864</v>
      </c>
      <c r="I2874" s="57"/>
      <c r="J2874" s="57"/>
      <c r="L2874" s="164">
        <v>4000</v>
      </c>
    </row>
    <row r="2875" spans="2:12" x14ac:dyDescent="0.3">
      <c r="B2875" s="57">
        <f t="shared" si="243"/>
        <v>2872</v>
      </c>
      <c r="C2875" s="142">
        <v>46222</v>
      </c>
      <c r="D2875" s="57" t="s">
        <v>968</v>
      </c>
      <c r="E2875" s="57" t="s">
        <v>146</v>
      </c>
      <c r="F2875" s="57" t="s">
        <v>300</v>
      </c>
      <c r="G2875" s="57" t="s">
        <v>530</v>
      </c>
      <c r="H2875" s="140" t="s">
        <v>2865</v>
      </c>
      <c r="I2875" s="57"/>
      <c r="J2875" s="165">
        <f t="shared" ref="J2875:J2876" si="249">L2875/K2875</f>
        <v>9.433962264150944</v>
      </c>
      <c r="K2875" s="57">
        <v>106</v>
      </c>
      <c r="L2875" s="164">
        <v>1000</v>
      </c>
    </row>
    <row r="2876" spans="2:12" x14ac:dyDescent="0.3">
      <c r="B2876" s="57">
        <f t="shared" si="243"/>
        <v>2873</v>
      </c>
      <c r="C2876" s="142">
        <v>46222</v>
      </c>
      <c r="D2876" s="57" t="s">
        <v>968</v>
      </c>
      <c r="E2876" s="57" t="s">
        <v>4101</v>
      </c>
      <c r="F2876" s="57" t="s">
        <v>502</v>
      </c>
      <c r="G2876" s="57" t="s">
        <v>257</v>
      </c>
      <c r="H2876" s="140" t="s">
        <v>2827</v>
      </c>
      <c r="I2876" s="57"/>
      <c r="J2876" s="165">
        <f t="shared" si="249"/>
        <v>9.433962264150944</v>
      </c>
      <c r="K2876" s="57">
        <v>106</v>
      </c>
      <c r="L2876" s="164">
        <v>1000</v>
      </c>
    </row>
    <row r="2877" spans="2:12" x14ac:dyDescent="0.3">
      <c r="B2877" s="57">
        <f t="shared" si="243"/>
        <v>2874</v>
      </c>
      <c r="C2877" s="142">
        <v>46222</v>
      </c>
      <c r="D2877" s="57" t="s">
        <v>968</v>
      </c>
      <c r="E2877" s="57" t="s">
        <v>574</v>
      </c>
      <c r="F2877" s="57" t="s">
        <v>446</v>
      </c>
      <c r="G2877" s="57" t="s">
        <v>990</v>
      </c>
      <c r="H2877" s="140" t="s">
        <v>2847</v>
      </c>
      <c r="I2877" s="140" t="s">
        <v>2635</v>
      </c>
      <c r="J2877" s="57">
        <v>4</v>
      </c>
      <c r="K2877" s="167">
        <f>L2877/J2877</f>
        <v>750</v>
      </c>
      <c r="L2877" s="164">
        <v>3000</v>
      </c>
    </row>
    <row r="2878" spans="2:12" x14ac:dyDescent="0.3">
      <c r="B2878" s="57">
        <f t="shared" si="243"/>
        <v>2875</v>
      </c>
      <c r="C2878" s="142">
        <v>46222</v>
      </c>
      <c r="D2878" s="57" t="s">
        <v>968</v>
      </c>
      <c r="E2878" s="57" t="s">
        <v>146</v>
      </c>
      <c r="F2878" s="57" t="s">
        <v>446</v>
      </c>
      <c r="G2878" s="57" t="s">
        <v>990</v>
      </c>
      <c r="H2878" s="140" t="s">
        <v>4089</v>
      </c>
      <c r="I2878" s="57"/>
      <c r="J2878" s="165">
        <f t="shared" ref="J2878:J2879" si="250">L2878/K2878</f>
        <v>18.867924528301888</v>
      </c>
      <c r="K2878" s="57">
        <v>106</v>
      </c>
      <c r="L2878" s="164">
        <v>2000</v>
      </c>
    </row>
    <row r="2879" spans="2:12" x14ac:dyDescent="0.3">
      <c r="B2879" s="57">
        <f t="shared" si="243"/>
        <v>2876</v>
      </c>
      <c r="C2879" s="142">
        <v>46222</v>
      </c>
      <c r="D2879" s="57" t="s">
        <v>968</v>
      </c>
      <c r="E2879" s="57" t="s">
        <v>146</v>
      </c>
      <c r="F2879" s="57" t="s">
        <v>300</v>
      </c>
      <c r="G2879" s="57" t="s">
        <v>530</v>
      </c>
      <c r="H2879" s="140" t="s">
        <v>2848</v>
      </c>
      <c r="I2879" s="57"/>
      <c r="J2879" s="165">
        <f t="shared" si="250"/>
        <v>28.30188679245283</v>
      </c>
      <c r="K2879" s="57">
        <v>106</v>
      </c>
      <c r="L2879" s="164">
        <v>3000</v>
      </c>
    </row>
    <row r="2880" spans="2:12" x14ac:dyDescent="0.3">
      <c r="B2880" s="57">
        <f t="shared" si="243"/>
        <v>2877</v>
      </c>
      <c r="C2880" s="142">
        <v>46222</v>
      </c>
      <c r="D2880" s="57" t="s">
        <v>968</v>
      </c>
      <c r="E2880" s="57" t="s">
        <v>2027</v>
      </c>
      <c r="F2880" s="57" t="s">
        <v>300</v>
      </c>
      <c r="G2880" s="57" t="s">
        <v>530</v>
      </c>
      <c r="H2880" s="140" t="s">
        <v>2849</v>
      </c>
      <c r="I2880" s="57" t="s">
        <v>2027</v>
      </c>
      <c r="J2880" s="57"/>
      <c r="L2880" s="164">
        <v>2800</v>
      </c>
    </row>
    <row r="2881" spans="2:12" x14ac:dyDescent="0.3">
      <c r="B2881" s="57">
        <f t="shared" si="243"/>
        <v>2878</v>
      </c>
      <c r="C2881" s="142">
        <v>46222</v>
      </c>
      <c r="D2881" s="57" t="s">
        <v>968</v>
      </c>
      <c r="E2881" s="57" t="s">
        <v>434</v>
      </c>
      <c r="F2881" s="57" t="s">
        <v>350</v>
      </c>
      <c r="G2881" s="57" t="s">
        <v>675</v>
      </c>
      <c r="H2881" s="140" t="s">
        <v>2859</v>
      </c>
      <c r="I2881" s="57" t="s">
        <v>2867</v>
      </c>
      <c r="J2881" s="57"/>
      <c r="L2881" s="164">
        <v>3950</v>
      </c>
    </row>
    <row r="2882" spans="2:12" x14ac:dyDescent="0.3">
      <c r="B2882" s="57">
        <f t="shared" si="243"/>
        <v>2879</v>
      </c>
      <c r="C2882" s="142">
        <v>46222</v>
      </c>
      <c r="D2882" s="57" t="s">
        <v>968</v>
      </c>
      <c r="E2882" s="57" t="s">
        <v>574</v>
      </c>
      <c r="F2882" s="57" t="s">
        <v>546</v>
      </c>
      <c r="G2882" s="57" t="s">
        <v>545</v>
      </c>
      <c r="H2882" s="140" t="s">
        <v>2850</v>
      </c>
      <c r="I2882" s="140" t="s">
        <v>2635</v>
      </c>
      <c r="J2882" s="57">
        <v>3.69</v>
      </c>
      <c r="K2882" s="168">
        <f>L2882/J2882</f>
        <v>574.52574525745263</v>
      </c>
      <c r="L2882" s="164">
        <v>2120</v>
      </c>
    </row>
    <row r="2883" spans="2:12" x14ac:dyDescent="0.3">
      <c r="B2883" s="57">
        <f t="shared" si="243"/>
        <v>2880</v>
      </c>
      <c r="C2883" s="142">
        <v>46222</v>
      </c>
      <c r="D2883" s="57" t="s">
        <v>968</v>
      </c>
      <c r="E2883" s="57" t="s">
        <v>4128</v>
      </c>
      <c r="F2883" s="57" t="s">
        <v>300</v>
      </c>
      <c r="G2883" s="57" t="s">
        <v>530</v>
      </c>
      <c r="H2883" s="140" t="s">
        <v>2851</v>
      </c>
      <c r="I2883" s="57" t="s">
        <v>2686</v>
      </c>
      <c r="J2883" s="57"/>
      <c r="L2883" s="164">
        <v>5000</v>
      </c>
    </row>
    <row r="2884" spans="2:12" x14ac:dyDescent="0.3">
      <c r="B2884" s="57">
        <f t="shared" si="243"/>
        <v>2881</v>
      </c>
      <c r="C2884" s="142">
        <v>46222</v>
      </c>
      <c r="D2884" s="57" t="s">
        <v>968</v>
      </c>
      <c r="E2884" s="57" t="s">
        <v>146</v>
      </c>
      <c r="F2884" s="57" t="s">
        <v>621</v>
      </c>
      <c r="G2884" s="57" t="s">
        <v>345</v>
      </c>
      <c r="H2884" s="140" t="s">
        <v>2852</v>
      </c>
      <c r="I2884" s="57"/>
      <c r="J2884" s="165">
        <f>L2884/K2884</f>
        <v>37.735849056603776</v>
      </c>
      <c r="K2884" s="57">
        <v>106</v>
      </c>
      <c r="L2884" s="164">
        <v>4000</v>
      </c>
    </row>
    <row r="2885" spans="2:12" x14ac:dyDescent="0.3">
      <c r="B2885" s="57">
        <f t="shared" si="243"/>
        <v>2882</v>
      </c>
      <c r="C2885" s="142">
        <v>46222</v>
      </c>
      <c r="D2885" s="57" t="s">
        <v>968</v>
      </c>
      <c r="E2885" s="57" t="s">
        <v>574</v>
      </c>
      <c r="F2885" s="57" t="s">
        <v>446</v>
      </c>
      <c r="G2885" s="57" t="s">
        <v>990</v>
      </c>
      <c r="H2885" s="140" t="s">
        <v>2853</v>
      </c>
      <c r="I2885" s="140" t="s">
        <v>4081</v>
      </c>
      <c r="J2885" s="57">
        <v>4</v>
      </c>
      <c r="K2885" s="167">
        <f>L2885/J2885</f>
        <v>650</v>
      </c>
      <c r="L2885" s="164">
        <v>2600</v>
      </c>
    </row>
    <row r="2886" spans="2:12" x14ac:dyDescent="0.3">
      <c r="B2886" s="57">
        <f t="shared" ref="B2886:B2949" si="251">+B2885+1</f>
        <v>2883</v>
      </c>
      <c r="C2886" s="142">
        <v>46222</v>
      </c>
      <c r="D2886" s="57" t="s">
        <v>968</v>
      </c>
      <c r="E2886" s="57" t="s">
        <v>2765</v>
      </c>
      <c r="F2886" s="57" t="s">
        <v>502</v>
      </c>
      <c r="G2886" s="57" t="s">
        <v>257</v>
      </c>
      <c r="H2886" s="140" t="s">
        <v>2827</v>
      </c>
      <c r="I2886" s="57"/>
      <c r="J2886" s="57"/>
      <c r="L2886" s="164">
        <v>1000</v>
      </c>
    </row>
    <row r="2887" spans="2:12" x14ac:dyDescent="0.3">
      <c r="B2887" s="57">
        <f t="shared" si="251"/>
        <v>2884</v>
      </c>
      <c r="C2887" s="142">
        <v>46222</v>
      </c>
      <c r="D2887" s="57" t="s">
        <v>968</v>
      </c>
      <c r="E2887" s="57" t="s">
        <v>522</v>
      </c>
      <c r="F2887" s="57" t="s">
        <v>502</v>
      </c>
      <c r="G2887" s="57" t="s">
        <v>257</v>
      </c>
      <c r="H2887" s="140" t="s">
        <v>2854</v>
      </c>
      <c r="I2887" s="57" t="s">
        <v>2686</v>
      </c>
      <c r="J2887" s="57"/>
      <c r="L2887" s="164">
        <v>700</v>
      </c>
    </row>
    <row r="2888" spans="2:12" x14ac:dyDescent="0.3">
      <c r="B2888" s="57">
        <f t="shared" si="251"/>
        <v>2885</v>
      </c>
      <c r="C2888" s="142">
        <v>46222</v>
      </c>
      <c r="D2888" s="57" t="s">
        <v>968</v>
      </c>
      <c r="E2888" s="57" t="s">
        <v>237</v>
      </c>
      <c r="F2888" s="57" t="s">
        <v>446</v>
      </c>
      <c r="G2888" s="57" t="s">
        <v>1000</v>
      </c>
      <c r="H2888" s="140" t="s">
        <v>2855</v>
      </c>
      <c r="I2888" s="57" t="s">
        <v>2869</v>
      </c>
      <c r="J2888" s="57"/>
      <c r="L2888" s="164">
        <v>1000</v>
      </c>
    </row>
    <row r="2889" spans="2:12" x14ac:dyDescent="0.3">
      <c r="B2889" s="57">
        <f t="shared" si="251"/>
        <v>2886</v>
      </c>
      <c r="C2889" s="142">
        <v>46222</v>
      </c>
      <c r="D2889" s="57" t="s">
        <v>968</v>
      </c>
      <c r="E2889" s="57" t="s">
        <v>4128</v>
      </c>
      <c r="F2889" s="57" t="s">
        <v>446</v>
      </c>
      <c r="G2889" s="57" t="s">
        <v>1000</v>
      </c>
      <c r="H2889" s="140" t="s">
        <v>2856</v>
      </c>
      <c r="I2889" s="57" t="s">
        <v>2686</v>
      </c>
      <c r="J2889" s="57"/>
      <c r="L2889" s="164">
        <v>1400</v>
      </c>
    </row>
    <row r="2890" spans="2:12" x14ac:dyDescent="0.3">
      <c r="B2890" s="57">
        <f t="shared" si="251"/>
        <v>2887</v>
      </c>
      <c r="C2890" s="142">
        <v>46222</v>
      </c>
      <c r="D2890" s="57" t="s">
        <v>968</v>
      </c>
      <c r="E2890" s="57" t="s">
        <v>908</v>
      </c>
      <c r="F2890" s="57" t="s">
        <v>300</v>
      </c>
      <c r="G2890" s="57" t="s">
        <v>530</v>
      </c>
      <c r="H2890" s="140" t="s">
        <v>2857</v>
      </c>
      <c r="I2890" s="57" t="s">
        <v>908</v>
      </c>
      <c r="J2890" s="57"/>
      <c r="L2890" s="164">
        <v>5500</v>
      </c>
    </row>
    <row r="2891" spans="2:12" x14ac:dyDescent="0.3">
      <c r="B2891" s="57">
        <f t="shared" si="251"/>
        <v>2888</v>
      </c>
      <c r="C2891" s="142">
        <v>46222</v>
      </c>
      <c r="D2891" s="57" t="s">
        <v>968</v>
      </c>
      <c r="E2891" s="57" t="s">
        <v>2765</v>
      </c>
      <c r="F2891" s="57" t="s">
        <v>446</v>
      </c>
      <c r="G2891" s="57" t="s">
        <v>990</v>
      </c>
      <c r="H2891" s="140" t="s">
        <v>2858</v>
      </c>
      <c r="I2891" s="57"/>
      <c r="J2891" s="57"/>
      <c r="L2891" s="164">
        <v>6300</v>
      </c>
    </row>
    <row r="2892" spans="2:12" x14ac:dyDescent="0.3">
      <c r="B2892" s="57">
        <f t="shared" si="251"/>
        <v>2889</v>
      </c>
      <c r="C2892" s="142">
        <v>46222</v>
      </c>
      <c r="D2892" s="57" t="s">
        <v>968</v>
      </c>
      <c r="E2892" s="57" t="s">
        <v>958</v>
      </c>
      <c r="F2892" s="57" t="s">
        <v>546</v>
      </c>
      <c r="G2892" s="57" t="s">
        <v>545</v>
      </c>
      <c r="H2892" s="140" t="s">
        <v>2860</v>
      </c>
      <c r="I2892" s="57"/>
      <c r="J2892" s="57"/>
      <c r="L2892" s="164">
        <v>4400</v>
      </c>
    </row>
    <row r="2893" spans="2:12" x14ac:dyDescent="0.3">
      <c r="B2893" s="57">
        <f t="shared" si="251"/>
        <v>2890</v>
      </c>
      <c r="C2893" s="142">
        <v>46222</v>
      </c>
      <c r="D2893" s="57" t="s">
        <v>968</v>
      </c>
      <c r="E2893" s="57" t="s">
        <v>958</v>
      </c>
      <c r="F2893" s="57" t="s">
        <v>546</v>
      </c>
      <c r="G2893" s="57" t="s">
        <v>545</v>
      </c>
      <c r="H2893" s="140" t="s">
        <v>2861</v>
      </c>
      <c r="I2893" s="57"/>
      <c r="J2893" s="57"/>
      <c r="L2893" s="164">
        <v>600</v>
      </c>
    </row>
    <row r="2894" spans="2:12" x14ac:dyDescent="0.3">
      <c r="B2894" s="57">
        <f t="shared" si="251"/>
        <v>2891</v>
      </c>
      <c r="C2894" s="142">
        <v>46222</v>
      </c>
      <c r="D2894" s="57" t="s">
        <v>968</v>
      </c>
      <c r="E2894" s="57" t="s">
        <v>574</v>
      </c>
      <c r="F2894" s="57" t="s">
        <v>300</v>
      </c>
      <c r="G2894" s="57" t="s">
        <v>443</v>
      </c>
      <c r="H2894" s="140" t="s">
        <v>2866</v>
      </c>
      <c r="I2894" s="140" t="s">
        <v>2868</v>
      </c>
      <c r="J2894" s="57">
        <v>3.9</v>
      </c>
      <c r="K2894" s="168">
        <f>L2894/J2894</f>
        <v>512.82051282051282</v>
      </c>
      <c r="L2894" s="164">
        <v>2000</v>
      </c>
    </row>
    <row r="2895" spans="2:12" x14ac:dyDescent="0.3">
      <c r="B2895" s="57">
        <f t="shared" si="251"/>
        <v>2892</v>
      </c>
      <c r="C2895" s="142">
        <v>46222</v>
      </c>
      <c r="D2895" s="57" t="s">
        <v>968</v>
      </c>
      <c r="E2895" s="57" t="s">
        <v>958</v>
      </c>
      <c r="F2895" s="57" t="s">
        <v>546</v>
      </c>
      <c r="G2895" s="57" t="s">
        <v>545</v>
      </c>
      <c r="H2895" s="140" t="s">
        <v>2862</v>
      </c>
      <c r="I2895" s="57"/>
      <c r="J2895" s="57"/>
      <c r="L2895" s="164">
        <v>5000</v>
      </c>
    </row>
    <row r="2896" spans="2:12" x14ac:dyDescent="0.3">
      <c r="B2896" s="57">
        <f t="shared" si="251"/>
        <v>2893</v>
      </c>
      <c r="C2896" s="142">
        <v>46222</v>
      </c>
      <c r="D2896" s="57" t="s">
        <v>968</v>
      </c>
      <c r="E2896" s="57" t="s">
        <v>146</v>
      </c>
      <c r="F2896" s="57" t="s">
        <v>300</v>
      </c>
      <c r="G2896" s="57" t="s">
        <v>530</v>
      </c>
      <c r="H2896" s="140" t="s">
        <v>2863</v>
      </c>
      <c r="I2896" s="57"/>
      <c r="J2896" s="165">
        <f t="shared" ref="J2896:J2901" si="252">L2896/K2896</f>
        <v>9.433962264150944</v>
      </c>
      <c r="K2896" s="57">
        <v>106</v>
      </c>
      <c r="L2896" s="164">
        <v>1000</v>
      </c>
    </row>
    <row r="2897" spans="2:12" x14ac:dyDescent="0.3">
      <c r="B2897" s="57">
        <f t="shared" si="251"/>
        <v>2894</v>
      </c>
      <c r="C2897" s="142">
        <v>46222</v>
      </c>
      <c r="D2897" s="57" t="s">
        <v>968</v>
      </c>
      <c r="E2897" s="57" t="s">
        <v>146</v>
      </c>
      <c r="F2897" s="57" t="s">
        <v>300</v>
      </c>
      <c r="G2897" s="57" t="s">
        <v>443</v>
      </c>
      <c r="H2897" s="140" t="s">
        <v>4088</v>
      </c>
      <c r="I2897" s="57"/>
      <c r="J2897" s="165">
        <f t="shared" si="252"/>
        <v>9.433962264150944</v>
      </c>
      <c r="K2897" s="57">
        <v>106</v>
      </c>
      <c r="L2897" s="164">
        <v>1000</v>
      </c>
    </row>
    <row r="2898" spans="2:12" x14ac:dyDescent="0.3">
      <c r="B2898" s="57">
        <f t="shared" si="251"/>
        <v>2895</v>
      </c>
      <c r="C2898" s="142">
        <v>46223</v>
      </c>
      <c r="D2898" s="57" t="s">
        <v>968</v>
      </c>
      <c r="E2898" s="57" t="s">
        <v>146</v>
      </c>
      <c r="F2898" s="57" t="s">
        <v>350</v>
      </c>
      <c r="G2898" s="57" t="s">
        <v>3270</v>
      </c>
      <c r="H2898" s="140" t="s">
        <v>2870</v>
      </c>
      <c r="I2898" s="57"/>
      <c r="J2898" s="165">
        <f t="shared" si="252"/>
        <v>18.867924528301888</v>
      </c>
      <c r="K2898" s="57">
        <v>106</v>
      </c>
      <c r="L2898" s="164">
        <v>2000</v>
      </c>
    </row>
    <row r="2899" spans="2:12" x14ac:dyDescent="0.3">
      <c r="B2899" s="57">
        <f t="shared" si="251"/>
        <v>2896</v>
      </c>
      <c r="C2899" s="142">
        <v>46223</v>
      </c>
      <c r="D2899" s="57" t="s">
        <v>968</v>
      </c>
      <c r="E2899" s="57" t="s">
        <v>146</v>
      </c>
      <c r="F2899" s="57" t="s">
        <v>300</v>
      </c>
      <c r="G2899" s="57" t="s">
        <v>530</v>
      </c>
      <c r="H2899" s="140" t="s">
        <v>2871</v>
      </c>
      <c r="I2899" s="57"/>
      <c r="J2899" s="165">
        <f t="shared" si="252"/>
        <v>14.150943396226415</v>
      </c>
      <c r="K2899" s="57">
        <v>106</v>
      </c>
      <c r="L2899" s="164">
        <v>1500</v>
      </c>
    </row>
    <row r="2900" spans="2:12" x14ac:dyDescent="0.3">
      <c r="B2900" s="57">
        <f t="shared" si="251"/>
        <v>2897</v>
      </c>
      <c r="C2900" s="142">
        <v>46223</v>
      </c>
      <c r="D2900" s="57" t="s">
        <v>968</v>
      </c>
      <c r="E2900" s="57" t="s">
        <v>146</v>
      </c>
      <c r="F2900" s="57" t="s">
        <v>300</v>
      </c>
      <c r="G2900" s="57" t="s">
        <v>530</v>
      </c>
      <c r="H2900" s="140" t="s">
        <v>4095</v>
      </c>
      <c r="I2900" s="57"/>
      <c r="J2900" s="165">
        <f t="shared" si="252"/>
        <v>28.30188679245283</v>
      </c>
      <c r="K2900" s="57">
        <v>106</v>
      </c>
      <c r="L2900" s="164">
        <v>3000</v>
      </c>
    </row>
    <row r="2901" spans="2:12" x14ac:dyDescent="0.3">
      <c r="B2901" s="57">
        <f t="shared" si="251"/>
        <v>2898</v>
      </c>
      <c r="C2901" s="142">
        <v>46223</v>
      </c>
      <c r="D2901" s="57" t="s">
        <v>968</v>
      </c>
      <c r="E2901" s="57" t="s">
        <v>146</v>
      </c>
      <c r="F2901" s="57" t="s">
        <v>446</v>
      </c>
      <c r="G2901" s="57" t="s">
        <v>316</v>
      </c>
      <c r="H2901" s="140" t="s">
        <v>2872</v>
      </c>
      <c r="I2901" s="57"/>
      <c r="J2901" s="165">
        <f t="shared" si="252"/>
        <v>28.30188679245283</v>
      </c>
      <c r="K2901" s="57">
        <v>106</v>
      </c>
      <c r="L2901" s="164">
        <v>3000</v>
      </c>
    </row>
    <row r="2902" spans="2:12" x14ac:dyDescent="0.3">
      <c r="B2902" s="57">
        <f t="shared" si="251"/>
        <v>2899</v>
      </c>
      <c r="C2902" s="142">
        <v>46223</v>
      </c>
      <c r="D2902" s="57" t="s">
        <v>968</v>
      </c>
      <c r="E2902" s="57" t="s">
        <v>434</v>
      </c>
      <c r="F2902" s="57" t="s">
        <v>300</v>
      </c>
      <c r="G2902" s="57" t="s">
        <v>2875</v>
      </c>
      <c r="H2902" s="140" t="s">
        <v>2874</v>
      </c>
      <c r="I2902" s="57" t="s">
        <v>2876</v>
      </c>
      <c r="J2902" s="57">
        <v>1</v>
      </c>
      <c r="L2902" s="164">
        <v>120</v>
      </c>
    </row>
    <row r="2903" spans="2:12" x14ac:dyDescent="0.3">
      <c r="B2903" s="57">
        <f t="shared" si="251"/>
        <v>2900</v>
      </c>
      <c r="C2903" s="142">
        <v>46223</v>
      </c>
      <c r="D2903" s="57" t="s">
        <v>968</v>
      </c>
      <c r="E2903" s="57" t="s">
        <v>434</v>
      </c>
      <c r="F2903" s="57" t="s">
        <v>300</v>
      </c>
      <c r="G2903" s="57" t="s">
        <v>2875</v>
      </c>
      <c r="H2903" s="140" t="s">
        <v>2873</v>
      </c>
      <c r="I2903" s="57" t="s">
        <v>2750</v>
      </c>
      <c r="J2903" s="57">
        <v>1</v>
      </c>
      <c r="L2903" s="164">
        <v>100</v>
      </c>
    </row>
    <row r="2904" spans="2:12" x14ac:dyDescent="0.3">
      <c r="B2904" s="57">
        <f t="shared" si="251"/>
        <v>2901</v>
      </c>
      <c r="C2904" s="142">
        <v>46223</v>
      </c>
      <c r="D2904" s="57" t="s">
        <v>968</v>
      </c>
      <c r="E2904" s="57" t="s">
        <v>532</v>
      </c>
      <c r="F2904" s="57" t="s">
        <v>546</v>
      </c>
      <c r="G2904" s="57" t="s">
        <v>545</v>
      </c>
      <c r="H2904" s="140" t="s">
        <v>2877</v>
      </c>
      <c r="I2904" s="57" t="s">
        <v>532</v>
      </c>
      <c r="J2904" s="57">
        <v>40</v>
      </c>
      <c r="K2904" s="57">
        <v>260</v>
      </c>
      <c r="L2904" s="164">
        <f t="shared" ref="L2904:L2944" si="253">J2904*K2904</f>
        <v>10400</v>
      </c>
    </row>
    <row r="2905" spans="2:12" x14ac:dyDescent="0.3">
      <c r="B2905" s="57">
        <f t="shared" si="251"/>
        <v>2902</v>
      </c>
      <c r="C2905" s="142">
        <v>46223</v>
      </c>
      <c r="D2905" s="57" t="s">
        <v>968</v>
      </c>
      <c r="E2905" s="57" t="s">
        <v>146</v>
      </c>
      <c r="F2905" s="57" t="s">
        <v>446</v>
      </c>
      <c r="G2905" s="57" t="s">
        <v>572</v>
      </c>
      <c r="H2905" s="140" t="s">
        <v>885</v>
      </c>
      <c r="I2905" s="57"/>
      <c r="J2905" s="165">
        <f>L2905/K2905</f>
        <v>27.349056603773583</v>
      </c>
      <c r="K2905" s="57">
        <v>106</v>
      </c>
      <c r="L2905" s="164">
        <v>2899</v>
      </c>
    </row>
    <row r="2906" spans="2:12" x14ac:dyDescent="0.3">
      <c r="B2906" s="57">
        <f t="shared" si="251"/>
        <v>2903</v>
      </c>
      <c r="C2906" s="142">
        <v>46223</v>
      </c>
      <c r="D2906" s="57" t="s">
        <v>968</v>
      </c>
      <c r="E2906" s="57" t="s">
        <v>532</v>
      </c>
      <c r="F2906" s="57" t="s">
        <v>446</v>
      </c>
      <c r="G2906" s="57" t="s">
        <v>572</v>
      </c>
      <c r="H2906" s="140" t="s">
        <v>2878</v>
      </c>
      <c r="I2906" s="57" t="s">
        <v>532</v>
      </c>
      <c r="J2906" s="57">
        <v>20</v>
      </c>
      <c r="K2906" s="167">
        <f>L2906/J2906</f>
        <v>270</v>
      </c>
      <c r="L2906" s="164">
        <v>5400</v>
      </c>
    </row>
    <row r="2907" spans="2:12" x14ac:dyDescent="0.3">
      <c r="B2907" s="57">
        <f t="shared" si="251"/>
        <v>2904</v>
      </c>
      <c r="C2907" s="142">
        <v>46223</v>
      </c>
      <c r="D2907" s="57" t="s">
        <v>968</v>
      </c>
      <c r="E2907" s="57" t="s">
        <v>146</v>
      </c>
      <c r="F2907" s="57" t="s">
        <v>652</v>
      </c>
      <c r="G2907" s="57" t="s">
        <v>651</v>
      </c>
      <c r="H2907" s="140" t="s">
        <v>2879</v>
      </c>
      <c r="I2907" s="57"/>
      <c r="J2907" s="165">
        <f t="shared" ref="J2907:J2908" si="254">L2907/K2907</f>
        <v>37.735849056603776</v>
      </c>
      <c r="K2907" s="57">
        <v>106</v>
      </c>
      <c r="L2907" s="164">
        <v>4000</v>
      </c>
    </row>
    <row r="2908" spans="2:12" x14ac:dyDescent="0.3">
      <c r="B2908" s="57">
        <f t="shared" si="251"/>
        <v>2905</v>
      </c>
      <c r="C2908" s="142">
        <v>46223</v>
      </c>
      <c r="D2908" s="57" t="s">
        <v>968</v>
      </c>
      <c r="E2908" s="57" t="s">
        <v>146</v>
      </c>
      <c r="F2908" s="57" t="s">
        <v>300</v>
      </c>
      <c r="G2908" s="57" t="s">
        <v>438</v>
      </c>
      <c r="H2908" s="140" t="s">
        <v>4110</v>
      </c>
      <c r="I2908" s="57"/>
      <c r="J2908" s="165">
        <f t="shared" si="254"/>
        <v>29.141509433962263</v>
      </c>
      <c r="K2908" s="57">
        <v>106</v>
      </c>
      <c r="L2908" s="164">
        <v>3089</v>
      </c>
    </row>
    <row r="2909" spans="2:12" x14ac:dyDescent="0.3">
      <c r="B2909" s="57">
        <f t="shared" si="251"/>
        <v>2906</v>
      </c>
      <c r="C2909" s="142">
        <v>46223</v>
      </c>
      <c r="D2909" s="57" t="s">
        <v>968</v>
      </c>
      <c r="E2909" s="57" t="s">
        <v>767</v>
      </c>
      <c r="F2909" s="57" t="s">
        <v>300</v>
      </c>
      <c r="G2909" s="57" t="s">
        <v>616</v>
      </c>
      <c r="H2909" s="140" t="s">
        <v>2880</v>
      </c>
      <c r="I2909" s="57"/>
      <c r="J2909" s="57"/>
      <c r="L2909" s="164">
        <v>750</v>
      </c>
    </row>
    <row r="2910" spans="2:12" x14ac:dyDescent="0.3">
      <c r="B2910" s="57">
        <f t="shared" si="251"/>
        <v>2907</v>
      </c>
      <c r="C2910" s="142">
        <v>46223</v>
      </c>
      <c r="D2910" s="57" t="s">
        <v>968</v>
      </c>
      <c r="E2910" s="57" t="s">
        <v>434</v>
      </c>
      <c r="F2910" s="57" t="s">
        <v>300</v>
      </c>
      <c r="G2910" s="57" t="s">
        <v>2875</v>
      </c>
      <c r="H2910" s="140" t="s">
        <v>2881</v>
      </c>
      <c r="I2910" s="57" t="s">
        <v>2882</v>
      </c>
      <c r="J2910" s="57" t="s">
        <v>2883</v>
      </c>
      <c r="L2910" s="164">
        <v>850</v>
      </c>
    </row>
    <row r="2911" spans="2:12" x14ac:dyDescent="0.3">
      <c r="B2911" s="57">
        <f t="shared" si="251"/>
        <v>2908</v>
      </c>
      <c r="C2911" s="142">
        <v>46223</v>
      </c>
      <c r="D2911" s="57" t="s">
        <v>968</v>
      </c>
      <c r="E2911" s="57" t="s">
        <v>434</v>
      </c>
      <c r="F2911" s="57" t="s">
        <v>300</v>
      </c>
      <c r="G2911" s="57" t="s">
        <v>530</v>
      </c>
      <c r="H2911" s="140" t="s">
        <v>2884</v>
      </c>
      <c r="I2911" s="57"/>
      <c r="J2911" s="57"/>
      <c r="L2911" s="164">
        <v>1090</v>
      </c>
    </row>
    <row r="2912" spans="2:12" x14ac:dyDescent="0.3">
      <c r="B2912" s="57">
        <f t="shared" si="251"/>
        <v>2909</v>
      </c>
      <c r="C2912" s="142">
        <v>46223</v>
      </c>
      <c r="D2912" s="57" t="s">
        <v>968</v>
      </c>
      <c r="E2912" s="57" t="s">
        <v>574</v>
      </c>
      <c r="F2912" s="57" t="s">
        <v>2332</v>
      </c>
      <c r="G2912" s="57" t="s">
        <v>1004</v>
      </c>
      <c r="H2912" s="140" t="s">
        <v>2718</v>
      </c>
      <c r="I2912" s="140" t="s">
        <v>4081</v>
      </c>
      <c r="J2912" s="57">
        <v>4</v>
      </c>
      <c r="K2912" s="167">
        <f>L2912/J2912</f>
        <v>625</v>
      </c>
      <c r="L2912" s="164">
        <v>2500</v>
      </c>
    </row>
    <row r="2913" spans="2:12" x14ac:dyDescent="0.3">
      <c r="B2913" s="57">
        <f t="shared" si="251"/>
        <v>2910</v>
      </c>
      <c r="C2913" s="142">
        <v>46223</v>
      </c>
      <c r="D2913" s="57" t="s">
        <v>968</v>
      </c>
      <c r="E2913" s="57" t="s">
        <v>595</v>
      </c>
      <c r="F2913" s="57" t="s">
        <v>300</v>
      </c>
      <c r="G2913" s="57" t="s">
        <v>530</v>
      </c>
      <c r="H2913" s="140" t="s">
        <v>2885</v>
      </c>
      <c r="I2913" s="57" t="s">
        <v>2886</v>
      </c>
      <c r="J2913" s="57">
        <v>4</v>
      </c>
      <c r="K2913" s="57">
        <v>500</v>
      </c>
      <c r="L2913" s="164">
        <f t="shared" si="253"/>
        <v>2000</v>
      </c>
    </row>
    <row r="2914" spans="2:12" x14ac:dyDescent="0.3">
      <c r="B2914" s="57">
        <f t="shared" si="251"/>
        <v>2911</v>
      </c>
      <c r="C2914" s="142">
        <v>46223</v>
      </c>
      <c r="D2914" s="57" t="s">
        <v>968</v>
      </c>
      <c r="E2914" s="57" t="s">
        <v>595</v>
      </c>
      <c r="F2914" s="57" t="s">
        <v>300</v>
      </c>
      <c r="G2914" s="57" t="s">
        <v>530</v>
      </c>
      <c r="H2914" s="140" t="s">
        <v>2887</v>
      </c>
      <c r="I2914" s="57" t="s">
        <v>2888</v>
      </c>
      <c r="J2914" s="57">
        <v>10</v>
      </c>
      <c r="K2914" s="57">
        <v>200</v>
      </c>
      <c r="L2914" s="164">
        <f t="shared" si="253"/>
        <v>2000</v>
      </c>
    </row>
    <row r="2915" spans="2:12" x14ac:dyDescent="0.3">
      <c r="B2915" s="57">
        <f t="shared" si="251"/>
        <v>2912</v>
      </c>
      <c r="C2915" s="142">
        <v>46223</v>
      </c>
      <c r="D2915" s="57" t="s">
        <v>968</v>
      </c>
      <c r="E2915" s="57" t="s">
        <v>532</v>
      </c>
      <c r="F2915" s="57" t="s">
        <v>300</v>
      </c>
      <c r="G2915" s="57" t="s">
        <v>530</v>
      </c>
      <c r="H2915" s="140" t="s">
        <v>2793</v>
      </c>
      <c r="I2915" s="57" t="s">
        <v>532</v>
      </c>
      <c r="J2915" s="57">
        <v>20</v>
      </c>
      <c r="K2915" s="167">
        <f>L2915/J2915</f>
        <v>265</v>
      </c>
      <c r="L2915" s="164">
        <v>5300</v>
      </c>
    </row>
    <row r="2916" spans="2:12" x14ac:dyDescent="0.3">
      <c r="B2916" s="57">
        <f t="shared" si="251"/>
        <v>2913</v>
      </c>
      <c r="C2916" s="142">
        <v>46223</v>
      </c>
      <c r="D2916" s="57" t="s">
        <v>435</v>
      </c>
      <c r="E2916" s="57" t="s">
        <v>434</v>
      </c>
      <c r="F2916" s="57" t="s">
        <v>300</v>
      </c>
      <c r="G2916" s="57" t="s">
        <v>530</v>
      </c>
      <c r="H2916" s="140" t="s">
        <v>2889</v>
      </c>
      <c r="I2916" s="57"/>
      <c r="J2916" s="57"/>
      <c r="L2916" s="164">
        <v>78950</v>
      </c>
    </row>
    <row r="2917" spans="2:12" x14ac:dyDescent="0.3">
      <c r="B2917" s="57">
        <f t="shared" si="251"/>
        <v>2914</v>
      </c>
      <c r="C2917" s="142">
        <v>46223</v>
      </c>
      <c r="D2917" s="57" t="s">
        <v>968</v>
      </c>
      <c r="E2917" s="57" t="s">
        <v>146</v>
      </c>
      <c r="F2917" s="57" t="s">
        <v>300</v>
      </c>
      <c r="G2917" s="57" t="s">
        <v>2330</v>
      </c>
      <c r="H2917" s="140" t="s">
        <v>1051</v>
      </c>
      <c r="I2917" s="57"/>
      <c r="J2917" s="165">
        <f>L2917/K2917</f>
        <v>43.547169811320757</v>
      </c>
      <c r="K2917" s="57">
        <v>106</v>
      </c>
      <c r="L2917" s="164">
        <v>4616</v>
      </c>
    </row>
    <row r="2918" spans="2:12" x14ac:dyDescent="0.3">
      <c r="B2918" s="57">
        <f t="shared" si="251"/>
        <v>2915</v>
      </c>
      <c r="C2918" s="142">
        <v>46223</v>
      </c>
      <c r="D2918" s="57" t="s">
        <v>968</v>
      </c>
      <c r="E2918" s="57" t="s">
        <v>958</v>
      </c>
      <c r="F2918" s="57" t="s">
        <v>502</v>
      </c>
      <c r="G2918" s="57" t="s">
        <v>257</v>
      </c>
      <c r="H2918" s="140" t="s">
        <v>2890</v>
      </c>
      <c r="I2918" s="57"/>
      <c r="J2918" s="57"/>
      <c r="L2918" s="164">
        <v>5000</v>
      </c>
    </row>
    <row r="2919" spans="2:12" x14ac:dyDescent="0.3">
      <c r="B2919" s="57">
        <f t="shared" si="251"/>
        <v>2916</v>
      </c>
      <c r="C2919" s="142">
        <v>46223</v>
      </c>
      <c r="D2919" s="57" t="s">
        <v>968</v>
      </c>
      <c r="E2919" s="57" t="s">
        <v>460</v>
      </c>
      <c r="F2919" s="57" t="s">
        <v>350</v>
      </c>
      <c r="G2919" s="57" t="s">
        <v>2770</v>
      </c>
      <c r="H2919" s="140" t="s">
        <v>2891</v>
      </c>
      <c r="I2919" s="57"/>
      <c r="J2919" s="57"/>
      <c r="L2919" s="164">
        <v>1100</v>
      </c>
    </row>
    <row r="2920" spans="2:12" x14ac:dyDescent="0.3">
      <c r="B2920" s="57">
        <f t="shared" si="251"/>
        <v>2917</v>
      </c>
      <c r="C2920" s="142">
        <v>46223</v>
      </c>
      <c r="D2920" s="57" t="s">
        <v>968</v>
      </c>
      <c r="E2920" s="57" t="s">
        <v>146</v>
      </c>
      <c r="F2920" s="57" t="s">
        <v>350</v>
      </c>
      <c r="G2920" s="57" t="s">
        <v>3270</v>
      </c>
      <c r="H2920" s="140" t="s">
        <v>2892</v>
      </c>
      <c r="I2920" s="57"/>
      <c r="J2920" s="165">
        <f>L2920/K2920</f>
        <v>18.867924528301888</v>
      </c>
      <c r="K2920" s="57">
        <v>106</v>
      </c>
      <c r="L2920" s="164">
        <v>2000</v>
      </c>
    </row>
    <row r="2921" spans="2:12" x14ac:dyDescent="0.3">
      <c r="B2921" s="57">
        <f t="shared" si="251"/>
        <v>2918</v>
      </c>
      <c r="C2921" s="142">
        <v>46223</v>
      </c>
      <c r="D2921" s="57" t="s">
        <v>968</v>
      </c>
      <c r="E2921" s="57" t="s">
        <v>2765</v>
      </c>
      <c r="F2921" s="57" t="s">
        <v>502</v>
      </c>
      <c r="G2921" s="57" t="s">
        <v>257</v>
      </c>
      <c r="H2921" s="140" t="s">
        <v>2827</v>
      </c>
      <c r="I2921" s="57"/>
      <c r="J2921" s="57"/>
      <c r="L2921" s="164">
        <v>1000</v>
      </c>
    </row>
    <row r="2922" spans="2:12" x14ac:dyDescent="0.3">
      <c r="B2922" s="57">
        <f t="shared" si="251"/>
        <v>2919</v>
      </c>
      <c r="C2922" s="142">
        <v>46223</v>
      </c>
      <c r="D2922" s="57" t="s">
        <v>968</v>
      </c>
      <c r="E2922" s="57" t="s">
        <v>2765</v>
      </c>
      <c r="F2922" s="57" t="s">
        <v>502</v>
      </c>
      <c r="G2922" s="57" t="s">
        <v>257</v>
      </c>
      <c r="H2922" s="140" t="s">
        <v>2893</v>
      </c>
      <c r="I2922" s="57"/>
      <c r="J2922" s="57"/>
      <c r="L2922" s="164">
        <v>800</v>
      </c>
    </row>
    <row r="2923" spans="2:12" x14ac:dyDescent="0.3">
      <c r="B2923" s="57">
        <f t="shared" si="251"/>
        <v>2920</v>
      </c>
      <c r="C2923" s="142">
        <v>46224</v>
      </c>
      <c r="D2923" s="57" t="s">
        <v>968</v>
      </c>
      <c r="E2923" s="57" t="s">
        <v>767</v>
      </c>
      <c r="F2923" s="57" t="s">
        <v>350</v>
      </c>
      <c r="G2923" s="57" t="s">
        <v>3270</v>
      </c>
      <c r="H2923" s="140" t="s">
        <v>2894</v>
      </c>
      <c r="I2923" s="57" t="s">
        <v>1022</v>
      </c>
      <c r="J2923" s="57"/>
      <c r="L2923" s="164">
        <v>300</v>
      </c>
    </row>
    <row r="2924" spans="2:12" x14ac:dyDescent="0.3">
      <c r="B2924" s="57">
        <f t="shared" si="251"/>
        <v>2921</v>
      </c>
      <c r="C2924" s="142">
        <v>46224</v>
      </c>
      <c r="D2924" s="57" t="s">
        <v>968</v>
      </c>
      <c r="E2924" s="57" t="s">
        <v>146</v>
      </c>
      <c r="F2924" s="57" t="s">
        <v>502</v>
      </c>
      <c r="G2924" s="57" t="s">
        <v>257</v>
      </c>
      <c r="H2924" s="140" t="s">
        <v>4100</v>
      </c>
      <c r="I2924" s="57"/>
      <c r="J2924" s="165">
        <f>L2924/K2924</f>
        <v>28.30188679245283</v>
      </c>
      <c r="K2924" s="57">
        <v>106</v>
      </c>
      <c r="L2924" s="164">
        <v>3000</v>
      </c>
    </row>
    <row r="2925" spans="2:12" x14ac:dyDescent="0.3">
      <c r="B2925" s="57">
        <f t="shared" si="251"/>
        <v>2922</v>
      </c>
      <c r="C2925" s="142">
        <v>46224</v>
      </c>
      <c r="D2925" s="57" t="s">
        <v>968</v>
      </c>
      <c r="E2925" s="57" t="s">
        <v>4128</v>
      </c>
      <c r="F2925" s="57" t="s">
        <v>2332</v>
      </c>
      <c r="G2925" s="57" t="s">
        <v>1004</v>
      </c>
      <c r="H2925" s="140" t="s">
        <v>2977</v>
      </c>
      <c r="I2925" s="57" t="s">
        <v>2686</v>
      </c>
      <c r="J2925" s="57">
        <v>690</v>
      </c>
      <c r="K2925" s="57">
        <v>5</v>
      </c>
      <c r="L2925" s="164">
        <f t="shared" si="253"/>
        <v>3450</v>
      </c>
    </row>
    <row r="2926" spans="2:12" x14ac:dyDescent="0.3">
      <c r="B2926" s="57">
        <f t="shared" si="251"/>
        <v>2923</v>
      </c>
      <c r="C2926" s="142">
        <v>46224</v>
      </c>
      <c r="D2926" s="57" t="s">
        <v>968</v>
      </c>
      <c r="E2926" s="57" t="s">
        <v>146</v>
      </c>
      <c r="F2926" s="57" t="s">
        <v>300</v>
      </c>
      <c r="G2926" s="57" t="s">
        <v>2331</v>
      </c>
      <c r="H2926" s="140" t="s">
        <v>4088</v>
      </c>
      <c r="I2926" s="57"/>
      <c r="J2926" s="165">
        <f t="shared" ref="J2926:J2930" si="255">L2926/K2926</f>
        <v>28.30188679245283</v>
      </c>
      <c r="K2926" s="57">
        <v>106</v>
      </c>
      <c r="L2926" s="164">
        <v>3000</v>
      </c>
    </row>
    <row r="2927" spans="2:12" x14ac:dyDescent="0.3">
      <c r="B2927" s="57">
        <f t="shared" si="251"/>
        <v>2924</v>
      </c>
      <c r="C2927" s="142">
        <v>46224</v>
      </c>
      <c r="D2927" s="57" t="s">
        <v>968</v>
      </c>
      <c r="E2927" s="57" t="s">
        <v>146</v>
      </c>
      <c r="F2927" s="57" t="s">
        <v>2332</v>
      </c>
      <c r="G2927" s="57" t="s">
        <v>1004</v>
      </c>
      <c r="H2927" s="140" t="s">
        <v>2895</v>
      </c>
      <c r="I2927" s="57"/>
      <c r="J2927" s="165">
        <f t="shared" si="255"/>
        <v>37.735849056603776</v>
      </c>
      <c r="K2927" s="57">
        <v>106</v>
      </c>
      <c r="L2927" s="164">
        <v>4000</v>
      </c>
    </row>
    <row r="2928" spans="2:12" x14ac:dyDescent="0.3">
      <c r="B2928" s="57">
        <f t="shared" si="251"/>
        <v>2925</v>
      </c>
      <c r="C2928" s="142">
        <v>46224</v>
      </c>
      <c r="D2928" s="57" t="s">
        <v>968</v>
      </c>
      <c r="E2928" s="57" t="s">
        <v>146</v>
      </c>
      <c r="F2928" s="57" t="s">
        <v>350</v>
      </c>
      <c r="G2928" s="57" t="s">
        <v>337</v>
      </c>
      <c r="H2928" s="140" t="s">
        <v>2896</v>
      </c>
      <c r="I2928" s="57"/>
      <c r="J2928" s="165">
        <f t="shared" si="255"/>
        <v>17.075471698113208</v>
      </c>
      <c r="K2928" s="57">
        <v>106</v>
      </c>
      <c r="L2928" s="164">
        <v>1810</v>
      </c>
    </row>
    <row r="2929" spans="2:12" x14ac:dyDescent="0.3">
      <c r="B2929" s="57">
        <f t="shared" si="251"/>
        <v>2926</v>
      </c>
      <c r="C2929" s="142">
        <v>46224</v>
      </c>
      <c r="D2929" s="57" t="s">
        <v>968</v>
      </c>
      <c r="E2929" s="57" t="s">
        <v>146</v>
      </c>
      <c r="F2929" s="57" t="s">
        <v>300</v>
      </c>
      <c r="G2929" s="57" t="s">
        <v>530</v>
      </c>
      <c r="H2929" s="140" t="s">
        <v>4115</v>
      </c>
      <c r="I2929" s="57"/>
      <c r="J2929" s="165">
        <f t="shared" si="255"/>
        <v>18.867924528301888</v>
      </c>
      <c r="K2929" s="57">
        <v>106</v>
      </c>
      <c r="L2929" s="164">
        <v>2000</v>
      </c>
    </row>
    <row r="2930" spans="2:12" x14ac:dyDescent="0.3">
      <c r="B2930" s="57">
        <f t="shared" si="251"/>
        <v>2927</v>
      </c>
      <c r="C2930" s="142">
        <v>46224</v>
      </c>
      <c r="D2930" s="57" t="s">
        <v>968</v>
      </c>
      <c r="E2930" s="57" t="s">
        <v>146</v>
      </c>
      <c r="F2930" s="57" t="s">
        <v>350</v>
      </c>
      <c r="G2930" s="57" t="s">
        <v>3270</v>
      </c>
      <c r="H2930" s="140" t="s">
        <v>2906</v>
      </c>
      <c r="I2930" s="57"/>
      <c r="J2930" s="165">
        <f t="shared" si="255"/>
        <v>28.30188679245283</v>
      </c>
      <c r="K2930" s="57">
        <v>106</v>
      </c>
      <c r="L2930" s="164">
        <v>3000</v>
      </c>
    </row>
    <row r="2931" spans="2:12" x14ac:dyDescent="0.3">
      <c r="B2931" s="57">
        <f t="shared" si="251"/>
        <v>2928</v>
      </c>
      <c r="C2931" s="142">
        <v>46224</v>
      </c>
      <c r="D2931" s="57" t="s">
        <v>968</v>
      </c>
      <c r="E2931" s="57" t="s">
        <v>481</v>
      </c>
      <c r="F2931" s="57" t="s">
        <v>300</v>
      </c>
      <c r="G2931" s="57" t="s">
        <v>616</v>
      </c>
      <c r="H2931" s="140" t="s">
        <v>2897</v>
      </c>
      <c r="I2931" s="57"/>
      <c r="J2931" s="57"/>
      <c r="L2931" s="164">
        <v>250</v>
      </c>
    </row>
    <row r="2932" spans="2:12" x14ac:dyDescent="0.3">
      <c r="B2932" s="57">
        <f t="shared" si="251"/>
        <v>2929</v>
      </c>
      <c r="C2932" s="142">
        <v>46224</v>
      </c>
      <c r="D2932" s="57" t="s">
        <v>968</v>
      </c>
      <c r="E2932" s="57" t="s">
        <v>574</v>
      </c>
      <c r="F2932" s="57" t="s">
        <v>446</v>
      </c>
      <c r="G2932" s="57" t="s">
        <v>316</v>
      </c>
      <c r="H2932" s="140" t="s">
        <v>2898</v>
      </c>
      <c r="I2932" s="140" t="s">
        <v>2635</v>
      </c>
      <c r="J2932" s="57">
        <v>4</v>
      </c>
      <c r="K2932" s="167">
        <f>L2932/J2932</f>
        <v>575</v>
      </c>
      <c r="L2932" s="164">
        <v>2300</v>
      </c>
    </row>
    <row r="2933" spans="2:12" x14ac:dyDescent="0.3">
      <c r="B2933" s="57">
        <f t="shared" si="251"/>
        <v>2930</v>
      </c>
      <c r="C2933" s="142">
        <v>46224</v>
      </c>
      <c r="D2933" s="57" t="s">
        <v>968</v>
      </c>
      <c r="E2933" s="57" t="s">
        <v>574</v>
      </c>
      <c r="F2933" s="57" t="s">
        <v>2332</v>
      </c>
      <c r="G2933" s="57" t="s">
        <v>1004</v>
      </c>
      <c r="H2933" s="140" t="s">
        <v>2908</v>
      </c>
      <c r="I2933" s="140" t="s">
        <v>2635</v>
      </c>
      <c r="J2933" s="57">
        <v>3</v>
      </c>
      <c r="K2933" s="167">
        <f>L2933/J2933</f>
        <v>500</v>
      </c>
      <c r="L2933" s="164">
        <v>1500</v>
      </c>
    </row>
    <row r="2934" spans="2:12" x14ac:dyDescent="0.3">
      <c r="B2934" s="57">
        <f t="shared" si="251"/>
        <v>2931</v>
      </c>
      <c r="C2934" s="142">
        <v>46224</v>
      </c>
      <c r="D2934" s="57" t="s">
        <v>968</v>
      </c>
      <c r="E2934" s="57" t="s">
        <v>574</v>
      </c>
      <c r="F2934" s="57" t="s">
        <v>2332</v>
      </c>
      <c r="G2934" s="57" t="s">
        <v>1004</v>
      </c>
      <c r="H2934" s="140" t="s">
        <v>2907</v>
      </c>
      <c r="I2934" s="140" t="s">
        <v>4081</v>
      </c>
      <c r="J2934" s="57">
        <v>4</v>
      </c>
      <c r="K2934" s="167">
        <f>L2934/J2934</f>
        <v>312.5</v>
      </c>
      <c r="L2934" s="164">
        <v>1250</v>
      </c>
    </row>
    <row r="2935" spans="2:12" x14ac:dyDescent="0.3">
      <c r="B2935" s="57">
        <f t="shared" si="251"/>
        <v>2932</v>
      </c>
      <c r="C2935" s="142">
        <v>46224</v>
      </c>
      <c r="D2935" s="57" t="s">
        <v>968</v>
      </c>
      <c r="E2935" s="57" t="s">
        <v>522</v>
      </c>
      <c r="F2935" s="57" t="s">
        <v>502</v>
      </c>
      <c r="G2935" s="57" t="s">
        <v>257</v>
      </c>
      <c r="H2935" s="140" t="s">
        <v>2899</v>
      </c>
      <c r="I2935" s="57" t="s">
        <v>2720</v>
      </c>
      <c r="J2935" s="57"/>
      <c r="L2935" s="164">
        <v>1500</v>
      </c>
    </row>
    <row r="2936" spans="2:12" x14ac:dyDescent="0.3">
      <c r="B2936" s="57">
        <f t="shared" si="251"/>
        <v>2933</v>
      </c>
      <c r="C2936" s="142">
        <v>46224</v>
      </c>
      <c r="D2936" s="57" t="s">
        <v>968</v>
      </c>
      <c r="E2936" s="57" t="s">
        <v>522</v>
      </c>
      <c r="F2936" s="57" t="s">
        <v>502</v>
      </c>
      <c r="G2936" s="57" t="s">
        <v>257</v>
      </c>
      <c r="H2936" s="140" t="s">
        <v>2900</v>
      </c>
      <c r="I2936" s="57"/>
      <c r="J2936" s="57"/>
      <c r="L2936" s="164">
        <v>800</v>
      </c>
    </row>
    <row r="2937" spans="2:12" x14ac:dyDescent="0.3">
      <c r="B2937" s="57">
        <f t="shared" si="251"/>
        <v>2934</v>
      </c>
      <c r="C2937" s="142">
        <v>46224</v>
      </c>
      <c r="D2937" s="57" t="s">
        <v>968</v>
      </c>
      <c r="E2937" s="57" t="s">
        <v>574</v>
      </c>
      <c r="F2937" s="57" t="s">
        <v>300</v>
      </c>
      <c r="G2937" s="57" t="s">
        <v>443</v>
      </c>
      <c r="H2937" s="140" t="s">
        <v>2901</v>
      </c>
      <c r="I2937" s="140" t="s">
        <v>2635</v>
      </c>
      <c r="J2937" s="57">
        <v>4.95</v>
      </c>
      <c r="K2937" s="168">
        <f>L2937/J2937</f>
        <v>505.05050505050502</v>
      </c>
      <c r="L2937" s="164">
        <v>2500</v>
      </c>
    </row>
    <row r="2938" spans="2:12" x14ac:dyDescent="0.3">
      <c r="B2938" s="57">
        <f t="shared" si="251"/>
        <v>2935</v>
      </c>
      <c r="C2938" s="142">
        <v>46224</v>
      </c>
      <c r="D2938" s="57" t="s">
        <v>968</v>
      </c>
      <c r="E2938" s="57" t="s">
        <v>2427</v>
      </c>
      <c r="F2938" s="57" t="s">
        <v>446</v>
      </c>
      <c r="G2938" s="57" t="s">
        <v>316</v>
      </c>
      <c r="H2938" s="140" t="s">
        <v>2902</v>
      </c>
      <c r="I2938" s="57"/>
      <c r="J2938" s="57">
        <v>462</v>
      </c>
      <c r="K2938" s="57">
        <v>55</v>
      </c>
      <c r="L2938" s="164">
        <f t="shared" si="253"/>
        <v>25410</v>
      </c>
    </row>
    <row r="2939" spans="2:12" x14ac:dyDescent="0.3">
      <c r="B2939" s="57">
        <f t="shared" si="251"/>
        <v>2936</v>
      </c>
      <c r="C2939" s="142">
        <v>46224</v>
      </c>
      <c r="D2939" s="57" t="s">
        <v>968</v>
      </c>
      <c r="E2939" s="57" t="s">
        <v>4128</v>
      </c>
      <c r="F2939" s="57" t="s">
        <v>446</v>
      </c>
      <c r="G2939" s="57" t="s">
        <v>316</v>
      </c>
      <c r="H2939" s="140" t="s">
        <v>2909</v>
      </c>
      <c r="I2939" s="57"/>
      <c r="J2939" s="57"/>
      <c r="L2939" s="164">
        <v>250</v>
      </c>
    </row>
    <row r="2940" spans="2:12" x14ac:dyDescent="0.3">
      <c r="B2940" s="57">
        <f t="shared" si="251"/>
        <v>2937</v>
      </c>
      <c r="C2940" s="142">
        <v>46224</v>
      </c>
      <c r="D2940" s="57" t="s">
        <v>968</v>
      </c>
      <c r="E2940" s="57" t="s">
        <v>434</v>
      </c>
      <c r="F2940" s="57" t="s">
        <v>300</v>
      </c>
      <c r="G2940" s="57" t="s">
        <v>530</v>
      </c>
      <c r="H2940" s="140" t="s">
        <v>2903</v>
      </c>
      <c r="I2940" s="57"/>
      <c r="J2940" s="57"/>
      <c r="L2940" s="164">
        <v>2865</v>
      </c>
    </row>
    <row r="2941" spans="2:12" x14ac:dyDescent="0.3">
      <c r="B2941" s="57">
        <f t="shared" si="251"/>
        <v>2938</v>
      </c>
      <c r="C2941" s="142">
        <v>46224</v>
      </c>
      <c r="D2941" s="57" t="s">
        <v>968</v>
      </c>
      <c r="E2941" s="57" t="s">
        <v>4128</v>
      </c>
      <c r="F2941" s="57" t="s">
        <v>546</v>
      </c>
      <c r="G2941" s="57" t="s">
        <v>999</v>
      </c>
      <c r="H2941" s="140" t="s">
        <v>2904</v>
      </c>
      <c r="I2941" s="57" t="s">
        <v>2910</v>
      </c>
      <c r="J2941" s="57">
        <v>30</v>
      </c>
      <c r="L2941" s="164">
        <v>500</v>
      </c>
    </row>
    <row r="2942" spans="2:12" x14ac:dyDescent="0.3">
      <c r="B2942" s="57">
        <f t="shared" si="251"/>
        <v>2939</v>
      </c>
      <c r="C2942" s="142">
        <v>46224</v>
      </c>
      <c r="D2942" s="57" t="s">
        <v>968</v>
      </c>
      <c r="E2942" s="57" t="s">
        <v>532</v>
      </c>
      <c r="F2942" s="57" t="s">
        <v>300</v>
      </c>
      <c r="G2942" s="57" t="s">
        <v>530</v>
      </c>
      <c r="H2942" s="140" t="s">
        <v>2905</v>
      </c>
      <c r="I2942" s="57" t="s">
        <v>532</v>
      </c>
      <c r="J2942" s="57">
        <v>50</v>
      </c>
      <c r="K2942" s="57">
        <v>260</v>
      </c>
      <c r="L2942" s="164">
        <v>13000</v>
      </c>
    </row>
    <row r="2943" spans="2:12" x14ac:dyDescent="0.3">
      <c r="B2943" s="57">
        <f t="shared" si="251"/>
        <v>2940</v>
      </c>
      <c r="C2943" s="142">
        <v>46224</v>
      </c>
      <c r="D2943" s="57" t="s">
        <v>435</v>
      </c>
      <c r="E2943" s="57" t="s">
        <v>2427</v>
      </c>
      <c r="F2943" s="57" t="s">
        <v>350</v>
      </c>
      <c r="G2943" s="57" t="s">
        <v>675</v>
      </c>
      <c r="H2943" s="140" t="s">
        <v>2912</v>
      </c>
      <c r="I2943" s="57" t="s">
        <v>2911</v>
      </c>
      <c r="J2943" s="57">
        <v>272</v>
      </c>
      <c r="K2943" s="57">
        <v>55</v>
      </c>
      <c r="L2943" s="164">
        <f t="shared" si="253"/>
        <v>14960</v>
      </c>
    </row>
    <row r="2944" spans="2:12" x14ac:dyDescent="0.3">
      <c r="B2944" s="57">
        <f t="shared" si="251"/>
        <v>2941</v>
      </c>
      <c r="C2944" s="142">
        <v>46224</v>
      </c>
      <c r="D2944" s="57" t="s">
        <v>435</v>
      </c>
      <c r="E2944" s="57" t="s">
        <v>2427</v>
      </c>
      <c r="F2944" s="57" t="s">
        <v>350</v>
      </c>
      <c r="G2944" s="57" t="s">
        <v>675</v>
      </c>
      <c r="H2944" s="140" t="s">
        <v>2913</v>
      </c>
      <c r="I2944" s="57" t="s">
        <v>2914</v>
      </c>
      <c r="J2944" s="165">
        <v>248</v>
      </c>
      <c r="K2944" s="57">
        <v>56.8</v>
      </c>
      <c r="L2944" s="164">
        <f t="shared" si="253"/>
        <v>14086.4</v>
      </c>
    </row>
    <row r="2945" spans="2:12" x14ac:dyDescent="0.3">
      <c r="B2945" s="57">
        <f t="shared" si="251"/>
        <v>2942</v>
      </c>
      <c r="C2945" s="142">
        <v>46224</v>
      </c>
      <c r="D2945" s="57" t="s">
        <v>435</v>
      </c>
      <c r="E2945" s="57" t="s">
        <v>4128</v>
      </c>
      <c r="F2945" s="57" t="s">
        <v>350</v>
      </c>
      <c r="G2945" s="57" t="s">
        <v>675</v>
      </c>
      <c r="H2945" s="140" t="s">
        <v>2915</v>
      </c>
      <c r="I2945" s="57" t="s">
        <v>2782</v>
      </c>
      <c r="J2945" s="57"/>
      <c r="L2945" s="164">
        <v>494</v>
      </c>
    </row>
    <row r="2946" spans="2:12" x14ac:dyDescent="0.3">
      <c r="B2946" s="57">
        <f t="shared" si="251"/>
        <v>2943</v>
      </c>
      <c r="C2946" s="142">
        <v>46224</v>
      </c>
      <c r="D2946" s="57" t="s">
        <v>968</v>
      </c>
      <c r="E2946" s="57" t="s">
        <v>4101</v>
      </c>
      <c r="F2946" s="57" t="s">
        <v>502</v>
      </c>
      <c r="G2946" s="57" t="s">
        <v>257</v>
      </c>
      <c r="H2946" s="140" t="s">
        <v>2827</v>
      </c>
      <c r="I2946" s="57"/>
      <c r="J2946" s="165">
        <f>L2946/K2946</f>
        <v>9.433962264150944</v>
      </c>
      <c r="K2946" s="57">
        <v>106</v>
      </c>
      <c r="L2946" s="164">
        <v>1000</v>
      </c>
    </row>
    <row r="2947" spans="2:12" x14ac:dyDescent="0.3">
      <c r="B2947" s="57">
        <f t="shared" si="251"/>
        <v>2944</v>
      </c>
      <c r="C2947" s="142">
        <v>46224</v>
      </c>
      <c r="D2947" s="57" t="s">
        <v>968</v>
      </c>
      <c r="E2947" s="57" t="s">
        <v>4128</v>
      </c>
      <c r="F2947" s="57" t="s">
        <v>621</v>
      </c>
      <c r="G2947" s="57" t="s">
        <v>345</v>
      </c>
      <c r="H2947" s="140" t="s">
        <v>2978</v>
      </c>
      <c r="I2947" s="57"/>
      <c r="J2947" s="57"/>
      <c r="L2947" s="164">
        <v>8750</v>
      </c>
    </row>
    <row r="2948" spans="2:12" x14ac:dyDescent="0.3">
      <c r="B2948" s="57">
        <f t="shared" si="251"/>
        <v>2945</v>
      </c>
      <c r="C2948" s="142">
        <v>46225</v>
      </c>
      <c r="D2948" s="57" t="s">
        <v>968</v>
      </c>
      <c r="E2948" s="57" t="s">
        <v>767</v>
      </c>
      <c r="F2948" s="57" t="s">
        <v>350</v>
      </c>
      <c r="G2948" s="57" t="s">
        <v>3270</v>
      </c>
      <c r="H2948" s="140" t="s">
        <v>2894</v>
      </c>
      <c r="I2948" s="57"/>
      <c r="J2948" s="57"/>
      <c r="L2948" s="164">
        <v>300</v>
      </c>
    </row>
    <row r="2949" spans="2:12" x14ac:dyDescent="0.3">
      <c r="B2949" s="57">
        <f t="shared" si="251"/>
        <v>2946</v>
      </c>
      <c r="C2949" s="142">
        <v>46225</v>
      </c>
      <c r="D2949" s="57" t="s">
        <v>968</v>
      </c>
      <c r="E2949" s="57" t="s">
        <v>574</v>
      </c>
      <c r="F2949" s="57" t="s">
        <v>2332</v>
      </c>
      <c r="G2949" s="57" t="s">
        <v>1004</v>
      </c>
      <c r="H2949" s="140" t="s">
        <v>2916</v>
      </c>
      <c r="I2949" s="140" t="s">
        <v>4081</v>
      </c>
      <c r="J2949" s="57">
        <v>4</v>
      </c>
      <c r="K2949" s="167">
        <f>L2949/J2949</f>
        <v>625</v>
      </c>
      <c r="L2949" s="164">
        <v>2500</v>
      </c>
    </row>
    <row r="2950" spans="2:12" x14ac:dyDescent="0.3">
      <c r="B2950" s="57">
        <f t="shared" ref="B2950:B3013" si="256">+B2949+1</f>
        <v>2947</v>
      </c>
      <c r="C2950" s="142">
        <v>46225</v>
      </c>
      <c r="D2950" s="57" t="s">
        <v>968</v>
      </c>
      <c r="E2950" s="57" t="s">
        <v>532</v>
      </c>
      <c r="F2950" s="57" t="s">
        <v>300</v>
      </c>
      <c r="G2950" s="57" t="s">
        <v>443</v>
      </c>
      <c r="H2950" s="140" t="s">
        <v>2917</v>
      </c>
      <c r="I2950" s="57" t="s">
        <v>532</v>
      </c>
      <c r="J2950" s="57">
        <v>20</v>
      </c>
      <c r="K2950" s="167">
        <f>L2950/J2950</f>
        <v>265</v>
      </c>
      <c r="L2950" s="164">
        <v>5300</v>
      </c>
    </row>
    <row r="2951" spans="2:12" x14ac:dyDescent="0.3">
      <c r="B2951" s="57">
        <f t="shared" si="256"/>
        <v>2948</v>
      </c>
      <c r="C2951" s="142">
        <v>46225</v>
      </c>
      <c r="D2951" s="57" t="s">
        <v>968</v>
      </c>
      <c r="E2951" s="57" t="s">
        <v>4128</v>
      </c>
      <c r="F2951" s="57" t="s">
        <v>300</v>
      </c>
      <c r="G2951" s="57" t="s">
        <v>530</v>
      </c>
      <c r="H2951" s="140" t="s">
        <v>2979</v>
      </c>
      <c r="I2951" s="57" t="s">
        <v>2888</v>
      </c>
      <c r="J2951" s="57">
        <v>57</v>
      </c>
      <c r="L2951" s="164">
        <v>500</v>
      </c>
    </row>
    <row r="2952" spans="2:12" x14ac:dyDescent="0.3">
      <c r="B2952" s="57">
        <f t="shared" si="256"/>
        <v>2949</v>
      </c>
      <c r="C2952" s="142">
        <v>46225</v>
      </c>
      <c r="D2952" s="57" t="s">
        <v>968</v>
      </c>
      <c r="E2952" s="57" t="s">
        <v>4128</v>
      </c>
      <c r="F2952" s="57" t="s">
        <v>300</v>
      </c>
      <c r="G2952" s="57" t="s">
        <v>530</v>
      </c>
      <c r="H2952" s="140" t="s">
        <v>2918</v>
      </c>
      <c r="I2952" s="57" t="s">
        <v>2919</v>
      </c>
      <c r="J2952" s="57"/>
      <c r="L2952" s="164">
        <v>800</v>
      </c>
    </row>
    <row r="2953" spans="2:12" x14ac:dyDescent="0.3">
      <c r="B2953" s="57">
        <f t="shared" si="256"/>
        <v>2950</v>
      </c>
      <c r="C2953" s="142">
        <v>46225</v>
      </c>
      <c r="D2953" s="57" t="s">
        <v>968</v>
      </c>
      <c r="E2953" s="57" t="s">
        <v>146</v>
      </c>
      <c r="F2953" s="57" t="s">
        <v>446</v>
      </c>
      <c r="G2953" s="57" t="s">
        <v>352</v>
      </c>
      <c r="H2953" s="140" t="s">
        <v>879</v>
      </c>
      <c r="I2953" s="57"/>
      <c r="J2953" s="165">
        <f>L2953/K2953</f>
        <v>28.30188679245283</v>
      </c>
      <c r="K2953" s="57">
        <v>106</v>
      </c>
      <c r="L2953" s="164">
        <v>3000</v>
      </c>
    </row>
    <row r="2954" spans="2:12" x14ac:dyDescent="0.3">
      <c r="B2954" s="57">
        <f t="shared" si="256"/>
        <v>2951</v>
      </c>
      <c r="C2954" s="142">
        <v>46225</v>
      </c>
      <c r="D2954" s="57" t="s">
        <v>435</v>
      </c>
      <c r="E2954" s="57" t="s">
        <v>4008</v>
      </c>
      <c r="F2954" s="57" t="s">
        <v>502</v>
      </c>
      <c r="G2954" s="57" t="s">
        <v>2344</v>
      </c>
      <c r="H2954" s="140" t="s">
        <v>2920</v>
      </c>
      <c r="I2954" s="57"/>
      <c r="J2954" s="57"/>
      <c r="L2954" s="164">
        <v>24500</v>
      </c>
    </row>
    <row r="2955" spans="2:12" x14ac:dyDescent="0.3">
      <c r="B2955" s="57">
        <f t="shared" si="256"/>
        <v>2952</v>
      </c>
      <c r="C2955" s="142">
        <v>46225</v>
      </c>
      <c r="D2955" s="57" t="s">
        <v>435</v>
      </c>
      <c r="E2955" s="57" t="s">
        <v>574</v>
      </c>
      <c r="F2955" s="57" t="s">
        <v>446</v>
      </c>
      <c r="G2955" s="57" t="s">
        <v>649</v>
      </c>
      <c r="H2955" s="140" t="s">
        <v>2921</v>
      </c>
      <c r="I2955" s="140" t="s">
        <v>4081</v>
      </c>
      <c r="J2955" s="57">
        <v>20</v>
      </c>
      <c r="K2955" s="167">
        <f>L2955/J2955</f>
        <v>850</v>
      </c>
      <c r="L2955" s="164">
        <v>17000</v>
      </c>
    </row>
    <row r="2956" spans="2:12" x14ac:dyDescent="0.3">
      <c r="B2956" s="57">
        <f t="shared" si="256"/>
        <v>2953</v>
      </c>
      <c r="C2956" s="142">
        <v>46225</v>
      </c>
      <c r="D2956" s="57" t="s">
        <v>435</v>
      </c>
      <c r="E2956" s="57" t="s">
        <v>574</v>
      </c>
      <c r="F2956" s="57" t="s">
        <v>446</v>
      </c>
      <c r="G2956" s="57" t="s">
        <v>649</v>
      </c>
      <c r="H2956" s="140" t="s">
        <v>2921</v>
      </c>
      <c r="I2956" s="140" t="s">
        <v>2635</v>
      </c>
      <c r="J2956" s="57">
        <v>20</v>
      </c>
      <c r="K2956" s="167">
        <f>L2956/J2956</f>
        <v>850</v>
      </c>
      <c r="L2956" s="164">
        <v>17000</v>
      </c>
    </row>
    <row r="2957" spans="2:12" x14ac:dyDescent="0.3">
      <c r="B2957" s="57">
        <f t="shared" si="256"/>
        <v>2954</v>
      </c>
      <c r="C2957" s="142">
        <v>46225</v>
      </c>
      <c r="D2957" s="57" t="s">
        <v>968</v>
      </c>
      <c r="E2957" s="57" t="s">
        <v>2427</v>
      </c>
      <c r="F2957" s="57" t="s">
        <v>350</v>
      </c>
      <c r="G2957" s="57" t="s">
        <v>3270</v>
      </c>
      <c r="H2957" s="140" t="s">
        <v>2922</v>
      </c>
      <c r="I2957" s="57" t="s">
        <v>2914</v>
      </c>
      <c r="J2957" s="165">
        <v>490</v>
      </c>
      <c r="K2957" s="168">
        <f>L2957/J2957</f>
        <v>55</v>
      </c>
      <c r="L2957" s="164">
        <v>26950</v>
      </c>
    </row>
    <row r="2958" spans="2:12" x14ac:dyDescent="0.3">
      <c r="B2958" s="57">
        <f t="shared" si="256"/>
        <v>2955</v>
      </c>
      <c r="C2958" s="142">
        <v>46225</v>
      </c>
      <c r="D2958" s="57" t="s">
        <v>968</v>
      </c>
      <c r="E2958" s="57" t="s">
        <v>4128</v>
      </c>
      <c r="F2958" s="57" t="s">
        <v>350</v>
      </c>
      <c r="G2958" s="57" t="s">
        <v>3270</v>
      </c>
      <c r="H2958" s="140" t="s">
        <v>2923</v>
      </c>
      <c r="I2958" s="57" t="s">
        <v>2782</v>
      </c>
      <c r="J2958" s="57"/>
      <c r="L2958" s="164">
        <v>392</v>
      </c>
    </row>
    <row r="2959" spans="2:12" x14ac:dyDescent="0.3">
      <c r="B2959" s="57">
        <f t="shared" si="256"/>
        <v>2956</v>
      </c>
      <c r="C2959" s="142">
        <v>46225</v>
      </c>
      <c r="D2959" s="57" t="s">
        <v>968</v>
      </c>
      <c r="E2959" s="57" t="s">
        <v>146</v>
      </c>
      <c r="F2959" s="57" t="s">
        <v>350</v>
      </c>
      <c r="G2959" s="57" t="s">
        <v>3270</v>
      </c>
      <c r="H2959" s="140" t="s">
        <v>2924</v>
      </c>
      <c r="I2959" s="57"/>
      <c r="J2959" s="165">
        <f>L2959/K2959</f>
        <v>28.30188679245283</v>
      </c>
      <c r="K2959" s="57">
        <v>106</v>
      </c>
      <c r="L2959" s="164">
        <v>3000</v>
      </c>
    </row>
    <row r="2960" spans="2:12" x14ac:dyDescent="0.3">
      <c r="B2960" s="57">
        <f t="shared" si="256"/>
        <v>2957</v>
      </c>
      <c r="C2960" s="142">
        <v>46225</v>
      </c>
      <c r="D2960" s="57" t="s">
        <v>968</v>
      </c>
      <c r="E2960" s="57" t="s">
        <v>434</v>
      </c>
      <c r="F2960" s="57" t="s">
        <v>300</v>
      </c>
      <c r="G2960" s="57" t="s">
        <v>2875</v>
      </c>
      <c r="H2960" s="140" t="s">
        <v>2925</v>
      </c>
      <c r="I2960" s="57"/>
      <c r="J2960" s="57"/>
      <c r="L2960" s="164">
        <v>470</v>
      </c>
    </row>
    <row r="2961" spans="2:12" x14ac:dyDescent="0.3">
      <c r="B2961" s="57">
        <f t="shared" si="256"/>
        <v>2958</v>
      </c>
      <c r="C2961" s="142">
        <v>46225</v>
      </c>
      <c r="D2961" s="57" t="s">
        <v>968</v>
      </c>
      <c r="E2961" s="57" t="s">
        <v>4128</v>
      </c>
      <c r="F2961" s="57" t="s">
        <v>300</v>
      </c>
      <c r="G2961" s="57" t="s">
        <v>530</v>
      </c>
      <c r="H2961" s="140" t="s">
        <v>2980</v>
      </c>
      <c r="I2961" s="57" t="s">
        <v>2981</v>
      </c>
      <c r="J2961" s="57">
        <v>275</v>
      </c>
      <c r="K2961" s="57">
        <v>4</v>
      </c>
      <c r="L2961" s="164">
        <f t="shared" ref="L2961:L3016" si="257">J2961*K2961</f>
        <v>1100</v>
      </c>
    </row>
    <row r="2962" spans="2:12" x14ac:dyDescent="0.3">
      <c r="B2962" s="57">
        <f t="shared" si="256"/>
        <v>2959</v>
      </c>
      <c r="C2962" s="142">
        <v>46225</v>
      </c>
      <c r="D2962" s="57" t="s">
        <v>968</v>
      </c>
      <c r="E2962" s="57" t="s">
        <v>146</v>
      </c>
      <c r="F2962" s="57" t="s">
        <v>300</v>
      </c>
      <c r="G2962" s="57" t="s">
        <v>526</v>
      </c>
      <c r="H2962" s="140" t="s">
        <v>2926</v>
      </c>
      <c r="I2962" s="57"/>
      <c r="J2962" s="165">
        <f t="shared" ref="J2962:J2964" si="258">L2962/K2962</f>
        <v>14.150943396226415</v>
      </c>
      <c r="K2962" s="57">
        <v>106</v>
      </c>
      <c r="L2962" s="164">
        <v>1500</v>
      </c>
    </row>
    <row r="2963" spans="2:12" x14ac:dyDescent="0.3">
      <c r="B2963" s="57">
        <f t="shared" si="256"/>
        <v>2960</v>
      </c>
      <c r="C2963" s="142">
        <v>46225</v>
      </c>
      <c r="D2963" s="57" t="s">
        <v>968</v>
      </c>
      <c r="E2963" s="57" t="s">
        <v>146</v>
      </c>
      <c r="F2963" s="57" t="s">
        <v>300</v>
      </c>
      <c r="G2963" s="57" t="s">
        <v>530</v>
      </c>
      <c r="H2963" s="140" t="s">
        <v>4109</v>
      </c>
      <c r="I2963" s="57"/>
      <c r="J2963" s="165">
        <f t="shared" si="258"/>
        <v>28.30188679245283</v>
      </c>
      <c r="K2963" s="57">
        <v>106</v>
      </c>
      <c r="L2963" s="164">
        <v>3000</v>
      </c>
    </row>
    <row r="2964" spans="2:12" x14ac:dyDescent="0.3">
      <c r="B2964" s="57">
        <f t="shared" si="256"/>
        <v>2961</v>
      </c>
      <c r="C2964" s="142">
        <v>46225</v>
      </c>
      <c r="D2964" s="57" t="s">
        <v>968</v>
      </c>
      <c r="E2964" s="57" t="s">
        <v>146</v>
      </c>
      <c r="F2964" s="57" t="s">
        <v>446</v>
      </c>
      <c r="G2964" s="57" t="s">
        <v>649</v>
      </c>
      <c r="H2964" s="140" t="s">
        <v>4092</v>
      </c>
      <c r="I2964" s="57"/>
      <c r="J2964" s="165">
        <f t="shared" si="258"/>
        <v>143.59433962264151</v>
      </c>
      <c r="K2964" s="57">
        <v>106</v>
      </c>
      <c r="L2964" s="164">
        <v>15221</v>
      </c>
    </row>
    <row r="2965" spans="2:12" x14ac:dyDescent="0.3">
      <c r="B2965" s="57">
        <f t="shared" si="256"/>
        <v>2962</v>
      </c>
      <c r="C2965" s="142">
        <v>46225</v>
      </c>
      <c r="D2965" s="57" t="s">
        <v>968</v>
      </c>
      <c r="E2965" s="57" t="s">
        <v>532</v>
      </c>
      <c r="F2965" s="57" t="s">
        <v>300</v>
      </c>
      <c r="G2965" s="57" t="s">
        <v>530</v>
      </c>
      <c r="H2965" s="140" t="s">
        <v>2982</v>
      </c>
      <c r="I2965" s="57" t="s">
        <v>532</v>
      </c>
      <c r="J2965" s="57">
        <v>50</v>
      </c>
      <c r="K2965" s="57">
        <v>260</v>
      </c>
      <c r="L2965" s="164">
        <v>13000</v>
      </c>
    </row>
    <row r="2966" spans="2:12" x14ac:dyDescent="0.3">
      <c r="B2966" s="57">
        <f t="shared" si="256"/>
        <v>2963</v>
      </c>
      <c r="C2966" s="142">
        <v>46225</v>
      </c>
      <c r="D2966" s="57" t="s">
        <v>968</v>
      </c>
      <c r="E2966" s="57" t="s">
        <v>532</v>
      </c>
      <c r="F2966" s="57" t="s">
        <v>502</v>
      </c>
      <c r="G2966" s="57" t="s">
        <v>257</v>
      </c>
      <c r="H2966" s="140" t="s">
        <v>2987</v>
      </c>
      <c r="I2966" s="57" t="s">
        <v>532</v>
      </c>
      <c r="J2966" s="57">
        <v>5</v>
      </c>
      <c r="K2966" s="167">
        <f>L2966/J2966</f>
        <v>260</v>
      </c>
      <c r="L2966" s="164">
        <v>1300</v>
      </c>
    </row>
    <row r="2967" spans="2:12" x14ac:dyDescent="0.3">
      <c r="B2967" s="57">
        <f t="shared" si="256"/>
        <v>2964</v>
      </c>
      <c r="C2967" s="142">
        <v>46225</v>
      </c>
      <c r="D2967" s="57" t="s">
        <v>968</v>
      </c>
      <c r="E2967" s="57" t="s">
        <v>434</v>
      </c>
      <c r="F2967" s="57" t="s">
        <v>502</v>
      </c>
      <c r="G2967" s="57" t="s">
        <v>257</v>
      </c>
      <c r="H2967" s="140" t="s">
        <v>2990</v>
      </c>
      <c r="I2967" s="57" t="s">
        <v>460</v>
      </c>
      <c r="J2967" s="57" t="s">
        <v>2991</v>
      </c>
      <c r="L2967" s="164">
        <v>1800</v>
      </c>
    </row>
    <row r="2968" spans="2:12" x14ac:dyDescent="0.3">
      <c r="B2968" s="57">
        <f t="shared" si="256"/>
        <v>2965</v>
      </c>
      <c r="C2968" s="142">
        <v>46225</v>
      </c>
      <c r="D2968" s="57" t="s">
        <v>968</v>
      </c>
      <c r="E2968" s="57" t="s">
        <v>434</v>
      </c>
      <c r="F2968" s="57" t="s">
        <v>502</v>
      </c>
      <c r="G2968" s="57" t="s">
        <v>257</v>
      </c>
      <c r="H2968" s="140" t="s">
        <v>2986</v>
      </c>
      <c r="I2968" s="57" t="s">
        <v>2988</v>
      </c>
      <c r="J2968" s="57"/>
      <c r="L2968" s="164">
        <v>150</v>
      </c>
    </row>
    <row r="2969" spans="2:12" x14ac:dyDescent="0.3">
      <c r="B2969" s="57">
        <f t="shared" si="256"/>
        <v>2966</v>
      </c>
      <c r="C2969" s="142">
        <v>46225</v>
      </c>
      <c r="D2969" s="57" t="s">
        <v>968</v>
      </c>
      <c r="E2969" s="57" t="s">
        <v>532</v>
      </c>
      <c r="F2969" s="57" t="s">
        <v>502</v>
      </c>
      <c r="G2969" s="57" t="s">
        <v>257</v>
      </c>
      <c r="H2969" s="140" t="s">
        <v>2819</v>
      </c>
      <c r="I2969" s="57" t="s">
        <v>532</v>
      </c>
      <c r="J2969" s="57">
        <v>10</v>
      </c>
      <c r="K2969" s="167">
        <f>L2969/J2969</f>
        <v>270</v>
      </c>
      <c r="L2969" s="164">
        <v>2700</v>
      </c>
    </row>
    <row r="2970" spans="2:12" x14ac:dyDescent="0.3">
      <c r="B2970" s="57">
        <f t="shared" si="256"/>
        <v>2967</v>
      </c>
      <c r="C2970" s="142">
        <v>46225</v>
      </c>
      <c r="D2970" s="57" t="s">
        <v>968</v>
      </c>
      <c r="E2970" s="57" t="s">
        <v>4123</v>
      </c>
      <c r="F2970" s="57" t="s">
        <v>300</v>
      </c>
      <c r="G2970" s="57" t="s">
        <v>530</v>
      </c>
      <c r="H2970" s="140" t="s">
        <v>2983</v>
      </c>
      <c r="I2970" s="57" t="s">
        <v>2989</v>
      </c>
      <c r="J2970" s="57"/>
      <c r="L2970" s="164">
        <v>20000</v>
      </c>
    </row>
    <row r="2971" spans="2:12" x14ac:dyDescent="0.3">
      <c r="B2971" s="57">
        <f t="shared" si="256"/>
        <v>2968</v>
      </c>
      <c r="C2971" s="142">
        <v>46225</v>
      </c>
      <c r="D2971" s="57" t="s">
        <v>968</v>
      </c>
      <c r="E2971" s="57" t="s">
        <v>146</v>
      </c>
      <c r="F2971" s="57" t="s">
        <v>300</v>
      </c>
      <c r="G2971" s="57" t="s">
        <v>530</v>
      </c>
      <c r="H2971" s="140" t="s">
        <v>2984</v>
      </c>
      <c r="I2971" s="57"/>
      <c r="J2971" s="165">
        <f>L2971/K2971</f>
        <v>18.867924528301888</v>
      </c>
      <c r="K2971" s="57">
        <v>106</v>
      </c>
      <c r="L2971" s="164">
        <v>2000</v>
      </c>
    </row>
    <row r="2972" spans="2:12" x14ac:dyDescent="0.3">
      <c r="B2972" s="57">
        <f t="shared" si="256"/>
        <v>2969</v>
      </c>
      <c r="C2972" s="142">
        <v>46225</v>
      </c>
      <c r="D2972" s="57" t="s">
        <v>968</v>
      </c>
      <c r="E2972" s="57" t="s">
        <v>958</v>
      </c>
      <c r="F2972" s="57" t="s">
        <v>446</v>
      </c>
      <c r="G2972" s="57" t="s">
        <v>359</v>
      </c>
      <c r="H2972" s="140" t="s">
        <v>2985</v>
      </c>
      <c r="I2972" s="57"/>
      <c r="J2972" s="57"/>
      <c r="L2972" s="164">
        <v>3000</v>
      </c>
    </row>
    <row r="2973" spans="2:12" x14ac:dyDescent="0.3">
      <c r="B2973" s="57">
        <f t="shared" si="256"/>
        <v>2970</v>
      </c>
      <c r="C2973" s="142">
        <v>46225</v>
      </c>
      <c r="D2973" s="57" t="s">
        <v>968</v>
      </c>
      <c r="E2973" s="57" t="s">
        <v>2765</v>
      </c>
      <c r="F2973" s="57" t="s">
        <v>446</v>
      </c>
      <c r="G2973" s="57" t="s">
        <v>572</v>
      </c>
      <c r="H2973" s="140" t="s">
        <v>2992</v>
      </c>
      <c r="I2973" s="57"/>
      <c r="J2973" s="57"/>
      <c r="L2973" s="164">
        <v>11600</v>
      </c>
    </row>
    <row r="2974" spans="2:12" x14ac:dyDescent="0.3">
      <c r="B2974" s="57">
        <f t="shared" si="256"/>
        <v>2971</v>
      </c>
      <c r="C2974" s="142">
        <v>46225</v>
      </c>
      <c r="D2974" s="57" t="s">
        <v>968</v>
      </c>
      <c r="E2974" s="57" t="s">
        <v>4128</v>
      </c>
      <c r="F2974" s="57" t="s">
        <v>446</v>
      </c>
      <c r="G2974" s="57" t="s">
        <v>572</v>
      </c>
      <c r="H2974" s="140" t="s">
        <v>2994</v>
      </c>
      <c r="I2974" s="57" t="s">
        <v>2981</v>
      </c>
      <c r="J2974" s="57">
        <v>200</v>
      </c>
      <c r="K2974" s="57">
        <v>4</v>
      </c>
      <c r="L2974" s="164">
        <f t="shared" si="257"/>
        <v>800</v>
      </c>
    </row>
    <row r="2975" spans="2:12" x14ac:dyDescent="0.3">
      <c r="B2975" s="57">
        <f t="shared" si="256"/>
        <v>2972</v>
      </c>
      <c r="C2975" s="142">
        <v>46225</v>
      </c>
      <c r="D2975" s="57" t="s">
        <v>968</v>
      </c>
      <c r="E2975" s="57" t="s">
        <v>4128</v>
      </c>
      <c r="F2975" s="57" t="s">
        <v>446</v>
      </c>
      <c r="G2975" s="57" t="s">
        <v>572</v>
      </c>
      <c r="H2975" s="140" t="s">
        <v>2993</v>
      </c>
      <c r="I2975" s="57" t="s">
        <v>2995</v>
      </c>
      <c r="J2975" s="57">
        <v>150</v>
      </c>
      <c r="K2975" s="57">
        <v>2</v>
      </c>
      <c r="L2975" s="164">
        <f t="shared" si="257"/>
        <v>300</v>
      </c>
    </row>
    <row r="2976" spans="2:12" x14ac:dyDescent="0.3">
      <c r="B2976" s="57">
        <f t="shared" si="256"/>
        <v>2973</v>
      </c>
      <c r="C2976" s="142">
        <v>46225</v>
      </c>
      <c r="D2976" s="57" t="s">
        <v>968</v>
      </c>
      <c r="E2976" s="57" t="s">
        <v>2765</v>
      </c>
      <c r="F2976" s="57" t="s">
        <v>502</v>
      </c>
      <c r="G2976" s="57" t="s">
        <v>257</v>
      </c>
      <c r="H2976" s="140" t="s">
        <v>2827</v>
      </c>
      <c r="I2976" s="57"/>
      <c r="J2976" s="57"/>
      <c r="L2976" s="164">
        <v>1000</v>
      </c>
    </row>
    <row r="2977" spans="2:12" x14ac:dyDescent="0.3">
      <c r="B2977" s="57">
        <f t="shared" si="256"/>
        <v>2974</v>
      </c>
      <c r="C2977" s="142">
        <v>46225</v>
      </c>
      <c r="D2977" s="57" t="s">
        <v>968</v>
      </c>
      <c r="E2977" s="57" t="s">
        <v>146</v>
      </c>
      <c r="F2977" s="57" t="s">
        <v>300</v>
      </c>
      <c r="G2977" s="57" t="s">
        <v>616</v>
      </c>
      <c r="H2977" s="140" t="s">
        <v>894</v>
      </c>
      <c r="I2977" s="57"/>
      <c r="J2977" s="165">
        <f t="shared" ref="J2977:J2980" si="259">L2977/K2977</f>
        <v>18.867924528301888</v>
      </c>
      <c r="K2977" s="57">
        <v>106</v>
      </c>
      <c r="L2977" s="164">
        <v>2000</v>
      </c>
    </row>
    <row r="2978" spans="2:12" x14ac:dyDescent="0.3">
      <c r="B2978" s="57">
        <f t="shared" si="256"/>
        <v>2975</v>
      </c>
      <c r="C2978" s="142">
        <v>46226</v>
      </c>
      <c r="D2978" s="57" t="s">
        <v>968</v>
      </c>
      <c r="E2978" s="57" t="s">
        <v>146</v>
      </c>
      <c r="F2978" s="57" t="s">
        <v>502</v>
      </c>
      <c r="G2978" s="57" t="s">
        <v>2344</v>
      </c>
      <c r="H2978" s="140" t="s">
        <v>2996</v>
      </c>
      <c r="I2978" s="57"/>
      <c r="J2978" s="165">
        <f t="shared" si="259"/>
        <v>18.867924528301888</v>
      </c>
      <c r="K2978" s="57">
        <v>106</v>
      </c>
      <c r="L2978" s="164">
        <v>2000</v>
      </c>
    </row>
    <row r="2979" spans="2:12" x14ac:dyDescent="0.3">
      <c r="B2979" s="57">
        <f t="shared" si="256"/>
        <v>2976</v>
      </c>
      <c r="C2979" s="142">
        <v>46226</v>
      </c>
      <c r="D2979" s="57" t="s">
        <v>968</v>
      </c>
      <c r="E2979" s="57" t="s">
        <v>2029</v>
      </c>
      <c r="F2979" s="57" t="s">
        <v>350</v>
      </c>
      <c r="G2979" s="57" t="s">
        <v>3270</v>
      </c>
      <c r="H2979" s="140" t="s">
        <v>2997</v>
      </c>
      <c r="I2979" s="57"/>
      <c r="J2979" s="165">
        <f t="shared" si="259"/>
        <v>18.867924528301888</v>
      </c>
      <c r="K2979" s="57">
        <v>106</v>
      </c>
      <c r="L2979" s="164">
        <v>2000</v>
      </c>
    </row>
    <row r="2980" spans="2:12" x14ac:dyDescent="0.3">
      <c r="B2980" s="57">
        <f t="shared" si="256"/>
        <v>2977</v>
      </c>
      <c r="C2980" s="142">
        <v>46226</v>
      </c>
      <c r="D2980" s="57" t="s">
        <v>968</v>
      </c>
      <c r="E2980" s="57" t="s">
        <v>146</v>
      </c>
      <c r="F2980" s="57" t="s">
        <v>350</v>
      </c>
      <c r="G2980" s="57" t="s">
        <v>675</v>
      </c>
      <c r="H2980" s="140" t="s">
        <v>2667</v>
      </c>
      <c r="I2980" s="57"/>
      <c r="J2980" s="165">
        <f t="shared" si="259"/>
        <v>18.867924528301888</v>
      </c>
      <c r="K2980" s="57">
        <v>106</v>
      </c>
      <c r="L2980" s="164">
        <v>2000</v>
      </c>
    </row>
    <row r="2981" spans="2:12" x14ac:dyDescent="0.3">
      <c r="B2981" s="57">
        <f t="shared" si="256"/>
        <v>2978</v>
      </c>
      <c r="C2981" s="142">
        <v>46226</v>
      </c>
      <c r="D2981" s="57" t="s">
        <v>968</v>
      </c>
      <c r="E2981" s="57" t="s">
        <v>434</v>
      </c>
      <c r="F2981" s="57" t="s">
        <v>300</v>
      </c>
      <c r="G2981" s="57" t="s">
        <v>530</v>
      </c>
      <c r="H2981" s="140" t="s">
        <v>2998</v>
      </c>
      <c r="I2981" s="57"/>
      <c r="J2981" s="57"/>
      <c r="L2981" s="164">
        <v>100</v>
      </c>
    </row>
    <row r="2982" spans="2:12" x14ac:dyDescent="0.3">
      <c r="B2982" s="57">
        <f t="shared" si="256"/>
        <v>2979</v>
      </c>
      <c r="C2982" s="142">
        <v>46226</v>
      </c>
      <c r="D2982" s="57" t="s">
        <v>968</v>
      </c>
      <c r="E2982" s="57" t="s">
        <v>574</v>
      </c>
      <c r="F2982" s="57" t="s">
        <v>2332</v>
      </c>
      <c r="G2982" s="57" t="s">
        <v>1004</v>
      </c>
      <c r="H2982" s="140" t="s">
        <v>2999</v>
      </c>
      <c r="I2982" s="140" t="s">
        <v>2635</v>
      </c>
      <c r="J2982" s="57">
        <v>6</v>
      </c>
      <c r="K2982" s="167">
        <f>L2982/J2982</f>
        <v>500</v>
      </c>
      <c r="L2982" s="164">
        <v>3000</v>
      </c>
    </row>
    <row r="2983" spans="2:12" x14ac:dyDescent="0.3">
      <c r="B2983" s="57">
        <f t="shared" si="256"/>
        <v>2980</v>
      </c>
      <c r="C2983" s="142">
        <v>46226</v>
      </c>
      <c r="D2983" s="57" t="s">
        <v>968</v>
      </c>
      <c r="E2983" s="57" t="s">
        <v>532</v>
      </c>
      <c r="F2983" s="57" t="s">
        <v>446</v>
      </c>
      <c r="G2983" s="57" t="s">
        <v>572</v>
      </c>
      <c r="H2983" s="140" t="s">
        <v>3000</v>
      </c>
      <c r="I2983" s="57" t="s">
        <v>532</v>
      </c>
      <c r="J2983" s="57">
        <v>20</v>
      </c>
      <c r="K2983" s="167">
        <f>L2983/J2983</f>
        <v>270</v>
      </c>
      <c r="L2983" s="164">
        <v>5400</v>
      </c>
    </row>
    <row r="2984" spans="2:12" x14ac:dyDescent="0.3">
      <c r="B2984" s="57">
        <f t="shared" si="256"/>
        <v>2981</v>
      </c>
      <c r="C2984" s="142">
        <v>46226</v>
      </c>
      <c r="D2984" s="57" t="s">
        <v>968</v>
      </c>
      <c r="E2984" s="57" t="s">
        <v>595</v>
      </c>
      <c r="F2984" s="57" t="s">
        <v>300</v>
      </c>
      <c r="G2984" s="57" t="s">
        <v>3002</v>
      </c>
      <c r="H2984" s="140" t="s">
        <v>3001</v>
      </c>
      <c r="I2984" s="57"/>
      <c r="J2984" s="57"/>
      <c r="L2984" s="164">
        <v>1230</v>
      </c>
    </row>
    <row r="2985" spans="2:12" x14ac:dyDescent="0.3">
      <c r="B2985" s="57">
        <f t="shared" si="256"/>
        <v>2982</v>
      </c>
      <c r="C2985" s="142">
        <v>46226</v>
      </c>
      <c r="D2985" s="57" t="s">
        <v>968</v>
      </c>
      <c r="E2985" s="57" t="s">
        <v>146</v>
      </c>
      <c r="F2985" s="57" t="s">
        <v>300</v>
      </c>
      <c r="G2985" s="57" t="s">
        <v>530</v>
      </c>
      <c r="H2985" s="140" t="s">
        <v>4095</v>
      </c>
      <c r="I2985" s="57"/>
      <c r="J2985" s="165">
        <f t="shared" ref="J2985:J2987" si="260">L2985/K2985</f>
        <v>28.30188679245283</v>
      </c>
      <c r="K2985" s="57">
        <v>106</v>
      </c>
      <c r="L2985" s="164">
        <v>3000</v>
      </c>
    </row>
    <row r="2986" spans="2:12" x14ac:dyDescent="0.3">
      <c r="B2986" s="57">
        <f t="shared" si="256"/>
        <v>2983</v>
      </c>
      <c r="C2986" s="142">
        <v>46226</v>
      </c>
      <c r="D2986" s="57" t="s">
        <v>968</v>
      </c>
      <c r="E2986" s="57" t="s">
        <v>146</v>
      </c>
      <c r="F2986" s="57" t="s">
        <v>2332</v>
      </c>
      <c r="G2986" s="57" t="s">
        <v>1004</v>
      </c>
      <c r="H2986" s="140" t="s">
        <v>4094</v>
      </c>
      <c r="I2986" s="57" t="s">
        <v>146</v>
      </c>
      <c r="J2986" s="165">
        <f t="shared" si="260"/>
        <v>46.481132075471699</v>
      </c>
      <c r="K2986" s="57">
        <v>106</v>
      </c>
      <c r="L2986" s="164">
        <v>4927</v>
      </c>
    </row>
    <row r="2987" spans="2:12" x14ac:dyDescent="0.3">
      <c r="B2987" s="57">
        <f t="shared" si="256"/>
        <v>2984</v>
      </c>
      <c r="C2987" s="142">
        <v>46226</v>
      </c>
      <c r="D2987" s="57" t="s">
        <v>968</v>
      </c>
      <c r="E2987" s="57" t="s">
        <v>146</v>
      </c>
      <c r="F2987" s="57" t="s">
        <v>446</v>
      </c>
      <c r="G2987" s="57" t="s">
        <v>316</v>
      </c>
      <c r="H2987" s="140" t="s">
        <v>2789</v>
      </c>
      <c r="I2987" s="57"/>
      <c r="J2987" s="165">
        <f t="shared" si="260"/>
        <v>18.867924528301888</v>
      </c>
      <c r="K2987" s="57">
        <v>106</v>
      </c>
      <c r="L2987" s="164">
        <v>2000</v>
      </c>
    </row>
    <row r="2988" spans="2:12" x14ac:dyDescent="0.3">
      <c r="B2988" s="57">
        <f t="shared" si="256"/>
        <v>2985</v>
      </c>
      <c r="C2988" s="142">
        <v>46226</v>
      </c>
      <c r="D2988" s="57" t="s">
        <v>968</v>
      </c>
      <c r="E2988" s="57" t="s">
        <v>2427</v>
      </c>
      <c r="F2988" s="57" t="s">
        <v>446</v>
      </c>
      <c r="G2988" s="57" t="s">
        <v>1000</v>
      </c>
      <c r="H2988" s="140" t="s">
        <v>3003</v>
      </c>
      <c r="I2988" s="57"/>
      <c r="J2988" s="57">
        <v>62</v>
      </c>
      <c r="K2988" s="57">
        <v>55</v>
      </c>
      <c r="L2988" s="164">
        <f t="shared" si="257"/>
        <v>3410</v>
      </c>
    </row>
    <row r="2989" spans="2:12" x14ac:dyDescent="0.3">
      <c r="B2989" s="57">
        <f t="shared" si="256"/>
        <v>2986</v>
      </c>
      <c r="C2989" s="142">
        <v>46226</v>
      </c>
      <c r="D2989" s="57" t="s">
        <v>968</v>
      </c>
      <c r="E2989" s="57" t="s">
        <v>146</v>
      </c>
      <c r="F2989" s="57" t="s">
        <v>300</v>
      </c>
      <c r="G2989" s="57" t="s">
        <v>530</v>
      </c>
      <c r="H2989" s="140" t="s">
        <v>3004</v>
      </c>
      <c r="I2989" s="57"/>
      <c r="J2989" s="165">
        <f>L2989/K2989</f>
        <v>28.30188679245283</v>
      </c>
      <c r="K2989" s="57">
        <v>106</v>
      </c>
      <c r="L2989" s="164">
        <v>3000</v>
      </c>
    </row>
    <row r="2990" spans="2:12" x14ac:dyDescent="0.3">
      <c r="B2990" s="57">
        <f t="shared" si="256"/>
        <v>2987</v>
      </c>
      <c r="C2990" s="142">
        <v>46226</v>
      </c>
      <c r="D2990" s="57" t="s">
        <v>968</v>
      </c>
      <c r="E2990" s="57" t="s">
        <v>434</v>
      </c>
      <c r="F2990" s="57" t="s">
        <v>300</v>
      </c>
      <c r="G2990" s="57" t="s">
        <v>530</v>
      </c>
      <c r="H2990" s="140" t="s">
        <v>3005</v>
      </c>
      <c r="I2990" s="57"/>
      <c r="J2990" s="57"/>
      <c r="L2990" s="164">
        <v>5220</v>
      </c>
    </row>
    <row r="2991" spans="2:12" x14ac:dyDescent="0.3">
      <c r="B2991" s="57">
        <f t="shared" si="256"/>
        <v>2988</v>
      </c>
      <c r="C2991" s="142">
        <v>46226</v>
      </c>
      <c r="D2991" s="57" t="s">
        <v>968</v>
      </c>
      <c r="E2991" s="57" t="s">
        <v>146</v>
      </c>
      <c r="F2991" s="57" t="s">
        <v>300</v>
      </c>
      <c r="G2991" s="57" t="s">
        <v>530</v>
      </c>
      <c r="H2991" s="140" t="s">
        <v>4115</v>
      </c>
      <c r="I2991" s="57"/>
      <c r="J2991" s="165">
        <f>L2991/K2991</f>
        <v>18.867924528301888</v>
      </c>
      <c r="K2991" s="57">
        <v>106</v>
      </c>
      <c r="L2991" s="164">
        <v>2000</v>
      </c>
    </row>
    <row r="2992" spans="2:12" x14ac:dyDescent="0.3">
      <c r="B2992" s="57">
        <f t="shared" si="256"/>
        <v>2989</v>
      </c>
      <c r="C2992" s="142">
        <v>46226</v>
      </c>
      <c r="D2992" s="57" t="s">
        <v>968</v>
      </c>
      <c r="E2992" s="57" t="s">
        <v>532</v>
      </c>
      <c r="F2992" s="57" t="s">
        <v>300</v>
      </c>
      <c r="G2992" s="57" t="s">
        <v>530</v>
      </c>
      <c r="H2992" s="140" t="s">
        <v>3097</v>
      </c>
      <c r="I2992" s="57" t="s">
        <v>532</v>
      </c>
      <c r="J2992" s="57">
        <v>5</v>
      </c>
      <c r="K2992" s="167">
        <f>L2992/J2992</f>
        <v>300</v>
      </c>
      <c r="L2992" s="164">
        <v>1500</v>
      </c>
    </row>
    <row r="2993" spans="2:12" x14ac:dyDescent="0.3">
      <c r="B2993" s="57">
        <f t="shared" si="256"/>
        <v>2990</v>
      </c>
      <c r="C2993" s="142">
        <v>46226</v>
      </c>
      <c r="D2993" s="57" t="s">
        <v>968</v>
      </c>
      <c r="E2993" s="57" t="s">
        <v>4128</v>
      </c>
      <c r="F2993" s="57" t="s">
        <v>2332</v>
      </c>
      <c r="H2993" s="140" t="s">
        <v>3894</v>
      </c>
      <c r="I2993" s="57"/>
      <c r="J2993" s="57"/>
      <c r="L2993" s="164">
        <v>1500</v>
      </c>
    </row>
    <row r="2994" spans="2:12" x14ac:dyDescent="0.3">
      <c r="B2994" s="57">
        <f t="shared" si="256"/>
        <v>2991</v>
      </c>
      <c r="C2994" s="142">
        <v>46226</v>
      </c>
      <c r="D2994" s="57" t="s">
        <v>968</v>
      </c>
      <c r="E2994" s="57" t="s">
        <v>574</v>
      </c>
      <c r="F2994" s="57" t="s">
        <v>300</v>
      </c>
      <c r="G2994" s="57" t="s">
        <v>2331</v>
      </c>
      <c r="H2994" s="140" t="s">
        <v>3006</v>
      </c>
      <c r="I2994" s="140" t="s">
        <v>4081</v>
      </c>
      <c r="J2994" s="57">
        <v>3.49</v>
      </c>
      <c r="K2994" s="57">
        <v>600</v>
      </c>
      <c r="L2994" s="164">
        <v>2090</v>
      </c>
    </row>
    <row r="2995" spans="2:12" x14ac:dyDescent="0.3">
      <c r="B2995" s="57">
        <f t="shared" si="256"/>
        <v>2992</v>
      </c>
      <c r="C2995" s="142">
        <v>46226</v>
      </c>
      <c r="D2995" s="57" t="s">
        <v>968</v>
      </c>
      <c r="E2995" s="57" t="s">
        <v>146</v>
      </c>
      <c r="F2995" s="57" t="s">
        <v>300</v>
      </c>
      <c r="G2995" s="57" t="s">
        <v>2331</v>
      </c>
      <c r="H2995" s="140" t="s">
        <v>3007</v>
      </c>
      <c r="I2995" s="57"/>
      <c r="J2995" s="165">
        <f>L2995/K2995</f>
        <v>3.7735849056603774</v>
      </c>
      <c r="K2995" s="57">
        <v>106</v>
      </c>
      <c r="L2995" s="164">
        <v>400</v>
      </c>
    </row>
    <row r="2996" spans="2:12" x14ac:dyDescent="0.3">
      <c r="B2996" s="57">
        <f t="shared" si="256"/>
        <v>2993</v>
      </c>
      <c r="C2996" s="142">
        <v>46226</v>
      </c>
      <c r="D2996" s="57" t="s">
        <v>968</v>
      </c>
      <c r="E2996" s="57" t="s">
        <v>532</v>
      </c>
      <c r="F2996" s="57" t="s">
        <v>300</v>
      </c>
      <c r="G2996" s="57" t="s">
        <v>530</v>
      </c>
      <c r="H2996" s="140" t="s">
        <v>3008</v>
      </c>
      <c r="I2996" s="57" t="s">
        <v>532</v>
      </c>
      <c r="J2996" s="57">
        <v>50</v>
      </c>
      <c r="K2996" s="57">
        <v>260</v>
      </c>
      <c r="L2996" s="164">
        <v>13000</v>
      </c>
    </row>
    <row r="2997" spans="2:12" x14ac:dyDescent="0.3">
      <c r="B2997" s="57">
        <f t="shared" si="256"/>
        <v>2994</v>
      </c>
      <c r="C2997" s="142">
        <v>46226</v>
      </c>
      <c r="D2997" s="57" t="s">
        <v>968</v>
      </c>
      <c r="E2997" s="57" t="s">
        <v>146</v>
      </c>
      <c r="F2997" s="57" t="s">
        <v>652</v>
      </c>
      <c r="G2997" s="57" t="s">
        <v>651</v>
      </c>
      <c r="H2997" s="140" t="s">
        <v>3009</v>
      </c>
      <c r="I2997" s="57"/>
      <c r="J2997" s="165">
        <f t="shared" ref="J2997:J2998" si="261">L2997/K2997</f>
        <v>37.735849056603776</v>
      </c>
      <c r="K2997" s="57">
        <v>106</v>
      </c>
      <c r="L2997" s="164">
        <v>4000</v>
      </c>
    </row>
    <row r="2998" spans="2:12" x14ac:dyDescent="0.3">
      <c r="B2998" s="57">
        <f t="shared" si="256"/>
        <v>2995</v>
      </c>
      <c r="C2998" s="142">
        <v>46226</v>
      </c>
      <c r="D2998" s="57" t="s">
        <v>968</v>
      </c>
      <c r="E2998" s="57" t="s">
        <v>146</v>
      </c>
      <c r="F2998" s="57" t="s">
        <v>652</v>
      </c>
      <c r="G2998" s="57" t="s">
        <v>651</v>
      </c>
      <c r="H2998" s="140" t="s">
        <v>3010</v>
      </c>
      <c r="I2998" s="57"/>
      <c r="J2998" s="165">
        <f t="shared" si="261"/>
        <v>37.735849056603776</v>
      </c>
      <c r="K2998" s="57">
        <v>106</v>
      </c>
      <c r="L2998" s="164">
        <v>4000</v>
      </c>
    </row>
    <row r="2999" spans="2:12" x14ac:dyDescent="0.3">
      <c r="B2999" s="57">
        <f t="shared" si="256"/>
        <v>2996</v>
      </c>
      <c r="C2999" s="142">
        <v>46226</v>
      </c>
      <c r="D2999" s="57" t="s">
        <v>435</v>
      </c>
      <c r="E2999" s="57" t="s">
        <v>2427</v>
      </c>
      <c r="F2999" s="57" t="s">
        <v>446</v>
      </c>
      <c r="G2999" s="57" t="s">
        <v>649</v>
      </c>
      <c r="H2999" s="140" t="s">
        <v>3012</v>
      </c>
      <c r="I2999" s="57" t="s">
        <v>2914</v>
      </c>
      <c r="J2999" s="165">
        <f>L2999/K2999</f>
        <v>563.93442622950818</v>
      </c>
      <c r="K2999" s="57">
        <v>61</v>
      </c>
      <c r="L2999" s="164">
        <v>34400</v>
      </c>
    </row>
    <row r="3000" spans="2:12" x14ac:dyDescent="0.3">
      <c r="B3000" s="57">
        <f t="shared" si="256"/>
        <v>2997</v>
      </c>
      <c r="C3000" s="142">
        <v>46226</v>
      </c>
      <c r="D3000" s="57" t="s">
        <v>435</v>
      </c>
      <c r="E3000" s="57" t="s">
        <v>532</v>
      </c>
      <c r="F3000" s="57" t="s">
        <v>446</v>
      </c>
      <c r="G3000" s="57" t="s">
        <v>649</v>
      </c>
      <c r="H3000" s="140" t="s">
        <v>3011</v>
      </c>
      <c r="I3000" s="57" t="s">
        <v>532</v>
      </c>
      <c r="J3000" s="57">
        <v>100</v>
      </c>
      <c r="K3000" s="57">
        <v>255</v>
      </c>
      <c r="L3000" s="164">
        <f t="shared" si="257"/>
        <v>25500</v>
      </c>
    </row>
    <row r="3001" spans="2:12" x14ac:dyDescent="0.3">
      <c r="B3001" s="57">
        <f t="shared" si="256"/>
        <v>2998</v>
      </c>
      <c r="C3001" s="142">
        <v>46226</v>
      </c>
      <c r="D3001" s="57" t="s">
        <v>968</v>
      </c>
      <c r="E3001" s="57" t="s">
        <v>4128</v>
      </c>
      <c r="F3001" s="57" t="s">
        <v>446</v>
      </c>
      <c r="G3001" s="57" t="s">
        <v>649</v>
      </c>
      <c r="H3001" s="140" t="s">
        <v>3013</v>
      </c>
      <c r="I3001" s="57" t="s">
        <v>532</v>
      </c>
      <c r="J3001" s="57"/>
      <c r="L3001" s="164">
        <v>300</v>
      </c>
    </row>
    <row r="3002" spans="2:12" x14ac:dyDescent="0.3">
      <c r="B3002" s="57">
        <f t="shared" si="256"/>
        <v>2999</v>
      </c>
      <c r="C3002" s="142">
        <v>46226</v>
      </c>
      <c r="D3002" s="57" t="s">
        <v>968</v>
      </c>
      <c r="E3002" s="57" t="s">
        <v>434</v>
      </c>
      <c r="F3002" s="57" t="s">
        <v>446</v>
      </c>
      <c r="G3002" s="57" t="s">
        <v>649</v>
      </c>
      <c r="H3002" s="140" t="s">
        <v>3014</v>
      </c>
      <c r="I3002" s="57"/>
      <c r="J3002" s="57">
        <v>30</v>
      </c>
      <c r="K3002" s="57">
        <v>150</v>
      </c>
      <c r="L3002" s="164">
        <f t="shared" si="257"/>
        <v>4500</v>
      </c>
    </row>
    <row r="3003" spans="2:12" x14ac:dyDescent="0.3">
      <c r="B3003" s="57">
        <f t="shared" si="256"/>
        <v>3000</v>
      </c>
      <c r="C3003" s="142">
        <v>46226</v>
      </c>
      <c r="D3003" s="57" t="s">
        <v>968</v>
      </c>
      <c r="E3003" s="57" t="s">
        <v>146</v>
      </c>
      <c r="F3003" s="57" t="s">
        <v>446</v>
      </c>
      <c r="G3003" s="57" t="s">
        <v>649</v>
      </c>
      <c r="H3003" s="140" t="s">
        <v>879</v>
      </c>
      <c r="I3003" s="57"/>
      <c r="J3003" s="165">
        <f t="shared" ref="J3003:J3004" si="262">L3003/K3003</f>
        <v>44.339622641509436</v>
      </c>
      <c r="K3003" s="57">
        <v>106</v>
      </c>
      <c r="L3003" s="164">
        <v>4700</v>
      </c>
    </row>
    <row r="3004" spans="2:12" x14ac:dyDescent="0.3">
      <c r="B3004" s="57">
        <f t="shared" si="256"/>
        <v>3001</v>
      </c>
      <c r="C3004" s="142">
        <v>46226</v>
      </c>
      <c r="D3004" s="57" t="s">
        <v>968</v>
      </c>
      <c r="E3004" s="57" t="s">
        <v>4101</v>
      </c>
      <c r="F3004" s="57" t="s">
        <v>502</v>
      </c>
      <c r="G3004" s="57" t="s">
        <v>257</v>
      </c>
      <c r="H3004" s="140" t="s">
        <v>2827</v>
      </c>
      <c r="I3004" s="57"/>
      <c r="J3004" s="165">
        <f t="shared" si="262"/>
        <v>9.433962264150944</v>
      </c>
      <c r="K3004" s="57">
        <v>106</v>
      </c>
      <c r="L3004" s="164">
        <v>1000</v>
      </c>
    </row>
    <row r="3005" spans="2:12" x14ac:dyDescent="0.3">
      <c r="B3005" s="57">
        <f t="shared" si="256"/>
        <v>3002</v>
      </c>
      <c r="C3005" s="142">
        <v>46226</v>
      </c>
      <c r="D3005" s="57" t="s">
        <v>435</v>
      </c>
      <c r="E3005" s="57" t="s">
        <v>574</v>
      </c>
      <c r="F3005" s="57" t="s">
        <v>300</v>
      </c>
      <c r="G3005" s="57" t="s">
        <v>2331</v>
      </c>
      <c r="H3005" s="140" t="s">
        <v>3015</v>
      </c>
      <c r="I3005" s="140" t="s">
        <v>2635</v>
      </c>
      <c r="J3005" s="57">
        <v>5.61</v>
      </c>
      <c r="K3005" s="168">
        <f>L3005/J3005</f>
        <v>499.10873440285201</v>
      </c>
      <c r="L3005" s="164">
        <v>2800</v>
      </c>
    </row>
    <row r="3006" spans="2:12" x14ac:dyDescent="0.3">
      <c r="B3006" s="57">
        <f t="shared" si="256"/>
        <v>3003</v>
      </c>
      <c r="C3006" s="142">
        <v>46226</v>
      </c>
      <c r="D3006" s="57" t="s">
        <v>435</v>
      </c>
      <c r="E3006" s="57" t="s">
        <v>574</v>
      </c>
      <c r="F3006" s="57" t="s">
        <v>300</v>
      </c>
      <c r="G3006" s="57" t="s">
        <v>2331</v>
      </c>
      <c r="H3006" s="140" t="s">
        <v>2636</v>
      </c>
      <c r="I3006" s="140" t="s">
        <v>4081</v>
      </c>
      <c r="J3006" s="57">
        <v>5.57</v>
      </c>
      <c r="K3006" s="167">
        <f>L3006/J3006</f>
        <v>502.69299820466784</v>
      </c>
      <c r="L3006" s="164">
        <v>2800</v>
      </c>
    </row>
    <row r="3007" spans="2:12" x14ac:dyDescent="0.3">
      <c r="B3007" s="57">
        <f t="shared" si="256"/>
        <v>3004</v>
      </c>
      <c r="C3007" s="142">
        <v>46227</v>
      </c>
      <c r="D3007" s="57" t="s">
        <v>968</v>
      </c>
      <c r="E3007" s="57" t="s">
        <v>146</v>
      </c>
      <c r="F3007" s="57" t="s">
        <v>300</v>
      </c>
      <c r="G3007" s="57" t="s">
        <v>2331</v>
      </c>
      <c r="H3007" s="140" t="s">
        <v>4088</v>
      </c>
      <c r="I3007" s="57"/>
      <c r="J3007" s="165">
        <f t="shared" ref="J3007:J3008" si="263">L3007/K3007</f>
        <v>18.867924528301888</v>
      </c>
      <c r="K3007" s="57">
        <v>106</v>
      </c>
      <c r="L3007" s="164">
        <v>2000</v>
      </c>
    </row>
    <row r="3008" spans="2:12" x14ac:dyDescent="0.3">
      <c r="B3008" s="57">
        <f t="shared" si="256"/>
        <v>3005</v>
      </c>
      <c r="C3008" s="142">
        <v>46227</v>
      </c>
      <c r="D3008" s="57" t="s">
        <v>968</v>
      </c>
      <c r="E3008" s="57" t="s">
        <v>146</v>
      </c>
      <c r="F3008" s="57" t="s">
        <v>446</v>
      </c>
      <c r="G3008" s="57" t="s">
        <v>572</v>
      </c>
      <c r="H3008" s="140" t="s">
        <v>885</v>
      </c>
      <c r="I3008" s="57"/>
      <c r="J3008" s="165">
        <f t="shared" si="263"/>
        <v>23.584905660377359</v>
      </c>
      <c r="K3008" s="57">
        <v>106</v>
      </c>
      <c r="L3008" s="164">
        <v>2500</v>
      </c>
    </row>
    <row r="3009" spans="2:12" x14ac:dyDescent="0.3">
      <c r="B3009" s="57">
        <f t="shared" si="256"/>
        <v>3006</v>
      </c>
      <c r="C3009" s="142">
        <v>46227</v>
      </c>
      <c r="D3009" s="57" t="s">
        <v>968</v>
      </c>
      <c r="E3009" s="57" t="s">
        <v>4128</v>
      </c>
      <c r="F3009" s="57" t="s">
        <v>2332</v>
      </c>
      <c r="G3009" s="57" t="s">
        <v>1004</v>
      </c>
      <c r="H3009" s="140" t="s">
        <v>3053</v>
      </c>
      <c r="I3009" s="57"/>
      <c r="J3009" s="57"/>
      <c r="L3009" s="164">
        <v>900</v>
      </c>
    </row>
    <row r="3010" spans="2:12" x14ac:dyDescent="0.3">
      <c r="B3010" s="57">
        <f t="shared" si="256"/>
        <v>3007</v>
      </c>
      <c r="C3010" s="142">
        <v>46227</v>
      </c>
      <c r="D3010" s="57" t="s">
        <v>435</v>
      </c>
      <c r="E3010" s="57" t="s">
        <v>2427</v>
      </c>
      <c r="H3010" s="140" t="s">
        <v>2914</v>
      </c>
      <c r="I3010" s="57" t="s">
        <v>2427</v>
      </c>
      <c r="J3010" s="57">
        <v>56000</v>
      </c>
      <c r="L3010" s="164">
        <v>140000</v>
      </c>
    </row>
    <row r="3011" spans="2:12" x14ac:dyDescent="0.3">
      <c r="B3011" s="57">
        <f t="shared" si="256"/>
        <v>3008</v>
      </c>
      <c r="C3011" s="142">
        <v>46227</v>
      </c>
      <c r="D3011" s="57" t="s">
        <v>435</v>
      </c>
      <c r="E3011" s="57" t="s">
        <v>4128</v>
      </c>
      <c r="H3011" s="140" t="s">
        <v>2782</v>
      </c>
      <c r="I3011" s="57" t="s">
        <v>2782</v>
      </c>
      <c r="J3011" s="57"/>
      <c r="L3011" s="164">
        <v>1500</v>
      </c>
    </row>
    <row r="3012" spans="2:12" x14ac:dyDescent="0.3">
      <c r="B3012" s="57">
        <f t="shared" si="256"/>
        <v>3009</v>
      </c>
      <c r="C3012" s="142">
        <v>46227</v>
      </c>
      <c r="D3012" s="57" t="s">
        <v>435</v>
      </c>
      <c r="E3012" s="57" t="s">
        <v>2427</v>
      </c>
      <c r="H3012" s="140" t="s">
        <v>522</v>
      </c>
      <c r="I3012" s="57"/>
      <c r="J3012" s="57"/>
      <c r="L3012" s="164">
        <v>2000</v>
      </c>
    </row>
    <row r="3013" spans="2:12" x14ac:dyDescent="0.3">
      <c r="B3013" s="57">
        <f t="shared" si="256"/>
        <v>3010</v>
      </c>
      <c r="C3013" s="142">
        <v>46227</v>
      </c>
      <c r="D3013" s="57" t="s">
        <v>435</v>
      </c>
      <c r="E3013" s="57" t="s">
        <v>2427</v>
      </c>
      <c r="H3013" s="140" t="s">
        <v>2914</v>
      </c>
      <c r="I3013" s="57" t="s">
        <v>3062</v>
      </c>
      <c r="J3013" s="57">
        <v>2500</v>
      </c>
      <c r="K3013" s="57">
        <v>52</v>
      </c>
      <c r="L3013" s="164">
        <f t="shared" si="257"/>
        <v>130000</v>
      </c>
    </row>
    <row r="3014" spans="2:12" x14ac:dyDescent="0.3">
      <c r="B3014" s="57">
        <f t="shared" ref="B3014:B3077" si="264">+B3013+1</f>
        <v>3011</v>
      </c>
      <c r="C3014" s="142">
        <v>46227</v>
      </c>
      <c r="D3014" s="57" t="s">
        <v>435</v>
      </c>
      <c r="E3014" s="57" t="s">
        <v>2427</v>
      </c>
      <c r="H3014" s="140" t="s">
        <v>522</v>
      </c>
      <c r="I3014" s="57"/>
      <c r="J3014" s="57"/>
      <c r="L3014" s="164">
        <v>2500</v>
      </c>
    </row>
    <row r="3015" spans="2:12" x14ac:dyDescent="0.3">
      <c r="B3015" s="57">
        <f t="shared" si="264"/>
        <v>3012</v>
      </c>
      <c r="C3015" s="142">
        <v>46227</v>
      </c>
      <c r="D3015" s="57" t="s">
        <v>435</v>
      </c>
      <c r="E3015" s="57" t="s">
        <v>4128</v>
      </c>
      <c r="H3015" s="140" t="s">
        <v>2782</v>
      </c>
      <c r="I3015" s="57" t="s">
        <v>2782</v>
      </c>
      <c r="J3015" s="57"/>
      <c r="L3015" s="164">
        <v>1000</v>
      </c>
    </row>
    <row r="3016" spans="2:12" x14ac:dyDescent="0.3">
      <c r="B3016" s="57">
        <f t="shared" si="264"/>
        <v>3013</v>
      </c>
      <c r="C3016" s="142">
        <v>46227</v>
      </c>
      <c r="D3016" s="57" t="s">
        <v>968</v>
      </c>
      <c r="E3016" s="57" t="s">
        <v>532</v>
      </c>
      <c r="F3016" s="57" t="s">
        <v>2332</v>
      </c>
      <c r="G3016" s="57" t="s">
        <v>1004</v>
      </c>
      <c r="H3016" s="140" t="s">
        <v>3054</v>
      </c>
      <c r="I3016" s="57" t="s">
        <v>532</v>
      </c>
      <c r="J3016" s="57">
        <v>16</v>
      </c>
      <c r="K3016" s="57">
        <v>260</v>
      </c>
      <c r="L3016" s="164">
        <f t="shared" si="257"/>
        <v>4160</v>
      </c>
    </row>
    <row r="3017" spans="2:12" x14ac:dyDescent="0.3">
      <c r="B3017" s="57">
        <f t="shared" si="264"/>
        <v>3014</v>
      </c>
      <c r="C3017" s="142">
        <v>46227</v>
      </c>
      <c r="D3017" s="57" t="s">
        <v>968</v>
      </c>
      <c r="E3017" s="57" t="s">
        <v>146</v>
      </c>
      <c r="F3017" s="57" t="s">
        <v>2332</v>
      </c>
      <c r="G3017" s="57" t="s">
        <v>1004</v>
      </c>
      <c r="H3017" s="140" t="s">
        <v>3055</v>
      </c>
      <c r="I3017" s="57"/>
      <c r="J3017" s="165">
        <f t="shared" ref="J3017:J3018" si="265">L3017/K3017</f>
        <v>18.867924528301888</v>
      </c>
      <c r="K3017" s="57">
        <v>106</v>
      </c>
      <c r="L3017" s="164">
        <v>2000</v>
      </c>
    </row>
    <row r="3018" spans="2:12" x14ac:dyDescent="0.3">
      <c r="B3018" s="57">
        <f t="shared" si="264"/>
        <v>3015</v>
      </c>
      <c r="C3018" s="142">
        <v>46227</v>
      </c>
      <c r="D3018" s="57" t="s">
        <v>968</v>
      </c>
      <c r="E3018" s="57" t="s">
        <v>146</v>
      </c>
      <c r="F3018" s="57" t="s">
        <v>300</v>
      </c>
      <c r="G3018" s="57" t="s">
        <v>530</v>
      </c>
      <c r="H3018" s="140" t="s">
        <v>3056</v>
      </c>
      <c r="I3018" s="57"/>
      <c r="J3018" s="165">
        <f t="shared" si="265"/>
        <v>18.867924528301888</v>
      </c>
      <c r="K3018" s="57">
        <v>106</v>
      </c>
      <c r="L3018" s="164">
        <v>2000</v>
      </c>
    </row>
    <row r="3019" spans="2:12" x14ac:dyDescent="0.3">
      <c r="B3019" s="57">
        <f t="shared" si="264"/>
        <v>3016</v>
      </c>
      <c r="C3019" s="142">
        <v>46227</v>
      </c>
      <c r="D3019" s="57" t="s">
        <v>968</v>
      </c>
      <c r="E3019" s="57" t="s">
        <v>532</v>
      </c>
      <c r="F3019" s="57" t="s">
        <v>446</v>
      </c>
      <c r="G3019" s="57" t="s">
        <v>572</v>
      </c>
      <c r="H3019" s="140" t="s">
        <v>3057</v>
      </c>
      <c r="I3019" s="57" t="s">
        <v>532</v>
      </c>
      <c r="J3019" s="57">
        <v>20</v>
      </c>
      <c r="K3019" s="167">
        <f>L3019/J3019</f>
        <v>270</v>
      </c>
      <c r="L3019" s="164">
        <v>5400</v>
      </c>
    </row>
    <row r="3020" spans="2:12" x14ac:dyDescent="0.3">
      <c r="B3020" s="57">
        <f t="shared" si="264"/>
        <v>3017</v>
      </c>
      <c r="C3020" s="142">
        <v>46227</v>
      </c>
      <c r="D3020" s="57" t="s">
        <v>968</v>
      </c>
      <c r="E3020" s="57" t="s">
        <v>434</v>
      </c>
      <c r="F3020" s="57" t="s">
        <v>446</v>
      </c>
      <c r="G3020" s="57" t="s">
        <v>572</v>
      </c>
      <c r="H3020" s="140" t="s">
        <v>3058</v>
      </c>
      <c r="I3020" s="57"/>
      <c r="J3020" s="57"/>
      <c r="L3020" s="164">
        <v>300</v>
      </c>
    </row>
    <row r="3021" spans="2:12" x14ac:dyDescent="0.3">
      <c r="B3021" s="57">
        <f t="shared" si="264"/>
        <v>3018</v>
      </c>
      <c r="C3021" s="142">
        <v>46227</v>
      </c>
      <c r="D3021" s="57" t="s">
        <v>968</v>
      </c>
      <c r="E3021" s="57" t="s">
        <v>481</v>
      </c>
      <c r="F3021" s="57" t="s">
        <v>300</v>
      </c>
      <c r="G3021" s="57" t="s">
        <v>2509</v>
      </c>
      <c r="H3021" s="140" t="s">
        <v>3059</v>
      </c>
      <c r="I3021" s="57" t="s">
        <v>481</v>
      </c>
      <c r="J3021" s="57"/>
      <c r="L3021" s="164">
        <v>1000</v>
      </c>
    </row>
    <row r="3022" spans="2:12" x14ac:dyDescent="0.3">
      <c r="B3022" s="57">
        <f t="shared" si="264"/>
        <v>3019</v>
      </c>
      <c r="C3022" s="142">
        <v>46227</v>
      </c>
      <c r="D3022" s="57" t="s">
        <v>968</v>
      </c>
      <c r="E3022" s="57" t="s">
        <v>146</v>
      </c>
      <c r="F3022" s="57" t="s">
        <v>436</v>
      </c>
      <c r="G3022" s="57" t="s">
        <v>270</v>
      </c>
      <c r="H3022" s="140" t="s">
        <v>4112</v>
      </c>
      <c r="I3022" s="57" t="s">
        <v>146</v>
      </c>
      <c r="J3022" s="165">
        <f>L3022/K3022</f>
        <v>28.30188679245283</v>
      </c>
      <c r="K3022" s="57">
        <v>106</v>
      </c>
      <c r="L3022" s="164">
        <v>3000</v>
      </c>
    </row>
    <row r="3023" spans="2:12" x14ac:dyDescent="0.3">
      <c r="B3023" s="57">
        <f t="shared" si="264"/>
        <v>3020</v>
      </c>
      <c r="C3023" s="142">
        <v>46227</v>
      </c>
      <c r="D3023" s="57" t="s">
        <v>968</v>
      </c>
      <c r="E3023" s="57" t="s">
        <v>434</v>
      </c>
      <c r="F3023" s="57" t="s">
        <v>300</v>
      </c>
      <c r="G3023" s="57" t="s">
        <v>530</v>
      </c>
      <c r="H3023" s="140" t="s">
        <v>3060</v>
      </c>
      <c r="I3023" s="57"/>
      <c r="J3023" s="57"/>
      <c r="L3023" s="164">
        <v>400</v>
      </c>
    </row>
    <row r="3024" spans="2:12" x14ac:dyDescent="0.3">
      <c r="B3024" s="57">
        <f t="shared" si="264"/>
        <v>3021</v>
      </c>
      <c r="C3024" s="142">
        <v>46227</v>
      </c>
      <c r="D3024" s="57" t="s">
        <v>435</v>
      </c>
      <c r="F3024" s="57" t="s">
        <v>300</v>
      </c>
      <c r="G3024" s="57" t="s">
        <v>530</v>
      </c>
      <c r="H3024" s="140" t="s">
        <v>3061</v>
      </c>
      <c r="I3024" s="57"/>
      <c r="J3024" s="57"/>
      <c r="L3024" s="164">
        <v>10000</v>
      </c>
    </row>
    <row r="3025" spans="2:12" x14ac:dyDescent="0.3">
      <c r="B3025" s="57">
        <f t="shared" si="264"/>
        <v>3022</v>
      </c>
      <c r="C3025" s="142">
        <v>46227</v>
      </c>
      <c r="D3025" s="57" t="s">
        <v>968</v>
      </c>
      <c r="E3025" s="57" t="s">
        <v>434</v>
      </c>
      <c r="F3025" s="57" t="s">
        <v>446</v>
      </c>
      <c r="G3025" s="57" t="s">
        <v>990</v>
      </c>
      <c r="H3025" s="140" t="s">
        <v>3063</v>
      </c>
      <c r="I3025" s="57"/>
      <c r="J3025" s="57"/>
      <c r="L3025" s="164">
        <v>970</v>
      </c>
    </row>
    <row r="3026" spans="2:12" x14ac:dyDescent="0.3">
      <c r="B3026" s="57">
        <f t="shared" si="264"/>
        <v>3023</v>
      </c>
      <c r="C3026" s="142">
        <v>46227</v>
      </c>
      <c r="D3026" s="57" t="s">
        <v>968</v>
      </c>
      <c r="E3026" s="57" t="s">
        <v>434</v>
      </c>
      <c r="F3026" s="57" t="s">
        <v>446</v>
      </c>
      <c r="G3026" s="57" t="s">
        <v>990</v>
      </c>
      <c r="H3026" s="140" t="s">
        <v>3064</v>
      </c>
      <c r="I3026" s="57"/>
      <c r="J3026" s="57"/>
      <c r="L3026" s="164">
        <v>200</v>
      </c>
    </row>
    <row r="3027" spans="2:12" x14ac:dyDescent="0.3">
      <c r="B3027" s="57">
        <f t="shared" si="264"/>
        <v>3024</v>
      </c>
      <c r="C3027" s="142">
        <v>46227</v>
      </c>
      <c r="D3027" s="57" t="s">
        <v>968</v>
      </c>
      <c r="E3027" s="57" t="s">
        <v>434</v>
      </c>
      <c r="F3027" s="57" t="s">
        <v>446</v>
      </c>
      <c r="G3027" s="57" t="s">
        <v>990</v>
      </c>
      <c r="H3027" s="140" t="s">
        <v>2773</v>
      </c>
      <c r="I3027" s="57"/>
      <c r="J3027" s="57"/>
      <c r="L3027" s="164">
        <v>3350</v>
      </c>
    </row>
    <row r="3028" spans="2:12" x14ac:dyDescent="0.3">
      <c r="B3028" s="57">
        <f t="shared" si="264"/>
        <v>3025</v>
      </c>
      <c r="C3028" s="142">
        <v>46227</v>
      </c>
      <c r="D3028" s="57" t="s">
        <v>968</v>
      </c>
      <c r="E3028" s="57" t="s">
        <v>767</v>
      </c>
      <c r="F3028" s="57" t="s">
        <v>300</v>
      </c>
      <c r="G3028" s="57" t="s">
        <v>530</v>
      </c>
      <c r="H3028" s="140" t="s">
        <v>3096</v>
      </c>
      <c r="I3028" s="57"/>
      <c r="J3028" s="57"/>
      <c r="L3028" s="164">
        <v>1250</v>
      </c>
    </row>
    <row r="3029" spans="2:12" x14ac:dyDescent="0.3">
      <c r="B3029" s="57">
        <f t="shared" si="264"/>
        <v>3026</v>
      </c>
      <c r="C3029" s="142">
        <v>46227</v>
      </c>
      <c r="D3029" s="57" t="s">
        <v>968</v>
      </c>
      <c r="E3029" s="57" t="s">
        <v>434</v>
      </c>
      <c r="F3029" s="57" t="s">
        <v>300</v>
      </c>
      <c r="G3029" s="57" t="s">
        <v>530</v>
      </c>
      <c r="H3029" s="140" t="s">
        <v>3098</v>
      </c>
      <c r="I3029" s="57"/>
      <c r="J3029" s="57"/>
      <c r="L3029" s="164">
        <v>84</v>
      </c>
    </row>
    <row r="3030" spans="2:12" x14ac:dyDescent="0.3">
      <c r="B3030" s="57">
        <f t="shared" si="264"/>
        <v>3027</v>
      </c>
      <c r="C3030" s="142">
        <v>46227</v>
      </c>
      <c r="D3030" s="57" t="s">
        <v>968</v>
      </c>
      <c r="E3030" s="57" t="s">
        <v>3145</v>
      </c>
      <c r="F3030" s="57" t="s">
        <v>300</v>
      </c>
      <c r="G3030" s="57" t="s">
        <v>530</v>
      </c>
      <c r="H3030" s="140" t="s">
        <v>3099</v>
      </c>
      <c r="I3030" s="57"/>
      <c r="J3030" s="57"/>
      <c r="L3030" s="164">
        <v>770</v>
      </c>
    </row>
    <row r="3031" spans="2:12" x14ac:dyDescent="0.3">
      <c r="B3031" s="57">
        <f t="shared" si="264"/>
        <v>3028</v>
      </c>
      <c r="C3031" s="142">
        <v>46227</v>
      </c>
      <c r="D3031" s="57" t="s">
        <v>435</v>
      </c>
      <c r="E3031" s="57" t="s">
        <v>4008</v>
      </c>
      <c r="F3031" s="57" t="s">
        <v>546</v>
      </c>
      <c r="G3031" s="57" t="s">
        <v>999</v>
      </c>
      <c r="H3031" s="140" t="s">
        <v>3100</v>
      </c>
      <c r="I3031" s="57"/>
      <c r="J3031" s="57"/>
      <c r="L3031" s="164">
        <v>31500</v>
      </c>
    </row>
    <row r="3032" spans="2:12" x14ac:dyDescent="0.3">
      <c r="B3032" s="57">
        <f t="shared" si="264"/>
        <v>3029</v>
      </c>
      <c r="C3032" s="142">
        <v>46227</v>
      </c>
      <c r="D3032" s="57" t="s">
        <v>968</v>
      </c>
      <c r="E3032" s="57" t="s">
        <v>4101</v>
      </c>
      <c r="F3032" s="57" t="s">
        <v>502</v>
      </c>
      <c r="G3032" s="57" t="s">
        <v>257</v>
      </c>
      <c r="H3032" s="140" t="s">
        <v>2827</v>
      </c>
      <c r="I3032" s="57"/>
      <c r="J3032" s="165">
        <f t="shared" ref="J3032:J3033" si="266">L3032/K3032</f>
        <v>9.433962264150944</v>
      </c>
      <c r="K3032" s="57">
        <v>106</v>
      </c>
      <c r="L3032" s="164">
        <v>1000</v>
      </c>
    </row>
    <row r="3033" spans="2:12" x14ac:dyDescent="0.3">
      <c r="B3033" s="57">
        <f t="shared" si="264"/>
        <v>3030</v>
      </c>
      <c r="C3033" s="142">
        <v>46228</v>
      </c>
      <c r="D3033" s="57" t="s">
        <v>435</v>
      </c>
      <c r="E3033" s="57" t="s">
        <v>146</v>
      </c>
      <c r="F3033" s="57" t="s">
        <v>350</v>
      </c>
      <c r="G3033" s="57" t="s">
        <v>322</v>
      </c>
      <c r="H3033" s="140" t="s">
        <v>3101</v>
      </c>
      <c r="I3033" s="57"/>
      <c r="J3033" s="165">
        <f t="shared" si="266"/>
        <v>18.867924528301888</v>
      </c>
      <c r="K3033" s="57">
        <v>106</v>
      </c>
      <c r="L3033" s="164">
        <v>2000</v>
      </c>
    </row>
    <row r="3034" spans="2:12" x14ac:dyDescent="0.3">
      <c r="B3034" s="57">
        <f t="shared" si="264"/>
        <v>3031</v>
      </c>
      <c r="C3034" s="142">
        <v>46228</v>
      </c>
      <c r="D3034" s="57" t="s">
        <v>435</v>
      </c>
      <c r="E3034" s="57" t="s">
        <v>574</v>
      </c>
      <c r="F3034" s="57" t="s">
        <v>446</v>
      </c>
      <c r="G3034" s="57" t="s">
        <v>359</v>
      </c>
      <c r="H3034" s="140" t="s">
        <v>3102</v>
      </c>
      <c r="I3034" s="140" t="s">
        <v>2635</v>
      </c>
      <c r="J3034" s="57">
        <v>12</v>
      </c>
      <c r="K3034" s="167">
        <f>L3034/J3034</f>
        <v>725</v>
      </c>
      <c r="L3034" s="164">
        <v>8700</v>
      </c>
    </row>
    <row r="3035" spans="2:12" x14ac:dyDescent="0.3">
      <c r="B3035" s="57">
        <f t="shared" si="264"/>
        <v>3032</v>
      </c>
      <c r="C3035" s="142">
        <v>46228</v>
      </c>
      <c r="D3035" s="57" t="s">
        <v>968</v>
      </c>
      <c r="E3035" s="57" t="s">
        <v>767</v>
      </c>
      <c r="F3035" s="57" t="s">
        <v>300</v>
      </c>
      <c r="G3035" s="57" t="s">
        <v>616</v>
      </c>
      <c r="H3035" s="140" t="s">
        <v>3104</v>
      </c>
      <c r="I3035" s="57"/>
      <c r="J3035" s="57"/>
      <c r="L3035" s="164">
        <v>600</v>
      </c>
    </row>
    <row r="3036" spans="2:12" x14ac:dyDescent="0.3">
      <c r="B3036" s="57">
        <f t="shared" si="264"/>
        <v>3033</v>
      </c>
      <c r="C3036" s="142">
        <v>46228</v>
      </c>
      <c r="D3036" s="57" t="s">
        <v>968</v>
      </c>
      <c r="E3036" s="57" t="s">
        <v>767</v>
      </c>
      <c r="F3036" s="57" t="s">
        <v>350</v>
      </c>
      <c r="G3036" s="57" t="s">
        <v>322</v>
      </c>
      <c r="H3036" s="140" t="s">
        <v>3123</v>
      </c>
      <c r="I3036" s="57"/>
      <c r="J3036" s="57"/>
      <c r="L3036" s="164">
        <v>450</v>
      </c>
    </row>
    <row r="3037" spans="2:12" x14ac:dyDescent="0.3">
      <c r="B3037" s="57">
        <f t="shared" si="264"/>
        <v>3034</v>
      </c>
      <c r="C3037" s="142">
        <v>46228</v>
      </c>
      <c r="D3037" s="57" t="s">
        <v>968</v>
      </c>
      <c r="E3037" s="57" t="s">
        <v>767</v>
      </c>
      <c r="F3037" s="57" t="s">
        <v>350</v>
      </c>
      <c r="G3037" s="57" t="s">
        <v>322</v>
      </c>
      <c r="H3037" s="140" t="s">
        <v>3122</v>
      </c>
      <c r="I3037" s="57"/>
      <c r="J3037" s="57"/>
      <c r="L3037" s="164">
        <v>300</v>
      </c>
    </row>
    <row r="3038" spans="2:12" x14ac:dyDescent="0.3">
      <c r="B3038" s="57">
        <f t="shared" si="264"/>
        <v>3035</v>
      </c>
      <c r="C3038" s="142">
        <v>46228</v>
      </c>
      <c r="D3038" s="57" t="s">
        <v>968</v>
      </c>
      <c r="E3038" s="57" t="s">
        <v>146</v>
      </c>
      <c r="F3038" s="57" t="s">
        <v>350</v>
      </c>
      <c r="G3038" s="57" t="s">
        <v>337</v>
      </c>
      <c r="H3038" s="140" t="s">
        <v>3125</v>
      </c>
      <c r="I3038" s="57"/>
      <c r="J3038" s="165">
        <f>L3038/K3038</f>
        <v>18.867924528301888</v>
      </c>
      <c r="K3038" s="57">
        <v>106</v>
      </c>
      <c r="L3038" s="164">
        <v>2000</v>
      </c>
    </row>
    <row r="3039" spans="2:12" x14ac:dyDescent="0.3">
      <c r="B3039" s="57">
        <f t="shared" si="264"/>
        <v>3036</v>
      </c>
      <c r="C3039" s="142">
        <v>46228</v>
      </c>
      <c r="D3039" s="57" t="s">
        <v>968</v>
      </c>
      <c r="E3039" s="57" t="s">
        <v>434</v>
      </c>
      <c r="F3039" s="57" t="s">
        <v>300</v>
      </c>
      <c r="G3039" s="57" t="s">
        <v>530</v>
      </c>
      <c r="H3039" s="140" t="s">
        <v>3131</v>
      </c>
      <c r="I3039" s="57"/>
      <c r="J3039" s="57">
        <v>3</v>
      </c>
      <c r="K3039" s="57">
        <v>80</v>
      </c>
      <c r="L3039" s="164">
        <f t="shared" ref="L3039:L3048" si="267">J3039*K3039</f>
        <v>240</v>
      </c>
    </row>
    <row r="3040" spans="2:12" x14ac:dyDescent="0.3">
      <c r="B3040" s="57">
        <f t="shared" si="264"/>
        <v>3037</v>
      </c>
      <c r="C3040" s="142">
        <v>46228</v>
      </c>
      <c r="D3040" s="57" t="s">
        <v>968</v>
      </c>
      <c r="E3040" s="57" t="s">
        <v>986</v>
      </c>
      <c r="F3040" s="57" t="s">
        <v>502</v>
      </c>
      <c r="G3040" s="57" t="s">
        <v>2344</v>
      </c>
      <c r="H3040" s="140" t="s">
        <v>3132</v>
      </c>
      <c r="I3040" s="57" t="s">
        <v>986</v>
      </c>
      <c r="J3040" s="57">
        <v>35</v>
      </c>
      <c r="K3040" s="57">
        <v>95</v>
      </c>
      <c r="L3040" s="164">
        <f t="shared" si="267"/>
        <v>3325</v>
      </c>
    </row>
    <row r="3041" spans="2:12" x14ac:dyDescent="0.3">
      <c r="B3041" s="57">
        <f t="shared" si="264"/>
        <v>3038</v>
      </c>
      <c r="C3041" s="142">
        <v>46228</v>
      </c>
      <c r="D3041" s="57" t="s">
        <v>968</v>
      </c>
      <c r="E3041" s="57" t="s">
        <v>146</v>
      </c>
      <c r="F3041" s="57" t="s">
        <v>546</v>
      </c>
      <c r="G3041" s="57" t="s">
        <v>545</v>
      </c>
      <c r="H3041" s="140" t="s">
        <v>4098</v>
      </c>
      <c r="I3041" s="57"/>
      <c r="J3041" s="165">
        <f t="shared" ref="J3041:J3042" si="268">L3041/K3041</f>
        <v>28.30188679245283</v>
      </c>
      <c r="K3041" s="57">
        <v>106</v>
      </c>
      <c r="L3041" s="164">
        <v>3000</v>
      </c>
    </row>
    <row r="3042" spans="2:12" x14ac:dyDescent="0.3">
      <c r="B3042" s="57">
        <f t="shared" si="264"/>
        <v>3039</v>
      </c>
      <c r="C3042" s="142">
        <v>46228</v>
      </c>
      <c r="D3042" s="57" t="s">
        <v>968</v>
      </c>
      <c r="E3042" s="57" t="s">
        <v>146</v>
      </c>
      <c r="F3042" s="57" t="s">
        <v>300</v>
      </c>
      <c r="G3042" s="57" t="s">
        <v>709</v>
      </c>
      <c r="H3042" s="140" t="s">
        <v>4109</v>
      </c>
      <c r="I3042" s="57"/>
      <c r="J3042" s="165">
        <f t="shared" si="268"/>
        <v>40.839622641509436</v>
      </c>
      <c r="K3042" s="57">
        <v>106</v>
      </c>
      <c r="L3042" s="164">
        <v>4329</v>
      </c>
    </row>
    <row r="3043" spans="2:12" x14ac:dyDescent="0.3">
      <c r="B3043" s="57">
        <f t="shared" si="264"/>
        <v>3040</v>
      </c>
      <c r="C3043" s="142">
        <v>46228</v>
      </c>
      <c r="D3043" s="57" t="s">
        <v>968</v>
      </c>
      <c r="E3043" s="57" t="s">
        <v>574</v>
      </c>
      <c r="F3043" s="57" t="s">
        <v>300</v>
      </c>
      <c r="G3043" s="57" t="s">
        <v>530</v>
      </c>
      <c r="H3043" s="140" t="s">
        <v>3133</v>
      </c>
      <c r="I3043" s="140" t="s">
        <v>4122</v>
      </c>
      <c r="J3043" s="57">
        <v>4</v>
      </c>
      <c r="K3043" s="167">
        <f>L3043/J3043</f>
        <v>1375</v>
      </c>
      <c r="L3043" s="164">
        <v>5500</v>
      </c>
    </row>
    <row r="3044" spans="2:12" x14ac:dyDescent="0.3">
      <c r="B3044" s="57">
        <f t="shared" si="264"/>
        <v>3041</v>
      </c>
      <c r="C3044" s="142">
        <v>46228</v>
      </c>
      <c r="D3044" s="57" t="s">
        <v>968</v>
      </c>
      <c r="E3044" s="57" t="s">
        <v>4128</v>
      </c>
      <c r="F3044" s="57" t="s">
        <v>300</v>
      </c>
      <c r="G3044" s="57" t="s">
        <v>2794</v>
      </c>
      <c r="H3044" s="140" t="s">
        <v>3134</v>
      </c>
      <c r="I3044" s="57" t="s">
        <v>3135</v>
      </c>
      <c r="J3044" s="57"/>
      <c r="L3044" s="164">
        <v>750</v>
      </c>
    </row>
    <row r="3045" spans="2:12" x14ac:dyDescent="0.3">
      <c r="B3045" s="57">
        <f t="shared" si="264"/>
        <v>3042</v>
      </c>
      <c r="C3045" s="142">
        <v>46228</v>
      </c>
      <c r="D3045" s="57" t="s">
        <v>968</v>
      </c>
      <c r="E3045" s="57" t="s">
        <v>4128</v>
      </c>
      <c r="F3045" s="57" t="s">
        <v>300</v>
      </c>
      <c r="G3045" s="57" t="s">
        <v>2794</v>
      </c>
      <c r="H3045" s="140" t="s">
        <v>3134</v>
      </c>
      <c r="I3045" s="57" t="s">
        <v>3136</v>
      </c>
      <c r="J3045" s="57"/>
      <c r="L3045" s="164">
        <v>400</v>
      </c>
    </row>
    <row r="3046" spans="2:12" x14ac:dyDescent="0.3">
      <c r="B3046" s="57">
        <f t="shared" si="264"/>
        <v>3043</v>
      </c>
      <c r="C3046" s="142">
        <v>46228</v>
      </c>
      <c r="D3046" s="57" t="s">
        <v>968</v>
      </c>
      <c r="E3046" s="57" t="s">
        <v>574</v>
      </c>
      <c r="F3046" s="57" t="s">
        <v>546</v>
      </c>
      <c r="G3046" s="57" t="s">
        <v>545</v>
      </c>
      <c r="H3046" s="140" t="s">
        <v>3137</v>
      </c>
      <c r="I3046" s="140" t="s">
        <v>2635</v>
      </c>
      <c r="J3046" s="57">
        <v>3.98</v>
      </c>
      <c r="K3046" s="57">
        <v>575</v>
      </c>
      <c r="L3046" s="164">
        <v>2290</v>
      </c>
    </row>
    <row r="3047" spans="2:12" x14ac:dyDescent="0.3">
      <c r="B3047" s="57">
        <f t="shared" si="264"/>
        <v>3044</v>
      </c>
      <c r="C3047" s="142">
        <v>46228</v>
      </c>
      <c r="D3047" s="57" t="s">
        <v>968</v>
      </c>
      <c r="E3047" s="57" t="s">
        <v>532</v>
      </c>
      <c r="F3047" s="57" t="s">
        <v>446</v>
      </c>
      <c r="G3047" s="57" t="s">
        <v>359</v>
      </c>
      <c r="H3047" s="140" t="s">
        <v>3138</v>
      </c>
      <c r="I3047" s="57" t="s">
        <v>532</v>
      </c>
      <c r="J3047" s="57">
        <v>10</v>
      </c>
      <c r="K3047" s="57">
        <v>260</v>
      </c>
      <c r="L3047" s="164">
        <f t="shared" si="267"/>
        <v>2600</v>
      </c>
    </row>
    <row r="3048" spans="2:12" x14ac:dyDescent="0.3">
      <c r="B3048" s="57">
        <f t="shared" si="264"/>
        <v>3045</v>
      </c>
      <c r="C3048" s="142">
        <v>46228</v>
      </c>
      <c r="D3048" s="57" t="s">
        <v>968</v>
      </c>
      <c r="E3048" s="57" t="s">
        <v>237</v>
      </c>
      <c r="F3048" s="57" t="s">
        <v>446</v>
      </c>
      <c r="G3048" s="57" t="s">
        <v>359</v>
      </c>
      <c r="H3048" s="140" t="s">
        <v>3139</v>
      </c>
      <c r="I3048" s="57"/>
      <c r="J3048" s="57">
        <v>10</v>
      </c>
      <c r="K3048" s="57">
        <v>140</v>
      </c>
      <c r="L3048" s="164">
        <f t="shared" si="267"/>
        <v>1400</v>
      </c>
    </row>
    <row r="3049" spans="2:12" x14ac:dyDescent="0.3">
      <c r="B3049" s="57">
        <f t="shared" si="264"/>
        <v>3046</v>
      </c>
      <c r="C3049" s="142">
        <v>46228</v>
      </c>
      <c r="D3049" s="57" t="s">
        <v>435</v>
      </c>
      <c r="E3049" s="57" t="s">
        <v>574</v>
      </c>
      <c r="F3049" s="57" t="s">
        <v>446</v>
      </c>
      <c r="G3049" s="57" t="s">
        <v>359</v>
      </c>
      <c r="H3049" s="140" t="s">
        <v>3140</v>
      </c>
      <c r="I3049" s="140" t="s">
        <v>4081</v>
      </c>
      <c r="J3049" s="57">
        <v>10.199999999999999</v>
      </c>
      <c r="K3049" s="167">
        <f>L3049/J3049</f>
        <v>852.94117647058829</v>
      </c>
      <c r="L3049" s="164">
        <v>8700</v>
      </c>
    </row>
    <row r="3050" spans="2:12" x14ac:dyDescent="0.3">
      <c r="B3050" s="57">
        <f t="shared" si="264"/>
        <v>3047</v>
      </c>
      <c r="C3050" s="142">
        <v>46228</v>
      </c>
      <c r="D3050" s="57" t="s">
        <v>968</v>
      </c>
      <c r="E3050" s="57" t="s">
        <v>146</v>
      </c>
      <c r="F3050" s="57" t="s">
        <v>502</v>
      </c>
      <c r="G3050" s="57" t="s">
        <v>257</v>
      </c>
      <c r="H3050" s="140" t="s">
        <v>4100</v>
      </c>
      <c r="I3050" s="57"/>
      <c r="J3050" s="165">
        <f t="shared" ref="J3050:J3052" si="269">L3050/K3050</f>
        <v>26.415094339622641</v>
      </c>
      <c r="K3050" s="57">
        <v>106</v>
      </c>
      <c r="L3050" s="164">
        <v>2800</v>
      </c>
    </row>
    <row r="3051" spans="2:12" x14ac:dyDescent="0.3">
      <c r="B3051" s="57">
        <f t="shared" si="264"/>
        <v>3048</v>
      </c>
      <c r="C3051" s="142">
        <v>46228</v>
      </c>
      <c r="D3051" s="57" t="s">
        <v>968</v>
      </c>
      <c r="E3051" s="57" t="s">
        <v>146</v>
      </c>
      <c r="F3051" s="57" t="s">
        <v>300</v>
      </c>
      <c r="G3051" s="57" t="s">
        <v>530</v>
      </c>
      <c r="H3051" s="140" t="s">
        <v>4115</v>
      </c>
      <c r="I3051" s="57"/>
      <c r="J3051" s="165">
        <f t="shared" si="269"/>
        <v>28.30188679245283</v>
      </c>
      <c r="K3051" s="57">
        <v>106</v>
      </c>
      <c r="L3051" s="164">
        <v>3000</v>
      </c>
    </row>
    <row r="3052" spans="2:12" x14ac:dyDescent="0.3">
      <c r="B3052" s="57">
        <f t="shared" si="264"/>
        <v>3049</v>
      </c>
      <c r="C3052" s="142">
        <v>46228</v>
      </c>
      <c r="D3052" s="57" t="s">
        <v>968</v>
      </c>
      <c r="E3052" s="57" t="s">
        <v>146</v>
      </c>
      <c r="F3052" s="57" t="s">
        <v>300</v>
      </c>
      <c r="G3052" s="57" t="s">
        <v>2327</v>
      </c>
      <c r="H3052" s="140" t="s">
        <v>3141</v>
      </c>
      <c r="I3052" s="57"/>
      <c r="J3052" s="165">
        <f t="shared" si="269"/>
        <v>18.867924528301888</v>
      </c>
      <c r="K3052" s="57">
        <v>106</v>
      </c>
      <c r="L3052" s="164">
        <v>2000</v>
      </c>
    </row>
    <row r="3053" spans="2:12" x14ac:dyDescent="0.3">
      <c r="B3053" s="57">
        <f t="shared" si="264"/>
        <v>3050</v>
      </c>
      <c r="C3053" s="142">
        <v>46228</v>
      </c>
      <c r="D3053" s="57" t="s">
        <v>968</v>
      </c>
      <c r="E3053" s="57" t="s">
        <v>574</v>
      </c>
      <c r="F3053" s="57" t="s">
        <v>350</v>
      </c>
      <c r="G3053" s="57" t="s">
        <v>337</v>
      </c>
      <c r="H3053" s="140" t="s">
        <v>3142</v>
      </c>
      <c r="I3053" s="140" t="s">
        <v>2635</v>
      </c>
      <c r="J3053" s="57">
        <v>4</v>
      </c>
      <c r="K3053" s="167">
        <f>L3053/J3053</f>
        <v>500</v>
      </c>
      <c r="L3053" s="164">
        <v>2000</v>
      </c>
    </row>
    <row r="3054" spans="2:12" x14ac:dyDescent="0.3">
      <c r="B3054" s="57">
        <f t="shared" si="264"/>
        <v>3051</v>
      </c>
      <c r="C3054" s="142">
        <v>46228</v>
      </c>
      <c r="D3054" s="57" t="s">
        <v>968</v>
      </c>
      <c r="E3054" s="57" t="s">
        <v>146</v>
      </c>
      <c r="F3054" s="57" t="s">
        <v>446</v>
      </c>
      <c r="G3054" s="57" t="s">
        <v>1000</v>
      </c>
      <c r="H3054" s="140" t="s">
        <v>4099</v>
      </c>
      <c r="I3054" s="57"/>
      <c r="J3054" s="165">
        <f>L3054/K3054</f>
        <v>15.377358490566039</v>
      </c>
      <c r="K3054" s="57">
        <v>106</v>
      </c>
      <c r="L3054" s="164">
        <v>1630</v>
      </c>
    </row>
    <row r="3055" spans="2:12" x14ac:dyDescent="0.3">
      <c r="B3055" s="57">
        <f t="shared" si="264"/>
        <v>3052</v>
      </c>
      <c r="C3055" s="142">
        <v>46228</v>
      </c>
      <c r="D3055" s="57" t="s">
        <v>968</v>
      </c>
      <c r="E3055" s="57" t="s">
        <v>2427</v>
      </c>
      <c r="F3055" s="57" t="s">
        <v>350</v>
      </c>
      <c r="G3055" s="57" t="s">
        <v>337</v>
      </c>
      <c r="H3055" s="140" t="s">
        <v>3143</v>
      </c>
      <c r="I3055" s="57" t="s">
        <v>2914</v>
      </c>
      <c r="J3055" s="165">
        <f>L3055/K3055</f>
        <v>64</v>
      </c>
      <c r="K3055" s="57">
        <v>58</v>
      </c>
      <c r="L3055" s="164">
        <v>3712</v>
      </c>
    </row>
    <row r="3056" spans="2:12" x14ac:dyDescent="0.3">
      <c r="B3056" s="57">
        <f t="shared" si="264"/>
        <v>3053</v>
      </c>
      <c r="C3056" s="142">
        <v>46228</v>
      </c>
      <c r="D3056" s="57" t="s">
        <v>968</v>
      </c>
      <c r="E3056" s="57" t="s">
        <v>3145</v>
      </c>
      <c r="F3056" s="57" t="s">
        <v>350</v>
      </c>
      <c r="G3056" s="57" t="s">
        <v>337</v>
      </c>
      <c r="H3056" s="140" t="s">
        <v>3144</v>
      </c>
      <c r="I3056" s="57"/>
      <c r="J3056" s="57"/>
      <c r="L3056" s="164">
        <v>900</v>
      </c>
    </row>
    <row r="3057" spans="2:12" x14ac:dyDescent="0.3">
      <c r="B3057" s="57">
        <f t="shared" si="264"/>
        <v>3054</v>
      </c>
      <c r="C3057" s="142">
        <v>46228</v>
      </c>
      <c r="D3057" s="57" t="s">
        <v>968</v>
      </c>
      <c r="E3057" s="57" t="s">
        <v>434</v>
      </c>
      <c r="F3057" s="57" t="s">
        <v>300</v>
      </c>
      <c r="G3057" s="57" t="s">
        <v>530</v>
      </c>
      <c r="H3057" s="140" t="s">
        <v>3147</v>
      </c>
      <c r="I3057" s="57" t="s">
        <v>3146</v>
      </c>
      <c r="J3057" s="57">
        <v>6</v>
      </c>
      <c r="L3057" s="164">
        <v>480</v>
      </c>
    </row>
    <row r="3058" spans="2:12" x14ac:dyDescent="0.3">
      <c r="B3058" s="57">
        <f t="shared" si="264"/>
        <v>3055</v>
      </c>
      <c r="C3058" s="142">
        <v>46228</v>
      </c>
      <c r="D3058" s="57" t="s">
        <v>968</v>
      </c>
      <c r="E3058" s="57" t="s">
        <v>434</v>
      </c>
      <c r="F3058" s="57" t="s">
        <v>300</v>
      </c>
      <c r="G3058" s="57" t="s">
        <v>530</v>
      </c>
      <c r="H3058" s="140" t="s">
        <v>3147</v>
      </c>
      <c r="I3058" s="57" t="s">
        <v>3148</v>
      </c>
      <c r="J3058" s="57">
        <v>12</v>
      </c>
      <c r="L3058" s="164">
        <v>840</v>
      </c>
    </row>
    <row r="3059" spans="2:12" x14ac:dyDescent="0.3">
      <c r="B3059" s="57">
        <f t="shared" si="264"/>
        <v>3056</v>
      </c>
      <c r="C3059" s="142">
        <v>46228</v>
      </c>
      <c r="D3059" s="57" t="s">
        <v>968</v>
      </c>
      <c r="E3059" s="57" t="s">
        <v>434</v>
      </c>
      <c r="F3059" s="57" t="s">
        <v>300</v>
      </c>
      <c r="G3059" s="57" t="s">
        <v>530</v>
      </c>
      <c r="H3059" s="140" t="s">
        <v>3147</v>
      </c>
      <c r="I3059" s="57" t="s">
        <v>3149</v>
      </c>
      <c r="J3059" s="57">
        <v>5</v>
      </c>
      <c r="L3059" s="164">
        <v>800</v>
      </c>
    </row>
    <row r="3060" spans="2:12" x14ac:dyDescent="0.3">
      <c r="B3060" s="57">
        <f t="shared" si="264"/>
        <v>3057</v>
      </c>
      <c r="C3060" s="142">
        <v>46228</v>
      </c>
      <c r="D3060" s="57" t="s">
        <v>968</v>
      </c>
      <c r="E3060" s="57" t="s">
        <v>434</v>
      </c>
      <c r="F3060" s="57" t="s">
        <v>300</v>
      </c>
      <c r="G3060" s="57" t="s">
        <v>530</v>
      </c>
      <c r="H3060" s="140" t="s">
        <v>3147</v>
      </c>
      <c r="I3060" s="57" t="s">
        <v>3150</v>
      </c>
      <c r="J3060" s="57">
        <v>30</v>
      </c>
      <c r="L3060" s="164">
        <v>2760</v>
      </c>
    </row>
    <row r="3061" spans="2:12" x14ac:dyDescent="0.3">
      <c r="B3061" s="57">
        <f t="shared" si="264"/>
        <v>3058</v>
      </c>
      <c r="C3061" s="142">
        <v>46228</v>
      </c>
      <c r="D3061" s="57" t="s">
        <v>968</v>
      </c>
      <c r="E3061" s="57" t="s">
        <v>434</v>
      </c>
      <c r="F3061" s="57" t="s">
        <v>300</v>
      </c>
      <c r="G3061" s="57" t="s">
        <v>530</v>
      </c>
      <c r="H3061" s="140" t="s">
        <v>3147</v>
      </c>
      <c r="I3061" s="57" t="s">
        <v>3151</v>
      </c>
      <c r="J3061" s="57">
        <v>40</v>
      </c>
      <c r="L3061" s="164">
        <v>360</v>
      </c>
    </row>
    <row r="3062" spans="2:12" x14ac:dyDescent="0.3">
      <c r="B3062" s="57">
        <f t="shared" si="264"/>
        <v>3059</v>
      </c>
      <c r="C3062" s="142">
        <v>46228</v>
      </c>
      <c r="D3062" s="57" t="s">
        <v>968</v>
      </c>
      <c r="E3062" s="57" t="s">
        <v>434</v>
      </c>
      <c r="F3062" s="57" t="s">
        <v>300</v>
      </c>
      <c r="G3062" s="57" t="s">
        <v>530</v>
      </c>
      <c r="H3062" s="140" t="s">
        <v>3147</v>
      </c>
      <c r="I3062" s="57" t="s">
        <v>3152</v>
      </c>
      <c r="J3062" s="57">
        <v>20</v>
      </c>
      <c r="L3062" s="164">
        <v>2100</v>
      </c>
    </row>
    <row r="3063" spans="2:12" x14ac:dyDescent="0.3">
      <c r="B3063" s="57">
        <f t="shared" si="264"/>
        <v>3060</v>
      </c>
      <c r="C3063" s="142">
        <v>46228</v>
      </c>
      <c r="D3063" s="57" t="s">
        <v>968</v>
      </c>
      <c r="E3063" s="57" t="s">
        <v>434</v>
      </c>
      <c r="F3063" s="57" t="s">
        <v>300</v>
      </c>
      <c r="G3063" s="57" t="s">
        <v>530</v>
      </c>
      <c r="H3063" s="140" t="s">
        <v>3147</v>
      </c>
      <c r="I3063" s="57" t="s">
        <v>3153</v>
      </c>
      <c r="J3063" s="57">
        <v>20</v>
      </c>
      <c r="L3063" s="164">
        <v>200</v>
      </c>
    </row>
    <row r="3064" spans="2:12" x14ac:dyDescent="0.3">
      <c r="B3064" s="57">
        <f t="shared" si="264"/>
        <v>3061</v>
      </c>
      <c r="C3064" s="142">
        <v>46228</v>
      </c>
      <c r="D3064" s="57" t="s">
        <v>968</v>
      </c>
      <c r="E3064" s="57" t="s">
        <v>434</v>
      </c>
      <c r="F3064" s="57" t="s">
        <v>300</v>
      </c>
      <c r="G3064" s="57" t="s">
        <v>530</v>
      </c>
      <c r="H3064" s="140" t="s">
        <v>3147</v>
      </c>
      <c r="I3064" s="57" t="s">
        <v>3154</v>
      </c>
      <c r="J3064" s="57">
        <v>30</v>
      </c>
      <c r="L3064" s="164">
        <v>300</v>
      </c>
    </row>
    <row r="3065" spans="2:12" x14ac:dyDescent="0.3">
      <c r="B3065" s="57">
        <f t="shared" si="264"/>
        <v>3062</v>
      </c>
      <c r="C3065" s="142">
        <v>46228</v>
      </c>
      <c r="D3065" s="57" t="s">
        <v>968</v>
      </c>
      <c r="E3065" s="57" t="s">
        <v>434</v>
      </c>
      <c r="F3065" s="57" t="s">
        <v>300</v>
      </c>
      <c r="G3065" s="57" t="s">
        <v>530</v>
      </c>
      <c r="H3065" s="140" t="s">
        <v>3147</v>
      </c>
      <c r="I3065" s="57" t="s">
        <v>3155</v>
      </c>
      <c r="J3065" s="57" t="s">
        <v>3031</v>
      </c>
      <c r="L3065" s="164">
        <v>2000</v>
      </c>
    </row>
    <row r="3066" spans="2:12" x14ac:dyDescent="0.3">
      <c r="B3066" s="57">
        <f t="shared" si="264"/>
        <v>3063</v>
      </c>
      <c r="C3066" s="142">
        <v>46228</v>
      </c>
      <c r="D3066" s="57" t="s">
        <v>968</v>
      </c>
      <c r="E3066" s="57" t="s">
        <v>4101</v>
      </c>
      <c r="F3066" s="57" t="s">
        <v>502</v>
      </c>
      <c r="G3066" s="57" t="s">
        <v>257</v>
      </c>
      <c r="H3066" s="140" t="s">
        <v>2827</v>
      </c>
      <c r="I3066" s="57"/>
      <c r="J3066" s="165">
        <f>L3066/K3066</f>
        <v>9.433962264150944</v>
      </c>
      <c r="K3066" s="57">
        <v>106</v>
      </c>
      <c r="L3066" s="164">
        <v>1000</v>
      </c>
    </row>
    <row r="3067" spans="2:12" x14ac:dyDescent="0.3">
      <c r="B3067" s="57">
        <f t="shared" si="264"/>
        <v>3064</v>
      </c>
      <c r="C3067" s="142">
        <v>46228</v>
      </c>
      <c r="D3067" s="57" t="s">
        <v>968</v>
      </c>
      <c r="E3067" s="57" t="s">
        <v>4128</v>
      </c>
      <c r="F3067" s="57" t="s">
        <v>621</v>
      </c>
      <c r="G3067" s="57" t="s">
        <v>345</v>
      </c>
      <c r="H3067" s="140" t="s">
        <v>3156</v>
      </c>
      <c r="I3067" s="57"/>
      <c r="J3067" s="57"/>
      <c r="L3067" s="164">
        <v>5090</v>
      </c>
    </row>
    <row r="3068" spans="2:12" x14ac:dyDescent="0.3">
      <c r="B3068" s="57">
        <f t="shared" si="264"/>
        <v>3065</v>
      </c>
      <c r="C3068" s="142">
        <v>46228</v>
      </c>
      <c r="D3068" s="57" t="s">
        <v>968</v>
      </c>
      <c r="E3068" s="57" t="s">
        <v>146</v>
      </c>
      <c r="F3068" s="57" t="s">
        <v>436</v>
      </c>
      <c r="G3068" s="57" t="s">
        <v>270</v>
      </c>
      <c r="H3068" s="140" t="s">
        <v>4112</v>
      </c>
      <c r="I3068" s="57" t="s">
        <v>146</v>
      </c>
      <c r="J3068" s="165">
        <f>L3068/K3068</f>
        <v>18.867924528301888</v>
      </c>
      <c r="K3068" s="57">
        <v>106</v>
      </c>
      <c r="L3068" s="164">
        <v>2000</v>
      </c>
    </row>
    <row r="3069" spans="2:12" x14ac:dyDescent="0.3">
      <c r="B3069" s="57">
        <f t="shared" si="264"/>
        <v>3066</v>
      </c>
      <c r="C3069" s="142">
        <v>46228</v>
      </c>
      <c r="D3069" s="57" t="s">
        <v>968</v>
      </c>
      <c r="E3069" s="57" t="s">
        <v>958</v>
      </c>
      <c r="F3069" s="57" t="s">
        <v>300</v>
      </c>
      <c r="G3069" s="57" t="s">
        <v>530</v>
      </c>
      <c r="H3069" s="140" t="s">
        <v>3157</v>
      </c>
      <c r="I3069" s="57"/>
      <c r="J3069" s="57"/>
      <c r="L3069" s="164">
        <v>6300</v>
      </c>
    </row>
    <row r="3070" spans="2:12" x14ac:dyDescent="0.3">
      <c r="B3070" s="57">
        <f t="shared" si="264"/>
        <v>3067</v>
      </c>
      <c r="C3070" s="142">
        <v>46228</v>
      </c>
      <c r="D3070" s="57" t="s">
        <v>968</v>
      </c>
      <c r="E3070" s="57" t="s">
        <v>967</v>
      </c>
      <c r="H3070" s="140" t="s">
        <v>3158</v>
      </c>
      <c r="I3070" s="57"/>
      <c r="J3070" s="57"/>
      <c r="L3070" s="164">
        <v>1500</v>
      </c>
    </row>
    <row r="3071" spans="2:12" x14ac:dyDescent="0.3">
      <c r="B3071" s="57">
        <f t="shared" si="264"/>
        <v>3068</v>
      </c>
      <c r="C3071" s="142">
        <v>46229</v>
      </c>
      <c r="D3071" s="57" t="s">
        <v>968</v>
      </c>
      <c r="E3071" s="57" t="s">
        <v>146</v>
      </c>
      <c r="F3071" s="57" t="s">
        <v>300</v>
      </c>
      <c r="G3071" s="57" t="s">
        <v>2794</v>
      </c>
      <c r="H3071" s="140" t="s">
        <v>2648</v>
      </c>
      <c r="I3071" s="57"/>
      <c r="J3071" s="165">
        <f t="shared" ref="J3071:J3074" si="270">L3071/K3071</f>
        <v>18.867924528301888</v>
      </c>
      <c r="K3071" s="57">
        <v>106</v>
      </c>
      <c r="L3071" s="164">
        <v>2000</v>
      </c>
    </row>
    <row r="3072" spans="2:12" x14ac:dyDescent="0.3">
      <c r="B3072" s="57">
        <f t="shared" si="264"/>
        <v>3069</v>
      </c>
      <c r="C3072" s="142">
        <v>46229</v>
      </c>
      <c r="D3072" s="57" t="s">
        <v>968</v>
      </c>
      <c r="E3072" s="57" t="s">
        <v>146</v>
      </c>
      <c r="F3072" s="57" t="s">
        <v>300</v>
      </c>
      <c r="G3072" s="57" t="s">
        <v>2331</v>
      </c>
      <c r="H3072" s="140" t="s">
        <v>4088</v>
      </c>
      <c r="I3072" s="57"/>
      <c r="J3072" s="165">
        <f t="shared" si="270"/>
        <v>28.30188679245283</v>
      </c>
      <c r="K3072" s="57">
        <v>106</v>
      </c>
      <c r="L3072" s="164">
        <v>3000</v>
      </c>
    </row>
    <row r="3073" spans="2:12" x14ac:dyDescent="0.3">
      <c r="B3073" s="57">
        <f t="shared" si="264"/>
        <v>3070</v>
      </c>
      <c r="C3073" s="142">
        <v>46229</v>
      </c>
      <c r="D3073" s="57" t="s">
        <v>968</v>
      </c>
      <c r="E3073" s="57" t="s">
        <v>146</v>
      </c>
      <c r="F3073" s="57" t="s">
        <v>446</v>
      </c>
      <c r="G3073" s="57" t="s">
        <v>572</v>
      </c>
      <c r="H3073" s="140" t="s">
        <v>885</v>
      </c>
      <c r="I3073" s="57"/>
      <c r="J3073" s="165">
        <f t="shared" si="270"/>
        <v>28.30188679245283</v>
      </c>
      <c r="K3073" s="57">
        <v>106</v>
      </c>
      <c r="L3073" s="164">
        <v>3000</v>
      </c>
    </row>
    <row r="3074" spans="2:12" x14ac:dyDescent="0.3">
      <c r="B3074" s="57">
        <f t="shared" si="264"/>
        <v>3071</v>
      </c>
      <c r="C3074" s="142">
        <v>46229</v>
      </c>
      <c r="D3074" s="57" t="s">
        <v>968</v>
      </c>
      <c r="E3074" s="57" t="s">
        <v>146</v>
      </c>
      <c r="F3074" s="57" t="s">
        <v>300</v>
      </c>
      <c r="G3074" s="57" t="s">
        <v>616</v>
      </c>
      <c r="H3074" s="140" t="s">
        <v>894</v>
      </c>
      <c r="I3074" s="57"/>
      <c r="J3074" s="165">
        <f t="shared" si="270"/>
        <v>39.037735849056602</v>
      </c>
      <c r="K3074" s="57">
        <v>106</v>
      </c>
      <c r="L3074" s="164">
        <v>4138</v>
      </c>
    </row>
    <row r="3075" spans="2:12" x14ac:dyDescent="0.3">
      <c r="B3075" s="57">
        <f t="shared" si="264"/>
        <v>3072</v>
      </c>
      <c r="C3075" s="142">
        <v>46229</v>
      </c>
      <c r="D3075" s="57" t="s">
        <v>968</v>
      </c>
      <c r="E3075" s="57" t="s">
        <v>532</v>
      </c>
      <c r="F3075" s="57" t="s">
        <v>300</v>
      </c>
      <c r="G3075" s="57" t="s">
        <v>2331</v>
      </c>
      <c r="H3075" s="140" t="s">
        <v>3159</v>
      </c>
      <c r="I3075" s="57" t="s">
        <v>532</v>
      </c>
      <c r="J3075" s="57">
        <v>30</v>
      </c>
      <c r="K3075" s="57">
        <v>260</v>
      </c>
      <c r="L3075" s="164">
        <f t="shared" ref="L3075" si="271">J3075*K3075</f>
        <v>7800</v>
      </c>
    </row>
    <row r="3076" spans="2:12" x14ac:dyDescent="0.3">
      <c r="B3076" s="57">
        <f t="shared" si="264"/>
        <v>3073</v>
      </c>
      <c r="C3076" s="142">
        <v>46229</v>
      </c>
      <c r="D3076" s="57" t="s">
        <v>968</v>
      </c>
      <c r="E3076" s="57" t="s">
        <v>532</v>
      </c>
      <c r="F3076" s="57" t="s">
        <v>300</v>
      </c>
      <c r="G3076" s="57" t="s">
        <v>2331</v>
      </c>
      <c r="H3076" s="140" t="s">
        <v>3161</v>
      </c>
      <c r="I3076" s="57" t="s">
        <v>532</v>
      </c>
      <c r="J3076" s="57">
        <v>5</v>
      </c>
      <c r="K3076" s="167">
        <f>L3076/J3076</f>
        <v>300</v>
      </c>
      <c r="L3076" s="164">
        <v>1500</v>
      </c>
    </row>
    <row r="3077" spans="2:12" x14ac:dyDescent="0.3">
      <c r="B3077" s="57">
        <f t="shared" si="264"/>
        <v>3074</v>
      </c>
      <c r="C3077" s="142">
        <v>46229</v>
      </c>
      <c r="D3077" s="57" t="s">
        <v>968</v>
      </c>
      <c r="E3077" s="57" t="s">
        <v>434</v>
      </c>
      <c r="F3077" s="57" t="s">
        <v>446</v>
      </c>
      <c r="G3077" s="57" t="s">
        <v>990</v>
      </c>
      <c r="H3077" s="140" t="s">
        <v>3160</v>
      </c>
      <c r="I3077" s="57"/>
      <c r="J3077" s="57"/>
      <c r="L3077" s="164">
        <v>630</v>
      </c>
    </row>
    <row r="3078" spans="2:12" x14ac:dyDescent="0.3">
      <c r="B3078" s="57">
        <f t="shared" ref="B3078:B3141" si="272">+B3077+1</f>
        <v>3075</v>
      </c>
      <c r="C3078" s="142">
        <v>46229</v>
      </c>
      <c r="D3078" s="57" t="s">
        <v>968</v>
      </c>
      <c r="E3078" s="57" t="s">
        <v>532</v>
      </c>
      <c r="F3078" s="57" t="s">
        <v>446</v>
      </c>
      <c r="G3078" s="57" t="s">
        <v>316</v>
      </c>
      <c r="H3078" s="140" t="s">
        <v>3195</v>
      </c>
      <c r="I3078" s="57" t="s">
        <v>532</v>
      </c>
      <c r="J3078" s="57">
        <v>10</v>
      </c>
      <c r="L3078" s="164">
        <v>2750</v>
      </c>
    </row>
    <row r="3079" spans="2:12" x14ac:dyDescent="0.3">
      <c r="B3079" s="57">
        <f t="shared" si="272"/>
        <v>3076</v>
      </c>
      <c r="C3079" s="142">
        <v>46229</v>
      </c>
      <c r="D3079" s="57" t="s">
        <v>968</v>
      </c>
      <c r="E3079" s="57" t="s">
        <v>2390</v>
      </c>
      <c r="F3079" s="57" t="s">
        <v>446</v>
      </c>
      <c r="G3079" s="57" t="s">
        <v>316</v>
      </c>
      <c r="H3079" s="140" t="s">
        <v>3196</v>
      </c>
      <c r="I3079" s="57" t="s">
        <v>3197</v>
      </c>
      <c r="J3079" s="57"/>
      <c r="L3079" s="164">
        <v>370</v>
      </c>
    </row>
    <row r="3080" spans="2:12" x14ac:dyDescent="0.3">
      <c r="B3080" s="57">
        <f t="shared" si="272"/>
        <v>3077</v>
      </c>
      <c r="C3080" s="142">
        <v>46229</v>
      </c>
      <c r="D3080" s="57" t="s">
        <v>968</v>
      </c>
      <c r="E3080" s="57" t="s">
        <v>146</v>
      </c>
      <c r="F3080" s="57" t="s">
        <v>446</v>
      </c>
      <c r="G3080" s="57" t="s">
        <v>316</v>
      </c>
      <c r="H3080" s="140" t="s">
        <v>2789</v>
      </c>
      <c r="I3080" s="57"/>
      <c r="J3080" s="165">
        <f>L3080/K3080</f>
        <v>18.867924528301888</v>
      </c>
      <c r="K3080" s="57">
        <v>106</v>
      </c>
      <c r="L3080" s="164">
        <v>2000</v>
      </c>
    </row>
    <row r="3081" spans="2:12" x14ac:dyDescent="0.3">
      <c r="B3081" s="57">
        <f t="shared" si="272"/>
        <v>3078</v>
      </c>
      <c r="C3081" s="142">
        <v>46229</v>
      </c>
      <c r="D3081" s="57" t="s">
        <v>435</v>
      </c>
      <c r="E3081" s="57" t="s">
        <v>574</v>
      </c>
      <c r="F3081" s="57" t="s">
        <v>300</v>
      </c>
      <c r="G3081" s="57" t="s">
        <v>2794</v>
      </c>
      <c r="H3081" s="140" t="s">
        <v>3198</v>
      </c>
      <c r="I3081" s="140" t="s">
        <v>4082</v>
      </c>
      <c r="J3081" s="57">
        <v>6.42</v>
      </c>
      <c r="K3081" s="57">
        <v>750</v>
      </c>
      <c r="L3081" s="164">
        <v>4815</v>
      </c>
    </row>
    <row r="3082" spans="2:12" x14ac:dyDescent="0.3">
      <c r="B3082" s="57">
        <f t="shared" si="272"/>
        <v>3079</v>
      </c>
      <c r="C3082" s="142">
        <v>46229</v>
      </c>
      <c r="D3082" s="57" t="s">
        <v>435</v>
      </c>
      <c r="E3082" s="57" t="s">
        <v>3249</v>
      </c>
      <c r="F3082" s="57" t="s">
        <v>621</v>
      </c>
      <c r="G3082" s="57" t="s">
        <v>345</v>
      </c>
      <c r="H3082" s="140" t="s">
        <v>3250</v>
      </c>
      <c r="I3082" s="57"/>
      <c r="J3082" s="57" t="s">
        <v>3251</v>
      </c>
      <c r="K3082" s="57">
        <v>1350</v>
      </c>
      <c r="L3082" s="164">
        <v>41107</v>
      </c>
    </row>
    <row r="3083" spans="2:12" x14ac:dyDescent="0.3">
      <c r="B3083" s="57">
        <f t="shared" si="272"/>
        <v>3080</v>
      </c>
      <c r="C3083" s="142">
        <v>46230</v>
      </c>
      <c r="D3083" s="57" t="s">
        <v>968</v>
      </c>
      <c r="E3083" s="57" t="s">
        <v>146</v>
      </c>
      <c r="F3083" s="57" t="s">
        <v>2332</v>
      </c>
      <c r="G3083" s="57" t="s">
        <v>1004</v>
      </c>
      <c r="H3083" s="140" t="s">
        <v>3055</v>
      </c>
      <c r="I3083" s="57"/>
      <c r="J3083" s="165">
        <f>L3083/K3083</f>
        <v>18.867924528301888</v>
      </c>
      <c r="K3083" s="57">
        <v>106</v>
      </c>
      <c r="L3083" s="164">
        <v>2000</v>
      </c>
    </row>
    <row r="3084" spans="2:12" x14ac:dyDescent="0.3">
      <c r="B3084" s="57">
        <f t="shared" si="272"/>
        <v>3081</v>
      </c>
      <c r="C3084" s="142">
        <v>46230</v>
      </c>
      <c r="D3084" s="57" t="s">
        <v>968</v>
      </c>
      <c r="E3084" s="57" t="s">
        <v>434</v>
      </c>
      <c r="F3084" s="57" t="s">
        <v>300</v>
      </c>
      <c r="G3084" s="57" t="s">
        <v>530</v>
      </c>
      <c r="H3084" s="140" t="s">
        <v>3252</v>
      </c>
      <c r="I3084" s="57"/>
      <c r="J3084" s="57"/>
      <c r="L3084" s="164">
        <v>470</v>
      </c>
    </row>
    <row r="3085" spans="2:12" x14ac:dyDescent="0.3">
      <c r="B3085" s="57">
        <f t="shared" si="272"/>
        <v>3082</v>
      </c>
      <c r="C3085" s="142">
        <v>46230</v>
      </c>
      <c r="D3085" s="57" t="s">
        <v>968</v>
      </c>
      <c r="E3085" s="57" t="s">
        <v>434</v>
      </c>
      <c r="F3085" s="57" t="s">
        <v>2332</v>
      </c>
      <c r="G3085" s="57" t="s">
        <v>1004</v>
      </c>
      <c r="H3085" s="140" t="s">
        <v>3253</v>
      </c>
      <c r="I3085" s="57" t="s">
        <v>460</v>
      </c>
      <c r="J3085" s="57"/>
      <c r="L3085" s="164">
        <v>400</v>
      </c>
    </row>
    <row r="3086" spans="2:12" x14ac:dyDescent="0.3">
      <c r="B3086" s="57">
        <f t="shared" si="272"/>
        <v>3083</v>
      </c>
      <c r="C3086" s="142">
        <v>46230</v>
      </c>
      <c r="D3086" s="57" t="s">
        <v>968</v>
      </c>
      <c r="E3086" s="57" t="s">
        <v>146</v>
      </c>
      <c r="F3086" s="57" t="s">
        <v>300</v>
      </c>
      <c r="G3086" s="57" t="s">
        <v>530</v>
      </c>
      <c r="H3086" s="140" t="s">
        <v>3254</v>
      </c>
      <c r="I3086" s="57"/>
      <c r="J3086" s="165">
        <f>L3086/K3086</f>
        <v>124.70754716981132</v>
      </c>
      <c r="K3086" s="57">
        <v>106</v>
      </c>
      <c r="L3086" s="164">
        <v>13219</v>
      </c>
    </row>
    <row r="3087" spans="2:12" x14ac:dyDescent="0.3">
      <c r="B3087" s="57">
        <f t="shared" si="272"/>
        <v>3084</v>
      </c>
      <c r="C3087" s="142">
        <v>46230</v>
      </c>
      <c r="D3087" s="57" t="s">
        <v>968</v>
      </c>
      <c r="E3087" s="57" t="s">
        <v>958</v>
      </c>
      <c r="F3087" s="57" t="s">
        <v>350</v>
      </c>
      <c r="G3087" s="57" t="s">
        <v>3270</v>
      </c>
      <c r="H3087" s="140" t="s">
        <v>3255</v>
      </c>
      <c r="I3087" s="57"/>
      <c r="J3087" s="57"/>
      <c r="L3087" s="164">
        <v>2200</v>
      </c>
    </row>
    <row r="3088" spans="2:12" x14ac:dyDescent="0.3">
      <c r="B3088" s="57">
        <f t="shared" si="272"/>
        <v>3085</v>
      </c>
      <c r="C3088" s="142">
        <v>46230</v>
      </c>
      <c r="D3088" s="57" t="s">
        <v>968</v>
      </c>
      <c r="E3088" s="57" t="s">
        <v>146</v>
      </c>
      <c r="F3088" s="57" t="s">
        <v>300</v>
      </c>
      <c r="G3088" s="57" t="s">
        <v>2794</v>
      </c>
      <c r="H3088" s="140" t="s">
        <v>2648</v>
      </c>
      <c r="I3088" s="57"/>
      <c r="J3088" s="165">
        <f t="shared" ref="J3088:J3090" si="273">L3088/K3088</f>
        <v>18.867924528301888</v>
      </c>
      <c r="K3088" s="57">
        <v>106</v>
      </c>
      <c r="L3088" s="164">
        <v>2000</v>
      </c>
    </row>
    <row r="3089" spans="2:12" x14ac:dyDescent="0.3">
      <c r="B3089" s="57">
        <f t="shared" si="272"/>
        <v>3086</v>
      </c>
      <c r="C3089" s="142">
        <v>46230</v>
      </c>
      <c r="D3089" s="57" t="s">
        <v>968</v>
      </c>
      <c r="E3089" s="57" t="s">
        <v>146</v>
      </c>
      <c r="F3089" s="57" t="s">
        <v>350</v>
      </c>
      <c r="G3089" s="57" t="s">
        <v>337</v>
      </c>
      <c r="H3089" s="140" t="s">
        <v>3256</v>
      </c>
      <c r="I3089" s="57"/>
      <c r="J3089" s="165">
        <f t="shared" si="273"/>
        <v>18.867924528301888</v>
      </c>
      <c r="K3089" s="57">
        <v>106</v>
      </c>
      <c r="L3089" s="164">
        <v>2000</v>
      </c>
    </row>
    <row r="3090" spans="2:12" x14ac:dyDescent="0.3">
      <c r="B3090" s="57">
        <f t="shared" si="272"/>
        <v>3087</v>
      </c>
      <c r="C3090" s="142">
        <v>46230</v>
      </c>
      <c r="D3090" s="57" t="s">
        <v>968</v>
      </c>
      <c r="E3090" s="57" t="s">
        <v>146</v>
      </c>
      <c r="F3090" s="57" t="s">
        <v>300</v>
      </c>
      <c r="G3090" s="57" t="s">
        <v>3271</v>
      </c>
      <c r="H3090" s="140" t="s">
        <v>3257</v>
      </c>
      <c r="I3090" s="57"/>
      <c r="J3090" s="165">
        <f t="shared" si="273"/>
        <v>18.867924528301888</v>
      </c>
      <c r="K3090" s="57">
        <v>106</v>
      </c>
      <c r="L3090" s="164">
        <v>2000</v>
      </c>
    </row>
    <row r="3091" spans="2:12" x14ac:dyDescent="0.3">
      <c r="B3091" s="57">
        <f t="shared" si="272"/>
        <v>3088</v>
      </c>
      <c r="C3091" s="142">
        <v>46230</v>
      </c>
      <c r="D3091" s="57" t="s">
        <v>968</v>
      </c>
      <c r="E3091" s="57" t="s">
        <v>532</v>
      </c>
      <c r="F3091" s="57" t="s">
        <v>436</v>
      </c>
      <c r="G3091" s="57" t="s">
        <v>270</v>
      </c>
      <c r="H3091" s="140" t="s">
        <v>3258</v>
      </c>
      <c r="I3091" s="57" t="s">
        <v>532</v>
      </c>
      <c r="J3091" s="57">
        <v>20</v>
      </c>
      <c r="K3091" s="167">
        <f>L3091/J3091</f>
        <v>280</v>
      </c>
      <c r="L3091" s="164">
        <v>5600</v>
      </c>
    </row>
    <row r="3092" spans="2:12" x14ac:dyDescent="0.3">
      <c r="B3092" s="57">
        <f t="shared" si="272"/>
        <v>3089</v>
      </c>
      <c r="C3092" s="142">
        <v>46230</v>
      </c>
      <c r="D3092" s="57" t="s">
        <v>968</v>
      </c>
      <c r="E3092" s="57" t="s">
        <v>574</v>
      </c>
      <c r="F3092" s="57" t="s">
        <v>546</v>
      </c>
      <c r="G3092" s="57" t="s">
        <v>545</v>
      </c>
      <c r="H3092" s="140" t="s">
        <v>3259</v>
      </c>
      <c r="I3092" s="140" t="s">
        <v>2635</v>
      </c>
      <c r="J3092" s="57">
        <v>4</v>
      </c>
      <c r="K3092" s="167">
        <f>L3092/J3092</f>
        <v>570</v>
      </c>
      <c r="L3092" s="164">
        <v>2280</v>
      </c>
    </row>
    <row r="3093" spans="2:12" x14ac:dyDescent="0.3">
      <c r="B3093" s="57">
        <f t="shared" si="272"/>
        <v>3090</v>
      </c>
      <c r="C3093" s="142">
        <v>46230</v>
      </c>
      <c r="D3093" s="57" t="s">
        <v>968</v>
      </c>
      <c r="E3093" s="57" t="s">
        <v>4101</v>
      </c>
      <c r="F3093" s="57" t="s">
        <v>502</v>
      </c>
      <c r="G3093" s="57" t="s">
        <v>257</v>
      </c>
      <c r="H3093" s="140" t="s">
        <v>2827</v>
      </c>
      <c r="I3093" s="57"/>
      <c r="J3093" s="165">
        <f>L3093/K3093</f>
        <v>9.433962264150944</v>
      </c>
      <c r="K3093" s="57">
        <v>106</v>
      </c>
      <c r="L3093" s="164">
        <v>1000</v>
      </c>
    </row>
    <row r="3094" spans="2:12" x14ac:dyDescent="0.3">
      <c r="B3094" s="57">
        <f t="shared" si="272"/>
        <v>3091</v>
      </c>
      <c r="C3094" s="142">
        <v>46230</v>
      </c>
      <c r="D3094" s="57" t="s">
        <v>968</v>
      </c>
      <c r="E3094" s="57" t="s">
        <v>434</v>
      </c>
      <c r="F3094" s="57" t="s">
        <v>502</v>
      </c>
      <c r="G3094" s="57" t="s">
        <v>257</v>
      </c>
      <c r="H3094" s="140" t="s">
        <v>3260</v>
      </c>
      <c r="I3094" s="57"/>
      <c r="J3094" s="57"/>
      <c r="L3094" s="164">
        <v>1700</v>
      </c>
    </row>
    <row r="3095" spans="2:12" x14ac:dyDescent="0.3">
      <c r="B3095" s="57">
        <f t="shared" si="272"/>
        <v>3092</v>
      </c>
      <c r="C3095" s="142">
        <v>46230</v>
      </c>
      <c r="D3095" s="57" t="s">
        <v>968</v>
      </c>
      <c r="E3095" s="57" t="s">
        <v>146</v>
      </c>
      <c r="F3095" s="57" t="s">
        <v>350</v>
      </c>
      <c r="G3095" s="57" t="s">
        <v>2331</v>
      </c>
      <c r="H3095" s="140" t="s">
        <v>4095</v>
      </c>
      <c r="I3095" s="57"/>
      <c r="J3095" s="165">
        <f>L3095/K3095</f>
        <v>18.867924528301888</v>
      </c>
      <c r="K3095" s="57">
        <v>106</v>
      </c>
      <c r="L3095" s="164">
        <v>2000</v>
      </c>
    </row>
    <row r="3096" spans="2:12" x14ac:dyDescent="0.3">
      <c r="B3096" s="57">
        <f t="shared" si="272"/>
        <v>3093</v>
      </c>
      <c r="C3096" s="142">
        <v>46230</v>
      </c>
      <c r="D3096" s="57" t="s">
        <v>968</v>
      </c>
      <c r="E3096" s="57" t="s">
        <v>4128</v>
      </c>
      <c r="F3096" s="57" t="s">
        <v>446</v>
      </c>
      <c r="G3096" s="57" t="s">
        <v>359</v>
      </c>
      <c r="H3096" s="140" t="s">
        <v>3272</v>
      </c>
      <c r="I3096" s="57"/>
      <c r="J3096" s="57"/>
      <c r="L3096" s="164">
        <v>3500</v>
      </c>
    </row>
    <row r="3097" spans="2:12" x14ac:dyDescent="0.3">
      <c r="B3097" s="57">
        <f t="shared" si="272"/>
        <v>3094</v>
      </c>
      <c r="C3097" s="142">
        <v>46230</v>
      </c>
      <c r="D3097" s="57" t="s">
        <v>968</v>
      </c>
      <c r="E3097" s="57" t="s">
        <v>967</v>
      </c>
      <c r="F3097" s="57" t="s">
        <v>300</v>
      </c>
      <c r="G3097" s="57" t="s">
        <v>530</v>
      </c>
      <c r="H3097" s="140" t="s">
        <v>3269</v>
      </c>
      <c r="I3097" s="57"/>
      <c r="J3097" s="57"/>
      <c r="L3097" s="164">
        <v>1500</v>
      </c>
    </row>
    <row r="3098" spans="2:12" x14ac:dyDescent="0.3">
      <c r="B3098" s="57">
        <f t="shared" si="272"/>
        <v>3095</v>
      </c>
      <c r="C3098" s="142">
        <v>46230</v>
      </c>
      <c r="D3098" s="57" t="s">
        <v>968</v>
      </c>
      <c r="E3098" s="57" t="s">
        <v>434</v>
      </c>
      <c r="F3098" s="57" t="s">
        <v>546</v>
      </c>
      <c r="G3098" s="57" t="s">
        <v>999</v>
      </c>
      <c r="H3098" s="140" t="s">
        <v>3261</v>
      </c>
      <c r="I3098" s="57"/>
      <c r="J3098" s="57"/>
      <c r="L3098" s="164">
        <v>250</v>
      </c>
    </row>
    <row r="3099" spans="2:12" x14ac:dyDescent="0.3">
      <c r="B3099" s="57">
        <f t="shared" si="272"/>
        <v>3096</v>
      </c>
      <c r="C3099" s="142">
        <v>46230</v>
      </c>
      <c r="D3099" s="57" t="s">
        <v>968</v>
      </c>
      <c r="E3099" s="57" t="s">
        <v>574</v>
      </c>
      <c r="F3099" s="57" t="s">
        <v>350</v>
      </c>
      <c r="G3099" s="57" t="s">
        <v>675</v>
      </c>
      <c r="H3099" s="140" t="s">
        <v>3262</v>
      </c>
      <c r="I3099" s="140" t="s">
        <v>3949</v>
      </c>
      <c r="J3099" s="57">
        <v>8.5</v>
      </c>
      <c r="K3099" s="167">
        <f>L3099/J3099</f>
        <v>855.52941176470586</v>
      </c>
      <c r="L3099" s="164">
        <v>7272</v>
      </c>
    </row>
    <row r="3100" spans="2:12" x14ac:dyDescent="0.3">
      <c r="B3100" s="57">
        <f t="shared" si="272"/>
        <v>3097</v>
      </c>
      <c r="C3100" s="142">
        <v>46230</v>
      </c>
      <c r="D3100" s="57" t="s">
        <v>968</v>
      </c>
      <c r="E3100" s="57" t="s">
        <v>574</v>
      </c>
      <c r="F3100" s="57" t="s">
        <v>300</v>
      </c>
      <c r="G3100" s="57" t="s">
        <v>443</v>
      </c>
      <c r="H3100" s="140" t="s">
        <v>3268</v>
      </c>
      <c r="I3100" s="140" t="s">
        <v>3416</v>
      </c>
      <c r="J3100" s="57">
        <v>8</v>
      </c>
      <c r="K3100" s="168">
        <f>L3100/J3100</f>
        <v>593.75</v>
      </c>
      <c r="L3100" s="164">
        <v>4750</v>
      </c>
    </row>
    <row r="3101" spans="2:12" x14ac:dyDescent="0.3">
      <c r="B3101" s="57">
        <f t="shared" si="272"/>
        <v>3098</v>
      </c>
      <c r="C3101" s="142">
        <v>46230</v>
      </c>
      <c r="D3101" s="57" t="s">
        <v>968</v>
      </c>
      <c r="E3101" s="57" t="s">
        <v>532</v>
      </c>
      <c r="F3101" s="57" t="s">
        <v>300</v>
      </c>
      <c r="G3101" s="57" t="s">
        <v>530</v>
      </c>
      <c r="H3101" s="140" t="s">
        <v>3263</v>
      </c>
      <c r="I3101" s="57" t="s">
        <v>532</v>
      </c>
      <c r="J3101" s="57">
        <v>50</v>
      </c>
      <c r="K3101" s="167">
        <f>L3101/J3101</f>
        <v>260</v>
      </c>
      <c r="L3101" s="164">
        <v>13000</v>
      </c>
    </row>
    <row r="3102" spans="2:12" x14ac:dyDescent="0.3">
      <c r="B3102" s="57">
        <f t="shared" si="272"/>
        <v>3099</v>
      </c>
      <c r="C3102" s="142">
        <v>46230</v>
      </c>
      <c r="D3102" s="57" t="s">
        <v>968</v>
      </c>
      <c r="E3102" s="57" t="s">
        <v>574</v>
      </c>
      <c r="F3102" s="57" t="s">
        <v>350</v>
      </c>
      <c r="G3102" s="57" t="s">
        <v>337</v>
      </c>
      <c r="H3102" s="140" t="s">
        <v>3142</v>
      </c>
      <c r="I3102" s="140" t="s">
        <v>2635</v>
      </c>
      <c r="J3102" s="57">
        <v>3.91</v>
      </c>
      <c r="K3102" s="57">
        <v>600</v>
      </c>
      <c r="L3102" s="164">
        <v>2400</v>
      </c>
    </row>
    <row r="3103" spans="2:12" x14ac:dyDescent="0.3">
      <c r="B3103" s="57">
        <f t="shared" si="272"/>
        <v>3100</v>
      </c>
      <c r="C3103" s="142">
        <v>46230</v>
      </c>
      <c r="D3103" s="57" t="s">
        <v>968</v>
      </c>
      <c r="E3103" s="57" t="s">
        <v>532</v>
      </c>
      <c r="F3103" s="57" t="s">
        <v>300</v>
      </c>
      <c r="G3103" s="57" t="s">
        <v>526</v>
      </c>
      <c r="H3103" s="140" t="s">
        <v>3264</v>
      </c>
      <c r="I3103" s="57" t="s">
        <v>532</v>
      </c>
      <c r="J3103" s="57">
        <v>6</v>
      </c>
      <c r="K3103" s="168">
        <f>L3103/J3103</f>
        <v>283.33333333333331</v>
      </c>
      <c r="L3103" s="164">
        <v>1700</v>
      </c>
    </row>
    <row r="3104" spans="2:12" x14ac:dyDescent="0.3">
      <c r="B3104" s="57">
        <f t="shared" si="272"/>
        <v>3101</v>
      </c>
      <c r="C3104" s="142">
        <v>46230</v>
      </c>
      <c r="D3104" s="57" t="s">
        <v>968</v>
      </c>
      <c r="E3104" s="57" t="s">
        <v>767</v>
      </c>
      <c r="F3104" s="57" t="s">
        <v>300</v>
      </c>
      <c r="G3104" s="57" t="s">
        <v>2330</v>
      </c>
      <c r="H3104" s="140" t="s">
        <v>3265</v>
      </c>
      <c r="I3104" s="57"/>
      <c r="J3104" s="57"/>
      <c r="L3104" s="164">
        <v>750</v>
      </c>
    </row>
    <row r="3105" spans="2:12" x14ac:dyDescent="0.3">
      <c r="B3105" s="57">
        <f t="shared" si="272"/>
        <v>3102</v>
      </c>
      <c r="C3105" s="142">
        <v>46230</v>
      </c>
      <c r="D3105" s="57" t="s">
        <v>968</v>
      </c>
      <c r="E3105" s="57" t="s">
        <v>481</v>
      </c>
      <c r="F3105" s="57" t="s">
        <v>300</v>
      </c>
      <c r="G3105" s="57" t="s">
        <v>2330</v>
      </c>
      <c r="H3105" s="140" t="s">
        <v>3266</v>
      </c>
      <c r="I3105" s="57"/>
      <c r="J3105" s="57"/>
      <c r="L3105" s="164">
        <v>300</v>
      </c>
    </row>
    <row r="3106" spans="2:12" x14ac:dyDescent="0.3">
      <c r="B3106" s="57">
        <f t="shared" si="272"/>
        <v>3103</v>
      </c>
      <c r="C3106" s="142">
        <v>46230</v>
      </c>
      <c r="D3106" s="57" t="s">
        <v>968</v>
      </c>
      <c r="E3106" s="57" t="s">
        <v>146</v>
      </c>
      <c r="F3106" s="57" t="s">
        <v>350</v>
      </c>
      <c r="G3106" s="57" t="s">
        <v>3270</v>
      </c>
      <c r="H3106" s="140" t="s">
        <v>2790</v>
      </c>
      <c r="I3106" s="57"/>
      <c r="J3106" s="165">
        <f>L3106/K3106</f>
        <v>18.867924528301888</v>
      </c>
      <c r="K3106" s="57">
        <v>106</v>
      </c>
      <c r="L3106" s="164">
        <v>2000</v>
      </c>
    </row>
    <row r="3107" spans="2:12" x14ac:dyDescent="0.3">
      <c r="B3107" s="57">
        <f t="shared" si="272"/>
        <v>3104</v>
      </c>
      <c r="C3107" s="142">
        <v>46230</v>
      </c>
      <c r="D3107" s="57" t="s">
        <v>968</v>
      </c>
      <c r="E3107" s="57" t="s">
        <v>2765</v>
      </c>
      <c r="F3107" s="57" t="s">
        <v>446</v>
      </c>
      <c r="G3107" s="57" t="s">
        <v>352</v>
      </c>
      <c r="H3107" s="140" t="s">
        <v>3267</v>
      </c>
      <c r="I3107" s="57"/>
      <c r="J3107" s="57"/>
      <c r="L3107" s="164">
        <v>6300</v>
      </c>
    </row>
    <row r="3108" spans="2:12" x14ac:dyDescent="0.3">
      <c r="B3108" s="57">
        <f t="shared" si="272"/>
        <v>3105</v>
      </c>
      <c r="C3108" s="142">
        <v>46230</v>
      </c>
      <c r="D3108" s="57" t="s">
        <v>968</v>
      </c>
      <c r="E3108" s="57" t="s">
        <v>3296</v>
      </c>
      <c r="F3108" s="57" t="s">
        <v>300</v>
      </c>
      <c r="G3108" s="57" t="s">
        <v>3297</v>
      </c>
      <c r="H3108" s="140" t="s">
        <v>3295</v>
      </c>
      <c r="I3108" s="57"/>
      <c r="J3108" s="57"/>
      <c r="L3108" s="164">
        <v>1000</v>
      </c>
    </row>
    <row r="3109" spans="2:12" x14ac:dyDescent="0.3">
      <c r="B3109" s="57">
        <f t="shared" si="272"/>
        <v>3106</v>
      </c>
      <c r="C3109" s="142">
        <v>46230</v>
      </c>
      <c r="D3109" s="57" t="s">
        <v>435</v>
      </c>
      <c r="E3109" s="57" t="s">
        <v>481</v>
      </c>
      <c r="F3109" s="57" t="s">
        <v>300</v>
      </c>
      <c r="G3109" s="57" t="s">
        <v>530</v>
      </c>
      <c r="H3109" s="140" t="s">
        <v>3298</v>
      </c>
      <c r="I3109" s="57"/>
      <c r="J3109" s="57" t="s">
        <v>3299</v>
      </c>
      <c r="L3109" s="164">
        <v>11000</v>
      </c>
    </row>
    <row r="3110" spans="2:12" x14ac:dyDescent="0.3">
      <c r="B3110" s="57">
        <f t="shared" si="272"/>
        <v>3107</v>
      </c>
      <c r="C3110" s="142">
        <v>46230</v>
      </c>
      <c r="D3110" s="57" t="s">
        <v>968</v>
      </c>
      <c r="E3110" s="57" t="s">
        <v>727</v>
      </c>
      <c r="F3110" s="57" t="s">
        <v>350</v>
      </c>
      <c r="G3110" s="57" t="s">
        <v>675</v>
      </c>
      <c r="H3110" s="140" t="s">
        <v>3300</v>
      </c>
      <c r="I3110" s="57"/>
      <c r="J3110" s="57"/>
      <c r="L3110" s="164">
        <v>875</v>
      </c>
    </row>
    <row r="3111" spans="2:12" x14ac:dyDescent="0.3">
      <c r="B3111" s="57">
        <f t="shared" si="272"/>
        <v>3108</v>
      </c>
      <c r="C3111" s="142">
        <v>46230</v>
      </c>
      <c r="D3111" s="57" t="s">
        <v>968</v>
      </c>
      <c r="E3111" s="57" t="s">
        <v>481</v>
      </c>
      <c r="F3111" s="57" t="s">
        <v>300</v>
      </c>
      <c r="G3111" s="57" t="s">
        <v>530</v>
      </c>
      <c r="H3111" s="140" t="s">
        <v>3301</v>
      </c>
      <c r="I3111" s="57"/>
      <c r="J3111" s="57"/>
      <c r="L3111" s="164">
        <v>1500</v>
      </c>
    </row>
    <row r="3112" spans="2:12" x14ac:dyDescent="0.3">
      <c r="B3112" s="57">
        <f t="shared" si="272"/>
        <v>3109</v>
      </c>
      <c r="C3112" s="142">
        <v>46231</v>
      </c>
      <c r="D3112" s="57" t="s">
        <v>968</v>
      </c>
      <c r="E3112" s="57" t="s">
        <v>522</v>
      </c>
      <c r="F3112" s="57" t="s">
        <v>502</v>
      </c>
      <c r="G3112" s="57" t="s">
        <v>257</v>
      </c>
      <c r="H3112" s="140" t="s">
        <v>3323</v>
      </c>
      <c r="I3112" s="57" t="s">
        <v>2686</v>
      </c>
      <c r="J3112" s="57"/>
      <c r="L3112" s="164">
        <v>2000</v>
      </c>
    </row>
    <row r="3113" spans="2:12" x14ac:dyDescent="0.3">
      <c r="B3113" s="57">
        <f t="shared" si="272"/>
        <v>3110</v>
      </c>
      <c r="C3113" s="142">
        <v>46231</v>
      </c>
      <c r="D3113" s="57" t="s">
        <v>968</v>
      </c>
      <c r="E3113" s="57" t="s">
        <v>146</v>
      </c>
      <c r="F3113" s="57" t="s">
        <v>546</v>
      </c>
      <c r="H3113" s="140" t="s">
        <v>4092</v>
      </c>
      <c r="I3113" s="57"/>
      <c r="J3113" s="165">
        <f>L3113/K3113</f>
        <v>132.83018867924528</v>
      </c>
      <c r="K3113" s="57">
        <v>106</v>
      </c>
      <c r="L3113" s="164">
        <v>14080</v>
      </c>
    </row>
    <row r="3114" spans="2:12" x14ac:dyDescent="0.3">
      <c r="B3114" s="57">
        <f t="shared" si="272"/>
        <v>3111</v>
      </c>
      <c r="C3114" s="142">
        <v>46231</v>
      </c>
      <c r="D3114" s="57" t="s">
        <v>968</v>
      </c>
      <c r="E3114" s="57" t="s">
        <v>434</v>
      </c>
      <c r="F3114" s="57" t="s">
        <v>446</v>
      </c>
      <c r="G3114" s="57" t="s">
        <v>990</v>
      </c>
      <c r="H3114" s="140" t="s">
        <v>3324</v>
      </c>
      <c r="I3114" s="57"/>
      <c r="J3114" s="57"/>
      <c r="L3114" s="164">
        <v>660</v>
      </c>
    </row>
    <row r="3115" spans="2:12" x14ac:dyDescent="0.3">
      <c r="B3115" s="57">
        <f t="shared" si="272"/>
        <v>3112</v>
      </c>
      <c r="C3115" s="142">
        <v>46231</v>
      </c>
      <c r="D3115" s="57" t="s">
        <v>968</v>
      </c>
      <c r="E3115" s="57" t="s">
        <v>434</v>
      </c>
      <c r="F3115" s="57" t="s">
        <v>446</v>
      </c>
      <c r="G3115" s="57" t="s">
        <v>649</v>
      </c>
      <c r="H3115" s="140" t="s">
        <v>3325</v>
      </c>
      <c r="I3115" s="57"/>
      <c r="J3115" s="57"/>
      <c r="L3115" s="164">
        <v>2450</v>
      </c>
    </row>
    <row r="3116" spans="2:12" x14ac:dyDescent="0.3">
      <c r="B3116" s="57">
        <f t="shared" si="272"/>
        <v>3113</v>
      </c>
      <c r="C3116" s="142">
        <v>46231</v>
      </c>
      <c r="D3116" s="57" t="s">
        <v>968</v>
      </c>
      <c r="E3116" s="57" t="s">
        <v>146</v>
      </c>
      <c r="F3116" s="57" t="s">
        <v>621</v>
      </c>
      <c r="G3116" s="57" t="s">
        <v>345</v>
      </c>
      <c r="H3116" s="140" t="s">
        <v>2852</v>
      </c>
      <c r="I3116" s="57"/>
      <c r="J3116" s="165">
        <f t="shared" ref="J3116:J3119" si="274">L3116/K3116</f>
        <v>37.735849056603776</v>
      </c>
      <c r="K3116" s="57">
        <v>106</v>
      </c>
      <c r="L3116" s="164">
        <v>4000</v>
      </c>
    </row>
    <row r="3117" spans="2:12" x14ac:dyDescent="0.3">
      <c r="B3117" s="57">
        <f t="shared" si="272"/>
        <v>3114</v>
      </c>
      <c r="C3117" s="142">
        <v>46231</v>
      </c>
      <c r="D3117" s="57" t="s">
        <v>968</v>
      </c>
      <c r="E3117" s="57" t="s">
        <v>146</v>
      </c>
      <c r="F3117" s="57" t="s">
        <v>446</v>
      </c>
      <c r="G3117" s="57" t="s">
        <v>649</v>
      </c>
      <c r="H3117" s="140" t="s">
        <v>879</v>
      </c>
      <c r="I3117" s="57"/>
      <c r="J3117" s="165">
        <f t="shared" si="274"/>
        <v>36.320754716981135</v>
      </c>
      <c r="K3117" s="57">
        <v>106</v>
      </c>
      <c r="L3117" s="164">
        <v>3850</v>
      </c>
    </row>
    <row r="3118" spans="2:12" x14ac:dyDescent="0.3">
      <c r="B3118" s="57">
        <f t="shared" si="272"/>
        <v>3115</v>
      </c>
      <c r="C3118" s="142">
        <v>46231</v>
      </c>
      <c r="D3118" s="57" t="s">
        <v>968</v>
      </c>
      <c r="E3118" s="57" t="s">
        <v>146</v>
      </c>
      <c r="F3118" s="57" t="s">
        <v>300</v>
      </c>
      <c r="G3118" s="57" t="s">
        <v>2509</v>
      </c>
      <c r="H3118" s="140" t="s">
        <v>3326</v>
      </c>
      <c r="I3118" s="57"/>
      <c r="J3118" s="165">
        <f t="shared" si="274"/>
        <v>18.867924528301888</v>
      </c>
      <c r="K3118" s="57">
        <v>106</v>
      </c>
      <c r="L3118" s="164">
        <v>2000</v>
      </c>
    </row>
    <row r="3119" spans="2:12" x14ac:dyDescent="0.3">
      <c r="B3119" s="57">
        <f t="shared" si="272"/>
        <v>3116</v>
      </c>
      <c r="C3119" s="142">
        <v>46231</v>
      </c>
      <c r="D3119" s="57" t="s">
        <v>968</v>
      </c>
      <c r="E3119" s="57" t="s">
        <v>146</v>
      </c>
      <c r="F3119" s="57" t="s">
        <v>546</v>
      </c>
      <c r="G3119" s="57" t="s">
        <v>545</v>
      </c>
      <c r="H3119" s="140" t="s">
        <v>4098</v>
      </c>
      <c r="I3119" s="57"/>
      <c r="J3119" s="165">
        <f t="shared" si="274"/>
        <v>18.867924528301888</v>
      </c>
      <c r="K3119" s="57">
        <v>106</v>
      </c>
      <c r="L3119" s="164">
        <v>2000</v>
      </c>
    </row>
    <row r="3120" spans="2:12" x14ac:dyDescent="0.3">
      <c r="B3120" s="57">
        <f t="shared" si="272"/>
        <v>3117</v>
      </c>
      <c r="C3120" s="142">
        <v>46231</v>
      </c>
      <c r="D3120" s="57" t="s">
        <v>968</v>
      </c>
      <c r="E3120" s="57" t="s">
        <v>522</v>
      </c>
      <c r="F3120" s="57" t="s">
        <v>502</v>
      </c>
      <c r="G3120" s="57" t="s">
        <v>257</v>
      </c>
      <c r="H3120" s="140" t="s">
        <v>3327</v>
      </c>
      <c r="I3120" s="57"/>
      <c r="J3120" s="57"/>
      <c r="L3120" s="164">
        <v>400</v>
      </c>
    </row>
    <row r="3121" spans="2:12" x14ac:dyDescent="0.3">
      <c r="B3121" s="57">
        <f t="shared" si="272"/>
        <v>3118</v>
      </c>
      <c r="C3121" s="142">
        <v>46231</v>
      </c>
      <c r="D3121" s="57" t="s">
        <v>968</v>
      </c>
      <c r="E3121" s="57" t="s">
        <v>767</v>
      </c>
      <c r="F3121" s="57" t="s">
        <v>350</v>
      </c>
      <c r="G3121" s="57" t="s">
        <v>3270</v>
      </c>
      <c r="H3121" s="140" t="s">
        <v>3328</v>
      </c>
      <c r="I3121" s="57"/>
      <c r="J3121" s="57"/>
      <c r="L3121" s="164">
        <v>150</v>
      </c>
    </row>
    <row r="3122" spans="2:12" x14ac:dyDescent="0.3">
      <c r="B3122" s="57">
        <f t="shared" si="272"/>
        <v>3119</v>
      </c>
      <c r="C3122" s="142">
        <v>46231</v>
      </c>
      <c r="D3122" s="57" t="s">
        <v>968</v>
      </c>
      <c r="E3122" s="57" t="s">
        <v>434</v>
      </c>
      <c r="F3122" s="57" t="s">
        <v>546</v>
      </c>
      <c r="G3122" s="57" t="s">
        <v>545</v>
      </c>
      <c r="H3122" s="140" t="s">
        <v>3329</v>
      </c>
      <c r="I3122" s="57"/>
      <c r="J3122" s="57"/>
      <c r="L3122" s="164">
        <v>96</v>
      </c>
    </row>
    <row r="3123" spans="2:12" x14ac:dyDescent="0.3">
      <c r="B3123" s="57">
        <f t="shared" si="272"/>
        <v>3120</v>
      </c>
      <c r="C3123" s="142">
        <v>46231</v>
      </c>
      <c r="D3123" s="57" t="s">
        <v>968</v>
      </c>
      <c r="E3123" s="57" t="s">
        <v>532</v>
      </c>
      <c r="F3123" s="57" t="s">
        <v>446</v>
      </c>
      <c r="G3123" s="57" t="s">
        <v>1000</v>
      </c>
      <c r="H3123" s="140" t="s">
        <v>3330</v>
      </c>
      <c r="I3123" s="57" t="s">
        <v>532</v>
      </c>
      <c r="J3123" s="57">
        <v>12</v>
      </c>
      <c r="K3123" s="57">
        <v>260</v>
      </c>
      <c r="L3123" s="164">
        <f t="shared" ref="L3123:L3159" si="275">J3123*K3123</f>
        <v>3120</v>
      </c>
    </row>
    <row r="3124" spans="2:12" x14ac:dyDescent="0.3">
      <c r="B3124" s="57">
        <f t="shared" si="272"/>
        <v>3121</v>
      </c>
      <c r="C3124" s="142">
        <v>46231</v>
      </c>
      <c r="D3124" s="57" t="s">
        <v>968</v>
      </c>
      <c r="E3124" s="57" t="s">
        <v>532</v>
      </c>
      <c r="F3124" s="57" t="s">
        <v>300</v>
      </c>
      <c r="G3124" s="57" t="s">
        <v>572</v>
      </c>
      <c r="H3124" s="140" t="s">
        <v>3350</v>
      </c>
      <c r="I3124" s="57" t="s">
        <v>532</v>
      </c>
      <c r="J3124" s="57">
        <v>16</v>
      </c>
      <c r="L3124" s="164">
        <v>4320</v>
      </c>
    </row>
    <row r="3125" spans="2:12" x14ac:dyDescent="0.3">
      <c r="B3125" s="57">
        <f t="shared" si="272"/>
        <v>3122</v>
      </c>
      <c r="C3125" s="142">
        <v>46231</v>
      </c>
      <c r="D3125" s="57" t="s">
        <v>968</v>
      </c>
      <c r="E3125" s="57" t="s">
        <v>4128</v>
      </c>
      <c r="F3125" s="57" t="s">
        <v>502</v>
      </c>
      <c r="G3125" s="57" t="s">
        <v>2344</v>
      </c>
      <c r="H3125" s="140" t="s">
        <v>3351</v>
      </c>
      <c r="I3125" s="57"/>
      <c r="J3125" s="57"/>
      <c r="L3125" s="164">
        <v>2100</v>
      </c>
    </row>
    <row r="3126" spans="2:12" x14ac:dyDescent="0.3">
      <c r="B3126" s="57">
        <f t="shared" si="272"/>
        <v>3123</v>
      </c>
      <c r="C3126" s="142">
        <v>46231</v>
      </c>
      <c r="D3126" s="57" t="s">
        <v>968</v>
      </c>
      <c r="E3126" s="57" t="s">
        <v>146</v>
      </c>
      <c r="F3126" s="57" t="s">
        <v>502</v>
      </c>
      <c r="G3126" s="57" t="s">
        <v>2344</v>
      </c>
      <c r="H3126" s="140" t="s">
        <v>3352</v>
      </c>
      <c r="I3126" s="57"/>
      <c r="J3126" s="165">
        <f>L3126/K3126</f>
        <v>18.867924528301888</v>
      </c>
      <c r="K3126" s="57">
        <v>106</v>
      </c>
      <c r="L3126" s="164">
        <v>2000</v>
      </c>
    </row>
    <row r="3127" spans="2:12" x14ac:dyDescent="0.3">
      <c r="B3127" s="57">
        <f t="shared" si="272"/>
        <v>3124</v>
      </c>
      <c r="C3127" s="142">
        <v>46231</v>
      </c>
      <c r="D3127" s="57" t="s">
        <v>968</v>
      </c>
      <c r="E3127" s="57" t="s">
        <v>574</v>
      </c>
      <c r="F3127" s="57" t="s">
        <v>446</v>
      </c>
      <c r="G3127" s="57" t="s">
        <v>990</v>
      </c>
      <c r="H3127" s="140" t="s">
        <v>2808</v>
      </c>
      <c r="I3127" s="140" t="s">
        <v>2635</v>
      </c>
      <c r="J3127" s="57">
        <v>4</v>
      </c>
      <c r="K3127" s="167">
        <f>L3127/J3127</f>
        <v>750</v>
      </c>
      <c r="L3127" s="164">
        <v>3000</v>
      </c>
    </row>
    <row r="3128" spans="2:12" x14ac:dyDescent="0.3">
      <c r="B3128" s="57">
        <f t="shared" si="272"/>
        <v>3125</v>
      </c>
      <c r="C3128" s="142">
        <v>46231</v>
      </c>
      <c r="D3128" s="57" t="s">
        <v>968</v>
      </c>
      <c r="E3128" s="57" t="s">
        <v>574</v>
      </c>
      <c r="F3128" s="57" t="s">
        <v>300</v>
      </c>
      <c r="G3128" s="57" t="s">
        <v>443</v>
      </c>
      <c r="H3128" s="140" t="s">
        <v>3353</v>
      </c>
      <c r="I3128" s="140" t="s">
        <v>4121</v>
      </c>
      <c r="J3128" s="57">
        <v>4.5</v>
      </c>
      <c r="K3128" s="168">
        <f>L3128/J3128</f>
        <v>502.22222222222223</v>
      </c>
      <c r="L3128" s="164">
        <v>2260</v>
      </c>
    </row>
    <row r="3129" spans="2:12" x14ac:dyDescent="0.3">
      <c r="B3129" s="57">
        <f t="shared" si="272"/>
        <v>3126</v>
      </c>
      <c r="C3129" s="142">
        <v>46231</v>
      </c>
      <c r="D3129" s="57" t="s">
        <v>968</v>
      </c>
      <c r="E3129" s="57" t="s">
        <v>574</v>
      </c>
      <c r="F3129" s="57" t="s">
        <v>446</v>
      </c>
      <c r="G3129" s="57" t="s">
        <v>990</v>
      </c>
      <c r="H3129" s="140" t="s">
        <v>3354</v>
      </c>
      <c r="I3129" s="140" t="s">
        <v>4081</v>
      </c>
      <c r="J3129" s="57">
        <v>4</v>
      </c>
      <c r="K3129" s="57">
        <v>750</v>
      </c>
      <c r="L3129" s="164">
        <v>2600</v>
      </c>
    </row>
    <row r="3130" spans="2:12" x14ac:dyDescent="0.3">
      <c r="B3130" s="57">
        <f t="shared" si="272"/>
        <v>3127</v>
      </c>
      <c r="C3130" s="142">
        <v>46231</v>
      </c>
      <c r="D3130" s="57" t="s">
        <v>968</v>
      </c>
      <c r="E3130" s="57" t="s">
        <v>146</v>
      </c>
      <c r="F3130" s="57" t="s">
        <v>300</v>
      </c>
      <c r="G3130" s="57" t="s">
        <v>526</v>
      </c>
      <c r="H3130" s="140" t="s">
        <v>3355</v>
      </c>
      <c r="I3130" s="57"/>
      <c r="J3130" s="165">
        <f>L3130/K3130</f>
        <v>18.867924528301888</v>
      </c>
      <c r="K3130" s="57">
        <v>106</v>
      </c>
      <c r="L3130" s="164">
        <v>2000</v>
      </c>
    </row>
    <row r="3131" spans="2:12" x14ac:dyDescent="0.3">
      <c r="B3131" s="57">
        <f t="shared" si="272"/>
        <v>3128</v>
      </c>
      <c r="C3131" s="142">
        <v>46231</v>
      </c>
      <c r="D3131" s="57" t="s">
        <v>968</v>
      </c>
      <c r="E3131" s="57" t="s">
        <v>767</v>
      </c>
      <c r="F3131" s="57" t="s">
        <v>300</v>
      </c>
      <c r="G3131" s="57" t="s">
        <v>300</v>
      </c>
      <c r="H3131" s="140" t="s">
        <v>3356</v>
      </c>
      <c r="I3131" s="57"/>
      <c r="J3131" s="57"/>
      <c r="L3131" s="164">
        <v>500</v>
      </c>
    </row>
    <row r="3132" spans="2:12" x14ac:dyDescent="0.3">
      <c r="B3132" s="57">
        <f t="shared" si="272"/>
        <v>3129</v>
      </c>
      <c r="C3132" s="142">
        <v>46231</v>
      </c>
      <c r="D3132" s="57" t="s">
        <v>968</v>
      </c>
      <c r="E3132" s="57" t="s">
        <v>2765</v>
      </c>
      <c r="F3132" s="57" t="s">
        <v>2332</v>
      </c>
      <c r="H3132" s="140" t="s">
        <v>3357</v>
      </c>
      <c r="I3132" s="57"/>
      <c r="J3132" s="57"/>
      <c r="L3132" s="164">
        <v>600</v>
      </c>
    </row>
    <row r="3133" spans="2:12" x14ac:dyDescent="0.3">
      <c r="B3133" s="57">
        <f t="shared" si="272"/>
        <v>3130</v>
      </c>
      <c r="C3133" s="142">
        <v>46231</v>
      </c>
      <c r="D3133" s="57" t="s">
        <v>968</v>
      </c>
      <c r="E3133" s="57" t="s">
        <v>2765</v>
      </c>
      <c r="F3133" s="57" t="s">
        <v>621</v>
      </c>
      <c r="G3133" s="57" t="s">
        <v>345</v>
      </c>
      <c r="H3133" s="140" t="s">
        <v>3358</v>
      </c>
      <c r="I3133" s="57"/>
      <c r="J3133" s="57"/>
      <c r="L3133" s="164">
        <v>2000</v>
      </c>
    </row>
    <row r="3134" spans="2:12" x14ac:dyDescent="0.3">
      <c r="B3134" s="57">
        <f t="shared" si="272"/>
        <v>3131</v>
      </c>
      <c r="C3134" s="142">
        <v>46231</v>
      </c>
      <c r="D3134" s="57" t="s">
        <v>435</v>
      </c>
      <c r="E3134" s="57" t="s">
        <v>4128</v>
      </c>
      <c r="F3134" s="57" t="s">
        <v>3103</v>
      </c>
      <c r="G3134" s="57" t="s">
        <v>3103</v>
      </c>
      <c r="H3134" s="140" t="s">
        <v>3359</v>
      </c>
      <c r="I3134" s="57" t="s">
        <v>2547</v>
      </c>
      <c r="J3134" s="57" t="s">
        <v>3363</v>
      </c>
      <c r="K3134" s="57">
        <v>650</v>
      </c>
      <c r="L3134" s="164">
        <v>20550</v>
      </c>
    </row>
    <row r="3135" spans="2:12" x14ac:dyDescent="0.3">
      <c r="B3135" s="57">
        <f t="shared" si="272"/>
        <v>3132</v>
      </c>
      <c r="C3135" s="142">
        <v>46231</v>
      </c>
      <c r="D3135" s="57" t="s">
        <v>968</v>
      </c>
      <c r="E3135" s="57" t="s">
        <v>434</v>
      </c>
      <c r="F3135" s="57" t="s">
        <v>502</v>
      </c>
      <c r="G3135" s="57" t="s">
        <v>2344</v>
      </c>
      <c r="H3135" s="140" t="s">
        <v>3360</v>
      </c>
      <c r="I3135" s="57"/>
      <c r="J3135" s="57"/>
      <c r="L3135" s="164">
        <v>8300</v>
      </c>
    </row>
    <row r="3136" spans="2:12" x14ac:dyDescent="0.3">
      <c r="B3136" s="57">
        <f t="shared" si="272"/>
        <v>3133</v>
      </c>
      <c r="C3136" s="142">
        <v>46231</v>
      </c>
      <c r="D3136" s="57" t="s">
        <v>968</v>
      </c>
      <c r="E3136" s="57" t="s">
        <v>4091</v>
      </c>
      <c r="H3136" s="140" t="s">
        <v>4096</v>
      </c>
      <c r="I3136" s="57"/>
      <c r="J3136" s="57"/>
      <c r="L3136" s="164">
        <v>2000</v>
      </c>
    </row>
    <row r="3137" spans="2:12" x14ac:dyDescent="0.3">
      <c r="B3137" s="57">
        <f t="shared" si="272"/>
        <v>3134</v>
      </c>
      <c r="C3137" s="142">
        <v>46231</v>
      </c>
      <c r="D3137" s="57" t="s">
        <v>968</v>
      </c>
      <c r="E3137" s="57" t="s">
        <v>4128</v>
      </c>
      <c r="F3137" s="57" t="s">
        <v>300</v>
      </c>
      <c r="G3137" s="57" t="s">
        <v>530</v>
      </c>
      <c r="H3137" s="140" t="s">
        <v>3361</v>
      </c>
      <c r="I3137" s="57"/>
      <c r="J3137" s="57"/>
      <c r="L3137" s="164">
        <v>15380</v>
      </c>
    </row>
    <row r="3138" spans="2:12" x14ac:dyDescent="0.3">
      <c r="B3138" s="57">
        <f t="shared" si="272"/>
        <v>3135</v>
      </c>
      <c r="C3138" s="142">
        <v>46231</v>
      </c>
      <c r="D3138" s="57" t="s">
        <v>968</v>
      </c>
      <c r="E3138" s="57" t="s">
        <v>574</v>
      </c>
      <c r="F3138" s="57" t="s">
        <v>300</v>
      </c>
      <c r="G3138" s="57" t="s">
        <v>530</v>
      </c>
      <c r="H3138" s="140" t="s">
        <v>3362</v>
      </c>
      <c r="I3138" s="140" t="s">
        <v>4122</v>
      </c>
      <c r="J3138" s="57">
        <v>4</v>
      </c>
      <c r="K3138" s="167">
        <f>L3138/J3138</f>
        <v>1375</v>
      </c>
      <c r="L3138" s="164">
        <v>5500</v>
      </c>
    </row>
    <row r="3139" spans="2:12" x14ac:dyDescent="0.3">
      <c r="B3139" s="57">
        <f t="shared" si="272"/>
        <v>3136</v>
      </c>
      <c r="C3139" s="142">
        <v>46232</v>
      </c>
      <c r="D3139" s="57" t="s">
        <v>968</v>
      </c>
      <c r="E3139" s="57" t="s">
        <v>146</v>
      </c>
      <c r="F3139" s="57" t="s">
        <v>300</v>
      </c>
      <c r="G3139" s="57" t="s">
        <v>530</v>
      </c>
      <c r="H3139" s="140" t="s">
        <v>3364</v>
      </c>
      <c r="I3139" s="57"/>
      <c r="J3139" s="165">
        <f>L3139/K3139</f>
        <v>47.169811320754718</v>
      </c>
      <c r="K3139" s="57">
        <v>106</v>
      </c>
      <c r="L3139" s="164">
        <v>5000</v>
      </c>
    </row>
    <row r="3140" spans="2:12" x14ac:dyDescent="0.3">
      <c r="B3140" s="57">
        <f t="shared" si="272"/>
        <v>3137</v>
      </c>
      <c r="C3140" s="142">
        <v>46232</v>
      </c>
      <c r="D3140" s="57" t="s">
        <v>968</v>
      </c>
      <c r="E3140" s="57" t="s">
        <v>782</v>
      </c>
      <c r="F3140" s="57" t="s">
        <v>350</v>
      </c>
      <c r="G3140" s="57" t="s">
        <v>3270</v>
      </c>
      <c r="H3140" s="140" t="s">
        <v>3365</v>
      </c>
      <c r="I3140" s="57"/>
      <c r="J3140" s="57"/>
      <c r="L3140" s="164">
        <v>2000</v>
      </c>
    </row>
    <row r="3141" spans="2:12" x14ac:dyDescent="0.3">
      <c r="B3141" s="57">
        <f t="shared" si="272"/>
        <v>3138</v>
      </c>
      <c r="C3141" s="142">
        <v>46232</v>
      </c>
      <c r="D3141" s="57" t="s">
        <v>968</v>
      </c>
      <c r="E3141" s="57" t="s">
        <v>146</v>
      </c>
      <c r="F3141" s="57" t="s">
        <v>300</v>
      </c>
      <c r="G3141" s="57" t="s">
        <v>530</v>
      </c>
      <c r="H3141" s="140" t="s">
        <v>4115</v>
      </c>
      <c r="I3141" s="57"/>
      <c r="J3141" s="165">
        <f t="shared" ref="J3141:J3142" si="276">L3141/K3141</f>
        <v>18.867924528301888</v>
      </c>
      <c r="K3141" s="57">
        <v>106</v>
      </c>
      <c r="L3141" s="164">
        <v>2000</v>
      </c>
    </row>
    <row r="3142" spans="2:12" x14ac:dyDescent="0.3">
      <c r="B3142" s="57">
        <f t="shared" ref="B3142:B3205" si="277">+B3141+1</f>
        <v>3139</v>
      </c>
      <c r="C3142" s="142">
        <v>46232</v>
      </c>
      <c r="D3142" s="57" t="s">
        <v>968</v>
      </c>
      <c r="E3142" s="57" t="s">
        <v>146</v>
      </c>
      <c r="F3142" s="57" t="s">
        <v>350</v>
      </c>
      <c r="G3142" s="57" t="s">
        <v>2770</v>
      </c>
      <c r="H3142" s="140" t="s">
        <v>4106</v>
      </c>
      <c r="I3142" s="57"/>
      <c r="J3142" s="165">
        <f t="shared" si="276"/>
        <v>28.30188679245283</v>
      </c>
      <c r="K3142" s="57">
        <v>106</v>
      </c>
      <c r="L3142" s="164">
        <v>3000</v>
      </c>
    </row>
    <row r="3143" spans="2:12" x14ac:dyDescent="0.3">
      <c r="B3143" s="57">
        <f t="shared" si="277"/>
        <v>3140</v>
      </c>
      <c r="C3143" s="142">
        <v>46232</v>
      </c>
      <c r="D3143" s="57" t="s">
        <v>968</v>
      </c>
      <c r="E3143" s="57" t="s">
        <v>532</v>
      </c>
      <c r="F3143" s="57" t="s">
        <v>2332</v>
      </c>
      <c r="G3143" s="57" t="s">
        <v>1004</v>
      </c>
      <c r="H3143" s="140" t="s">
        <v>3366</v>
      </c>
      <c r="I3143" s="57" t="s">
        <v>532</v>
      </c>
      <c r="J3143" s="57">
        <v>10</v>
      </c>
      <c r="K3143" s="57">
        <v>260</v>
      </c>
      <c r="L3143" s="164">
        <f t="shared" si="275"/>
        <v>2600</v>
      </c>
    </row>
    <row r="3144" spans="2:12" x14ac:dyDescent="0.3">
      <c r="B3144" s="57">
        <f t="shared" si="277"/>
        <v>3141</v>
      </c>
      <c r="C3144" s="142">
        <v>46232</v>
      </c>
      <c r="D3144" s="57" t="s">
        <v>968</v>
      </c>
      <c r="E3144" s="57" t="s">
        <v>146</v>
      </c>
      <c r="F3144" s="57" t="s">
        <v>300</v>
      </c>
      <c r="G3144" s="57" t="s">
        <v>438</v>
      </c>
      <c r="H3144" s="140" t="s">
        <v>4110</v>
      </c>
      <c r="I3144" s="57"/>
      <c r="J3144" s="165">
        <f>L3144/K3144</f>
        <v>18.867924528301888</v>
      </c>
      <c r="K3144" s="57">
        <v>106</v>
      </c>
      <c r="L3144" s="164">
        <v>2000</v>
      </c>
    </row>
    <row r="3145" spans="2:12" x14ac:dyDescent="0.3">
      <c r="B3145" s="57">
        <f t="shared" si="277"/>
        <v>3142</v>
      </c>
      <c r="C3145" s="142">
        <v>46232</v>
      </c>
      <c r="D3145" s="57" t="s">
        <v>968</v>
      </c>
      <c r="E3145" s="57" t="s">
        <v>574</v>
      </c>
      <c r="F3145" s="57" t="s">
        <v>2332</v>
      </c>
      <c r="G3145" s="57" t="s">
        <v>1004</v>
      </c>
      <c r="H3145" s="140" t="s">
        <v>3367</v>
      </c>
      <c r="I3145" s="140" t="s">
        <v>2635</v>
      </c>
      <c r="J3145" s="57">
        <v>4</v>
      </c>
      <c r="K3145" s="167">
        <f>L3145/J3145</f>
        <v>750</v>
      </c>
      <c r="L3145" s="164">
        <v>3000</v>
      </c>
    </row>
    <row r="3146" spans="2:12" x14ac:dyDescent="0.3">
      <c r="B3146" s="57">
        <f t="shared" si="277"/>
        <v>3143</v>
      </c>
      <c r="C3146" s="142">
        <v>46232</v>
      </c>
      <c r="D3146" s="57" t="s">
        <v>435</v>
      </c>
      <c r="E3146" s="57" t="s">
        <v>146</v>
      </c>
      <c r="F3146" s="57" t="s">
        <v>300</v>
      </c>
      <c r="G3146" s="57" t="s">
        <v>300</v>
      </c>
      <c r="H3146" s="140" t="s">
        <v>4092</v>
      </c>
      <c r="I3146" s="57"/>
      <c r="J3146" s="165">
        <f>L3146/K3146</f>
        <v>143.59433962264151</v>
      </c>
      <c r="K3146" s="57">
        <v>106</v>
      </c>
      <c r="L3146" s="164">
        <v>15221</v>
      </c>
    </row>
    <row r="3147" spans="2:12" x14ac:dyDescent="0.3">
      <c r="B3147" s="57">
        <f t="shared" si="277"/>
        <v>3144</v>
      </c>
      <c r="C3147" s="142">
        <v>46232</v>
      </c>
      <c r="D3147" s="57" t="s">
        <v>435</v>
      </c>
      <c r="E3147" s="57" t="s">
        <v>532</v>
      </c>
      <c r="F3147" s="57" t="s">
        <v>502</v>
      </c>
      <c r="G3147" s="57" t="s">
        <v>2344</v>
      </c>
      <c r="H3147" s="140" t="s">
        <v>3369</v>
      </c>
      <c r="I3147" s="57" t="s">
        <v>532</v>
      </c>
      <c r="J3147" s="57">
        <v>260</v>
      </c>
      <c r="K3147" s="57">
        <v>50</v>
      </c>
      <c r="L3147" s="164">
        <f t="shared" si="275"/>
        <v>13000</v>
      </c>
    </row>
    <row r="3148" spans="2:12" x14ac:dyDescent="0.3">
      <c r="B3148" s="57">
        <f t="shared" si="277"/>
        <v>3145</v>
      </c>
      <c r="C3148" s="142">
        <v>46232</v>
      </c>
      <c r="D3148" s="57" t="s">
        <v>435</v>
      </c>
      <c r="E3148" s="57" t="s">
        <v>4128</v>
      </c>
      <c r="F3148" s="57" t="s">
        <v>502</v>
      </c>
      <c r="G3148" s="57" t="s">
        <v>2344</v>
      </c>
      <c r="H3148" s="140" t="s">
        <v>2782</v>
      </c>
      <c r="I3148" s="57" t="s">
        <v>532</v>
      </c>
      <c r="J3148" s="57"/>
      <c r="L3148" s="164">
        <v>300</v>
      </c>
    </row>
    <row r="3149" spans="2:12" x14ac:dyDescent="0.3">
      <c r="B3149" s="57">
        <f t="shared" si="277"/>
        <v>3146</v>
      </c>
      <c r="C3149" s="142">
        <v>46232</v>
      </c>
      <c r="D3149" s="57" t="s">
        <v>968</v>
      </c>
      <c r="E3149" s="57" t="s">
        <v>2765</v>
      </c>
      <c r="F3149" s="57" t="s">
        <v>446</v>
      </c>
      <c r="G3149" s="57" t="s">
        <v>990</v>
      </c>
      <c r="H3149" s="140" t="s">
        <v>3368</v>
      </c>
      <c r="I3149" s="57"/>
      <c r="J3149" s="57"/>
      <c r="L3149" s="164">
        <v>2100</v>
      </c>
    </row>
    <row r="3150" spans="2:12" x14ac:dyDescent="0.3">
      <c r="B3150" s="57">
        <f t="shared" si="277"/>
        <v>3147</v>
      </c>
      <c r="C3150" s="142">
        <v>46232</v>
      </c>
      <c r="D3150" s="57" t="s">
        <v>4139</v>
      </c>
      <c r="E3150" s="57" t="s">
        <v>908</v>
      </c>
      <c r="F3150" s="57" t="s">
        <v>300</v>
      </c>
      <c r="G3150" s="57" t="s">
        <v>300</v>
      </c>
      <c r="H3150" s="140" t="s">
        <v>3370</v>
      </c>
      <c r="I3150" s="57"/>
      <c r="J3150" s="57"/>
      <c r="L3150" s="164">
        <v>50158</v>
      </c>
    </row>
    <row r="3151" spans="2:12" x14ac:dyDescent="0.3">
      <c r="B3151" s="57">
        <f t="shared" si="277"/>
        <v>3148</v>
      </c>
      <c r="C3151" s="142">
        <v>46233</v>
      </c>
      <c r="D3151" s="57" t="s">
        <v>968</v>
      </c>
      <c r="E3151" s="57" t="s">
        <v>4128</v>
      </c>
      <c r="F3151" s="57" t="s">
        <v>300</v>
      </c>
      <c r="G3151" s="57" t="s">
        <v>2331</v>
      </c>
      <c r="H3151" s="140" t="s">
        <v>3371</v>
      </c>
      <c r="I3151" s="57"/>
      <c r="J3151" s="57"/>
      <c r="L3151" s="164">
        <v>4100</v>
      </c>
    </row>
    <row r="3152" spans="2:12" x14ac:dyDescent="0.3">
      <c r="B3152" s="57">
        <f t="shared" si="277"/>
        <v>3149</v>
      </c>
      <c r="C3152" s="142">
        <v>46233</v>
      </c>
      <c r="D3152" s="57" t="s">
        <v>968</v>
      </c>
      <c r="E3152" s="57" t="s">
        <v>146</v>
      </c>
      <c r="F3152" s="57" t="s">
        <v>502</v>
      </c>
      <c r="G3152" s="57" t="s">
        <v>257</v>
      </c>
      <c r="H3152" s="140" t="s">
        <v>3372</v>
      </c>
      <c r="I3152" s="57"/>
      <c r="J3152" s="165">
        <f t="shared" ref="J3152:J3153" si="278">L3152/K3152</f>
        <v>18.867924528301888</v>
      </c>
      <c r="K3152" s="57">
        <v>106</v>
      </c>
      <c r="L3152" s="164">
        <v>2000</v>
      </c>
    </row>
    <row r="3153" spans="2:12" x14ac:dyDescent="0.3">
      <c r="B3153" s="57">
        <f t="shared" si="277"/>
        <v>3150</v>
      </c>
      <c r="C3153" s="142">
        <v>46233</v>
      </c>
      <c r="D3153" s="57" t="s">
        <v>968</v>
      </c>
      <c r="E3153" s="57" t="s">
        <v>146</v>
      </c>
      <c r="F3153" s="57" t="s">
        <v>300</v>
      </c>
      <c r="H3153" s="140" t="s">
        <v>3373</v>
      </c>
      <c r="I3153" s="57"/>
      <c r="J3153" s="165">
        <f t="shared" si="278"/>
        <v>18.867924528301888</v>
      </c>
      <c r="K3153" s="57">
        <v>106</v>
      </c>
      <c r="L3153" s="164">
        <v>2000</v>
      </c>
    </row>
    <row r="3154" spans="2:12" x14ac:dyDescent="0.3">
      <c r="B3154" s="57">
        <f t="shared" si="277"/>
        <v>3151</v>
      </c>
      <c r="C3154" s="142">
        <v>46233</v>
      </c>
      <c r="D3154" s="57" t="s">
        <v>968</v>
      </c>
      <c r="E3154" s="57" t="s">
        <v>434</v>
      </c>
      <c r="F3154" s="57" t="s">
        <v>502</v>
      </c>
      <c r="G3154" s="57" t="s">
        <v>257</v>
      </c>
      <c r="H3154" s="140" t="s">
        <v>3374</v>
      </c>
      <c r="I3154" s="57"/>
      <c r="J3154" s="57"/>
      <c r="L3154" s="164">
        <v>11600</v>
      </c>
    </row>
    <row r="3155" spans="2:12" x14ac:dyDescent="0.3">
      <c r="B3155" s="57">
        <f t="shared" si="277"/>
        <v>3152</v>
      </c>
      <c r="C3155" s="142">
        <v>46233</v>
      </c>
      <c r="D3155" s="57" t="s">
        <v>968</v>
      </c>
      <c r="E3155" s="57" t="s">
        <v>146</v>
      </c>
      <c r="F3155" s="57" t="s">
        <v>446</v>
      </c>
      <c r="G3155" s="57" t="s">
        <v>990</v>
      </c>
      <c r="H3155" s="140" t="s">
        <v>4089</v>
      </c>
      <c r="I3155" s="57"/>
      <c r="J3155" s="165">
        <f t="shared" ref="J3155:J3157" si="279">L3155/K3155</f>
        <v>18.867924528301888</v>
      </c>
      <c r="K3155" s="57">
        <v>106</v>
      </c>
      <c r="L3155" s="164">
        <v>2000</v>
      </c>
    </row>
    <row r="3156" spans="2:12" x14ac:dyDescent="0.3">
      <c r="B3156" s="57">
        <f t="shared" si="277"/>
        <v>3153</v>
      </c>
      <c r="C3156" s="142">
        <v>46233</v>
      </c>
      <c r="D3156" s="57" t="s">
        <v>968</v>
      </c>
      <c r="E3156" s="57" t="s">
        <v>146</v>
      </c>
      <c r="F3156" s="57" t="s">
        <v>300</v>
      </c>
      <c r="G3156" s="57" t="s">
        <v>2331</v>
      </c>
      <c r="H3156" s="140" t="s">
        <v>4088</v>
      </c>
      <c r="I3156" s="57"/>
      <c r="J3156" s="165">
        <f t="shared" si="279"/>
        <v>18.867924528301888</v>
      </c>
      <c r="K3156" s="57">
        <v>106</v>
      </c>
      <c r="L3156" s="164">
        <v>2000</v>
      </c>
    </row>
    <row r="3157" spans="2:12" x14ac:dyDescent="0.3">
      <c r="B3157" s="57">
        <f t="shared" si="277"/>
        <v>3154</v>
      </c>
      <c r="C3157" s="142">
        <v>46233</v>
      </c>
      <c r="D3157" s="57" t="s">
        <v>968</v>
      </c>
      <c r="E3157" s="57" t="s">
        <v>146</v>
      </c>
      <c r="F3157" s="57" t="s">
        <v>300</v>
      </c>
      <c r="G3157" s="57" t="s">
        <v>2331</v>
      </c>
      <c r="H3157" s="140" t="s">
        <v>4095</v>
      </c>
      <c r="I3157" s="57"/>
      <c r="J3157" s="165">
        <f t="shared" si="279"/>
        <v>18.867924528301888</v>
      </c>
      <c r="K3157" s="57">
        <v>106</v>
      </c>
      <c r="L3157" s="164">
        <v>2000</v>
      </c>
    </row>
    <row r="3158" spans="2:12" x14ac:dyDescent="0.3">
      <c r="B3158" s="57">
        <f t="shared" si="277"/>
        <v>3155</v>
      </c>
      <c r="C3158" s="142">
        <v>46233</v>
      </c>
      <c r="D3158" s="57" t="s">
        <v>968</v>
      </c>
      <c r="E3158" s="57" t="s">
        <v>434</v>
      </c>
      <c r="F3158" s="57" t="s">
        <v>502</v>
      </c>
      <c r="G3158" s="57" t="s">
        <v>2344</v>
      </c>
      <c r="H3158" s="140" t="s">
        <v>3375</v>
      </c>
      <c r="I3158" s="57"/>
      <c r="J3158" s="57"/>
      <c r="L3158" s="164">
        <v>3600</v>
      </c>
    </row>
    <row r="3159" spans="2:12" x14ac:dyDescent="0.3">
      <c r="B3159" s="57">
        <f t="shared" si="277"/>
        <v>3156</v>
      </c>
      <c r="C3159" s="142">
        <v>46233</v>
      </c>
      <c r="D3159" s="57" t="s">
        <v>968</v>
      </c>
      <c r="E3159" s="57" t="s">
        <v>532</v>
      </c>
      <c r="F3159" s="57" t="s">
        <v>2332</v>
      </c>
      <c r="G3159" s="57" t="s">
        <v>1004</v>
      </c>
      <c r="H3159" s="140" t="s">
        <v>3376</v>
      </c>
      <c r="I3159" s="57" t="s">
        <v>532</v>
      </c>
      <c r="J3159" s="57">
        <v>10</v>
      </c>
      <c r="K3159" s="57">
        <v>260</v>
      </c>
      <c r="L3159" s="164">
        <f t="shared" si="275"/>
        <v>2600</v>
      </c>
    </row>
    <row r="3160" spans="2:12" x14ac:dyDescent="0.3">
      <c r="B3160" s="57">
        <f t="shared" si="277"/>
        <v>3157</v>
      </c>
      <c r="C3160" s="142">
        <v>46233</v>
      </c>
      <c r="D3160" s="57" t="s">
        <v>968</v>
      </c>
      <c r="E3160" s="57" t="s">
        <v>481</v>
      </c>
      <c r="F3160" s="57" t="s">
        <v>2332</v>
      </c>
      <c r="G3160" s="57" t="s">
        <v>1004</v>
      </c>
      <c r="H3160" s="140" t="s">
        <v>3377</v>
      </c>
      <c r="I3160" s="57" t="s">
        <v>481</v>
      </c>
      <c r="J3160" s="57" t="s">
        <v>3380</v>
      </c>
      <c r="L3160" s="164">
        <v>300</v>
      </c>
    </row>
    <row r="3161" spans="2:12" x14ac:dyDescent="0.3">
      <c r="B3161" s="57">
        <f t="shared" si="277"/>
        <v>3158</v>
      </c>
      <c r="C3161" s="142">
        <v>46233</v>
      </c>
      <c r="D3161" s="57" t="s">
        <v>968</v>
      </c>
      <c r="E3161" s="57" t="s">
        <v>958</v>
      </c>
      <c r="F3161" s="57" t="s">
        <v>2332</v>
      </c>
      <c r="G3161" s="57" t="s">
        <v>1004</v>
      </c>
      <c r="H3161" s="140" t="s">
        <v>3378</v>
      </c>
      <c r="I3161" s="57"/>
      <c r="J3161" s="57"/>
      <c r="L3161" s="164">
        <v>10000</v>
      </c>
    </row>
    <row r="3162" spans="2:12" x14ac:dyDescent="0.3">
      <c r="B3162" s="57">
        <f t="shared" si="277"/>
        <v>3159</v>
      </c>
      <c r="C3162" s="142">
        <v>46233</v>
      </c>
      <c r="D3162" s="57" t="s">
        <v>968</v>
      </c>
      <c r="E3162" s="57" t="s">
        <v>3145</v>
      </c>
      <c r="F3162" s="57" t="s">
        <v>502</v>
      </c>
      <c r="G3162" s="57" t="s">
        <v>257</v>
      </c>
      <c r="H3162" s="140" t="s">
        <v>3379</v>
      </c>
      <c r="I3162" s="57"/>
      <c r="J3162" s="57"/>
      <c r="L3162" s="164">
        <v>2360</v>
      </c>
    </row>
    <row r="3163" spans="2:12" x14ac:dyDescent="0.3">
      <c r="B3163" s="57">
        <f t="shared" si="277"/>
        <v>3160</v>
      </c>
      <c r="C3163" s="142">
        <v>46233</v>
      </c>
      <c r="D3163" s="57" t="s">
        <v>968</v>
      </c>
      <c r="E3163" s="57" t="s">
        <v>434</v>
      </c>
      <c r="F3163" s="57" t="s">
        <v>2332</v>
      </c>
      <c r="G3163" s="57" t="s">
        <v>1004</v>
      </c>
      <c r="H3163" s="140" t="s">
        <v>3381</v>
      </c>
      <c r="I3163" s="57"/>
      <c r="J3163" s="57"/>
      <c r="L3163" s="164">
        <v>185</v>
      </c>
    </row>
    <row r="3164" spans="2:12" x14ac:dyDescent="0.3">
      <c r="B3164" s="57">
        <f t="shared" si="277"/>
        <v>3161</v>
      </c>
      <c r="C3164" s="142">
        <v>46233</v>
      </c>
      <c r="D3164" s="57" t="s">
        <v>968</v>
      </c>
      <c r="E3164" s="57" t="s">
        <v>146</v>
      </c>
      <c r="F3164" s="57" t="s">
        <v>2332</v>
      </c>
      <c r="G3164" s="57" t="s">
        <v>1004</v>
      </c>
      <c r="H3164" s="140" t="s">
        <v>3055</v>
      </c>
      <c r="I3164" s="57"/>
      <c r="J3164" s="165">
        <f>L3164/K3164</f>
        <v>18.867924528301888</v>
      </c>
      <c r="K3164" s="57">
        <v>106</v>
      </c>
      <c r="L3164" s="164">
        <v>2000</v>
      </c>
    </row>
    <row r="3165" spans="2:12" x14ac:dyDescent="0.3">
      <c r="B3165" s="57">
        <f t="shared" si="277"/>
        <v>3162</v>
      </c>
      <c r="C3165" s="142">
        <v>46233</v>
      </c>
      <c r="D3165" s="57" t="s">
        <v>968</v>
      </c>
      <c r="E3165" s="57" t="s">
        <v>4128</v>
      </c>
      <c r="F3165" s="57" t="s">
        <v>300</v>
      </c>
      <c r="G3165" s="57" t="s">
        <v>443</v>
      </c>
      <c r="H3165" s="140" t="s">
        <v>3382</v>
      </c>
      <c r="I3165" s="57"/>
      <c r="J3165" s="57"/>
      <c r="L3165" s="164">
        <v>3900</v>
      </c>
    </row>
    <row r="3166" spans="2:12" x14ac:dyDescent="0.3">
      <c r="B3166" s="57">
        <f t="shared" si="277"/>
        <v>3163</v>
      </c>
      <c r="C3166" s="142">
        <v>46233</v>
      </c>
      <c r="D3166" s="57" t="s">
        <v>968</v>
      </c>
      <c r="E3166" s="57" t="s">
        <v>595</v>
      </c>
      <c r="F3166" s="57" t="s">
        <v>2332</v>
      </c>
      <c r="G3166" s="57" t="s">
        <v>3389</v>
      </c>
      <c r="H3166" s="140" t="s">
        <v>3383</v>
      </c>
      <c r="I3166" s="57"/>
      <c r="J3166" s="57"/>
      <c r="L3166" s="164">
        <v>2000</v>
      </c>
    </row>
    <row r="3167" spans="2:12" x14ac:dyDescent="0.3">
      <c r="B3167" s="57">
        <f t="shared" si="277"/>
        <v>3164</v>
      </c>
      <c r="C3167" s="142">
        <v>46233</v>
      </c>
      <c r="D3167" s="57" t="s">
        <v>968</v>
      </c>
      <c r="E3167" s="57" t="s">
        <v>146</v>
      </c>
      <c r="F3167" s="57" t="s">
        <v>300</v>
      </c>
      <c r="G3167" s="57" t="s">
        <v>572</v>
      </c>
      <c r="H3167" s="140" t="s">
        <v>885</v>
      </c>
      <c r="I3167" s="57"/>
      <c r="J3167" s="165">
        <f>L3167/K3167</f>
        <v>28.30188679245283</v>
      </c>
      <c r="K3167" s="57">
        <v>106</v>
      </c>
      <c r="L3167" s="164">
        <v>3000</v>
      </c>
    </row>
    <row r="3168" spans="2:12" x14ac:dyDescent="0.3">
      <c r="B3168" s="57">
        <f t="shared" si="277"/>
        <v>3165</v>
      </c>
      <c r="C3168" s="142">
        <v>46233</v>
      </c>
      <c r="D3168" s="57" t="s">
        <v>968</v>
      </c>
      <c r="E3168" s="57" t="s">
        <v>434</v>
      </c>
      <c r="F3168" s="57" t="s">
        <v>300</v>
      </c>
      <c r="G3168" s="57" t="s">
        <v>2331</v>
      </c>
      <c r="H3168" s="140" t="s">
        <v>3384</v>
      </c>
      <c r="I3168" s="57"/>
      <c r="J3168" s="57"/>
      <c r="L3168" s="164">
        <v>6710</v>
      </c>
    </row>
    <row r="3169" spans="2:12" x14ac:dyDescent="0.3">
      <c r="B3169" s="57">
        <f t="shared" si="277"/>
        <v>3166</v>
      </c>
      <c r="C3169" s="142">
        <v>46233</v>
      </c>
      <c r="D3169" s="57" t="s">
        <v>968</v>
      </c>
      <c r="E3169" s="57" t="s">
        <v>434</v>
      </c>
      <c r="F3169" s="57" t="s">
        <v>300</v>
      </c>
      <c r="G3169" s="57" t="s">
        <v>498</v>
      </c>
      <c r="H3169" s="140" t="s">
        <v>3385</v>
      </c>
      <c r="I3169" s="57"/>
      <c r="J3169" s="57"/>
      <c r="L3169" s="164">
        <v>6540</v>
      </c>
    </row>
    <row r="3170" spans="2:12" x14ac:dyDescent="0.3">
      <c r="B3170" s="57">
        <f t="shared" si="277"/>
        <v>3167</v>
      </c>
      <c r="C3170" s="142">
        <v>46233</v>
      </c>
      <c r="D3170" s="57" t="s">
        <v>968</v>
      </c>
      <c r="E3170" s="57" t="s">
        <v>434</v>
      </c>
      <c r="F3170" s="57" t="s">
        <v>300</v>
      </c>
      <c r="G3170" s="57" t="s">
        <v>709</v>
      </c>
      <c r="H3170" s="140" t="s">
        <v>3386</v>
      </c>
      <c r="I3170" s="57"/>
      <c r="J3170" s="57"/>
      <c r="L3170" s="164">
        <v>5970</v>
      </c>
    </row>
    <row r="3171" spans="2:12" x14ac:dyDescent="0.3">
      <c r="B3171" s="57">
        <f t="shared" si="277"/>
        <v>3168</v>
      </c>
      <c r="C3171" s="142">
        <v>46233</v>
      </c>
      <c r="D3171" s="57" t="s">
        <v>968</v>
      </c>
      <c r="E3171" s="57" t="s">
        <v>2427</v>
      </c>
      <c r="F3171" s="57" t="s">
        <v>300</v>
      </c>
      <c r="H3171" s="140" t="s">
        <v>3387</v>
      </c>
      <c r="I3171" s="57" t="s">
        <v>3390</v>
      </c>
      <c r="J3171" s="57"/>
      <c r="L3171" s="164">
        <v>3550</v>
      </c>
    </row>
    <row r="3172" spans="2:12" x14ac:dyDescent="0.3">
      <c r="B3172" s="57">
        <f t="shared" si="277"/>
        <v>3169</v>
      </c>
      <c r="C3172" s="142">
        <v>46233</v>
      </c>
      <c r="D3172" s="57" t="s">
        <v>968</v>
      </c>
      <c r="E3172" s="57" t="s">
        <v>4128</v>
      </c>
      <c r="F3172" s="57" t="s">
        <v>436</v>
      </c>
      <c r="G3172" s="57" t="s">
        <v>270</v>
      </c>
      <c r="H3172" s="140" t="s">
        <v>3388</v>
      </c>
      <c r="I3172" s="57"/>
      <c r="J3172" s="57"/>
      <c r="L3172" s="164">
        <v>2500</v>
      </c>
    </row>
    <row r="3173" spans="2:12" x14ac:dyDescent="0.3">
      <c r="B3173" s="57">
        <f t="shared" si="277"/>
        <v>3170</v>
      </c>
      <c r="C3173" s="142">
        <v>46233</v>
      </c>
      <c r="D3173" s="57" t="s">
        <v>968</v>
      </c>
      <c r="E3173" s="57" t="s">
        <v>532</v>
      </c>
      <c r="F3173" s="57" t="s">
        <v>300</v>
      </c>
      <c r="G3173" s="57" t="s">
        <v>526</v>
      </c>
      <c r="H3173" s="140" t="s">
        <v>3391</v>
      </c>
      <c r="I3173" s="57" t="s">
        <v>532</v>
      </c>
      <c r="J3173" s="57">
        <v>4</v>
      </c>
      <c r="K3173" s="57">
        <v>300</v>
      </c>
      <c r="L3173" s="164">
        <f>J3173*K3173</f>
        <v>1200</v>
      </c>
    </row>
    <row r="3174" spans="2:12" x14ac:dyDescent="0.3">
      <c r="B3174" s="57">
        <f t="shared" si="277"/>
        <v>3171</v>
      </c>
      <c r="C3174" s="142">
        <v>46233</v>
      </c>
      <c r="D3174" s="57" t="s">
        <v>968</v>
      </c>
      <c r="E3174" s="57" t="s">
        <v>481</v>
      </c>
      <c r="F3174" s="57" t="s">
        <v>300</v>
      </c>
      <c r="G3174" s="57" t="s">
        <v>498</v>
      </c>
      <c r="H3174" s="140" t="s">
        <v>3392</v>
      </c>
      <c r="I3174" s="57" t="s">
        <v>481</v>
      </c>
      <c r="J3174" s="57">
        <v>6</v>
      </c>
      <c r="L3174" s="164">
        <v>450</v>
      </c>
    </row>
    <row r="3175" spans="2:12" x14ac:dyDescent="0.3">
      <c r="B3175" s="57">
        <f t="shared" si="277"/>
        <v>3172</v>
      </c>
      <c r="C3175" s="142">
        <v>46233</v>
      </c>
      <c r="D3175" s="57" t="s">
        <v>968</v>
      </c>
      <c r="E3175" s="57" t="s">
        <v>2686</v>
      </c>
      <c r="F3175" s="57" t="s">
        <v>300</v>
      </c>
      <c r="G3175" s="57" t="s">
        <v>530</v>
      </c>
      <c r="H3175" s="140" t="s">
        <v>3396</v>
      </c>
      <c r="I3175" s="57"/>
      <c r="J3175" s="57"/>
      <c r="L3175" s="164">
        <v>21000</v>
      </c>
    </row>
    <row r="3176" spans="2:12" x14ac:dyDescent="0.3">
      <c r="B3176" s="57">
        <f t="shared" si="277"/>
        <v>3173</v>
      </c>
      <c r="C3176" s="142">
        <v>46233</v>
      </c>
      <c r="D3176" s="57" t="s">
        <v>968</v>
      </c>
      <c r="E3176" s="57" t="s">
        <v>2765</v>
      </c>
      <c r="F3176" s="57" t="s">
        <v>300</v>
      </c>
      <c r="G3176" s="57" t="s">
        <v>2794</v>
      </c>
      <c r="H3176" s="140" t="s">
        <v>3393</v>
      </c>
      <c r="I3176" s="57"/>
      <c r="J3176" s="57"/>
      <c r="L3176" s="164">
        <v>800</v>
      </c>
    </row>
    <row r="3177" spans="2:12" x14ac:dyDescent="0.3">
      <c r="B3177" s="57">
        <f t="shared" si="277"/>
        <v>3174</v>
      </c>
      <c r="C3177" s="142">
        <v>46233</v>
      </c>
      <c r="D3177" s="57" t="s">
        <v>968</v>
      </c>
      <c r="E3177" s="57" t="s">
        <v>237</v>
      </c>
      <c r="F3177" s="57" t="s">
        <v>436</v>
      </c>
      <c r="G3177" s="57" t="s">
        <v>270</v>
      </c>
      <c r="H3177" s="140" t="s">
        <v>3394</v>
      </c>
      <c r="I3177" s="57"/>
      <c r="J3177" s="57"/>
      <c r="L3177" s="164">
        <v>950</v>
      </c>
    </row>
    <row r="3178" spans="2:12" x14ac:dyDescent="0.3">
      <c r="B3178" s="57">
        <f t="shared" si="277"/>
        <v>3175</v>
      </c>
      <c r="C3178" s="142">
        <v>46233</v>
      </c>
      <c r="D3178" s="57" t="s">
        <v>968</v>
      </c>
      <c r="E3178" s="57" t="s">
        <v>434</v>
      </c>
      <c r="F3178" s="57" t="s">
        <v>436</v>
      </c>
      <c r="G3178" s="57" t="s">
        <v>270</v>
      </c>
      <c r="H3178" s="140" t="s">
        <v>3395</v>
      </c>
      <c r="I3178" s="57"/>
      <c r="J3178" s="57"/>
      <c r="L3178" s="164">
        <v>400</v>
      </c>
    </row>
    <row r="3179" spans="2:12" x14ac:dyDescent="0.3">
      <c r="B3179" s="57">
        <f t="shared" si="277"/>
        <v>3176</v>
      </c>
      <c r="C3179" s="142">
        <v>46234</v>
      </c>
      <c r="D3179" s="57" t="s">
        <v>968</v>
      </c>
      <c r="E3179" s="57" t="s">
        <v>146</v>
      </c>
      <c r="F3179" s="57" t="s">
        <v>502</v>
      </c>
      <c r="G3179" s="57" t="s">
        <v>257</v>
      </c>
      <c r="H3179" s="140" t="s">
        <v>3397</v>
      </c>
      <c r="I3179" s="57"/>
      <c r="J3179" s="165">
        <f>L3179/K3179</f>
        <v>18.867924528301888</v>
      </c>
      <c r="K3179" s="57">
        <v>106</v>
      </c>
      <c r="L3179" s="164">
        <v>2000</v>
      </c>
    </row>
    <row r="3180" spans="2:12" x14ac:dyDescent="0.3">
      <c r="B3180" s="57">
        <f t="shared" si="277"/>
        <v>3177</v>
      </c>
      <c r="C3180" s="142">
        <v>46234</v>
      </c>
      <c r="D3180" s="57" t="s">
        <v>435</v>
      </c>
      <c r="E3180" s="57" t="s">
        <v>958</v>
      </c>
      <c r="F3180" s="57" t="s">
        <v>350</v>
      </c>
      <c r="G3180" s="57" t="s">
        <v>675</v>
      </c>
      <c r="H3180" s="140" t="s">
        <v>3398</v>
      </c>
      <c r="I3180" s="57"/>
      <c r="J3180" s="57"/>
      <c r="L3180" s="164">
        <v>6000</v>
      </c>
    </row>
    <row r="3181" spans="2:12" x14ac:dyDescent="0.3">
      <c r="B3181" s="57">
        <f t="shared" si="277"/>
        <v>3178</v>
      </c>
      <c r="C3181" s="142">
        <v>46234</v>
      </c>
      <c r="D3181" s="57" t="s">
        <v>968</v>
      </c>
      <c r="F3181" s="57" t="s">
        <v>300</v>
      </c>
      <c r="H3181" s="140" t="s">
        <v>3399</v>
      </c>
      <c r="I3181" s="57"/>
      <c r="J3181" s="57"/>
      <c r="L3181" s="164">
        <v>1100</v>
      </c>
    </row>
    <row r="3182" spans="2:12" x14ac:dyDescent="0.3">
      <c r="B3182" s="57">
        <f t="shared" si="277"/>
        <v>3179</v>
      </c>
      <c r="C3182" s="142">
        <v>46234</v>
      </c>
      <c r="D3182" s="57" t="s">
        <v>968</v>
      </c>
      <c r="E3182" s="57" t="s">
        <v>532</v>
      </c>
      <c r="F3182" s="57" t="s">
        <v>300</v>
      </c>
      <c r="G3182" s="57" t="s">
        <v>3404</v>
      </c>
      <c r="H3182" s="140" t="s">
        <v>3400</v>
      </c>
      <c r="I3182" s="57" t="s">
        <v>532</v>
      </c>
      <c r="J3182" s="57">
        <v>30</v>
      </c>
      <c r="K3182" s="167">
        <f>L3182/J3182</f>
        <v>260</v>
      </c>
      <c r="L3182" s="164">
        <v>7800</v>
      </c>
    </row>
    <row r="3183" spans="2:12" x14ac:dyDescent="0.3">
      <c r="B3183" s="57">
        <f t="shared" si="277"/>
        <v>3180</v>
      </c>
      <c r="C3183" s="142">
        <v>46234</v>
      </c>
      <c r="D3183" s="57" t="s">
        <v>968</v>
      </c>
      <c r="E3183" s="57" t="s">
        <v>146</v>
      </c>
      <c r="F3183" s="57" t="s">
        <v>350</v>
      </c>
      <c r="G3183" s="57" t="s">
        <v>675</v>
      </c>
      <c r="H3183" s="140" t="s">
        <v>4113</v>
      </c>
      <c r="I3183" s="57" t="s">
        <v>146</v>
      </c>
      <c r="J3183" s="165">
        <f t="shared" ref="J3183:J3185" si="280">L3183/K3183</f>
        <v>18.867924528301888</v>
      </c>
      <c r="K3183" s="57">
        <v>106</v>
      </c>
      <c r="L3183" s="164">
        <v>2000</v>
      </c>
    </row>
    <row r="3184" spans="2:12" x14ac:dyDescent="0.3">
      <c r="B3184" s="57">
        <f t="shared" si="277"/>
        <v>3181</v>
      </c>
      <c r="C3184" s="142">
        <v>46234</v>
      </c>
      <c r="D3184" s="57" t="s">
        <v>968</v>
      </c>
      <c r="E3184" s="57" t="s">
        <v>146</v>
      </c>
      <c r="F3184" s="57" t="s">
        <v>300</v>
      </c>
      <c r="H3184" s="140" t="s">
        <v>3401</v>
      </c>
      <c r="I3184" s="57"/>
      <c r="J3184" s="165">
        <f t="shared" si="280"/>
        <v>47.169811320754718</v>
      </c>
      <c r="K3184" s="57">
        <v>106</v>
      </c>
      <c r="L3184" s="164">
        <v>5000</v>
      </c>
    </row>
    <row r="3185" spans="2:12" x14ac:dyDescent="0.3">
      <c r="B3185" s="57">
        <f t="shared" si="277"/>
        <v>3182</v>
      </c>
      <c r="C3185" s="142">
        <v>46234</v>
      </c>
      <c r="D3185" s="57" t="s">
        <v>968</v>
      </c>
      <c r="E3185" s="57" t="s">
        <v>146</v>
      </c>
      <c r="F3185" s="57" t="s">
        <v>300</v>
      </c>
      <c r="H3185" s="140" t="s">
        <v>3402</v>
      </c>
      <c r="I3185" s="57"/>
      <c r="J3185" s="165">
        <f t="shared" si="280"/>
        <v>19.481132075471699</v>
      </c>
      <c r="K3185" s="57">
        <v>106</v>
      </c>
      <c r="L3185" s="164">
        <v>2065</v>
      </c>
    </row>
    <row r="3186" spans="2:12" x14ac:dyDescent="0.3">
      <c r="B3186" s="57">
        <f t="shared" si="277"/>
        <v>3183</v>
      </c>
      <c r="C3186" s="142">
        <v>46234</v>
      </c>
      <c r="D3186" s="57" t="s">
        <v>968</v>
      </c>
      <c r="E3186" s="57" t="s">
        <v>574</v>
      </c>
      <c r="F3186" s="57" t="s">
        <v>300</v>
      </c>
      <c r="G3186" s="57" t="s">
        <v>709</v>
      </c>
      <c r="H3186" s="140" t="s">
        <v>3403</v>
      </c>
      <c r="I3186" s="140" t="s">
        <v>4082</v>
      </c>
      <c r="J3186" s="57">
        <v>4</v>
      </c>
      <c r="K3186" s="57">
        <v>750</v>
      </c>
      <c r="L3186" s="164">
        <v>2500</v>
      </c>
    </row>
    <row r="3187" spans="2:12" x14ac:dyDescent="0.3">
      <c r="B3187" s="57">
        <f t="shared" si="277"/>
        <v>3184</v>
      </c>
      <c r="C3187" s="142">
        <v>46234</v>
      </c>
      <c r="D3187" s="57" t="s">
        <v>968</v>
      </c>
      <c r="E3187" s="57" t="s">
        <v>532</v>
      </c>
      <c r="F3187" s="57" t="s">
        <v>546</v>
      </c>
      <c r="G3187" s="57" t="s">
        <v>545</v>
      </c>
      <c r="H3187" s="140" t="s">
        <v>3405</v>
      </c>
      <c r="I3187" s="57" t="s">
        <v>532</v>
      </c>
      <c r="J3187" s="57">
        <v>20</v>
      </c>
      <c r="K3187" s="167">
        <f>L3187/J3187</f>
        <v>265</v>
      </c>
      <c r="L3187" s="164">
        <v>5300</v>
      </c>
    </row>
    <row r="3188" spans="2:12" x14ac:dyDescent="0.3">
      <c r="B3188" s="57">
        <f t="shared" si="277"/>
        <v>3185</v>
      </c>
      <c r="C3188" s="142">
        <v>46234</v>
      </c>
      <c r="D3188" s="57" t="s">
        <v>968</v>
      </c>
      <c r="E3188" s="57" t="s">
        <v>434</v>
      </c>
      <c r="F3188" s="57" t="s">
        <v>300</v>
      </c>
      <c r="G3188" s="57" t="s">
        <v>572</v>
      </c>
      <c r="H3188" s="140" t="s">
        <v>3406</v>
      </c>
      <c r="I3188" s="57"/>
      <c r="J3188" s="57"/>
      <c r="L3188" s="164">
        <v>220</v>
      </c>
    </row>
    <row r="3189" spans="2:12" x14ac:dyDescent="0.3">
      <c r="B3189" s="57">
        <f t="shared" si="277"/>
        <v>3186</v>
      </c>
      <c r="C3189" s="142">
        <v>46234</v>
      </c>
      <c r="D3189" s="57" t="s">
        <v>968</v>
      </c>
      <c r="E3189" s="57" t="s">
        <v>146</v>
      </c>
      <c r="F3189" s="57" t="s">
        <v>2328</v>
      </c>
      <c r="G3189" s="57" t="s">
        <v>1002</v>
      </c>
      <c r="H3189" s="140" t="s">
        <v>3407</v>
      </c>
      <c r="I3189" s="57"/>
      <c r="J3189" s="165">
        <f>L3189/K3189</f>
        <v>116.0377358490566</v>
      </c>
      <c r="K3189" s="57">
        <v>106</v>
      </c>
      <c r="L3189" s="164">
        <v>12300</v>
      </c>
    </row>
    <row r="3190" spans="2:12" x14ac:dyDescent="0.3">
      <c r="B3190" s="57">
        <f t="shared" si="277"/>
        <v>3187</v>
      </c>
      <c r="C3190" s="142">
        <v>46234</v>
      </c>
      <c r="D3190" s="57" t="s">
        <v>968</v>
      </c>
      <c r="E3190" s="57" t="s">
        <v>574</v>
      </c>
      <c r="F3190" s="57" t="s">
        <v>300</v>
      </c>
      <c r="G3190" s="57" t="s">
        <v>443</v>
      </c>
      <c r="H3190" s="140" t="s">
        <v>3409</v>
      </c>
      <c r="I3190" s="140" t="s">
        <v>3416</v>
      </c>
      <c r="J3190" s="57">
        <v>4.55</v>
      </c>
      <c r="K3190" s="168">
        <f>L3190/J3190</f>
        <v>498.90109890109892</v>
      </c>
      <c r="L3190" s="164">
        <v>2270</v>
      </c>
    </row>
    <row r="3191" spans="2:12" x14ac:dyDescent="0.3">
      <c r="B3191" s="57">
        <f t="shared" si="277"/>
        <v>3188</v>
      </c>
      <c r="C3191" s="142">
        <v>46234</v>
      </c>
      <c r="D3191" s="57" t="s">
        <v>968</v>
      </c>
      <c r="E3191" s="57" t="s">
        <v>146</v>
      </c>
      <c r="F3191" s="57" t="s">
        <v>300</v>
      </c>
      <c r="G3191" s="57" t="s">
        <v>2330</v>
      </c>
      <c r="H3191" s="140" t="s">
        <v>1051</v>
      </c>
      <c r="I3191" s="57"/>
      <c r="J3191" s="165">
        <f>L3191/K3191</f>
        <v>18.867924528301888</v>
      </c>
      <c r="K3191" s="57">
        <v>106</v>
      </c>
      <c r="L3191" s="164">
        <v>2000</v>
      </c>
    </row>
    <row r="3192" spans="2:12" x14ac:dyDescent="0.3">
      <c r="B3192" s="57">
        <f t="shared" si="277"/>
        <v>3189</v>
      </c>
      <c r="C3192" s="142">
        <v>46234</v>
      </c>
      <c r="D3192" s="57" t="s">
        <v>968</v>
      </c>
      <c r="E3192" s="57" t="s">
        <v>767</v>
      </c>
      <c r="F3192" s="57" t="s">
        <v>300</v>
      </c>
      <c r="G3192" s="57" t="s">
        <v>526</v>
      </c>
      <c r="H3192" s="140" t="s">
        <v>3408</v>
      </c>
      <c r="I3192" s="57"/>
      <c r="J3192" s="57"/>
      <c r="L3192" s="164">
        <v>500</v>
      </c>
    </row>
    <row r="3193" spans="2:12" x14ac:dyDescent="0.3">
      <c r="B3193" s="57">
        <f t="shared" si="277"/>
        <v>3190</v>
      </c>
      <c r="C3193" s="142">
        <v>46234</v>
      </c>
      <c r="D3193" s="57" t="s">
        <v>968</v>
      </c>
      <c r="E3193" s="57" t="s">
        <v>3145</v>
      </c>
      <c r="F3193" s="57" t="s">
        <v>502</v>
      </c>
      <c r="G3193" s="57" t="s">
        <v>257</v>
      </c>
      <c r="H3193" s="140" t="s">
        <v>3410</v>
      </c>
      <c r="I3193" s="57"/>
      <c r="J3193" s="57"/>
      <c r="L3193" s="164">
        <v>990</v>
      </c>
    </row>
    <row r="3194" spans="2:12" x14ac:dyDescent="0.3">
      <c r="B3194" s="57">
        <f t="shared" si="277"/>
        <v>3191</v>
      </c>
      <c r="C3194" s="142">
        <v>46234</v>
      </c>
      <c r="D3194" s="57" t="s">
        <v>968</v>
      </c>
      <c r="E3194" s="57" t="s">
        <v>967</v>
      </c>
      <c r="F3194" s="57" t="s">
        <v>300</v>
      </c>
      <c r="G3194" s="57" t="s">
        <v>530</v>
      </c>
      <c r="H3194" s="140" t="s">
        <v>3411</v>
      </c>
      <c r="I3194" s="57"/>
      <c r="J3194" s="57"/>
      <c r="L3194" s="164">
        <v>2000</v>
      </c>
    </row>
    <row r="3195" spans="2:12" x14ac:dyDescent="0.3">
      <c r="B3195" s="57">
        <f t="shared" si="277"/>
        <v>3192</v>
      </c>
      <c r="C3195" s="142">
        <v>46234</v>
      </c>
      <c r="D3195" s="57" t="s">
        <v>435</v>
      </c>
      <c r="E3195" s="57" t="s">
        <v>532</v>
      </c>
      <c r="F3195" s="57" t="s">
        <v>621</v>
      </c>
      <c r="G3195" s="57" t="s">
        <v>345</v>
      </c>
      <c r="H3195" s="140" t="s">
        <v>3412</v>
      </c>
      <c r="I3195" s="57" t="s">
        <v>532</v>
      </c>
      <c r="J3195" s="57">
        <v>380</v>
      </c>
      <c r="K3195" s="57">
        <v>260</v>
      </c>
      <c r="L3195" s="164">
        <f t="shared" ref="L3195:L3250" si="281">J3195*K3195</f>
        <v>98800</v>
      </c>
    </row>
    <row r="3196" spans="2:12" x14ac:dyDescent="0.3">
      <c r="B3196" s="57">
        <f t="shared" si="277"/>
        <v>3193</v>
      </c>
      <c r="C3196" s="142">
        <v>46235</v>
      </c>
      <c r="D3196" s="57" t="s">
        <v>968</v>
      </c>
      <c r="E3196" s="57" t="s">
        <v>4128</v>
      </c>
      <c r="F3196" s="57" t="s">
        <v>652</v>
      </c>
      <c r="G3196" s="57" t="s">
        <v>2584</v>
      </c>
      <c r="H3196" s="140" t="s">
        <v>3413</v>
      </c>
      <c r="I3196" s="57" t="s">
        <v>3415</v>
      </c>
      <c r="J3196" s="57"/>
      <c r="L3196" s="164">
        <v>3750</v>
      </c>
    </row>
    <row r="3197" spans="2:12" x14ac:dyDescent="0.3">
      <c r="B3197" s="57">
        <f t="shared" si="277"/>
        <v>3194</v>
      </c>
      <c r="C3197" s="142">
        <v>46235</v>
      </c>
      <c r="D3197" s="57" t="s">
        <v>968</v>
      </c>
      <c r="E3197" s="57" t="s">
        <v>146</v>
      </c>
      <c r="F3197" s="57" t="s">
        <v>300</v>
      </c>
      <c r="G3197" s="57" t="s">
        <v>530</v>
      </c>
      <c r="H3197" s="140" t="s">
        <v>4092</v>
      </c>
      <c r="I3197" s="57"/>
      <c r="J3197" s="165">
        <f t="shared" ref="J3197:J3200" si="282">L3197/K3197</f>
        <v>145.12264150943398</v>
      </c>
      <c r="K3197" s="57">
        <v>106</v>
      </c>
      <c r="L3197" s="164">
        <v>15383</v>
      </c>
    </row>
    <row r="3198" spans="2:12" x14ac:dyDescent="0.3">
      <c r="B3198" s="57">
        <f t="shared" si="277"/>
        <v>3195</v>
      </c>
      <c r="C3198" s="142">
        <v>46235</v>
      </c>
      <c r="D3198" s="57" t="s">
        <v>968</v>
      </c>
      <c r="E3198" s="57" t="s">
        <v>146</v>
      </c>
      <c r="F3198" s="57" t="s">
        <v>300</v>
      </c>
      <c r="G3198" s="57" t="s">
        <v>3404</v>
      </c>
      <c r="H3198" s="140" t="s">
        <v>4088</v>
      </c>
      <c r="I3198" s="57"/>
      <c r="J3198" s="165">
        <f t="shared" si="282"/>
        <v>18.867924528301888</v>
      </c>
      <c r="K3198" s="57">
        <v>106</v>
      </c>
      <c r="L3198" s="164">
        <v>2000</v>
      </c>
    </row>
    <row r="3199" spans="2:12" x14ac:dyDescent="0.3">
      <c r="B3199" s="57">
        <f t="shared" si="277"/>
        <v>3196</v>
      </c>
      <c r="C3199" s="142">
        <v>46235</v>
      </c>
      <c r="D3199" s="57" t="s">
        <v>968</v>
      </c>
      <c r="E3199" s="57" t="s">
        <v>146</v>
      </c>
      <c r="F3199" s="57" t="s">
        <v>300</v>
      </c>
      <c r="G3199" s="57" t="s">
        <v>443</v>
      </c>
      <c r="H3199" s="140" t="s">
        <v>4095</v>
      </c>
      <c r="I3199" s="57"/>
      <c r="J3199" s="165">
        <f t="shared" si="282"/>
        <v>28.30188679245283</v>
      </c>
      <c r="K3199" s="57">
        <v>106</v>
      </c>
      <c r="L3199" s="164">
        <v>3000</v>
      </c>
    </row>
    <row r="3200" spans="2:12" x14ac:dyDescent="0.3">
      <c r="B3200" s="57">
        <f t="shared" si="277"/>
        <v>3197</v>
      </c>
      <c r="C3200" s="142">
        <v>46235</v>
      </c>
      <c r="D3200" s="57" t="s">
        <v>968</v>
      </c>
      <c r="E3200" s="57" t="s">
        <v>146</v>
      </c>
      <c r="F3200" s="57" t="s">
        <v>350</v>
      </c>
      <c r="G3200" s="57" t="s">
        <v>337</v>
      </c>
      <c r="H3200" s="140" t="s">
        <v>2780</v>
      </c>
      <c r="I3200" s="57"/>
      <c r="J3200" s="165">
        <f t="shared" si="282"/>
        <v>18.867924528301888</v>
      </c>
      <c r="K3200" s="57">
        <v>106</v>
      </c>
      <c r="L3200" s="164">
        <v>2000</v>
      </c>
    </row>
    <row r="3201" spans="2:12" x14ac:dyDescent="0.3">
      <c r="B3201" s="57">
        <f t="shared" si="277"/>
        <v>3198</v>
      </c>
      <c r="C3201" s="142">
        <v>46235</v>
      </c>
      <c r="D3201" s="57" t="s">
        <v>968</v>
      </c>
      <c r="E3201" s="57" t="s">
        <v>532</v>
      </c>
      <c r="F3201" s="57" t="s">
        <v>446</v>
      </c>
      <c r="G3201" s="57" t="s">
        <v>990</v>
      </c>
      <c r="H3201" s="140" t="s">
        <v>3414</v>
      </c>
      <c r="I3201" s="57" t="s">
        <v>532</v>
      </c>
      <c r="J3201" s="57">
        <v>25</v>
      </c>
      <c r="K3201" s="167">
        <f>L3201/J3201</f>
        <v>266</v>
      </c>
      <c r="L3201" s="164">
        <v>6650</v>
      </c>
    </row>
    <row r="3202" spans="2:12" x14ac:dyDescent="0.3">
      <c r="B3202" s="57">
        <f t="shared" si="277"/>
        <v>3199</v>
      </c>
      <c r="C3202" s="142">
        <v>46235</v>
      </c>
      <c r="D3202" s="57" t="s">
        <v>968</v>
      </c>
      <c r="E3202" s="57" t="s">
        <v>574</v>
      </c>
      <c r="F3202" s="57" t="s">
        <v>300</v>
      </c>
      <c r="G3202" s="57" t="s">
        <v>443</v>
      </c>
      <c r="H3202" s="140" t="s">
        <v>3409</v>
      </c>
      <c r="I3202" s="140" t="s">
        <v>3416</v>
      </c>
      <c r="J3202" s="57">
        <v>3.79</v>
      </c>
      <c r="K3202" s="168">
        <f>L3202/J3202</f>
        <v>527.70448548812669</v>
      </c>
      <c r="L3202" s="164">
        <v>2000</v>
      </c>
    </row>
    <row r="3203" spans="2:12" x14ac:dyDescent="0.3">
      <c r="B3203" s="57">
        <f t="shared" si="277"/>
        <v>3200</v>
      </c>
      <c r="C3203" s="142">
        <v>46235</v>
      </c>
      <c r="D3203" s="57" t="s">
        <v>968</v>
      </c>
      <c r="E3203" s="57" t="s">
        <v>146</v>
      </c>
      <c r="F3203" s="57" t="s">
        <v>2332</v>
      </c>
      <c r="G3203" s="57" t="s">
        <v>1004</v>
      </c>
      <c r="H3203" s="140" t="s">
        <v>3055</v>
      </c>
      <c r="I3203" s="57"/>
      <c r="J3203" s="165">
        <f t="shared" ref="J3203:J3204" si="283">L3203/K3203</f>
        <v>18.867924528301888</v>
      </c>
      <c r="K3203" s="57">
        <v>106</v>
      </c>
      <c r="L3203" s="164">
        <v>2000</v>
      </c>
    </row>
    <row r="3204" spans="2:12" x14ac:dyDescent="0.3">
      <c r="B3204" s="57">
        <f t="shared" si="277"/>
        <v>3201</v>
      </c>
      <c r="C3204" s="142">
        <v>46235</v>
      </c>
      <c r="D3204" s="57" t="s">
        <v>968</v>
      </c>
      <c r="E3204" s="57" t="s">
        <v>146</v>
      </c>
      <c r="F3204" s="57" t="s">
        <v>446</v>
      </c>
      <c r="G3204" s="57" t="s">
        <v>1000</v>
      </c>
      <c r="H3204" s="140" t="s">
        <v>4099</v>
      </c>
      <c r="I3204" s="57"/>
      <c r="J3204" s="165">
        <f t="shared" si="283"/>
        <v>18.433962264150942</v>
      </c>
      <c r="K3204" s="57">
        <v>106</v>
      </c>
      <c r="L3204" s="164">
        <v>1954</v>
      </c>
    </row>
    <row r="3205" spans="2:12" x14ac:dyDescent="0.3">
      <c r="B3205" s="57">
        <f t="shared" si="277"/>
        <v>3202</v>
      </c>
      <c r="C3205" s="142">
        <v>46235</v>
      </c>
      <c r="D3205" s="57" t="s">
        <v>968</v>
      </c>
      <c r="E3205" s="57" t="s">
        <v>460</v>
      </c>
      <c r="F3205" s="57" t="s">
        <v>546</v>
      </c>
      <c r="G3205" s="57" t="s">
        <v>545</v>
      </c>
      <c r="H3205" s="140" t="s">
        <v>3417</v>
      </c>
      <c r="I3205" s="57" t="s">
        <v>3425</v>
      </c>
      <c r="J3205" s="57"/>
      <c r="L3205" s="164">
        <v>700</v>
      </c>
    </row>
    <row r="3206" spans="2:12" x14ac:dyDescent="0.3">
      <c r="B3206" s="57">
        <f t="shared" ref="B3206:B3269" si="284">+B3205+1</f>
        <v>3203</v>
      </c>
      <c r="C3206" s="142">
        <v>46235</v>
      </c>
      <c r="D3206" s="57" t="s">
        <v>968</v>
      </c>
      <c r="E3206" s="57" t="s">
        <v>146</v>
      </c>
      <c r="F3206" s="57" t="s">
        <v>300</v>
      </c>
      <c r="G3206" s="57" t="s">
        <v>530</v>
      </c>
      <c r="H3206" s="140" t="s">
        <v>3418</v>
      </c>
      <c r="I3206" s="57"/>
      <c r="J3206" s="165">
        <f>L3206/K3206</f>
        <v>18.867924528301888</v>
      </c>
      <c r="K3206" s="57">
        <v>106</v>
      </c>
      <c r="L3206" s="164">
        <v>2000</v>
      </c>
    </row>
    <row r="3207" spans="2:12" x14ac:dyDescent="0.3">
      <c r="B3207" s="57">
        <f t="shared" si="284"/>
        <v>3204</v>
      </c>
      <c r="C3207" s="142">
        <v>46235</v>
      </c>
      <c r="D3207" s="57" t="s">
        <v>968</v>
      </c>
      <c r="E3207" s="57" t="s">
        <v>434</v>
      </c>
      <c r="F3207" s="57" t="s">
        <v>446</v>
      </c>
      <c r="G3207" s="57" t="s">
        <v>990</v>
      </c>
      <c r="H3207" s="140" t="s">
        <v>3419</v>
      </c>
      <c r="I3207" s="57"/>
      <c r="J3207" s="57"/>
      <c r="L3207" s="164">
        <v>495</v>
      </c>
    </row>
    <row r="3208" spans="2:12" x14ac:dyDescent="0.3">
      <c r="B3208" s="57">
        <f t="shared" si="284"/>
        <v>3205</v>
      </c>
      <c r="C3208" s="142">
        <v>46235</v>
      </c>
      <c r="D3208" s="57" t="s">
        <v>968</v>
      </c>
      <c r="E3208" s="57" t="s">
        <v>532</v>
      </c>
      <c r="F3208" s="57" t="s">
        <v>300</v>
      </c>
      <c r="G3208" s="57" t="s">
        <v>530</v>
      </c>
      <c r="H3208" s="140" t="s">
        <v>3420</v>
      </c>
      <c r="I3208" s="57" t="s">
        <v>532</v>
      </c>
      <c r="J3208" s="57">
        <v>20</v>
      </c>
      <c r="K3208" s="57">
        <v>290</v>
      </c>
      <c r="L3208" s="164">
        <f t="shared" si="281"/>
        <v>5800</v>
      </c>
    </row>
    <row r="3209" spans="2:12" x14ac:dyDescent="0.3">
      <c r="B3209" s="57">
        <f t="shared" si="284"/>
        <v>3206</v>
      </c>
      <c r="C3209" s="142">
        <v>46235</v>
      </c>
      <c r="D3209" s="57" t="s">
        <v>968</v>
      </c>
      <c r="E3209" s="57" t="s">
        <v>532</v>
      </c>
      <c r="F3209" s="57" t="s">
        <v>350</v>
      </c>
      <c r="G3209" s="57" t="s">
        <v>337</v>
      </c>
      <c r="H3209" s="140" t="s">
        <v>3426</v>
      </c>
      <c r="I3209" s="57" t="s">
        <v>532</v>
      </c>
      <c r="J3209" s="57">
        <v>7</v>
      </c>
      <c r="K3209" s="168">
        <f>L3209/J3209</f>
        <v>285.71428571428572</v>
      </c>
      <c r="L3209" s="164">
        <v>2000</v>
      </c>
    </row>
    <row r="3210" spans="2:12" x14ac:dyDescent="0.3">
      <c r="B3210" s="57">
        <f t="shared" si="284"/>
        <v>3207</v>
      </c>
      <c r="C3210" s="142">
        <v>46235</v>
      </c>
      <c r="D3210" s="57" t="s">
        <v>968</v>
      </c>
      <c r="E3210" s="57" t="s">
        <v>2427</v>
      </c>
      <c r="F3210" s="57" t="s">
        <v>350</v>
      </c>
      <c r="G3210" s="57" t="s">
        <v>337</v>
      </c>
      <c r="H3210" s="140" t="s">
        <v>3427</v>
      </c>
      <c r="I3210" s="57" t="s">
        <v>2914</v>
      </c>
      <c r="J3210" s="165">
        <f>L3210/K3210</f>
        <v>81.327586206896555</v>
      </c>
      <c r="K3210" s="57">
        <v>58</v>
      </c>
      <c r="L3210" s="164">
        <v>4717</v>
      </c>
    </row>
    <row r="3211" spans="2:12" x14ac:dyDescent="0.3">
      <c r="B3211" s="57">
        <f t="shared" si="284"/>
        <v>3208</v>
      </c>
      <c r="C3211" s="142">
        <v>46235</v>
      </c>
      <c r="D3211" s="57" t="s">
        <v>968</v>
      </c>
      <c r="E3211" s="57" t="s">
        <v>532</v>
      </c>
      <c r="F3211" s="57" t="s">
        <v>300</v>
      </c>
      <c r="G3211" s="57" t="s">
        <v>709</v>
      </c>
      <c r="H3211" s="140" t="s">
        <v>3421</v>
      </c>
      <c r="I3211" s="57" t="s">
        <v>532</v>
      </c>
      <c r="J3211" s="57">
        <v>10</v>
      </c>
      <c r="K3211" s="57">
        <v>280</v>
      </c>
      <c r="L3211" s="164">
        <f t="shared" si="281"/>
        <v>2800</v>
      </c>
    </row>
    <row r="3212" spans="2:12" x14ac:dyDescent="0.3">
      <c r="B3212" s="57">
        <f t="shared" si="284"/>
        <v>3209</v>
      </c>
      <c r="C3212" s="142">
        <v>46235</v>
      </c>
      <c r="D3212" s="57" t="s">
        <v>968</v>
      </c>
      <c r="E3212" s="57" t="s">
        <v>574</v>
      </c>
      <c r="F3212" s="57" t="s">
        <v>350</v>
      </c>
      <c r="G3212" s="57" t="s">
        <v>3103</v>
      </c>
      <c r="H3212" s="140" t="s">
        <v>3422</v>
      </c>
      <c r="I3212" s="140" t="s">
        <v>4081</v>
      </c>
      <c r="J3212" s="57">
        <v>4.3</v>
      </c>
      <c r="K3212" s="57">
        <v>750</v>
      </c>
      <c r="L3212" s="164">
        <v>2800</v>
      </c>
    </row>
    <row r="3213" spans="2:12" x14ac:dyDescent="0.3">
      <c r="B3213" s="57">
        <f t="shared" si="284"/>
        <v>3210</v>
      </c>
      <c r="C3213" s="142">
        <v>46235</v>
      </c>
      <c r="D3213" s="57" t="s">
        <v>968</v>
      </c>
      <c r="E3213" s="57" t="s">
        <v>3424</v>
      </c>
      <c r="F3213" s="57" t="s">
        <v>446</v>
      </c>
      <c r="G3213" s="57" t="s">
        <v>649</v>
      </c>
      <c r="H3213" s="140" t="s">
        <v>3423</v>
      </c>
      <c r="I3213" s="57"/>
      <c r="J3213" s="57"/>
      <c r="L3213" s="164">
        <v>1800</v>
      </c>
    </row>
    <row r="3214" spans="2:12" x14ac:dyDescent="0.3">
      <c r="B3214" s="57">
        <f t="shared" si="284"/>
        <v>3211</v>
      </c>
      <c r="C3214" s="142">
        <v>46235</v>
      </c>
      <c r="D3214" s="57" t="s">
        <v>968</v>
      </c>
      <c r="E3214" s="57" t="s">
        <v>460</v>
      </c>
      <c r="F3214" s="57" t="s">
        <v>350</v>
      </c>
      <c r="G3214" s="57" t="s">
        <v>3433</v>
      </c>
      <c r="H3214" s="140" t="s">
        <v>3428</v>
      </c>
      <c r="I3214" s="57" t="s">
        <v>3435</v>
      </c>
      <c r="J3214" s="57"/>
      <c r="L3214" s="164">
        <v>55900</v>
      </c>
    </row>
    <row r="3215" spans="2:12" x14ac:dyDescent="0.3">
      <c r="B3215" s="57">
        <f t="shared" si="284"/>
        <v>3212</v>
      </c>
      <c r="C3215" s="142">
        <v>46235</v>
      </c>
      <c r="D3215" s="57" t="s">
        <v>968</v>
      </c>
      <c r="E3215" s="57" t="s">
        <v>146</v>
      </c>
      <c r="F3215" s="57" t="s">
        <v>300</v>
      </c>
      <c r="G3215" s="57" t="s">
        <v>530</v>
      </c>
      <c r="H3215" s="140" t="s">
        <v>3429</v>
      </c>
      <c r="I3215" s="57"/>
      <c r="J3215" s="165">
        <f>L3215/K3215</f>
        <v>124.24528301886792</v>
      </c>
      <c r="K3215" s="57">
        <v>106</v>
      </c>
      <c r="L3215" s="164">
        <v>13170</v>
      </c>
    </row>
    <row r="3216" spans="2:12" x14ac:dyDescent="0.3">
      <c r="B3216" s="57">
        <f t="shared" si="284"/>
        <v>3213</v>
      </c>
      <c r="C3216" s="142">
        <v>46235</v>
      </c>
      <c r="D3216" s="57" t="s">
        <v>968</v>
      </c>
      <c r="E3216" s="57" t="s">
        <v>574</v>
      </c>
      <c r="F3216" s="57" t="s">
        <v>350</v>
      </c>
      <c r="G3216" s="57" t="s">
        <v>3103</v>
      </c>
      <c r="H3216" s="140" t="s">
        <v>3422</v>
      </c>
      <c r="I3216" s="140" t="s">
        <v>4081</v>
      </c>
      <c r="J3216" s="57">
        <v>4.29</v>
      </c>
      <c r="K3216" s="57">
        <v>750</v>
      </c>
      <c r="L3216" s="164">
        <v>2790</v>
      </c>
    </row>
    <row r="3217" spans="2:12" x14ac:dyDescent="0.3">
      <c r="B3217" s="57">
        <f t="shared" si="284"/>
        <v>3214</v>
      </c>
      <c r="C3217" s="142">
        <v>46235</v>
      </c>
      <c r="D3217" s="57" t="s">
        <v>968</v>
      </c>
      <c r="E3217" s="57" t="s">
        <v>146</v>
      </c>
      <c r="F3217" s="57" t="s">
        <v>350</v>
      </c>
      <c r="G3217" s="57" t="s">
        <v>3103</v>
      </c>
      <c r="H3217" s="140" t="s">
        <v>4106</v>
      </c>
      <c r="I3217" s="57"/>
      <c r="J3217" s="165">
        <f t="shared" ref="J3217:J3220" si="285">L3217/K3217</f>
        <v>18.867924528301888</v>
      </c>
      <c r="K3217" s="57">
        <v>106</v>
      </c>
      <c r="L3217" s="164">
        <v>2000</v>
      </c>
    </row>
    <row r="3218" spans="2:12" x14ac:dyDescent="0.3">
      <c r="B3218" s="57">
        <f t="shared" si="284"/>
        <v>3215</v>
      </c>
      <c r="C3218" s="142">
        <v>46235</v>
      </c>
      <c r="D3218" s="57" t="s">
        <v>968</v>
      </c>
      <c r="E3218" s="57" t="s">
        <v>146</v>
      </c>
      <c r="F3218" s="57" t="s">
        <v>546</v>
      </c>
      <c r="G3218" s="57" t="s">
        <v>2832</v>
      </c>
      <c r="H3218" s="140" t="s">
        <v>4114</v>
      </c>
      <c r="I3218" s="57" t="s">
        <v>146</v>
      </c>
      <c r="J3218" s="165">
        <f t="shared" si="285"/>
        <v>28.30188679245283</v>
      </c>
      <c r="K3218" s="57">
        <v>106</v>
      </c>
      <c r="L3218" s="164">
        <v>3000</v>
      </c>
    </row>
    <row r="3219" spans="2:12" x14ac:dyDescent="0.3">
      <c r="B3219" s="57">
        <f t="shared" si="284"/>
        <v>3216</v>
      </c>
      <c r="C3219" s="142">
        <v>46235</v>
      </c>
      <c r="D3219" s="57" t="s">
        <v>968</v>
      </c>
      <c r="E3219" s="57" t="s">
        <v>146</v>
      </c>
      <c r="F3219" s="57" t="s">
        <v>546</v>
      </c>
      <c r="G3219" s="57" t="s">
        <v>2832</v>
      </c>
      <c r="H3219" s="140" t="s">
        <v>4114</v>
      </c>
      <c r="I3219" s="57" t="s">
        <v>146</v>
      </c>
      <c r="J3219" s="165">
        <f t="shared" si="285"/>
        <v>28.30188679245283</v>
      </c>
      <c r="K3219" s="57">
        <v>106</v>
      </c>
      <c r="L3219" s="164">
        <v>3000</v>
      </c>
    </row>
    <row r="3220" spans="2:12" x14ac:dyDescent="0.3">
      <c r="B3220" s="57">
        <f t="shared" si="284"/>
        <v>3217</v>
      </c>
      <c r="C3220" s="142">
        <v>46235</v>
      </c>
      <c r="D3220" s="57" t="s">
        <v>968</v>
      </c>
      <c r="E3220" s="57" t="s">
        <v>146</v>
      </c>
      <c r="F3220" s="57" t="s">
        <v>300</v>
      </c>
      <c r="H3220" s="140" t="s">
        <v>3430</v>
      </c>
      <c r="I3220" s="57"/>
      <c r="J3220" s="165">
        <f t="shared" si="285"/>
        <v>18.867924528301888</v>
      </c>
      <c r="K3220" s="57">
        <v>106</v>
      </c>
      <c r="L3220" s="164">
        <v>2000</v>
      </c>
    </row>
    <row r="3221" spans="2:12" x14ac:dyDescent="0.3">
      <c r="B3221" s="57">
        <f t="shared" si="284"/>
        <v>3218</v>
      </c>
      <c r="C3221" s="142">
        <v>46235</v>
      </c>
      <c r="D3221" s="57" t="s">
        <v>968</v>
      </c>
      <c r="E3221" s="57" t="s">
        <v>532</v>
      </c>
      <c r="F3221" s="57" t="s">
        <v>2332</v>
      </c>
      <c r="G3221" s="57" t="s">
        <v>3389</v>
      </c>
      <c r="H3221" s="140" t="s">
        <v>3431</v>
      </c>
      <c r="I3221" s="57" t="s">
        <v>532</v>
      </c>
      <c r="J3221" s="57">
        <v>10</v>
      </c>
      <c r="K3221" s="57">
        <v>280</v>
      </c>
      <c r="L3221" s="164">
        <f t="shared" si="281"/>
        <v>2800</v>
      </c>
    </row>
    <row r="3222" spans="2:12" x14ac:dyDescent="0.3">
      <c r="B3222" s="57">
        <f t="shared" si="284"/>
        <v>3219</v>
      </c>
      <c r="C3222" s="142">
        <v>46235</v>
      </c>
      <c r="D3222" s="57" t="s">
        <v>968</v>
      </c>
      <c r="E3222" s="57" t="s">
        <v>574</v>
      </c>
      <c r="F3222" s="57" t="s">
        <v>350</v>
      </c>
      <c r="G3222" s="57" t="s">
        <v>3103</v>
      </c>
      <c r="H3222" s="140" t="s">
        <v>3432</v>
      </c>
      <c r="I3222" s="140" t="s">
        <v>2635</v>
      </c>
      <c r="J3222" s="57">
        <v>4</v>
      </c>
      <c r="K3222" s="168">
        <f>L3222/J3222</f>
        <v>792.5</v>
      </c>
      <c r="L3222" s="164">
        <v>3170</v>
      </c>
    </row>
    <row r="3223" spans="2:12" x14ac:dyDescent="0.3">
      <c r="B3223" s="57">
        <f t="shared" si="284"/>
        <v>3220</v>
      </c>
      <c r="C3223" s="142">
        <v>46235</v>
      </c>
      <c r="D3223" s="57" t="s">
        <v>968</v>
      </c>
      <c r="E3223" s="57" t="s">
        <v>146</v>
      </c>
      <c r="F3223" s="57" t="s">
        <v>2332</v>
      </c>
      <c r="G3223" s="57" t="s">
        <v>3389</v>
      </c>
      <c r="H3223" s="140" t="s">
        <v>3434</v>
      </c>
      <c r="I3223" s="57"/>
      <c r="J3223" s="165">
        <f t="shared" ref="J3223:J3225" si="286">L3223/K3223</f>
        <v>11.132075471698114</v>
      </c>
      <c r="K3223" s="57">
        <v>106</v>
      </c>
      <c r="L3223" s="164">
        <v>1180</v>
      </c>
    </row>
    <row r="3224" spans="2:12" x14ac:dyDescent="0.3">
      <c r="B3224" s="57">
        <f t="shared" si="284"/>
        <v>3221</v>
      </c>
      <c r="C3224" s="142">
        <v>46235</v>
      </c>
      <c r="D3224" s="57" t="s">
        <v>968</v>
      </c>
      <c r="E3224" s="57" t="s">
        <v>146</v>
      </c>
      <c r="F3224" s="57" t="s">
        <v>446</v>
      </c>
      <c r="G3224" s="57" t="s">
        <v>316</v>
      </c>
      <c r="H3224" s="140" t="s">
        <v>2789</v>
      </c>
      <c r="I3224" s="57"/>
      <c r="J3224" s="165">
        <f t="shared" si="286"/>
        <v>18.867924528301888</v>
      </c>
      <c r="K3224" s="57">
        <v>106</v>
      </c>
      <c r="L3224" s="164">
        <v>2000</v>
      </c>
    </row>
    <row r="3225" spans="2:12" x14ac:dyDescent="0.3">
      <c r="B3225" s="57">
        <f t="shared" si="284"/>
        <v>3222</v>
      </c>
      <c r="C3225" s="142">
        <v>46235</v>
      </c>
      <c r="D3225" s="57" t="s">
        <v>968</v>
      </c>
      <c r="E3225" s="57" t="s">
        <v>146</v>
      </c>
      <c r="F3225" s="57" t="s">
        <v>300</v>
      </c>
      <c r="G3225" s="57" t="s">
        <v>709</v>
      </c>
      <c r="H3225" s="140" t="s">
        <v>4109</v>
      </c>
      <c r="I3225" s="57"/>
      <c r="J3225" s="165">
        <f t="shared" si="286"/>
        <v>18.867924528301888</v>
      </c>
      <c r="K3225" s="57">
        <v>106</v>
      </c>
      <c r="L3225" s="164">
        <v>2000</v>
      </c>
    </row>
    <row r="3226" spans="2:12" x14ac:dyDescent="0.3">
      <c r="B3226" s="57">
        <f t="shared" si="284"/>
        <v>3223</v>
      </c>
      <c r="C3226" s="142">
        <v>46235</v>
      </c>
      <c r="D3226" s="57" t="s">
        <v>435</v>
      </c>
      <c r="E3226" s="57" t="s">
        <v>908</v>
      </c>
      <c r="F3226" s="57" t="s">
        <v>502</v>
      </c>
      <c r="G3226" s="57" t="s">
        <v>2344</v>
      </c>
      <c r="H3226" s="140" t="s">
        <v>3436</v>
      </c>
      <c r="I3226" s="57" t="s">
        <v>908</v>
      </c>
      <c r="J3226" s="57">
        <v>34.840000000000003</v>
      </c>
      <c r="K3226" s="57">
        <v>1800</v>
      </c>
      <c r="L3226" s="164">
        <v>62640</v>
      </c>
    </row>
    <row r="3227" spans="2:12" x14ac:dyDescent="0.3">
      <c r="B3227" s="57">
        <f t="shared" si="284"/>
        <v>3224</v>
      </c>
      <c r="C3227" s="142">
        <v>46235</v>
      </c>
      <c r="D3227" s="57" t="s">
        <v>968</v>
      </c>
      <c r="E3227" s="57" t="s">
        <v>146</v>
      </c>
      <c r="F3227" s="57" t="s">
        <v>300</v>
      </c>
      <c r="H3227" s="140" t="s">
        <v>3437</v>
      </c>
      <c r="I3227" s="57"/>
      <c r="J3227" s="165">
        <f>L3227/K3227</f>
        <v>29.245283018867923</v>
      </c>
      <c r="K3227" s="57">
        <v>106</v>
      </c>
      <c r="L3227" s="164">
        <v>3100</v>
      </c>
    </row>
    <row r="3228" spans="2:12" x14ac:dyDescent="0.3">
      <c r="B3228" s="57">
        <f t="shared" si="284"/>
        <v>3225</v>
      </c>
      <c r="C3228" s="142">
        <v>46235</v>
      </c>
      <c r="D3228" s="57" t="s">
        <v>968</v>
      </c>
      <c r="E3228" s="57" t="s">
        <v>434</v>
      </c>
      <c r="F3228" s="57" t="s">
        <v>446</v>
      </c>
      <c r="G3228" s="57" t="s">
        <v>359</v>
      </c>
      <c r="H3228" s="140" t="s">
        <v>3438</v>
      </c>
      <c r="I3228" s="57"/>
      <c r="J3228" s="57"/>
      <c r="L3228" s="164">
        <v>400</v>
      </c>
    </row>
    <row r="3229" spans="2:12" x14ac:dyDescent="0.3">
      <c r="B3229" s="57">
        <f t="shared" si="284"/>
        <v>3226</v>
      </c>
      <c r="C3229" s="142">
        <v>46235</v>
      </c>
      <c r="D3229" s="57" t="s">
        <v>968</v>
      </c>
      <c r="E3229" s="57" t="s">
        <v>146</v>
      </c>
      <c r="F3229" s="57" t="s">
        <v>300</v>
      </c>
      <c r="G3229" s="57" t="s">
        <v>572</v>
      </c>
      <c r="H3229" s="140" t="s">
        <v>885</v>
      </c>
      <c r="I3229" s="57"/>
      <c r="J3229" s="165">
        <f t="shared" ref="J3229:J3231" si="287">L3229/K3229</f>
        <v>18.867924528301888</v>
      </c>
      <c r="K3229" s="57">
        <v>106</v>
      </c>
      <c r="L3229" s="164">
        <v>2000</v>
      </c>
    </row>
    <row r="3230" spans="2:12" x14ac:dyDescent="0.3">
      <c r="B3230" s="57">
        <f t="shared" si="284"/>
        <v>3227</v>
      </c>
      <c r="C3230" s="142">
        <v>46235</v>
      </c>
      <c r="D3230" s="57" t="s">
        <v>968</v>
      </c>
      <c r="E3230" s="57" t="s">
        <v>146</v>
      </c>
      <c r="F3230" s="57" t="s">
        <v>300</v>
      </c>
      <c r="G3230" s="57" t="s">
        <v>530</v>
      </c>
      <c r="H3230" s="140" t="s">
        <v>4115</v>
      </c>
      <c r="I3230" s="57"/>
      <c r="J3230" s="165">
        <f t="shared" si="287"/>
        <v>28.30188679245283</v>
      </c>
      <c r="K3230" s="57">
        <v>106</v>
      </c>
      <c r="L3230" s="164">
        <v>3000</v>
      </c>
    </row>
    <row r="3231" spans="2:12" x14ac:dyDescent="0.3">
      <c r="B3231" s="57">
        <f t="shared" si="284"/>
        <v>3228</v>
      </c>
      <c r="C3231" s="142">
        <v>46235</v>
      </c>
      <c r="D3231" s="57" t="s">
        <v>968</v>
      </c>
      <c r="E3231" s="57" t="s">
        <v>146</v>
      </c>
      <c r="F3231" s="57" t="s">
        <v>621</v>
      </c>
      <c r="G3231" s="57" t="s">
        <v>345</v>
      </c>
      <c r="H3231" s="140" t="s">
        <v>3439</v>
      </c>
      <c r="I3231" s="57"/>
      <c r="J3231" s="165">
        <f t="shared" si="287"/>
        <v>3.7735849056603774</v>
      </c>
      <c r="K3231" s="57">
        <v>106</v>
      </c>
      <c r="L3231" s="164">
        <v>400</v>
      </c>
    </row>
    <row r="3232" spans="2:12" x14ac:dyDescent="0.3">
      <c r="B3232" s="57">
        <f t="shared" si="284"/>
        <v>3229</v>
      </c>
      <c r="C3232" s="142">
        <v>46235</v>
      </c>
      <c r="D3232" s="57" t="s">
        <v>968</v>
      </c>
      <c r="E3232" s="57" t="s">
        <v>532</v>
      </c>
      <c r="F3232" s="57" t="s">
        <v>350</v>
      </c>
      <c r="G3232" s="57" t="s">
        <v>675</v>
      </c>
      <c r="H3232" s="140" t="s">
        <v>3442</v>
      </c>
      <c r="I3232" s="57" t="s">
        <v>532</v>
      </c>
      <c r="J3232" s="57">
        <v>10</v>
      </c>
      <c r="K3232" s="57">
        <v>270</v>
      </c>
      <c r="L3232" s="164">
        <v>2700</v>
      </c>
    </row>
    <row r="3233" spans="2:12" x14ac:dyDescent="0.3">
      <c r="B3233" s="57">
        <f t="shared" si="284"/>
        <v>3230</v>
      </c>
      <c r="C3233" s="142">
        <v>46235</v>
      </c>
      <c r="D3233" s="57" t="s">
        <v>968</v>
      </c>
      <c r="E3233" s="57" t="s">
        <v>146</v>
      </c>
      <c r="F3233" s="57" t="s">
        <v>621</v>
      </c>
      <c r="G3233" s="57" t="s">
        <v>345</v>
      </c>
      <c r="H3233" s="140" t="s">
        <v>3439</v>
      </c>
      <c r="I3233" s="57"/>
      <c r="J3233" s="165">
        <f>L3233/K3233</f>
        <v>33.018867924528301</v>
      </c>
      <c r="K3233" s="57">
        <v>106</v>
      </c>
      <c r="L3233" s="164">
        <v>3500</v>
      </c>
    </row>
    <row r="3234" spans="2:12" x14ac:dyDescent="0.3">
      <c r="B3234" s="57">
        <f t="shared" si="284"/>
        <v>3231</v>
      </c>
      <c r="C3234" s="142">
        <v>46235</v>
      </c>
      <c r="D3234" s="57" t="s">
        <v>968</v>
      </c>
      <c r="E3234" s="57" t="s">
        <v>3021</v>
      </c>
      <c r="F3234" s="57" t="s">
        <v>446</v>
      </c>
      <c r="G3234" s="57" t="s">
        <v>359</v>
      </c>
      <c r="H3234" s="140" t="s">
        <v>3440</v>
      </c>
      <c r="I3234" s="57"/>
      <c r="J3234" s="57"/>
      <c r="L3234" s="164">
        <v>225</v>
      </c>
    </row>
    <row r="3235" spans="2:12" x14ac:dyDescent="0.3">
      <c r="B3235" s="57">
        <f t="shared" si="284"/>
        <v>3232</v>
      </c>
      <c r="C3235" s="142">
        <v>46235</v>
      </c>
      <c r="D3235" s="57" t="s">
        <v>968</v>
      </c>
      <c r="E3235" s="57" t="s">
        <v>146</v>
      </c>
      <c r="F3235" s="57" t="s">
        <v>350</v>
      </c>
      <c r="G3235" s="57" t="s">
        <v>675</v>
      </c>
      <c r="H3235" s="140" t="s">
        <v>4102</v>
      </c>
      <c r="I3235" s="57" t="s">
        <v>146</v>
      </c>
      <c r="J3235" s="165">
        <f>L3235/K3235</f>
        <v>18.867924528301888</v>
      </c>
      <c r="K3235" s="57">
        <v>106</v>
      </c>
      <c r="L3235" s="164">
        <v>2000</v>
      </c>
    </row>
    <row r="3236" spans="2:12" x14ac:dyDescent="0.3">
      <c r="B3236" s="57">
        <f t="shared" si="284"/>
        <v>3233</v>
      </c>
      <c r="C3236" s="142">
        <v>46235</v>
      </c>
      <c r="D3236" s="57" t="s">
        <v>968</v>
      </c>
      <c r="E3236" s="57" t="s">
        <v>2427</v>
      </c>
      <c r="F3236" s="57" t="s">
        <v>350</v>
      </c>
      <c r="G3236" s="57" t="s">
        <v>3433</v>
      </c>
      <c r="H3236" s="140" t="s">
        <v>3441</v>
      </c>
      <c r="I3236" s="57" t="s">
        <v>3443</v>
      </c>
      <c r="J3236" s="57">
        <v>147</v>
      </c>
      <c r="K3236" s="57">
        <v>56.3</v>
      </c>
      <c r="L3236" s="164">
        <v>8393</v>
      </c>
    </row>
    <row r="3237" spans="2:12" x14ac:dyDescent="0.3">
      <c r="B3237" s="57">
        <f t="shared" si="284"/>
        <v>3234</v>
      </c>
      <c r="C3237" s="142">
        <v>46235</v>
      </c>
      <c r="D3237" s="57" t="s">
        <v>968</v>
      </c>
      <c r="E3237" s="57" t="s">
        <v>767</v>
      </c>
      <c r="F3237" s="57" t="s">
        <v>350</v>
      </c>
      <c r="G3237" s="57" t="s">
        <v>2770</v>
      </c>
      <c r="H3237" s="140" t="s">
        <v>3444</v>
      </c>
      <c r="I3237" s="57"/>
      <c r="J3237" s="57"/>
      <c r="L3237" s="164">
        <v>800</v>
      </c>
    </row>
    <row r="3238" spans="2:12" x14ac:dyDescent="0.3">
      <c r="B3238" s="57">
        <f t="shared" si="284"/>
        <v>3235</v>
      </c>
      <c r="C3238" s="142">
        <v>46235</v>
      </c>
      <c r="D3238" s="57" t="s">
        <v>968</v>
      </c>
      <c r="E3238" s="57" t="s">
        <v>434</v>
      </c>
      <c r="F3238" s="57" t="s">
        <v>2332</v>
      </c>
      <c r="G3238" s="57" t="s">
        <v>1004</v>
      </c>
      <c r="H3238" s="140" t="s">
        <v>3445</v>
      </c>
      <c r="I3238" s="57"/>
      <c r="J3238" s="57"/>
      <c r="L3238" s="164">
        <v>150</v>
      </c>
    </row>
    <row r="3239" spans="2:12" x14ac:dyDescent="0.3">
      <c r="B3239" s="57">
        <f t="shared" si="284"/>
        <v>3236</v>
      </c>
      <c r="C3239" s="142">
        <v>46236</v>
      </c>
      <c r="D3239" s="57" t="s">
        <v>968</v>
      </c>
      <c r="E3239" s="57" t="s">
        <v>460</v>
      </c>
      <c r="F3239" s="57" t="s">
        <v>300</v>
      </c>
      <c r="G3239" s="57" t="s">
        <v>2517</v>
      </c>
      <c r="H3239" s="140" t="s">
        <v>3446</v>
      </c>
      <c r="I3239" s="57" t="s">
        <v>3451</v>
      </c>
      <c r="J3239" s="57" t="s">
        <v>3045</v>
      </c>
      <c r="L3239" s="164">
        <v>750</v>
      </c>
    </row>
    <row r="3240" spans="2:12" x14ac:dyDescent="0.3">
      <c r="B3240" s="57">
        <f t="shared" si="284"/>
        <v>3237</v>
      </c>
      <c r="C3240" s="142">
        <v>46236</v>
      </c>
      <c r="D3240" s="57" t="s">
        <v>968</v>
      </c>
      <c r="E3240" s="57" t="s">
        <v>460</v>
      </c>
      <c r="F3240" s="57" t="s">
        <v>300</v>
      </c>
      <c r="G3240" s="57" t="s">
        <v>2517</v>
      </c>
      <c r="H3240" s="140" t="s">
        <v>3446</v>
      </c>
      <c r="I3240" s="57" t="s">
        <v>3452</v>
      </c>
      <c r="J3240" s="57" t="s">
        <v>3453</v>
      </c>
      <c r="L3240" s="164">
        <v>150</v>
      </c>
    </row>
    <row r="3241" spans="2:12" x14ac:dyDescent="0.3">
      <c r="B3241" s="57">
        <f t="shared" si="284"/>
        <v>3238</v>
      </c>
      <c r="C3241" s="142">
        <v>46236</v>
      </c>
      <c r="D3241" s="57" t="s">
        <v>968</v>
      </c>
      <c r="E3241" s="57" t="s">
        <v>146</v>
      </c>
      <c r="F3241" s="57" t="s">
        <v>546</v>
      </c>
      <c r="G3241" s="57" t="s">
        <v>545</v>
      </c>
      <c r="H3241" s="140" t="s">
        <v>4098</v>
      </c>
      <c r="I3241" s="57"/>
      <c r="J3241" s="165">
        <f>L3241/K3241</f>
        <v>18.867924528301888</v>
      </c>
      <c r="K3241" s="57">
        <v>106</v>
      </c>
      <c r="L3241" s="164">
        <v>2000</v>
      </c>
    </row>
    <row r="3242" spans="2:12" x14ac:dyDescent="0.3">
      <c r="B3242" s="57">
        <f t="shared" si="284"/>
        <v>3239</v>
      </c>
      <c r="C3242" s="142">
        <v>46236</v>
      </c>
      <c r="D3242" s="57" t="s">
        <v>968</v>
      </c>
      <c r="E3242" s="57" t="s">
        <v>460</v>
      </c>
      <c r="F3242" s="57" t="s">
        <v>300</v>
      </c>
      <c r="G3242" s="57" t="s">
        <v>2517</v>
      </c>
      <c r="H3242" s="140" t="s">
        <v>3454</v>
      </c>
      <c r="I3242" s="57" t="s">
        <v>3456</v>
      </c>
      <c r="J3242" s="57" t="s">
        <v>3455</v>
      </c>
      <c r="L3242" s="164">
        <v>80</v>
      </c>
    </row>
    <row r="3243" spans="2:12" x14ac:dyDescent="0.3">
      <c r="B3243" s="57">
        <f t="shared" si="284"/>
        <v>3240</v>
      </c>
      <c r="C3243" s="142">
        <v>46236</v>
      </c>
      <c r="D3243" s="57" t="s">
        <v>968</v>
      </c>
      <c r="E3243" s="57" t="s">
        <v>532</v>
      </c>
      <c r="F3243" s="57" t="s">
        <v>446</v>
      </c>
      <c r="G3243" s="57" t="s">
        <v>359</v>
      </c>
      <c r="H3243" s="140" t="s">
        <v>3447</v>
      </c>
      <c r="I3243" s="57" t="s">
        <v>532</v>
      </c>
      <c r="J3243" s="57">
        <v>10</v>
      </c>
      <c r="K3243" s="167">
        <f>L3243/J3243</f>
        <v>290</v>
      </c>
      <c r="L3243" s="164">
        <v>2900</v>
      </c>
    </row>
    <row r="3244" spans="2:12" x14ac:dyDescent="0.3">
      <c r="B3244" s="57">
        <f t="shared" si="284"/>
        <v>3241</v>
      </c>
      <c r="C3244" s="142">
        <v>46236</v>
      </c>
      <c r="D3244" s="57" t="s">
        <v>968</v>
      </c>
      <c r="E3244" s="57" t="s">
        <v>237</v>
      </c>
      <c r="F3244" s="57" t="s">
        <v>652</v>
      </c>
      <c r="G3244" s="57" t="s">
        <v>2584</v>
      </c>
      <c r="H3244" s="140" t="s">
        <v>3448</v>
      </c>
      <c r="I3244" s="57"/>
      <c r="J3244" s="57"/>
      <c r="L3244" s="164">
        <v>100</v>
      </c>
    </row>
    <row r="3245" spans="2:12" x14ac:dyDescent="0.3">
      <c r="B3245" s="57">
        <f t="shared" si="284"/>
        <v>3242</v>
      </c>
      <c r="C3245" s="142">
        <v>46236</v>
      </c>
      <c r="D3245" s="57" t="s">
        <v>968</v>
      </c>
      <c r="E3245" s="57" t="s">
        <v>146</v>
      </c>
      <c r="F3245" s="57" t="s">
        <v>2332</v>
      </c>
      <c r="G3245" s="57" t="s">
        <v>1004</v>
      </c>
      <c r="H3245" s="140" t="s">
        <v>3449</v>
      </c>
      <c r="I3245" s="57"/>
      <c r="J3245" s="165">
        <f t="shared" ref="J3245:J3246" si="288">L3245/K3245</f>
        <v>9.433962264150944</v>
      </c>
      <c r="K3245" s="57">
        <v>106</v>
      </c>
      <c r="L3245" s="164">
        <v>1000</v>
      </c>
    </row>
    <row r="3246" spans="2:12" x14ac:dyDescent="0.3">
      <c r="B3246" s="57">
        <f t="shared" si="284"/>
        <v>3243</v>
      </c>
      <c r="C3246" s="142">
        <v>46236</v>
      </c>
      <c r="D3246" s="57" t="s">
        <v>968</v>
      </c>
      <c r="E3246" s="57" t="s">
        <v>2029</v>
      </c>
      <c r="F3246" s="57" t="s">
        <v>350</v>
      </c>
      <c r="G3246" s="57" t="s">
        <v>3270</v>
      </c>
      <c r="H3246" s="140" t="s">
        <v>3450</v>
      </c>
      <c r="I3246" s="57"/>
      <c r="J3246" s="165">
        <f t="shared" si="288"/>
        <v>18.867924528301888</v>
      </c>
      <c r="K3246" s="57">
        <v>106</v>
      </c>
      <c r="L3246" s="164">
        <v>2000</v>
      </c>
    </row>
    <row r="3247" spans="2:12" x14ac:dyDescent="0.3">
      <c r="B3247" s="57">
        <f t="shared" si="284"/>
        <v>3244</v>
      </c>
      <c r="C3247" s="142">
        <v>46236</v>
      </c>
      <c r="D3247" s="57" t="s">
        <v>968</v>
      </c>
      <c r="E3247" s="57" t="s">
        <v>574</v>
      </c>
      <c r="F3247" s="57" t="s">
        <v>350</v>
      </c>
      <c r="G3247" s="57" t="s">
        <v>3103</v>
      </c>
      <c r="H3247" s="140" t="s">
        <v>3432</v>
      </c>
      <c r="I3247" s="140" t="s">
        <v>2635</v>
      </c>
      <c r="J3247" s="57">
        <v>4.79</v>
      </c>
      <c r="K3247" s="168">
        <f>L3247/J3247</f>
        <v>649.26931106471818</v>
      </c>
      <c r="L3247" s="164">
        <v>3110</v>
      </c>
    </row>
    <row r="3248" spans="2:12" x14ac:dyDescent="0.3">
      <c r="B3248" s="57">
        <f t="shared" si="284"/>
        <v>3245</v>
      </c>
      <c r="C3248" s="142">
        <v>46236</v>
      </c>
      <c r="D3248" s="57" t="s">
        <v>968</v>
      </c>
      <c r="E3248" s="57" t="s">
        <v>146</v>
      </c>
      <c r="F3248" s="57" t="s">
        <v>502</v>
      </c>
      <c r="G3248" s="57" t="s">
        <v>2344</v>
      </c>
      <c r="H3248" s="140" t="s">
        <v>1826</v>
      </c>
      <c r="I3248" s="57"/>
      <c r="J3248" s="165">
        <f>L3248/K3248</f>
        <v>18.867924528301888</v>
      </c>
      <c r="K3248" s="57">
        <v>106</v>
      </c>
      <c r="L3248" s="164">
        <v>2000</v>
      </c>
    </row>
    <row r="3249" spans="2:13" x14ac:dyDescent="0.3">
      <c r="B3249" s="57">
        <f t="shared" si="284"/>
        <v>3246</v>
      </c>
      <c r="C3249" s="142">
        <v>46236</v>
      </c>
      <c r="D3249" s="57" t="s">
        <v>968</v>
      </c>
      <c r="E3249" s="57" t="s">
        <v>4128</v>
      </c>
      <c r="F3249" s="57" t="s">
        <v>446</v>
      </c>
      <c r="G3249" s="57" t="s">
        <v>990</v>
      </c>
      <c r="H3249" s="140" t="s">
        <v>3457</v>
      </c>
      <c r="I3249" s="57"/>
      <c r="J3249" s="57"/>
      <c r="L3249" s="164">
        <v>5100</v>
      </c>
    </row>
    <row r="3250" spans="2:13" x14ac:dyDescent="0.3">
      <c r="B3250" s="57">
        <f t="shared" si="284"/>
        <v>3247</v>
      </c>
      <c r="C3250" s="142">
        <v>46236</v>
      </c>
      <c r="D3250" s="57" t="s">
        <v>968</v>
      </c>
      <c r="E3250" s="57" t="s">
        <v>532</v>
      </c>
      <c r="F3250" s="57" t="s">
        <v>502</v>
      </c>
      <c r="G3250" s="57" t="s">
        <v>2344</v>
      </c>
      <c r="H3250" s="140" t="s">
        <v>3458</v>
      </c>
      <c r="I3250" s="57" t="s">
        <v>532</v>
      </c>
      <c r="J3250" s="57">
        <v>50</v>
      </c>
      <c r="K3250" s="57">
        <v>260</v>
      </c>
      <c r="L3250" s="164">
        <f t="shared" si="281"/>
        <v>13000</v>
      </c>
    </row>
    <row r="3251" spans="2:13" x14ac:dyDescent="0.3">
      <c r="B3251" s="57">
        <f t="shared" si="284"/>
        <v>3248</v>
      </c>
      <c r="C3251" s="142">
        <v>46236</v>
      </c>
      <c r="D3251" s="57" t="s">
        <v>968</v>
      </c>
      <c r="E3251" s="57" t="s">
        <v>4128</v>
      </c>
      <c r="F3251" s="57" t="s">
        <v>502</v>
      </c>
      <c r="G3251" s="57" t="s">
        <v>2344</v>
      </c>
      <c r="H3251" s="140" t="s">
        <v>3459</v>
      </c>
      <c r="I3251" s="57" t="s">
        <v>532</v>
      </c>
      <c r="J3251" s="57"/>
      <c r="L3251" s="164">
        <v>300</v>
      </c>
    </row>
    <row r="3252" spans="2:13" x14ac:dyDescent="0.3">
      <c r="B3252" s="57">
        <f t="shared" si="284"/>
        <v>3249</v>
      </c>
      <c r="C3252" s="142">
        <v>46236</v>
      </c>
      <c r="D3252" s="57" t="s">
        <v>968</v>
      </c>
      <c r="E3252" s="57" t="s">
        <v>574</v>
      </c>
      <c r="F3252" s="57" t="s">
        <v>350</v>
      </c>
      <c r="G3252" s="57" t="s">
        <v>3103</v>
      </c>
      <c r="H3252" s="140" t="s">
        <v>3460</v>
      </c>
      <c r="I3252" s="140" t="s">
        <v>4081</v>
      </c>
      <c r="J3252" s="57">
        <v>4</v>
      </c>
      <c r="K3252" s="168">
        <f>L3252/J3252</f>
        <v>642.5</v>
      </c>
      <c r="L3252" s="164">
        <v>2570</v>
      </c>
    </row>
    <row r="3253" spans="2:13" x14ac:dyDescent="0.3">
      <c r="B3253" s="57">
        <f t="shared" si="284"/>
        <v>3250</v>
      </c>
      <c r="C3253" s="142">
        <v>46236</v>
      </c>
      <c r="D3253" s="57" t="s">
        <v>968</v>
      </c>
      <c r="E3253" s="57" t="s">
        <v>237</v>
      </c>
      <c r="F3253" s="57" t="s">
        <v>446</v>
      </c>
      <c r="G3253" s="57" t="s">
        <v>990</v>
      </c>
      <c r="H3253" s="140" t="s">
        <v>3461</v>
      </c>
      <c r="I3253" s="57"/>
      <c r="J3253" s="57"/>
      <c r="L3253" s="164">
        <v>900</v>
      </c>
    </row>
    <row r="3254" spans="2:13" x14ac:dyDescent="0.3">
      <c r="B3254" s="57">
        <f t="shared" si="284"/>
        <v>3251</v>
      </c>
      <c r="C3254" s="142">
        <v>46236</v>
      </c>
      <c r="D3254" s="57" t="s">
        <v>968</v>
      </c>
      <c r="E3254" s="57" t="s">
        <v>574</v>
      </c>
      <c r="F3254" s="57" t="s">
        <v>446</v>
      </c>
      <c r="G3254" s="57" t="s">
        <v>545</v>
      </c>
      <c r="H3254" s="140" t="s">
        <v>3462</v>
      </c>
      <c r="I3254" s="140" t="s">
        <v>2635</v>
      </c>
      <c r="J3254" s="57">
        <v>4.12</v>
      </c>
      <c r="K3254" s="57">
        <v>575</v>
      </c>
      <c r="L3254" s="164">
        <v>2370</v>
      </c>
    </row>
    <row r="3255" spans="2:13" x14ac:dyDescent="0.3">
      <c r="B3255" s="57">
        <f t="shared" si="284"/>
        <v>3252</v>
      </c>
      <c r="C3255" s="142">
        <v>46236</v>
      </c>
      <c r="D3255" s="57" t="s">
        <v>435</v>
      </c>
      <c r="E3255" s="57" t="s">
        <v>2427</v>
      </c>
      <c r="F3255" s="57" t="s">
        <v>502</v>
      </c>
      <c r="G3255" s="57" t="s">
        <v>257</v>
      </c>
      <c r="H3255" s="140" t="s">
        <v>3463</v>
      </c>
      <c r="I3255" s="57" t="s">
        <v>2914</v>
      </c>
      <c r="J3255" s="165">
        <v>3095</v>
      </c>
      <c r="K3255" s="57">
        <v>55</v>
      </c>
      <c r="L3255" s="164">
        <v>171925</v>
      </c>
    </row>
    <row r="3256" spans="2:13" x14ac:dyDescent="0.3">
      <c r="B3256" s="57">
        <f t="shared" si="284"/>
        <v>3253</v>
      </c>
      <c r="C3256" s="142">
        <v>46236</v>
      </c>
      <c r="D3256" s="57" t="s">
        <v>968</v>
      </c>
      <c r="E3256" s="57" t="s">
        <v>574</v>
      </c>
      <c r="F3256" s="57" t="s">
        <v>2332</v>
      </c>
      <c r="G3256" s="57" t="s">
        <v>1004</v>
      </c>
      <c r="H3256" s="140" t="s">
        <v>3464</v>
      </c>
      <c r="I3256" s="140" t="s">
        <v>3465</v>
      </c>
      <c r="J3256" s="57">
        <v>4</v>
      </c>
      <c r="K3256" s="168">
        <f>L3256/J3256</f>
        <v>687.5</v>
      </c>
      <c r="L3256" s="164">
        <v>2750</v>
      </c>
    </row>
    <row r="3257" spans="2:13" x14ac:dyDescent="0.3">
      <c r="B3257" s="57">
        <f t="shared" si="284"/>
        <v>3254</v>
      </c>
      <c r="C3257" s="142">
        <v>46236</v>
      </c>
      <c r="D3257" s="57" t="s">
        <v>435</v>
      </c>
      <c r="E3257" s="57" t="s">
        <v>2765</v>
      </c>
      <c r="F3257" s="57" t="s">
        <v>446</v>
      </c>
      <c r="G3257" s="57" t="s">
        <v>649</v>
      </c>
      <c r="H3257" s="140" t="s">
        <v>3466</v>
      </c>
      <c r="I3257" s="57"/>
      <c r="J3257" s="57"/>
      <c r="L3257" s="164">
        <v>6200</v>
      </c>
    </row>
    <row r="3258" spans="2:13" x14ac:dyDescent="0.3">
      <c r="B3258" s="57">
        <f t="shared" si="284"/>
        <v>3255</v>
      </c>
      <c r="C3258" s="142">
        <v>46236</v>
      </c>
      <c r="D3258" s="57" t="s">
        <v>968</v>
      </c>
      <c r="E3258" s="57" t="s">
        <v>146</v>
      </c>
      <c r="F3258" s="57" t="s">
        <v>436</v>
      </c>
      <c r="G3258" s="57" t="s">
        <v>270</v>
      </c>
      <c r="H3258" s="140" t="s">
        <v>4112</v>
      </c>
      <c r="I3258" s="57" t="s">
        <v>146</v>
      </c>
      <c r="J3258" s="165">
        <f>L3258/K3258</f>
        <v>28.30188679245283</v>
      </c>
      <c r="K3258" s="57">
        <v>106</v>
      </c>
      <c r="L3258" s="164">
        <v>3000</v>
      </c>
    </row>
    <row r="3259" spans="2:13" x14ac:dyDescent="0.3">
      <c r="B3259" s="57">
        <f t="shared" si="284"/>
        <v>3256</v>
      </c>
      <c r="C3259" s="142">
        <v>46236</v>
      </c>
      <c r="D3259" s="57" t="s">
        <v>968</v>
      </c>
      <c r="E3259" s="57" t="s">
        <v>574</v>
      </c>
      <c r="F3259" s="57" t="s">
        <v>350</v>
      </c>
      <c r="G3259" s="57" t="s">
        <v>3103</v>
      </c>
      <c r="H3259" s="140" t="s">
        <v>3460</v>
      </c>
      <c r="I3259" s="140" t="s">
        <v>4081</v>
      </c>
      <c r="J3259" s="57">
        <v>5</v>
      </c>
      <c r="K3259" s="167">
        <f>L3259/J3259</f>
        <v>622</v>
      </c>
      <c r="L3259" s="164">
        <v>3110</v>
      </c>
    </row>
    <row r="3260" spans="2:13" s="175" customFormat="1" x14ac:dyDescent="0.3">
      <c r="B3260" s="57">
        <f t="shared" si="284"/>
        <v>3257</v>
      </c>
      <c r="C3260" s="154">
        <v>46236</v>
      </c>
      <c r="D3260" s="173" t="s">
        <v>968</v>
      </c>
      <c r="E3260" s="173" t="s">
        <v>574</v>
      </c>
      <c r="F3260" s="173" t="s">
        <v>350</v>
      </c>
      <c r="G3260" s="173" t="s">
        <v>3103</v>
      </c>
      <c r="H3260" s="181" t="s">
        <v>3432</v>
      </c>
      <c r="I3260" s="181"/>
      <c r="J3260" s="173"/>
      <c r="K3260" s="176" t="e">
        <f>L3260/J3260</f>
        <v>#DIV/0!</v>
      </c>
      <c r="L3260" s="174">
        <v>170</v>
      </c>
      <c r="M3260" s="173"/>
    </row>
    <row r="3261" spans="2:13" x14ac:dyDescent="0.3">
      <c r="B3261" s="57">
        <f t="shared" si="284"/>
        <v>3258</v>
      </c>
      <c r="C3261" s="142">
        <v>46236</v>
      </c>
      <c r="D3261" s="57" t="s">
        <v>968</v>
      </c>
      <c r="E3261" s="57" t="s">
        <v>237</v>
      </c>
      <c r="F3261" s="57" t="s">
        <v>300</v>
      </c>
      <c r="G3261" s="57" t="s">
        <v>530</v>
      </c>
      <c r="H3261" s="140" t="s">
        <v>3467</v>
      </c>
      <c r="I3261" s="57"/>
      <c r="J3261" s="57"/>
      <c r="L3261" s="164">
        <v>1100</v>
      </c>
    </row>
    <row r="3262" spans="2:13" x14ac:dyDescent="0.3">
      <c r="B3262" s="57">
        <f t="shared" si="284"/>
        <v>3259</v>
      </c>
      <c r="C3262" s="142">
        <v>46236</v>
      </c>
      <c r="D3262" s="57" t="s">
        <v>968</v>
      </c>
      <c r="E3262" s="57" t="s">
        <v>146</v>
      </c>
      <c r="F3262" s="57" t="s">
        <v>300</v>
      </c>
      <c r="G3262" s="57" t="s">
        <v>498</v>
      </c>
      <c r="H3262" s="140" t="s">
        <v>3468</v>
      </c>
      <c r="I3262" s="57"/>
      <c r="J3262" s="165">
        <f>L3262/K3262</f>
        <v>48.198113207547166</v>
      </c>
      <c r="K3262" s="57">
        <v>106</v>
      </c>
      <c r="L3262" s="164">
        <v>5109</v>
      </c>
    </row>
    <row r="3263" spans="2:13" x14ac:dyDescent="0.3">
      <c r="B3263" s="57">
        <f t="shared" si="284"/>
        <v>3260</v>
      </c>
      <c r="C3263" s="142">
        <v>46236</v>
      </c>
      <c r="D3263" s="57" t="s">
        <v>968</v>
      </c>
      <c r="E3263" s="57" t="s">
        <v>574</v>
      </c>
      <c r="F3263" s="57" t="s">
        <v>300</v>
      </c>
      <c r="G3263" s="57" t="s">
        <v>2543</v>
      </c>
      <c r="H3263" s="140" t="s">
        <v>3469</v>
      </c>
      <c r="I3263" s="140" t="s">
        <v>4081</v>
      </c>
      <c r="J3263" s="57">
        <v>5</v>
      </c>
      <c r="K3263" s="57">
        <v>700</v>
      </c>
      <c r="L3263" s="164">
        <v>3500</v>
      </c>
    </row>
    <row r="3264" spans="2:13" x14ac:dyDescent="0.3">
      <c r="B3264" s="57">
        <f t="shared" si="284"/>
        <v>3261</v>
      </c>
      <c r="C3264" s="142">
        <v>46236</v>
      </c>
      <c r="D3264" s="57" t="s">
        <v>968</v>
      </c>
      <c r="E3264" s="57" t="s">
        <v>434</v>
      </c>
      <c r="F3264" s="57" t="s">
        <v>446</v>
      </c>
      <c r="G3264" s="57" t="s">
        <v>990</v>
      </c>
      <c r="H3264" s="140" t="s">
        <v>3470</v>
      </c>
      <c r="I3264" s="57"/>
      <c r="J3264" s="57"/>
      <c r="L3264" s="164">
        <v>8600</v>
      </c>
    </row>
    <row r="3265" spans="2:12" x14ac:dyDescent="0.3">
      <c r="B3265" s="57">
        <f t="shared" si="284"/>
        <v>3262</v>
      </c>
      <c r="C3265" s="142">
        <v>46236</v>
      </c>
      <c r="D3265" s="57" t="s">
        <v>968</v>
      </c>
      <c r="E3265" s="57" t="s">
        <v>146</v>
      </c>
      <c r="F3265" s="57" t="s">
        <v>300</v>
      </c>
      <c r="G3265" s="57" t="s">
        <v>572</v>
      </c>
      <c r="H3265" s="140" t="s">
        <v>885</v>
      </c>
      <c r="I3265" s="57"/>
      <c r="J3265" s="165">
        <f>L3265/K3265</f>
        <v>18.867924528301888</v>
      </c>
      <c r="K3265" s="57">
        <v>106</v>
      </c>
      <c r="L3265" s="164">
        <v>2000</v>
      </c>
    </row>
    <row r="3266" spans="2:12" x14ac:dyDescent="0.3">
      <c r="B3266" s="57">
        <f t="shared" si="284"/>
        <v>3263</v>
      </c>
      <c r="C3266" s="142">
        <v>46236</v>
      </c>
      <c r="D3266" s="57" t="s">
        <v>968</v>
      </c>
      <c r="E3266" s="57" t="s">
        <v>3021</v>
      </c>
      <c r="F3266" s="57" t="s">
        <v>446</v>
      </c>
      <c r="G3266" s="57" t="s">
        <v>990</v>
      </c>
      <c r="H3266" s="140" t="s">
        <v>3471</v>
      </c>
      <c r="I3266" s="57"/>
      <c r="J3266" s="57"/>
      <c r="L3266" s="164">
        <v>320</v>
      </c>
    </row>
    <row r="3267" spans="2:12" x14ac:dyDescent="0.3">
      <c r="B3267" s="57">
        <f t="shared" si="284"/>
        <v>3264</v>
      </c>
      <c r="C3267" s="142">
        <v>46236</v>
      </c>
      <c r="D3267" s="57" t="s">
        <v>968</v>
      </c>
      <c r="E3267" s="57" t="s">
        <v>958</v>
      </c>
      <c r="F3267" s="57" t="s">
        <v>446</v>
      </c>
      <c r="G3267" s="57" t="s">
        <v>649</v>
      </c>
      <c r="H3267" s="140" t="s">
        <v>3472</v>
      </c>
      <c r="I3267" s="57"/>
      <c r="J3267" s="57"/>
      <c r="L3267" s="164">
        <v>2500</v>
      </c>
    </row>
    <row r="3268" spans="2:12" x14ac:dyDescent="0.3">
      <c r="B3268" s="57">
        <f t="shared" si="284"/>
        <v>3265</v>
      </c>
      <c r="C3268" s="142">
        <v>46236</v>
      </c>
      <c r="D3268" s="57" t="s">
        <v>968</v>
      </c>
      <c r="E3268" s="57" t="s">
        <v>892</v>
      </c>
      <c r="F3268" s="57" t="s">
        <v>300</v>
      </c>
      <c r="G3268" s="57" t="s">
        <v>530</v>
      </c>
      <c r="H3268" s="140" t="s">
        <v>3473</v>
      </c>
      <c r="I3268" s="57"/>
      <c r="J3268" s="57"/>
      <c r="L3268" s="164">
        <v>7000</v>
      </c>
    </row>
    <row r="3269" spans="2:12" x14ac:dyDescent="0.3">
      <c r="B3269" s="57">
        <f t="shared" si="284"/>
        <v>3266</v>
      </c>
      <c r="C3269" s="142">
        <v>46236</v>
      </c>
      <c r="D3269" s="57" t="s">
        <v>968</v>
      </c>
      <c r="E3269" s="57" t="s">
        <v>3021</v>
      </c>
      <c r="F3269" s="57" t="s">
        <v>446</v>
      </c>
      <c r="G3269" s="57" t="s">
        <v>990</v>
      </c>
      <c r="H3269" s="140" t="s">
        <v>3474</v>
      </c>
      <c r="I3269" s="57"/>
      <c r="J3269" s="57"/>
      <c r="L3269" s="164">
        <v>680</v>
      </c>
    </row>
    <row r="3270" spans="2:12" x14ac:dyDescent="0.3">
      <c r="B3270" s="57">
        <f t="shared" ref="B3270:B3333" si="289">+B3269+1</f>
        <v>3267</v>
      </c>
      <c r="C3270" s="142">
        <v>46236</v>
      </c>
      <c r="D3270" s="57" t="s">
        <v>968</v>
      </c>
      <c r="E3270" s="57" t="s">
        <v>4128</v>
      </c>
      <c r="F3270" s="57" t="s">
        <v>300</v>
      </c>
      <c r="G3270" s="57" t="s">
        <v>530</v>
      </c>
      <c r="H3270" s="140" t="s">
        <v>3475</v>
      </c>
      <c r="I3270" s="57"/>
      <c r="J3270" s="57"/>
      <c r="L3270" s="164">
        <v>3000</v>
      </c>
    </row>
    <row r="3271" spans="2:12" x14ac:dyDescent="0.3">
      <c r="B3271" s="57">
        <f t="shared" si="289"/>
        <v>3268</v>
      </c>
      <c r="C3271" s="142">
        <v>46237</v>
      </c>
      <c r="D3271" s="57" t="s">
        <v>968</v>
      </c>
      <c r="E3271" s="57" t="s">
        <v>146</v>
      </c>
      <c r="F3271" s="57" t="s">
        <v>502</v>
      </c>
      <c r="G3271" s="57" t="s">
        <v>257</v>
      </c>
      <c r="H3271" s="140" t="s">
        <v>3476</v>
      </c>
      <c r="I3271" s="57"/>
      <c r="J3271" s="165">
        <f>L3271/K3271</f>
        <v>18.867924528301888</v>
      </c>
      <c r="K3271" s="57">
        <v>106</v>
      </c>
      <c r="L3271" s="164">
        <v>2000</v>
      </c>
    </row>
    <row r="3272" spans="2:12" x14ac:dyDescent="0.3">
      <c r="B3272" s="57">
        <f t="shared" si="289"/>
        <v>3269</v>
      </c>
      <c r="C3272" s="142">
        <v>46237</v>
      </c>
      <c r="D3272" s="57" t="s">
        <v>968</v>
      </c>
      <c r="E3272" s="57" t="s">
        <v>434</v>
      </c>
      <c r="F3272" s="57" t="s">
        <v>2332</v>
      </c>
      <c r="G3272" s="57" t="s">
        <v>1004</v>
      </c>
      <c r="H3272" s="140" t="s">
        <v>3445</v>
      </c>
      <c r="I3272" s="57"/>
      <c r="J3272" s="57"/>
      <c r="L3272" s="164">
        <v>150</v>
      </c>
    </row>
    <row r="3273" spans="2:12" x14ac:dyDescent="0.3">
      <c r="B3273" s="57">
        <f t="shared" si="289"/>
        <v>3270</v>
      </c>
      <c r="C3273" s="142">
        <v>46237</v>
      </c>
      <c r="D3273" s="57" t="s">
        <v>968</v>
      </c>
      <c r="E3273" s="57" t="s">
        <v>574</v>
      </c>
      <c r="F3273" s="57" t="s">
        <v>300</v>
      </c>
      <c r="G3273" s="57" t="s">
        <v>3404</v>
      </c>
      <c r="H3273" s="140" t="s">
        <v>3477</v>
      </c>
      <c r="I3273" s="140" t="s">
        <v>4121</v>
      </c>
      <c r="J3273" s="57">
        <v>5.03</v>
      </c>
      <c r="K3273" s="168">
        <f>L3273/J3273</f>
        <v>497.01789264413515</v>
      </c>
      <c r="L3273" s="164">
        <v>2500</v>
      </c>
    </row>
    <row r="3274" spans="2:12" x14ac:dyDescent="0.3">
      <c r="B3274" s="57">
        <f t="shared" si="289"/>
        <v>3271</v>
      </c>
      <c r="C3274" s="142">
        <v>46237</v>
      </c>
      <c r="D3274" s="57" t="s">
        <v>968</v>
      </c>
      <c r="E3274" s="57" t="s">
        <v>532</v>
      </c>
      <c r="F3274" s="57" t="s">
        <v>446</v>
      </c>
      <c r="G3274" s="57" t="s">
        <v>359</v>
      </c>
      <c r="H3274" s="140" t="s">
        <v>3478</v>
      </c>
      <c r="I3274" s="57" t="s">
        <v>532</v>
      </c>
      <c r="J3274" s="57">
        <v>10</v>
      </c>
      <c r="K3274" s="167">
        <f>L3274/J3274</f>
        <v>265</v>
      </c>
      <c r="L3274" s="164">
        <v>2650</v>
      </c>
    </row>
    <row r="3275" spans="2:12" x14ac:dyDescent="0.3">
      <c r="B3275" s="57">
        <f t="shared" si="289"/>
        <v>3272</v>
      </c>
      <c r="C3275" s="142">
        <v>46237</v>
      </c>
      <c r="D3275" s="57" t="s">
        <v>968</v>
      </c>
      <c r="E3275" s="57" t="s">
        <v>532</v>
      </c>
      <c r="F3275" s="57" t="s">
        <v>300</v>
      </c>
      <c r="G3275" s="57" t="s">
        <v>3404</v>
      </c>
      <c r="H3275" s="140" t="s">
        <v>3479</v>
      </c>
      <c r="I3275" s="57" t="s">
        <v>532</v>
      </c>
      <c r="J3275" s="57">
        <v>20</v>
      </c>
      <c r="K3275" s="167">
        <f>L3275/J3275</f>
        <v>260</v>
      </c>
      <c r="L3275" s="164">
        <v>5200</v>
      </c>
    </row>
    <row r="3276" spans="2:12" x14ac:dyDescent="0.3">
      <c r="B3276" s="57">
        <f t="shared" si="289"/>
        <v>3273</v>
      </c>
      <c r="C3276" s="142">
        <v>46237</v>
      </c>
      <c r="D3276" s="57" t="s">
        <v>968</v>
      </c>
      <c r="E3276" s="57" t="s">
        <v>146</v>
      </c>
      <c r="F3276" s="57" t="s">
        <v>2332</v>
      </c>
      <c r="G3276" s="57" t="s">
        <v>1004</v>
      </c>
      <c r="H3276" s="140" t="s">
        <v>3055</v>
      </c>
      <c r="I3276" s="57"/>
      <c r="J3276" s="165">
        <f>L3276/K3276</f>
        <v>28.30188679245283</v>
      </c>
      <c r="K3276" s="57">
        <v>106</v>
      </c>
      <c r="L3276" s="164">
        <v>3000</v>
      </c>
    </row>
    <row r="3277" spans="2:12" x14ac:dyDescent="0.3">
      <c r="B3277" s="57">
        <f t="shared" si="289"/>
        <v>3274</v>
      </c>
      <c r="C3277" s="142">
        <v>46237</v>
      </c>
      <c r="D3277" s="57" t="s">
        <v>968</v>
      </c>
      <c r="E3277" s="57" t="s">
        <v>532</v>
      </c>
      <c r="F3277" s="57" t="s">
        <v>2332</v>
      </c>
      <c r="G3277" s="57" t="s">
        <v>1004</v>
      </c>
      <c r="H3277" s="140" t="s">
        <v>3480</v>
      </c>
      <c r="I3277" s="57" t="s">
        <v>532</v>
      </c>
      <c r="J3277" s="57">
        <v>10</v>
      </c>
      <c r="K3277" s="57">
        <v>260</v>
      </c>
      <c r="L3277" s="164">
        <f t="shared" ref="L3277:L3342" si="290">J3277*K3277</f>
        <v>2600</v>
      </c>
    </row>
    <row r="3278" spans="2:12" x14ac:dyDescent="0.3">
      <c r="B3278" s="57">
        <f t="shared" si="289"/>
        <v>3275</v>
      </c>
      <c r="C3278" s="142">
        <v>46237</v>
      </c>
      <c r="D3278" s="57" t="s">
        <v>968</v>
      </c>
      <c r="E3278" s="57" t="s">
        <v>434</v>
      </c>
      <c r="F3278" s="57" t="s">
        <v>2332</v>
      </c>
      <c r="G3278" s="57" t="s">
        <v>1004</v>
      </c>
      <c r="H3278" s="140" t="s">
        <v>3481</v>
      </c>
      <c r="I3278" s="57"/>
      <c r="J3278" s="57"/>
      <c r="L3278" s="164">
        <v>380</v>
      </c>
    </row>
    <row r="3279" spans="2:12" x14ac:dyDescent="0.3">
      <c r="B3279" s="57">
        <f t="shared" si="289"/>
        <v>3276</v>
      </c>
      <c r="C3279" s="142">
        <v>46237</v>
      </c>
      <c r="D3279" s="57" t="s">
        <v>968</v>
      </c>
      <c r="E3279" s="57" t="s">
        <v>146</v>
      </c>
      <c r="F3279" s="57" t="s">
        <v>300</v>
      </c>
      <c r="G3279" s="57" t="s">
        <v>438</v>
      </c>
      <c r="H3279" s="140" t="s">
        <v>4110</v>
      </c>
      <c r="I3279" s="57"/>
      <c r="J3279" s="165">
        <f t="shared" ref="J3279:J3280" si="291">L3279/K3279</f>
        <v>28.30188679245283</v>
      </c>
      <c r="K3279" s="57">
        <v>106</v>
      </c>
      <c r="L3279" s="164">
        <v>3000</v>
      </c>
    </row>
    <row r="3280" spans="2:12" x14ac:dyDescent="0.3">
      <c r="B3280" s="57">
        <f t="shared" si="289"/>
        <v>3277</v>
      </c>
      <c r="C3280" s="142">
        <v>46237</v>
      </c>
      <c r="D3280" s="57" t="s">
        <v>968</v>
      </c>
      <c r="E3280" s="57" t="s">
        <v>146</v>
      </c>
      <c r="F3280" s="57" t="s">
        <v>546</v>
      </c>
      <c r="G3280" s="57" t="s">
        <v>545</v>
      </c>
      <c r="H3280" s="140" t="s">
        <v>4098</v>
      </c>
      <c r="I3280" s="57"/>
      <c r="J3280" s="165">
        <f t="shared" si="291"/>
        <v>9.433962264150944</v>
      </c>
      <c r="K3280" s="57">
        <v>106</v>
      </c>
      <c r="L3280" s="164">
        <v>1000</v>
      </c>
    </row>
    <row r="3281" spans="2:12" x14ac:dyDescent="0.3">
      <c r="B3281" s="57">
        <f t="shared" si="289"/>
        <v>3278</v>
      </c>
      <c r="C3281" s="142">
        <v>46237</v>
      </c>
      <c r="D3281" s="57" t="s">
        <v>968</v>
      </c>
      <c r="E3281" s="57" t="s">
        <v>574</v>
      </c>
      <c r="F3281" s="57" t="s">
        <v>446</v>
      </c>
      <c r="G3281" s="57" t="s">
        <v>990</v>
      </c>
      <c r="H3281" s="140" t="s">
        <v>3482</v>
      </c>
      <c r="I3281" s="140" t="s">
        <v>2635</v>
      </c>
      <c r="J3281" s="57">
        <v>4</v>
      </c>
      <c r="K3281" s="167">
        <f>L3281/J3281</f>
        <v>750</v>
      </c>
      <c r="L3281" s="164">
        <v>3000</v>
      </c>
    </row>
    <row r="3282" spans="2:12" x14ac:dyDescent="0.3">
      <c r="B3282" s="57">
        <f t="shared" si="289"/>
        <v>3279</v>
      </c>
      <c r="C3282" s="142">
        <v>46237</v>
      </c>
      <c r="D3282" s="57" t="s">
        <v>968</v>
      </c>
      <c r="E3282" s="57" t="s">
        <v>532</v>
      </c>
      <c r="F3282" s="57" t="s">
        <v>300</v>
      </c>
      <c r="G3282" s="57" t="s">
        <v>530</v>
      </c>
      <c r="H3282" s="140" t="s">
        <v>3483</v>
      </c>
      <c r="I3282" s="57" t="s">
        <v>532</v>
      </c>
      <c r="J3282" s="57">
        <v>100</v>
      </c>
      <c r="K3282" s="57">
        <v>260</v>
      </c>
      <c r="L3282" s="164">
        <f t="shared" si="290"/>
        <v>26000</v>
      </c>
    </row>
    <row r="3283" spans="2:12" x14ac:dyDescent="0.3">
      <c r="B3283" s="57">
        <f t="shared" si="289"/>
        <v>3280</v>
      </c>
      <c r="C3283" s="142">
        <v>46237</v>
      </c>
      <c r="D3283" s="57" t="s">
        <v>968</v>
      </c>
      <c r="E3283" s="57" t="s">
        <v>532</v>
      </c>
      <c r="F3283" s="57" t="s">
        <v>300</v>
      </c>
      <c r="G3283" s="57" t="s">
        <v>530</v>
      </c>
      <c r="H3283" s="140" t="s">
        <v>3484</v>
      </c>
      <c r="I3283" s="57" t="s">
        <v>532</v>
      </c>
      <c r="J3283" s="57">
        <v>100</v>
      </c>
      <c r="K3283" s="57">
        <v>260</v>
      </c>
      <c r="L3283" s="164">
        <f t="shared" si="290"/>
        <v>26000</v>
      </c>
    </row>
    <row r="3284" spans="2:12" x14ac:dyDescent="0.3">
      <c r="B3284" s="57">
        <f t="shared" si="289"/>
        <v>3281</v>
      </c>
      <c r="C3284" s="142">
        <v>46237</v>
      </c>
      <c r="D3284" s="57" t="s">
        <v>968</v>
      </c>
      <c r="E3284" s="57" t="s">
        <v>146</v>
      </c>
      <c r="F3284" s="57" t="s">
        <v>300</v>
      </c>
      <c r="G3284" s="57" t="s">
        <v>2509</v>
      </c>
      <c r="H3284" s="140" t="s">
        <v>3485</v>
      </c>
      <c r="I3284" s="57"/>
      <c r="J3284" s="165">
        <f t="shared" ref="J3284:J3285" si="292">L3284/K3284</f>
        <v>18.867924528301888</v>
      </c>
      <c r="K3284" s="57">
        <v>106</v>
      </c>
      <c r="L3284" s="164">
        <v>2000</v>
      </c>
    </row>
    <row r="3285" spans="2:12" x14ac:dyDescent="0.3">
      <c r="B3285" s="57">
        <f t="shared" si="289"/>
        <v>3282</v>
      </c>
      <c r="C3285" s="142">
        <v>46237</v>
      </c>
      <c r="D3285" s="57" t="s">
        <v>968</v>
      </c>
      <c r="E3285" s="57" t="s">
        <v>2029</v>
      </c>
      <c r="F3285" s="57" t="s">
        <v>300</v>
      </c>
      <c r="G3285" s="57" t="s">
        <v>530</v>
      </c>
      <c r="H3285" s="140" t="s">
        <v>4093</v>
      </c>
      <c r="I3285" s="57"/>
      <c r="J3285" s="165">
        <f t="shared" si="292"/>
        <v>18.867924528301888</v>
      </c>
      <c r="K3285" s="57">
        <v>106</v>
      </c>
      <c r="L3285" s="164">
        <v>2000</v>
      </c>
    </row>
    <row r="3286" spans="2:12" x14ac:dyDescent="0.3">
      <c r="B3286" s="57">
        <f t="shared" si="289"/>
        <v>3283</v>
      </c>
      <c r="C3286" s="142">
        <v>46237</v>
      </c>
      <c r="D3286" s="57" t="s">
        <v>968</v>
      </c>
      <c r="E3286" s="57" t="s">
        <v>4128</v>
      </c>
      <c r="F3286" s="57" t="s">
        <v>502</v>
      </c>
      <c r="G3286" s="57" t="s">
        <v>2344</v>
      </c>
      <c r="H3286" s="140" t="s">
        <v>3351</v>
      </c>
      <c r="I3286" s="57" t="s">
        <v>849</v>
      </c>
      <c r="J3286" s="57"/>
      <c r="L3286" s="164">
        <v>3300</v>
      </c>
    </row>
    <row r="3287" spans="2:12" x14ac:dyDescent="0.3">
      <c r="B3287" s="57">
        <f t="shared" si="289"/>
        <v>3284</v>
      </c>
      <c r="C3287" s="142">
        <v>46237</v>
      </c>
      <c r="D3287" s="57" t="s">
        <v>435</v>
      </c>
      <c r="E3287" s="57" t="s">
        <v>2427</v>
      </c>
      <c r="F3287" s="57" t="s">
        <v>300</v>
      </c>
      <c r="G3287" s="57" t="s">
        <v>530</v>
      </c>
      <c r="H3287" s="140" t="s">
        <v>3486</v>
      </c>
      <c r="I3287" s="57" t="s">
        <v>2427</v>
      </c>
      <c r="J3287" s="57"/>
      <c r="L3287" s="164">
        <v>40400</v>
      </c>
    </row>
    <row r="3288" spans="2:12" x14ac:dyDescent="0.3">
      <c r="B3288" s="57">
        <f t="shared" si="289"/>
        <v>3285</v>
      </c>
      <c r="C3288" s="142">
        <v>46237</v>
      </c>
      <c r="D3288" s="57" t="s">
        <v>968</v>
      </c>
      <c r="E3288" s="57" t="s">
        <v>574</v>
      </c>
      <c r="F3288" s="57" t="s">
        <v>446</v>
      </c>
      <c r="G3288" s="57" t="s">
        <v>990</v>
      </c>
      <c r="H3288" s="140" t="s">
        <v>3487</v>
      </c>
      <c r="I3288" s="140" t="s">
        <v>2635</v>
      </c>
      <c r="J3288" s="57">
        <v>4</v>
      </c>
      <c r="K3288" s="167">
        <f>L3288/J3288</f>
        <v>750</v>
      </c>
      <c r="L3288" s="164">
        <v>3000</v>
      </c>
    </row>
    <row r="3289" spans="2:12" x14ac:dyDescent="0.3">
      <c r="B3289" s="57">
        <f t="shared" si="289"/>
        <v>3286</v>
      </c>
      <c r="C3289" s="142">
        <v>46237</v>
      </c>
      <c r="D3289" s="57" t="s">
        <v>968</v>
      </c>
      <c r="E3289" s="57" t="s">
        <v>434</v>
      </c>
      <c r="F3289" s="57" t="s">
        <v>502</v>
      </c>
      <c r="G3289" s="57" t="s">
        <v>257</v>
      </c>
      <c r="H3289" s="140" t="s">
        <v>3488</v>
      </c>
      <c r="I3289" s="57"/>
      <c r="J3289" s="57"/>
      <c r="L3289" s="164">
        <v>14800</v>
      </c>
    </row>
    <row r="3290" spans="2:12" x14ac:dyDescent="0.3">
      <c r="B3290" s="57">
        <f t="shared" si="289"/>
        <v>3287</v>
      </c>
      <c r="C3290" s="142">
        <v>46237</v>
      </c>
      <c r="D3290" s="57" t="s">
        <v>968</v>
      </c>
      <c r="E3290" s="57" t="s">
        <v>146</v>
      </c>
      <c r="F3290" s="57" t="s">
        <v>300</v>
      </c>
      <c r="G3290" s="57" t="s">
        <v>709</v>
      </c>
      <c r="H3290" s="140" t="s">
        <v>3489</v>
      </c>
      <c r="I3290" s="57"/>
      <c r="J3290" s="165">
        <f t="shared" ref="J3290:J3292" si="293">L3290/K3290</f>
        <v>18.867924528301888</v>
      </c>
      <c r="K3290" s="57">
        <v>106</v>
      </c>
      <c r="L3290" s="164">
        <v>2000</v>
      </c>
    </row>
    <row r="3291" spans="2:12" x14ac:dyDescent="0.3">
      <c r="B3291" s="57">
        <f t="shared" si="289"/>
        <v>3288</v>
      </c>
      <c r="C3291" s="142">
        <v>46237</v>
      </c>
      <c r="D3291" s="57" t="s">
        <v>968</v>
      </c>
      <c r="E3291" s="57" t="s">
        <v>146</v>
      </c>
      <c r="F3291" s="57" t="s">
        <v>300</v>
      </c>
      <c r="G3291" s="57" t="s">
        <v>3404</v>
      </c>
      <c r="H3291" s="140" t="s">
        <v>4095</v>
      </c>
      <c r="I3291" s="57"/>
      <c r="J3291" s="165">
        <f t="shared" si="293"/>
        <v>18.867924528301888</v>
      </c>
      <c r="K3291" s="57">
        <v>106</v>
      </c>
      <c r="L3291" s="164">
        <v>2000</v>
      </c>
    </row>
    <row r="3292" spans="2:12" x14ac:dyDescent="0.3">
      <c r="B3292" s="57">
        <f t="shared" si="289"/>
        <v>3289</v>
      </c>
      <c r="C3292" s="142">
        <v>46237</v>
      </c>
      <c r="D3292" s="57" t="s">
        <v>968</v>
      </c>
      <c r="E3292" s="57" t="s">
        <v>146</v>
      </c>
      <c r="F3292" s="57" t="s">
        <v>300</v>
      </c>
      <c r="G3292" s="57" t="s">
        <v>3404</v>
      </c>
      <c r="H3292" s="140" t="s">
        <v>4088</v>
      </c>
      <c r="I3292" s="57"/>
      <c r="J3292" s="165">
        <f t="shared" si="293"/>
        <v>18.867924528301888</v>
      </c>
      <c r="K3292" s="57">
        <v>106</v>
      </c>
      <c r="L3292" s="164">
        <v>2000</v>
      </c>
    </row>
    <row r="3293" spans="2:12" x14ac:dyDescent="0.3">
      <c r="B3293" s="57">
        <f t="shared" si="289"/>
        <v>3290</v>
      </c>
      <c r="C3293" s="142">
        <v>46237</v>
      </c>
      <c r="D3293" s="57" t="s">
        <v>968</v>
      </c>
      <c r="E3293" s="57" t="s">
        <v>434</v>
      </c>
      <c r="F3293" s="57" t="s">
        <v>546</v>
      </c>
      <c r="G3293" s="57" t="s">
        <v>545</v>
      </c>
      <c r="H3293" s="140" t="s">
        <v>3490</v>
      </c>
      <c r="I3293" s="57"/>
      <c r="J3293" s="57"/>
      <c r="L3293" s="164">
        <v>270</v>
      </c>
    </row>
    <row r="3294" spans="2:12" x14ac:dyDescent="0.3">
      <c r="B3294" s="57">
        <f t="shared" si="289"/>
        <v>3291</v>
      </c>
      <c r="C3294" s="142">
        <v>46237</v>
      </c>
      <c r="D3294" s="57" t="s">
        <v>968</v>
      </c>
      <c r="E3294" s="57" t="s">
        <v>434</v>
      </c>
      <c r="F3294" s="57" t="s">
        <v>300</v>
      </c>
      <c r="G3294" s="57" t="s">
        <v>530</v>
      </c>
      <c r="H3294" s="140" t="s">
        <v>3498</v>
      </c>
      <c r="I3294" s="57"/>
      <c r="J3294" s="57"/>
      <c r="L3294" s="164">
        <v>1340</v>
      </c>
    </row>
    <row r="3295" spans="2:12" x14ac:dyDescent="0.3">
      <c r="B3295" s="57">
        <f t="shared" si="289"/>
        <v>3292</v>
      </c>
      <c r="C3295" s="142">
        <v>46237</v>
      </c>
      <c r="D3295" s="57" t="s">
        <v>968</v>
      </c>
      <c r="E3295" s="57" t="s">
        <v>146</v>
      </c>
      <c r="F3295" s="57" t="s">
        <v>350</v>
      </c>
      <c r="G3295" s="57" t="s">
        <v>3103</v>
      </c>
      <c r="H3295" s="140" t="s">
        <v>4106</v>
      </c>
      <c r="I3295" s="57"/>
      <c r="J3295" s="165">
        <f>L3295/K3295</f>
        <v>18.867924528301888</v>
      </c>
      <c r="K3295" s="57">
        <v>106</v>
      </c>
      <c r="L3295" s="164">
        <v>2000</v>
      </c>
    </row>
    <row r="3296" spans="2:12" x14ac:dyDescent="0.3">
      <c r="B3296" s="57">
        <f t="shared" si="289"/>
        <v>3293</v>
      </c>
      <c r="C3296" s="142">
        <v>46237</v>
      </c>
      <c r="D3296" s="57" t="s">
        <v>968</v>
      </c>
      <c r="E3296" s="57" t="s">
        <v>434</v>
      </c>
      <c r="F3296" s="57" t="s">
        <v>300</v>
      </c>
      <c r="G3296" s="57" t="s">
        <v>530</v>
      </c>
      <c r="H3296" s="140" t="s">
        <v>3491</v>
      </c>
      <c r="I3296" s="57"/>
      <c r="J3296" s="57"/>
      <c r="L3296" s="164">
        <v>650</v>
      </c>
    </row>
    <row r="3297" spans="2:12" x14ac:dyDescent="0.3">
      <c r="B3297" s="57">
        <f t="shared" si="289"/>
        <v>3294</v>
      </c>
      <c r="C3297" s="142">
        <v>46237</v>
      </c>
      <c r="D3297" s="57" t="s">
        <v>968</v>
      </c>
      <c r="E3297" s="57" t="s">
        <v>574</v>
      </c>
      <c r="F3297" s="57" t="s">
        <v>446</v>
      </c>
      <c r="G3297" s="57" t="s">
        <v>990</v>
      </c>
      <c r="H3297" s="140" t="s">
        <v>3492</v>
      </c>
      <c r="I3297" s="140" t="s">
        <v>4081</v>
      </c>
      <c r="J3297" s="57">
        <v>4</v>
      </c>
      <c r="K3297" s="167">
        <f>L3297/J3297</f>
        <v>650</v>
      </c>
      <c r="L3297" s="164">
        <v>2600</v>
      </c>
    </row>
    <row r="3298" spans="2:12" x14ac:dyDescent="0.3">
      <c r="B3298" s="57">
        <f t="shared" si="289"/>
        <v>3295</v>
      </c>
      <c r="C3298" s="142">
        <v>46237</v>
      </c>
      <c r="D3298" s="57" t="s">
        <v>968</v>
      </c>
      <c r="E3298" s="57" t="s">
        <v>574</v>
      </c>
      <c r="F3298" s="57" t="s">
        <v>300</v>
      </c>
      <c r="G3298" s="57" t="s">
        <v>2543</v>
      </c>
      <c r="H3298" s="140" t="s">
        <v>3493</v>
      </c>
      <c r="I3298" s="140" t="s">
        <v>2635</v>
      </c>
      <c r="J3298" s="57">
        <v>4.45</v>
      </c>
      <c r="K3298" s="57">
        <v>700</v>
      </c>
      <c r="L3298" s="164">
        <f t="shared" si="290"/>
        <v>3115</v>
      </c>
    </row>
    <row r="3299" spans="2:12" x14ac:dyDescent="0.3">
      <c r="B3299" s="57">
        <f t="shared" si="289"/>
        <v>3296</v>
      </c>
      <c r="C3299" s="142">
        <v>46237</v>
      </c>
      <c r="D3299" s="57" t="s">
        <v>968</v>
      </c>
      <c r="E3299" s="57" t="s">
        <v>574</v>
      </c>
      <c r="F3299" s="57" t="s">
        <v>300</v>
      </c>
      <c r="G3299" s="57" t="s">
        <v>2543</v>
      </c>
      <c r="H3299" s="140" t="s">
        <v>3493</v>
      </c>
      <c r="I3299" s="140" t="s">
        <v>2635</v>
      </c>
      <c r="J3299" s="57">
        <v>5.17</v>
      </c>
      <c r="K3299" s="57">
        <v>700</v>
      </c>
      <c r="L3299" s="164">
        <f t="shared" si="290"/>
        <v>3619</v>
      </c>
    </row>
    <row r="3300" spans="2:12" x14ac:dyDescent="0.3">
      <c r="B3300" s="57">
        <f t="shared" si="289"/>
        <v>3297</v>
      </c>
      <c r="C3300" s="142">
        <v>46237</v>
      </c>
      <c r="D3300" s="57" t="s">
        <v>968</v>
      </c>
      <c r="E3300" s="57" t="s">
        <v>434</v>
      </c>
      <c r="F3300" s="57" t="s">
        <v>300</v>
      </c>
      <c r="G3300" s="57" t="s">
        <v>530</v>
      </c>
      <c r="H3300" s="140" t="s">
        <v>3494</v>
      </c>
      <c r="I3300" s="57"/>
      <c r="J3300" s="57"/>
      <c r="L3300" s="164">
        <v>6000</v>
      </c>
    </row>
    <row r="3301" spans="2:12" x14ac:dyDescent="0.3">
      <c r="B3301" s="57">
        <f t="shared" si="289"/>
        <v>3298</v>
      </c>
      <c r="C3301" s="142">
        <v>46237</v>
      </c>
      <c r="D3301" s="57" t="s">
        <v>968</v>
      </c>
      <c r="E3301" s="57" t="s">
        <v>532</v>
      </c>
      <c r="F3301" s="57" t="s">
        <v>446</v>
      </c>
      <c r="G3301" s="57" t="s">
        <v>990</v>
      </c>
      <c r="H3301" s="140" t="s">
        <v>3495</v>
      </c>
      <c r="I3301" s="57" t="s">
        <v>532</v>
      </c>
      <c r="J3301" s="57">
        <v>20</v>
      </c>
      <c r="K3301" s="167">
        <f>L3301/J3301</f>
        <v>266</v>
      </c>
      <c r="L3301" s="164">
        <v>5320</v>
      </c>
    </row>
    <row r="3302" spans="2:12" x14ac:dyDescent="0.3">
      <c r="B3302" s="57">
        <f t="shared" si="289"/>
        <v>3299</v>
      </c>
      <c r="C3302" s="142">
        <v>46237</v>
      </c>
      <c r="D3302" s="57" t="s">
        <v>968</v>
      </c>
      <c r="E3302" s="57" t="s">
        <v>532</v>
      </c>
      <c r="F3302" s="57" t="s">
        <v>446</v>
      </c>
      <c r="G3302" s="57" t="s">
        <v>316</v>
      </c>
      <c r="H3302" s="140" t="s">
        <v>3496</v>
      </c>
      <c r="I3302" s="57" t="s">
        <v>532</v>
      </c>
      <c r="J3302" s="57">
        <v>15</v>
      </c>
      <c r="K3302" s="167">
        <f>L3302/J3302</f>
        <v>270</v>
      </c>
      <c r="L3302" s="164">
        <v>4050</v>
      </c>
    </row>
    <row r="3303" spans="2:12" x14ac:dyDescent="0.3">
      <c r="B3303" s="57">
        <f t="shared" si="289"/>
        <v>3300</v>
      </c>
      <c r="C3303" s="142">
        <v>46237</v>
      </c>
      <c r="D3303" s="57" t="s">
        <v>968</v>
      </c>
      <c r="E3303" s="57" t="s">
        <v>574</v>
      </c>
      <c r="F3303" s="57" t="s">
        <v>300</v>
      </c>
      <c r="G3303" s="57" t="s">
        <v>498</v>
      </c>
      <c r="H3303" s="140" t="s">
        <v>3497</v>
      </c>
      <c r="I3303" s="140" t="s">
        <v>4118</v>
      </c>
      <c r="J3303" s="57">
        <v>5.5</v>
      </c>
      <c r="K3303" s="168">
        <f>L3303/J3303</f>
        <v>805.81818181818187</v>
      </c>
      <c r="L3303" s="164">
        <v>4432</v>
      </c>
    </row>
    <row r="3304" spans="2:12" x14ac:dyDescent="0.3">
      <c r="B3304" s="57">
        <f t="shared" si="289"/>
        <v>3301</v>
      </c>
      <c r="C3304" s="142">
        <v>46237</v>
      </c>
      <c r="D3304" s="57" t="s">
        <v>968</v>
      </c>
      <c r="E3304" s="57" t="s">
        <v>434</v>
      </c>
      <c r="F3304" s="57" t="s">
        <v>446</v>
      </c>
      <c r="G3304" s="57" t="s">
        <v>990</v>
      </c>
      <c r="H3304" s="140" t="s">
        <v>3499</v>
      </c>
      <c r="I3304" s="57"/>
      <c r="J3304" s="57"/>
      <c r="L3304" s="164">
        <v>1120</v>
      </c>
    </row>
    <row r="3305" spans="2:12" x14ac:dyDescent="0.3">
      <c r="B3305" s="57">
        <f t="shared" si="289"/>
        <v>3302</v>
      </c>
      <c r="C3305" s="142">
        <v>46238</v>
      </c>
      <c r="D3305" s="57" t="s">
        <v>968</v>
      </c>
      <c r="E3305" s="57" t="s">
        <v>146</v>
      </c>
      <c r="F3305" s="57" t="s">
        <v>502</v>
      </c>
      <c r="G3305" s="57" t="s">
        <v>257</v>
      </c>
      <c r="H3305" s="140" t="s">
        <v>3500</v>
      </c>
      <c r="I3305" s="57"/>
      <c r="J3305" s="165">
        <f t="shared" ref="J3305:J3306" si="294">L3305/K3305</f>
        <v>18.867924528301888</v>
      </c>
      <c r="K3305" s="57">
        <v>106</v>
      </c>
      <c r="L3305" s="164">
        <v>2000</v>
      </c>
    </row>
    <row r="3306" spans="2:12" x14ac:dyDescent="0.3">
      <c r="B3306" s="57">
        <f t="shared" si="289"/>
        <v>3303</v>
      </c>
      <c r="C3306" s="142">
        <v>46238</v>
      </c>
      <c r="D3306" s="57" t="s">
        <v>968</v>
      </c>
      <c r="E3306" s="57" t="s">
        <v>146</v>
      </c>
      <c r="F3306" s="57" t="s">
        <v>350</v>
      </c>
      <c r="G3306" s="57" t="s">
        <v>3103</v>
      </c>
      <c r="H3306" s="140" t="s">
        <v>3501</v>
      </c>
      <c r="I3306" s="57"/>
      <c r="J3306" s="165">
        <f t="shared" si="294"/>
        <v>18.867924528301888</v>
      </c>
      <c r="K3306" s="57">
        <v>106</v>
      </c>
      <c r="L3306" s="164">
        <v>2000</v>
      </c>
    </row>
    <row r="3307" spans="2:12" x14ac:dyDescent="0.3">
      <c r="B3307" s="57">
        <f t="shared" si="289"/>
        <v>3304</v>
      </c>
      <c r="C3307" s="142">
        <v>46238</v>
      </c>
      <c r="D3307" s="57" t="s">
        <v>968</v>
      </c>
      <c r="E3307" s="57" t="s">
        <v>481</v>
      </c>
      <c r="F3307" s="57" t="s">
        <v>300</v>
      </c>
      <c r="G3307" s="57" t="s">
        <v>530</v>
      </c>
      <c r="H3307" s="140" t="s">
        <v>3513</v>
      </c>
      <c r="I3307" s="57" t="s">
        <v>481</v>
      </c>
      <c r="J3307" s="57">
        <v>20</v>
      </c>
      <c r="K3307" s="57">
        <v>50</v>
      </c>
      <c r="L3307" s="164">
        <f t="shared" si="290"/>
        <v>1000</v>
      </c>
    </row>
    <row r="3308" spans="2:12" x14ac:dyDescent="0.3">
      <c r="B3308" s="57">
        <f t="shared" si="289"/>
        <v>3305</v>
      </c>
      <c r="C3308" s="142">
        <v>46238</v>
      </c>
      <c r="D3308" s="57" t="s">
        <v>968</v>
      </c>
      <c r="E3308" s="57" t="s">
        <v>522</v>
      </c>
      <c r="F3308" s="57" t="s">
        <v>2332</v>
      </c>
      <c r="G3308" s="57" t="s">
        <v>1004</v>
      </c>
      <c r="H3308" s="140" t="s">
        <v>3502</v>
      </c>
      <c r="I3308" s="57"/>
      <c r="J3308" s="57"/>
      <c r="L3308" s="164">
        <v>240</v>
      </c>
    </row>
    <row r="3309" spans="2:12" x14ac:dyDescent="0.3">
      <c r="B3309" s="57">
        <f t="shared" si="289"/>
        <v>3306</v>
      </c>
      <c r="C3309" s="142">
        <v>46238</v>
      </c>
      <c r="D3309" s="57" t="s">
        <v>968</v>
      </c>
      <c r="E3309" s="57" t="s">
        <v>146</v>
      </c>
      <c r="F3309" s="57" t="s">
        <v>2332</v>
      </c>
      <c r="G3309" s="57" t="s">
        <v>1004</v>
      </c>
      <c r="H3309" s="140" t="s">
        <v>4094</v>
      </c>
      <c r="I3309" s="57" t="s">
        <v>146</v>
      </c>
      <c r="J3309" s="165">
        <f t="shared" ref="J3309:J3310" si="295">L3309/K3309</f>
        <v>18.867924528301888</v>
      </c>
      <c r="K3309" s="57">
        <v>106</v>
      </c>
      <c r="L3309" s="164">
        <v>2000</v>
      </c>
    </row>
    <row r="3310" spans="2:12" x14ac:dyDescent="0.3">
      <c r="B3310" s="57">
        <f t="shared" si="289"/>
        <v>3307</v>
      </c>
      <c r="C3310" s="142">
        <v>46238</v>
      </c>
      <c r="D3310" s="57" t="s">
        <v>968</v>
      </c>
      <c r="E3310" s="57" t="s">
        <v>146</v>
      </c>
      <c r="F3310" s="57" t="s">
        <v>300</v>
      </c>
      <c r="G3310" s="57" t="s">
        <v>303</v>
      </c>
      <c r="H3310" s="140" t="s">
        <v>4116</v>
      </c>
      <c r="I3310" s="57"/>
      <c r="J3310" s="165">
        <f t="shared" si="295"/>
        <v>40.566037735849058</v>
      </c>
      <c r="K3310" s="57">
        <v>106</v>
      </c>
      <c r="L3310" s="164">
        <v>4300</v>
      </c>
    </row>
    <row r="3311" spans="2:12" x14ac:dyDescent="0.3">
      <c r="B3311" s="57">
        <f t="shared" si="289"/>
        <v>3308</v>
      </c>
      <c r="C3311" s="142">
        <v>46238</v>
      </c>
      <c r="D3311" s="57" t="s">
        <v>968</v>
      </c>
      <c r="E3311" s="57" t="s">
        <v>782</v>
      </c>
      <c r="F3311" s="57" t="s">
        <v>350</v>
      </c>
      <c r="G3311" s="57" t="s">
        <v>3270</v>
      </c>
      <c r="H3311" s="140" t="s">
        <v>3365</v>
      </c>
      <c r="I3311" s="57"/>
      <c r="J3311" s="57"/>
      <c r="L3311" s="164">
        <v>2000</v>
      </c>
    </row>
    <row r="3312" spans="2:12" x14ac:dyDescent="0.3">
      <c r="B3312" s="57">
        <f t="shared" si="289"/>
        <v>3309</v>
      </c>
      <c r="C3312" s="142">
        <v>46238</v>
      </c>
      <c r="D3312" s="57" t="s">
        <v>968</v>
      </c>
      <c r="E3312" s="57" t="s">
        <v>574</v>
      </c>
      <c r="F3312" s="57" t="s">
        <v>300</v>
      </c>
      <c r="G3312" s="57" t="s">
        <v>3404</v>
      </c>
      <c r="H3312" s="140" t="s">
        <v>3503</v>
      </c>
      <c r="I3312" s="140" t="s">
        <v>4081</v>
      </c>
      <c r="J3312" s="57">
        <v>4</v>
      </c>
      <c r="K3312" s="168">
        <f>L3312/J3312</f>
        <v>631.25</v>
      </c>
      <c r="L3312" s="164">
        <v>2525</v>
      </c>
    </row>
    <row r="3313" spans="2:12" x14ac:dyDescent="0.3">
      <c r="B3313" s="57">
        <f t="shared" si="289"/>
        <v>3310</v>
      </c>
      <c r="C3313" s="142">
        <v>46238</v>
      </c>
      <c r="D3313" s="57" t="s">
        <v>968</v>
      </c>
      <c r="E3313" s="57" t="s">
        <v>574</v>
      </c>
      <c r="F3313" s="57" t="s">
        <v>300</v>
      </c>
      <c r="G3313" s="57" t="s">
        <v>3404</v>
      </c>
      <c r="H3313" s="140" t="s">
        <v>3503</v>
      </c>
      <c r="I3313" s="140" t="s">
        <v>4081</v>
      </c>
      <c r="J3313" s="57">
        <v>4</v>
      </c>
      <c r="K3313" s="168">
        <f>L3313/J3313</f>
        <v>631.25</v>
      </c>
      <c r="L3313" s="164">
        <v>2525</v>
      </c>
    </row>
    <row r="3314" spans="2:12" x14ac:dyDescent="0.3">
      <c r="B3314" s="57">
        <f t="shared" si="289"/>
        <v>3311</v>
      </c>
      <c r="C3314" s="142">
        <v>46238</v>
      </c>
      <c r="D3314" s="57" t="s">
        <v>435</v>
      </c>
      <c r="E3314" s="57" t="s">
        <v>2427</v>
      </c>
      <c r="F3314" s="57" t="s">
        <v>350</v>
      </c>
      <c r="G3314" s="57" t="s">
        <v>675</v>
      </c>
      <c r="H3314" s="140" t="s">
        <v>3504</v>
      </c>
      <c r="I3314" s="57" t="s">
        <v>2911</v>
      </c>
      <c r="J3314" s="57">
        <v>275</v>
      </c>
      <c r="K3314" s="57">
        <v>55</v>
      </c>
      <c r="L3314" s="164">
        <f t="shared" si="290"/>
        <v>15125</v>
      </c>
    </row>
    <row r="3315" spans="2:12" x14ac:dyDescent="0.3">
      <c r="B3315" s="57">
        <f t="shared" si="289"/>
        <v>3312</v>
      </c>
      <c r="C3315" s="142">
        <v>46238</v>
      </c>
      <c r="D3315" s="57" t="s">
        <v>435</v>
      </c>
      <c r="E3315" s="57" t="s">
        <v>2427</v>
      </c>
      <c r="F3315" s="57" t="s">
        <v>350</v>
      </c>
      <c r="G3315" s="57" t="s">
        <v>675</v>
      </c>
      <c r="H3315" s="140" t="s">
        <v>3504</v>
      </c>
      <c r="I3315" s="57" t="s">
        <v>3443</v>
      </c>
      <c r="J3315" s="57">
        <v>130</v>
      </c>
      <c r="K3315" s="57">
        <v>56.3</v>
      </c>
      <c r="L3315" s="164">
        <f t="shared" si="290"/>
        <v>7319</v>
      </c>
    </row>
    <row r="3316" spans="2:12" x14ac:dyDescent="0.3">
      <c r="B3316" s="57">
        <f t="shared" si="289"/>
        <v>3313</v>
      </c>
      <c r="C3316" s="142">
        <v>46238</v>
      </c>
      <c r="D3316" s="57" t="s">
        <v>435</v>
      </c>
      <c r="E3316" s="57" t="s">
        <v>2427</v>
      </c>
      <c r="F3316" s="57" t="s">
        <v>350</v>
      </c>
      <c r="G3316" s="57" t="s">
        <v>675</v>
      </c>
      <c r="H3316" s="140" t="s">
        <v>3504</v>
      </c>
      <c r="I3316" s="57" t="s">
        <v>2914</v>
      </c>
      <c r="J3316" s="165">
        <v>125</v>
      </c>
      <c r="K3316" s="57">
        <v>56.8</v>
      </c>
      <c r="L3316" s="164">
        <f t="shared" si="290"/>
        <v>7100</v>
      </c>
    </row>
    <row r="3317" spans="2:12" x14ac:dyDescent="0.3">
      <c r="B3317" s="57">
        <f t="shared" si="289"/>
        <v>3314</v>
      </c>
      <c r="C3317" s="142">
        <v>46238</v>
      </c>
      <c r="D3317" s="57" t="s">
        <v>435</v>
      </c>
      <c r="E3317" s="57" t="s">
        <v>4128</v>
      </c>
      <c r="F3317" s="57" t="s">
        <v>350</v>
      </c>
      <c r="G3317" s="57" t="s">
        <v>675</v>
      </c>
      <c r="H3317" s="140" t="s">
        <v>3515</v>
      </c>
      <c r="I3317" s="57" t="s">
        <v>2782</v>
      </c>
      <c r="J3317" s="57"/>
      <c r="L3317" s="164">
        <v>477</v>
      </c>
    </row>
    <row r="3318" spans="2:12" x14ac:dyDescent="0.3">
      <c r="B3318" s="57">
        <f t="shared" si="289"/>
        <v>3315</v>
      </c>
      <c r="C3318" s="142">
        <v>46238</v>
      </c>
      <c r="D3318" s="57" t="s">
        <v>968</v>
      </c>
      <c r="E3318" s="57" t="s">
        <v>146</v>
      </c>
      <c r="F3318" s="57" t="s">
        <v>546</v>
      </c>
      <c r="G3318" s="57" t="s">
        <v>545</v>
      </c>
      <c r="H3318" s="140" t="s">
        <v>4098</v>
      </c>
      <c r="I3318" s="57"/>
      <c r="J3318" s="165">
        <f>L3318/K3318</f>
        <v>18.867924528301888</v>
      </c>
      <c r="K3318" s="57">
        <v>106</v>
      </c>
      <c r="L3318" s="164">
        <v>2000</v>
      </c>
    </row>
    <row r="3319" spans="2:12" x14ac:dyDescent="0.3">
      <c r="B3319" s="57">
        <f t="shared" si="289"/>
        <v>3316</v>
      </c>
      <c r="C3319" s="142">
        <v>46238</v>
      </c>
      <c r="D3319" s="57" t="s">
        <v>968</v>
      </c>
      <c r="E3319" s="57" t="s">
        <v>532</v>
      </c>
      <c r="F3319" s="57" t="s">
        <v>446</v>
      </c>
      <c r="G3319" s="57" t="s">
        <v>359</v>
      </c>
      <c r="H3319" s="140" t="s">
        <v>3478</v>
      </c>
      <c r="I3319" s="57" t="s">
        <v>532</v>
      </c>
      <c r="J3319" s="57">
        <v>10</v>
      </c>
      <c r="K3319" s="167">
        <f>L3319/J3319</f>
        <v>265</v>
      </c>
      <c r="L3319" s="164">
        <v>2650</v>
      </c>
    </row>
    <row r="3320" spans="2:12" x14ac:dyDescent="0.3">
      <c r="B3320" s="57">
        <f t="shared" si="289"/>
        <v>3317</v>
      </c>
      <c r="C3320" s="142">
        <v>46238</v>
      </c>
      <c r="D3320" s="57" t="s">
        <v>968</v>
      </c>
      <c r="E3320" s="57" t="s">
        <v>434</v>
      </c>
      <c r="F3320" s="57" t="s">
        <v>350</v>
      </c>
      <c r="G3320" s="57" t="s">
        <v>3103</v>
      </c>
      <c r="H3320" s="140" t="s">
        <v>3505</v>
      </c>
      <c r="I3320" s="57"/>
      <c r="J3320" s="57"/>
      <c r="L3320" s="164">
        <v>590</v>
      </c>
    </row>
    <row r="3321" spans="2:12" x14ac:dyDescent="0.3">
      <c r="B3321" s="57">
        <f t="shared" si="289"/>
        <v>3318</v>
      </c>
      <c r="C3321" s="142">
        <v>46238</v>
      </c>
      <c r="D3321" s="57" t="s">
        <v>968</v>
      </c>
      <c r="E3321" s="57" t="s">
        <v>434</v>
      </c>
      <c r="F3321" s="57" t="s">
        <v>350</v>
      </c>
      <c r="G3321" s="57" t="s">
        <v>3103</v>
      </c>
      <c r="H3321" s="140" t="s">
        <v>3506</v>
      </c>
      <c r="I3321" s="57"/>
      <c r="J3321" s="57"/>
      <c r="L3321" s="164">
        <v>1500</v>
      </c>
    </row>
    <row r="3322" spans="2:12" x14ac:dyDescent="0.3">
      <c r="B3322" s="57">
        <f t="shared" si="289"/>
        <v>3319</v>
      </c>
      <c r="C3322" s="142">
        <v>46238</v>
      </c>
      <c r="D3322" s="57" t="s">
        <v>968</v>
      </c>
      <c r="E3322" s="57" t="s">
        <v>574</v>
      </c>
      <c r="F3322" s="57" t="s">
        <v>546</v>
      </c>
      <c r="G3322" s="57" t="s">
        <v>3514</v>
      </c>
      <c r="H3322" s="140" t="s">
        <v>3507</v>
      </c>
      <c r="I3322" s="140" t="s">
        <v>4081</v>
      </c>
      <c r="J3322" s="57">
        <v>3.88</v>
      </c>
      <c r="K3322" s="167">
        <f>L3322/J3322</f>
        <v>750</v>
      </c>
      <c r="L3322" s="164">
        <v>2910</v>
      </c>
    </row>
    <row r="3323" spans="2:12" x14ac:dyDescent="0.3">
      <c r="B3323" s="57">
        <f t="shared" si="289"/>
        <v>3320</v>
      </c>
      <c r="C3323" s="142">
        <v>46238</v>
      </c>
      <c r="D3323" s="57" t="s">
        <v>968</v>
      </c>
      <c r="E3323" s="57" t="s">
        <v>434</v>
      </c>
      <c r="F3323" s="57" t="s">
        <v>350</v>
      </c>
      <c r="G3323" s="57" t="s">
        <v>3103</v>
      </c>
      <c r="H3323" s="140" t="s">
        <v>3508</v>
      </c>
      <c r="I3323" s="57"/>
      <c r="J3323" s="57"/>
      <c r="L3323" s="164">
        <v>5840</v>
      </c>
    </row>
    <row r="3324" spans="2:12" x14ac:dyDescent="0.3">
      <c r="B3324" s="57">
        <f t="shared" si="289"/>
        <v>3321</v>
      </c>
      <c r="C3324" s="142">
        <v>46238</v>
      </c>
      <c r="D3324" s="57" t="s">
        <v>968</v>
      </c>
      <c r="E3324" s="57" t="s">
        <v>574</v>
      </c>
      <c r="F3324" s="57" t="s">
        <v>300</v>
      </c>
      <c r="G3324" s="57" t="s">
        <v>498</v>
      </c>
      <c r="H3324" s="140" t="s">
        <v>3497</v>
      </c>
      <c r="I3324" s="140" t="s">
        <v>4118</v>
      </c>
      <c r="J3324" s="57">
        <v>4.92</v>
      </c>
      <c r="K3324" s="57">
        <v>750</v>
      </c>
      <c r="L3324" s="164">
        <v>3690</v>
      </c>
    </row>
    <row r="3325" spans="2:12" x14ac:dyDescent="0.3">
      <c r="B3325" s="57">
        <f t="shared" si="289"/>
        <v>3322</v>
      </c>
      <c r="C3325" s="142">
        <v>46238</v>
      </c>
      <c r="D3325" s="57" t="s">
        <v>968</v>
      </c>
      <c r="E3325" s="57" t="s">
        <v>522</v>
      </c>
      <c r="F3325" s="57" t="s">
        <v>2332</v>
      </c>
      <c r="H3325" s="140" t="s">
        <v>3509</v>
      </c>
      <c r="I3325" s="57"/>
      <c r="J3325" s="57"/>
      <c r="L3325" s="164">
        <v>200</v>
      </c>
    </row>
    <row r="3326" spans="2:12" x14ac:dyDescent="0.3">
      <c r="B3326" s="57">
        <f t="shared" si="289"/>
        <v>3323</v>
      </c>
      <c r="C3326" s="142">
        <v>46238</v>
      </c>
      <c r="D3326" s="57" t="s">
        <v>968</v>
      </c>
      <c r="E3326" s="57" t="s">
        <v>574</v>
      </c>
      <c r="F3326" s="57" t="s">
        <v>300</v>
      </c>
      <c r="G3326" s="57" t="s">
        <v>991</v>
      </c>
      <c r="H3326" s="140" t="s">
        <v>3510</v>
      </c>
      <c r="I3326" s="140" t="s">
        <v>4081</v>
      </c>
      <c r="J3326" s="57">
        <v>4.29</v>
      </c>
      <c r="K3326" s="168">
        <f>L3326*J3326</f>
        <v>12882.87</v>
      </c>
      <c r="L3326" s="164">
        <v>3003</v>
      </c>
    </row>
    <row r="3327" spans="2:12" x14ac:dyDescent="0.3">
      <c r="B3327" s="57">
        <f t="shared" si="289"/>
        <v>3324</v>
      </c>
      <c r="C3327" s="142">
        <v>46238</v>
      </c>
      <c r="D3327" s="57" t="s">
        <v>968</v>
      </c>
      <c r="E3327" s="57" t="s">
        <v>146</v>
      </c>
      <c r="F3327" s="57" t="s">
        <v>300</v>
      </c>
      <c r="H3327" s="140" t="s">
        <v>3511</v>
      </c>
      <c r="I3327" s="57"/>
      <c r="J3327" s="165">
        <f>L3327/K3327</f>
        <v>18.867924528301888</v>
      </c>
      <c r="K3327" s="57">
        <v>106</v>
      </c>
      <c r="L3327" s="164">
        <v>2000</v>
      </c>
    </row>
    <row r="3328" spans="2:12" x14ac:dyDescent="0.3">
      <c r="B3328" s="57">
        <f t="shared" si="289"/>
        <v>3325</v>
      </c>
      <c r="C3328" s="142">
        <v>46238</v>
      </c>
      <c r="D3328" s="57" t="s">
        <v>968</v>
      </c>
      <c r="E3328" s="57" t="s">
        <v>532</v>
      </c>
      <c r="F3328" s="57" t="s">
        <v>502</v>
      </c>
      <c r="G3328" s="57" t="s">
        <v>2344</v>
      </c>
      <c r="H3328" s="140" t="s">
        <v>3512</v>
      </c>
      <c r="I3328" s="57" t="s">
        <v>532</v>
      </c>
      <c r="J3328" s="57">
        <v>50</v>
      </c>
      <c r="K3328" s="167">
        <f>L3328/J3328</f>
        <v>266</v>
      </c>
      <c r="L3328" s="164">
        <v>13300</v>
      </c>
    </row>
    <row r="3329" spans="2:12" x14ac:dyDescent="0.3">
      <c r="B3329" s="57">
        <f t="shared" si="289"/>
        <v>3326</v>
      </c>
      <c r="C3329" s="142">
        <v>46238</v>
      </c>
      <c r="D3329" s="57" t="s">
        <v>968</v>
      </c>
      <c r="E3329" s="57" t="s">
        <v>146</v>
      </c>
      <c r="F3329" s="57" t="s">
        <v>300</v>
      </c>
      <c r="G3329" s="57" t="s">
        <v>3404</v>
      </c>
      <c r="H3329" s="140" t="s">
        <v>4088</v>
      </c>
      <c r="I3329" s="57"/>
      <c r="J3329" s="165">
        <f>L3329/K3329</f>
        <v>18.867924528301888</v>
      </c>
      <c r="K3329" s="57">
        <v>106</v>
      </c>
      <c r="L3329" s="164">
        <v>2000</v>
      </c>
    </row>
    <row r="3330" spans="2:12" x14ac:dyDescent="0.3">
      <c r="B3330" s="57">
        <f t="shared" si="289"/>
        <v>3327</v>
      </c>
      <c r="C3330" s="142">
        <v>46238</v>
      </c>
      <c r="D3330" s="57" t="s">
        <v>968</v>
      </c>
      <c r="E3330" s="57" t="s">
        <v>522</v>
      </c>
      <c r="F3330" s="57" t="s">
        <v>2332</v>
      </c>
      <c r="H3330" s="140" t="s">
        <v>3809</v>
      </c>
      <c r="I3330" s="57"/>
      <c r="J3330" s="57"/>
      <c r="L3330" s="164">
        <v>240</v>
      </c>
    </row>
    <row r="3331" spans="2:12" x14ac:dyDescent="0.3">
      <c r="B3331" s="57">
        <f t="shared" si="289"/>
        <v>3328</v>
      </c>
      <c r="C3331" s="142">
        <v>46238</v>
      </c>
      <c r="D3331" s="57" t="s">
        <v>968</v>
      </c>
      <c r="E3331" s="57" t="s">
        <v>522</v>
      </c>
      <c r="F3331" s="57" t="s">
        <v>300</v>
      </c>
      <c r="G3331" s="57" t="s">
        <v>2653</v>
      </c>
      <c r="H3331" s="140" t="s">
        <v>3516</v>
      </c>
      <c r="I3331" s="57"/>
      <c r="J3331" s="57"/>
      <c r="L3331" s="164">
        <v>1000</v>
      </c>
    </row>
    <row r="3332" spans="2:12" x14ac:dyDescent="0.3">
      <c r="B3332" s="57">
        <f t="shared" si="289"/>
        <v>3329</v>
      </c>
      <c r="C3332" s="142">
        <v>46238</v>
      </c>
      <c r="D3332" s="57" t="s">
        <v>968</v>
      </c>
      <c r="E3332" s="57" t="s">
        <v>146</v>
      </c>
      <c r="F3332" s="57" t="s">
        <v>300</v>
      </c>
      <c r="G3332" s="57" t="s">
        <v>530</v>
      </c>
      <c r="H3332" s="140" t="s">
        <v>4092</v>
      </c>
      <c r="I3332" s="57"/>
      <c r="J3332" s="165">
        <f>L3332/K3332</f>
        <v>37.735849056603776</v>
      </c>
      <c r="K3332" s="57">
        <v>106</v>
      </c>
      <c r="L3332" s="164">
        <v>4000</v>
      </c>
    </row>
    <row r="3333" spans="2:12" x14ac:dyDescent="0.3">
      <c r="B3333" s="57">
        <f t="shared" si="289"/>
        <v>3330</v>
      </c>
      <c r="C3333" s="142">
        <v>46239</v>
      </c>
      <c r="D3333" s="57" t="s">
        <v>4139</v>
      </c>
      <c r="E3333" s="57" t="s">
        <v>4085</v>
      </c>
      <c r="F3333" s="57" t="s">
        <v>300</v>
      </c>
      <c r="G3333" s="57" t="s">
        <v>530</v>
      </c>
      <c r="H3333" s="140" t="s">
        <v>3518</v>
      </c>
      <c r="I3333" s="57" t="s">
        <v>4086</v>
      </c>
      <c r="J3333" s="57"/>
      <c r="L3333" s="164">
        <v>35000</v>
      </c>
    </row>
    <row r="3334" spans="2:12" x14ac:dyDescent="0.3">
      <c r="B3334" s="57">
        <f t="shared" ref="B3334:B3397" si="296">+B3333+1</f>
        <v>3331</v>
      </c>
      <c r="C3334" s="142">
        <v>46239</v>
      </c>
      <c r="D3334" s="57" t="s">
        <v>968</v>
      </c>
      <c r="E3334" s="57" t="s">
        <v>481</v>
      </c>
      <c r="F3334" s="57" t="s">
        <v>300</v>
      </c>
      <c r="G3334" s="57" t="s">
        <v>2509</v>
      </c>
      <c r="H3334" s="140" t="s">
        <v>3517</v>
      </c>
      <c r="I3334" s="57"/>
      <c r="J3334" s="57"/>
      <c r="L3334" s="164">
        <v>1400</v>
      </c>
    </row>
    <row r="3335" spans="2:12" x14ac:dyDescent="0.3">
      <c r="B3335" s="57">
        <f t="shared" si="296"/>
        <v>3332</v>
      </c>
      <c r="C3335" s="142">
        <v>46239</v>
      </c>
      <c r="D3335" s="57" t="s">
        <v>4139</v>
      </c>
      <c r="E3335" s="57" t="s">
        <v>522</v>
      </c>
      <c r="F3335" s="57" t="s">
        <v>300</v>
      </c>
      <c r="G3335" s="57" t="s">
        <v>530</v>
      </c>
      <c r="H3335" s="140" t="s">
        <v>3519</v>
      </c>
      <c r="I3335" s="57"/>
      <c r="J3335" s="57"/>
      <c r="L3335" s="164">
        <v>20000</v>
      </c>
    </row>
    <row r="3336" spans="2:12" x14ac:dyDescent="0.3">
      <c r="B3336" s="57">
        <f t="shared" si="296"/>
        <v>3333</v>
      </c>
      <c r="C3336" s="142">
        <v>46239</v>
      </c>
      <c r="D3336" s="57" t="s">
        <v>968</v>
      </c>
      <c r="E3336" s="57" t="s">
        <v>574</v>
      </c>
      <c r="F3336" s="57" t="s">
        <v>446</v>
      </c>
      <c r="G3336" s="57" t="s">
        <v>359</v>
      </c>
      <c r="H3336" s="140" t="s">
        <v>1573</v>
      </c>
      <c r="I3336" s="140" t="s">
        <v>2635</v>
      </c>
      <c r="J3336" s="57">
        <v>4</v>
      </c>
      <c r="K3336" s="167">
        <f>L3336/J3336</f>
        <v>575</v>
      </c>
      <c r="L3336" s="164">
        <v>2300</v>
      </c>
    </row>
    <row r="3337" spans="2:12" x14ac:dyDescent="0.3">
      <c r="B3337" s="57">
        <f t="shared" si="296"/>
        <v>3334</v>
      </c>
      <c r="C3337" s="142">
        <v>46239</v>
      </c>
      <c r="D3337" s="57" t="s">
        <v>968</v>
      </c>
      <c r="E3337" s="57" t="s">
        <v>532</v>
      </c>
      <c r="F3337" s="57" t="s">
        <v>2332</v>
      </c>
      <c r="H3337" s="140" t="s">
        <v>3520</v>
      </c>
      <c r="I3337" s="57" t="s">
        <v>532</v>
      </c>
      <c r="J3337" s="57">
        <v>4</v>
      </c>
      <c r="K3337" s="168">
        <f>L3337/J3337</f>
        <v>463.75</v>
      </c>
      <c r="L3337" s="164">
        <v>1855</v>
      </c>
    </row>
    <row r="3338" spans="2:12" x14ac:dyDescent="0.3">
      <c r="B3338" s="57">
        <f t="shared" si="296"/>
        <v>3335</v>
      </c>
      <c r="C3338" s="142">
        <v>46239</v>
      </c>
      <c r="D3338" s="57" t="s">
        <v>968</v>
      </c>
      <c r="E3338" s="57" t="s">
        <v>146</v>
      </c>
      <c r="F3338" s="57" t="s">
        <v>446</v>
      </c>
      <c r="G3338" s="57" t="s">
        <v>316</v>
      </c>
      <c r="H3338" s="140" t="s">
        <v>3521</v>
      </c>
      <c r="I3338" s="57"/>
      <c r="J3338" s="165">
        <f t="shared" ref="J3338:J3339" si="297">L3338/K3338</f>
        <v>23.584905660377359</v>
      </c>
      <c r="K3338" s="57">
        <v>106</v>
      </c>
      <c r="L3338" s="164">
        <v>2500</v>
      </c>
    </row>
    <row r="3339" spans="2:12" x14ac:dyDescent="0.3">
      <c r="B3339" s="57">
        <f t="shared" si="296"/>
        <v>3336</v>
      </c>
      <c r="C3339" s="142">
        <v>46239</v>
      </c>
      <c r="D3339" s="57" t="s">
        <v>968</v>
      </c>
      <c r="E3339" s="57" t="s">
        <v>146</v>
      </c>
      <c r="F3339" s="57" t="s">
        <v>300</v>
      </c>
      <c r="G3339" s="57" t="s">
        <v>526</v>
      </c>
      <c r="H3339" s="140" t="s">
        <v>1051</v>
      </c>
      <c r="I3339" s="57"/>
      <c r="J3339" s="165">
        <f t="shared" si="297"/>
        <v>18.867924528301888</v>
      </c>
      <c r="K3339" s="57">
        <v>106</v>
      </c>
      <c r="L3339" s="164">
        <v>2000</v>
      </c>
    </row>
    <row r="3340" spans="2:12" x14ac:dyDescent="0.3">
      <c r="B3340" s="57">
        <f t="shared" si="296"/>
        <v>3337</v>
      </c>
      <c r="C3340" s="142">
        <v>46239</v>
      </c>
      <c r="D3340" s="57" t="s">
        <v>968</v>
      </c>
      <c r="E3340" s="57" t="s">
        <v>532</v>
      </c>
      <c r="F3340" s="57" t="s">
        <v>446</v>
      </c>
      <c r="G3340" s="57" t="s">
        <v>359</v>
      </c>
      <c r="H3340" s="140" t="s">
        <v>3478</v>
      </c>
      <c r="I3340" s="57" t="s">
        <v>532</v>
      </c>
      <c r="J3340" s="57">
        <v>10</v>
      </c>
      <c r="K3340" s="167">
        <f>L3340/J3340</f>
        <v>265</v>
      </c>
      <c r="L3340" s="164">
        <v>2650</v>
      </c>
    </row>
    <row r="3341" spans="2:12" x14ac:dyDescent="0.3">
      <c r="B3341" s="57">
        <f t="shared" si="296"/>
        <v>3338</v>
      </c>
      <c r="C3341" s="142">
        <v>46239</v>
      </c>
      <c r="D3341" s="57" t="s">
        <v>968</v>
      </c>
      <c r="E3341" s="57" t="s">
        <v>574</v>
      </c>
      <c r="F3341" s="57" t="s">
        <v>350</v>
      </c>
      <c r="G3341" s="57" t="s">
        <v>3103</v>
      </c>
      <c r="H3341" s="140" t="s">
        <v>3522</v>
      </c>
      <c r="I3341" s="140" t="s">
        <v>4081</v>
      </c>
      <c r="J3341" s="57">
        <v>1.38</v>
      </c>
      <c r="K3341" s="168">
        <f>L3341/J3341</f>
        <v>652.17391304347836</v>
      </c>
      <c r="L3341" s="164">
        <v>900</v>
      </c>
    </row>
    <row r="3342" spans="2:12" x14ac:dyDescent="0.3">
      <c r="B3342" s="57">
        <f t="shared" si="296"/>
        <v>3339</v>
      </c>
      <c r="C3342" s="142">
        <v>46239</v>
      </c>
      <c r="D3342" s="57" t="s">
        <v>968</v>
      </c>
      <c r="E3342" s="57" t="s">
        <v>532</v>
      </c>
      <c r="F3342" s="57" t="s">
        <v>300</v>
      </c>
      <c r="G3342" s="57" t="s">
        <v>616</v>
      </c>
      <c r="H3342" s="140" t="s">
        <v>3530</v>
      </c>
      <c r="I3342" s="57" t="s">
        <v>532</v>
      </c>
      <c r="J3342" s="57">
        <v>4</v>
      </c>
      <c r="K3342" s="57">
        <v>300</v>
      </c>
      <c r="L3342" s="164">
        <f t="shared" si="290"/>
        <v>1200</v>
      </c>
    </row>
    <row r="3343" spans="2:12" x14ac:dyDescent="0.3">
      <c r="B3343" s="57">
        <f t="shared" si="296"/>
        <v>3340</v>
      </c>
      <c r="C3343" s="142">
        <v>46239</v>
      </c>
      <c r="D3343" s="57" t="s">
        <v>435</v>
      </c>
      <c r="E3343" s="57" t="s">
        <v>2427</v>
      </c>
      <c r="F3343" s="57" t="s">
        <v>446</v>
      </c>
      <c r="G3343" s="57" t="s">
        <v>990</v>
      </c>
      <c r="H3343" s="140" t="s">
        <v>3532</v>
      </c>
      <c r="I3343" s="57" t="s">
        <v>2914</v>
      </c>
      <c r="J3343" s="165">
        <v>1000</v>
      </c>
      <c r="K3343" s="57">
        <v>57.5</v>
      </c>
      <c r="L3343" s="164">
        <v>57500</v>
      </c>
    </row>
    <row r="3344" spans="2:12" x14ac:dyDescent="0.3">
      <c r="B3344" s="57">
        <f t="shared" si="296"/>
        <v>3341</v>
      </c>
      <c r="C3344" s="142">
        <v>46239</v>
      </c>
      <c r="D3344" s="57" t="s">
        <v>435</v>
      </c>
      <c r="E3344" s="57" t="s">
        <v>2427</v>
      </c>
      <c r="F3344" s="57" t="s">
        <v>446</v>
      </c>
      <c r="G3344" s="57" t="s">
        <v>990</v>
      </c>
      <c r="H3344" s="140" t="s">
        <v>3533</v>
      </c>
      <c r="I3344" s="57" t="s">
        <v>3443</v>
      </c>
      <c r="J3344" s="57">
        <v>500</v>
      </c>
      <c r="K3344" s="168">
        <f>L3344/J3344</f>
        <v>57.5</v>
      </c>
      <c r="L3344" s="164">
        <v>28750</v>
      </c>
    </row>
    <row r="3345" spans="2:12" x14ac:dyDescent="0.3">
      <c r="B3345" s="57">
        <f t="shared" si="296"/>
        <v>3342</v>
      </c>
      <c r="C3345" s="142">
        <v>46239</v>
      </c>
      <c r="D3345" s="57" t="s">
        <v>435</v>
      </c>
      <c r="E3345" s="57" t="s">
        <v>2427</v>
      </c>
      <c r="F3345" s="57" t="s">
        <v>446</v>
      </c>
      <c r="G3345" s="57" t="s">
        <v>990</v>
      </c>
      <c r="H3345" s="140" t="s">
        <v>3534</v>
      </c>
      <c r="I3345" s="57" t="s">
        <v>2911</v>
      </c>
      <c r="J3345" s="57">
        <v>1000</v>
      </c>
      <c r="K3345" s="167">
        <f>L3345/J3345</f>
        <v>56</v>
      </c>
      <c r="L3345" s="164">
        <v>56000</v>
      </c>
    </row>
    <row r="3346" spans="2:12" x14ac:dyDescent="0.3">
      <c r="B3346" s="57">
        <f t="shared" si="296"/>
        <v>3343</v>
      </c>
      <c r="C3346" s="142">
        <v>46239</v>
      </c>
      <c r="D3346" s="57" t="s">
        <v>435</v>
      </c>
      <c r="E3346" s="57" t="s">
        <v>4128</v>
      </c>
      <c r="F3346" s="57" t="s">
        <v>446</v>
      </c>
      <c r="G3346" s="57" t="s">
        <v>990</v>
      </c>
      <c r="H3346" s="140" t="s">
        <v>3531</v>
      </c>
      <c r="I3346" s="57"/>
      <c r="J3346" s="57"/>
      <c r="L3346" s="164">
        <v>2250</v>
      </c>
    </row>
    <row r="3347" spans="2:12" x14ac:dyDescent="0.3">
      <c r="B3347" s="57">
        <f t="shared" si="296"/>
        <v>3344</v>
      </c>
      <c r="C3347" s="142">
        <v>46239</v>
      </c>
      <c r="D3347" s="57" t="s">
        <v>968</v>
      </c>
      <c r="E3347" s="57" t="s">
        <v>4128</v>
      </c>
      <c r="F3347" s="57" t="s">
        <v>300</v>
      </c>
      <c r="G3347" s="57" t="s">
        <v>443</v>
      </c>
      <c r="H3347" s="140" t="s">
        <v>3523</v>
      </c>
      <c r="I3347" s="57"/>
      <c r="J3347" s="57"/>
      <c r="L3347" s="164">
        <v>4500</v>
      </c>
    </row>
    <row r="3348" spans="2:12" x14ac:dyDescent="0.3">
      <c r="B3348" s="57">
        <f t="shared" si="296"/>
        <v>3345</v>
      </c>
      <c r="C3348" s="142">
        <v>46239</v>
      </c>
      <c r="D3348" s="57" t="s">
        <v>968</v>
      </c>
      <c r="E3348" s="57" t="s">
        <v>958</v>
      </c>
      <c r="F3348" s="57" t="s">
        <v>446</v>
      </c>
      <c r="G3348" s="57" t="s">
        <v>990</v>
      </c>
      <c r="H3348" s="140" t="s">
        <v>3529</v>
      </c>
      <c r="I3348" s="57"/>
      <c r="J3348" s="57"/>
      <c r="L3348" s="164">
        <v>3000</v>
      </c>
    </row>
    <row r="3349" spans="2:12" x14ac:dyDescent="0.3">
      <c r="B3349" s="57">
        <f t="shared" si="296"/>
        <v>3346</v>
      </c>
      <c r="C3349" s="142">
        <v>46239</v>
      </c>
      <c r="D3349" s="57" t="s">
        <v>968</v>
      </c>
      <c r="E3349" s="57" t="s">
        <v>958</v>
      </c>
      <c r="F3349" s="57" t="s">
        <v>446</v>
      </c>
      <c r="G3349" s="57" t="s">
        <v>990</v>
      </c>
      <c r="H3349" s="140" t="s">
        <v>3524</v>
      </c>
      <c r="I3349" s="57"/>
      <c r="J3349" s="57"/>
      <c r="L3349" s="164">
        <v>4000</v>
      </c>
    </row>
    <row r="3350" spans="2:12" x14ac:dyDescent="0.3">
      <c r="B3350" s="57">
        <f t="shared" si="296"/>
        <v>3347</v>
      </c>
      <c r="C3350" s="142">
        <v>46239</v>
      </c>
      <c r="D3350" s="57" t="s">
        <v>4139</v>
      </c>
      <c r="E3350" s="57" t="s">
        <v>908</v>
      </c>
      <c r="F3350" s="57" t="s">
        <v>261</v>
      </c>
      <c r="H3350" s="140" t="s">
        <v>3535</v>
      </c>
      <c r="I3350" s="57"/>
      <c r="J3350" s="57"/>
      <c r="L3350" s="164">
        <v>47800</v>
      </c>
    </row>
    <row r="3351" spans="2:12" x14ac:dyDescent="0.3">
      <c r="B3351" s="57">
        <f t="shared" si="296"/>
        <v>3348</v>
      </c>
      <c r="C3351" s="142">
        <v>46239</v>
      </c>
      <c r="D3351" s="57" t="s">
        <v>968</v>
      </c>
      <c r="E3351" s="57" t="s">
        <v>522</v>
      </c>
      <c r="F3351" s="57" t="s">
        <v>446</v>
      </c>
      <c r="G3351" s="57" t="s">
        <v>359</v>
      </c>
      <c r="H3351" s="140" t="s">
        <v>3525</v>
      </c>
      <c r="I3351" s="57"/>
      <c r="J3351" s="57"/>
      <c r="L3351" s="164">
        <v>5500</v>
      </c>
    </row>
    <row r="3352" spans="2:12" x14ac:dyDescent="0.3">
      <c r="B3352" s="57">
        <f t="shared" si="296"/>
        <v>3349</v>
      </c>
      <c r="C3352" s="142">
        <v>46239</v>
      </c>
      <c r="D3352" s="57" t="s">
        <v>968</v>
      </c>
      <c r="E3352" s="57" t="s">
        <v>146</v>
      </c>
      <c r="F3352" s="57" t="s">
        <v>350</v>
      </c>
      <c r="G3352" s="57" t="s">
        <v>3103</v>
      </c>
      <c r="H3352" s="140" t="s">
        <v>4106</v>
      </c>
      <c r="I3352" s="57"/>
      <c r="J3352" s="165">
        <f t="shared" ref="J3352:J3353" si="298">L3352/K3352</f>
        <v>18.867924528301888</v>
      </c>
      <c r="K3352" s="57">
        <v>106</v>
      </c>
      <c r="L3352" s="164">
        <v>2000</v>
      </c>
    </row>
    <row r="3353" spans="2:12" x14ac:dyDescent="0.3">
      <c r="B3353" s="57">
        <f t="shared" si="296"/>
        <v>3350</v>
      </c>
      <c r="C3353" s="142">
        <v>46239</v>
      </c>
      <c r="D3353" s="57" t="s">
        <v>968</v>
      </c>
      <c r="E3353" s="57" t="s">
        <v>146</v>
      </c>
      <c r="F3353" s="57" t="s">
        <v>300</v>
      </c>
      <c r="G3353" s="57" t="s">
        <v>616</v>
      </c>
      <c r="H3353" s="140" t="s">
        <v>894</v>
      </c>
      <c r="I3353" s="57"/>
      <c r="J3353" s="165">
        <f t="shared" si="298"/>
        <v>18.867924528301888</v>
      </c>
      <c r="K3353" s="57">
        <v>106</v>
      </c>
      <c r="L3353" s="164">
        <v>2000</v>
      </c>
    </row>
    <row r="3354" spans="2:12" x14ac:dyDescent="0.3">
      <c r="B3354" s="57">
        <f t="shared" si="296"/>
        <v>3351</v>
      </c>
      <c r="C3354" s="142">
        <v>46239</v>
      </c>
      <c r="D3354" s="57" t="s">
        <v>968</v>
      </c>
      <c r="E3354" s="57" t="s">
        <v>4091</v>
      </c>
      <c r="F3354" s="57" t="s">
        <v>300</v>
      </c>
      <c r="G3354" s="57" t="s">
        <v>530</v>
      </c>
      <c r="H3354" s="140" t="s">
        <v>4096</v>
      </c>
      <c r="I3354" s="57"/>
      <c r="J3354" s="57"/>
      <c r="L3354" s="164">
        <v>2000</v>
      </c>
    </row>
    <row r="3355" spans="2:12" x14ac:dyDescent="0.3">
      <c r="B3355" s="57">
        <f t="shared" si="296"/>
        <v>3352</v>
      </c>
      <c r="C3355" s="142">
        <v>46239</v>
      </c>
      <c r="D3355" s="57" t="s">
        <v>968</v>
      </c>
      <c r="E3355" s="57" t="s">
        <v>3021</v>
      </c>
      <c r="F3355" s="57" t="s">
        <v>300</v>
      </c>
      <c r="G3355" s="57" t="s">
        <v>2543</v>
      </c>
      <c r="H3355" s="140" t="s">
        <v>3526</v>
      </c>
      <c r="I3355" s="57" t="s">
        <v>3536</v>
      </c>
      <c r="J3355" s="57"/>
      <c r="L3355" s="164">
        <v>890</v>
      </c>
    </row>
    <row r="3356" spans="2:12" x14ac:dyDescent="0.3">
      <c r="B3356" s="57">
        <f t="shared" si="296"/>
        <v>3353</v>
      </c>
      <c r="C3356" s="142">
        <v>46239</v>
      </c>
      <c r="D3356" s="57" t="s">
        <v>968</v>
      </c>
      <c r="E3356" s="57" t="s">
        <v>574</v>
      </c>
      <c r="F3356" s="57" t="s">
        <v>300</v>
      </c>
      <c r="G3356" s="57" t="s">
        <v>2653</v>
      </c>
      <c r="H3356" s="140" t="s">
        <v>3527</v>
      </c>
      <c r="I3356" s="140" t="s">
        <v>4118</v>
      </c>
      <c r="J3356" s="57">
        <v>5.45</v>
      </c>
      <c r="K3356" s="57">
        <v>750</v>
      </c>
      <c r="L3356" s="164">
        <v>4087</v>
      </c>
    </row>
    <row r="3357" spans="2:12" x14ac:dyDescent="0.3">
      <c r="B3357" s="57">
        <f t="shared" si="296"/>
        <v>3354</v>
      </c>
      <c r="C3357" s="142">
        <v>46239</v>
      </c>
      <c r="D3357" s="57" t="s">
        <v>968</v>
      </c>
      <c r="E3357" s="57" t="s">
        <v>574</v>
      </c>
      <c r="F3357" s="57" t="s">
        <v>300</v>
      </c>
      <c r="G3357" s="57" t="s">
        <v>2653</v>
      </c>
      <c r="H3357" s="140" t="s">
        <v>3527</v>
      </c>
      <c r="I3357" s="140" t="s">
        <v>4118</v>
      </c>
      <c r="J3357" s="57">
        <v>5.27</v>
      </c>
      <c r="K3357" s="57">
        <v>750</v>
      </c>
      <c r="L3357" s="164">
        <v>3952</v>
      </c>
    </row>
    <row r="3358" spans="2:12" x14ac:dyDescent="0.3">
      <c r="B3358" s="57">
        <f t="shared" si="296"/>
        <v>3355</v>
      </c>
      <c r="C3358" s="142">
        <v>46239</v>
      </c>
      <c r="D3358" s="57" t="s">
        <v>968</v>
      </c>
      <c r="E3358" s="57" t="s">
        <v>522</v>
      </c>
      <c r="F3358" s="57" t="s">
        <v>2332</v>
      </c>
      <c r="H3358" s="140" t="s">
        <v>3528</v>
      </c>
      <c r="I3358" s="57"/>
      <c r="J3358" s="57"/>
      <c r="L3358" s="164">
        <v>200</v>
      </c>
    </row>
    <row r="3359" spans="2:12" x14ac:dyDescent="0.3">
      <c r="B3359" s="57">
        <f t="shared" si="296"/>
        <v>3356</v>
      </c>
      <c r="C3359" s="142">
        <v>46239</v>
      </c>
      <c r="D3359" s="57" t="s">
        <v>968</v>
      </c>
      <c r="E3359" s="57" t="s">
        <v>434</v>
      </c>
      <c r="F3359" s="57" t="s">
        <v>300</v>
      </c>
      <c r="G3359" s="57" t="s">
        <v>530</v>
      </c>
      <c r="H3359" s="140" t="s">
        <v>3537</v>
      </c>
      <c r="I3359" s="57"/>
      <c r="J3359" s="57"/>
      <c r="L3359" s="164">
        <v>35235</v>
      </c>
    </row>
    <row r="3360" spans="2:12" x14ac:dyDescent="0.3">
      <c r="B3360" s="57">
        <f t="shared" si="296"/>
        <v>3357</v>
      </c>
      <c r="C3360" s="142">
        <v>46240</v>
      </c>
      <c r="D3360" s="57" t="s">
        <v>968</v>
      </c>
      <c r="E3360" s="57" t="s">
        <v>146</v>
      </c>
      <c r="F3360" s="57" t="s">
        <v>2332</v>
      </c>
      <c r="G3360" s="57" t="s">
        <v>1004</v>
      </c>
      <c r="H3360" s="140" t="s">
        <v>3538</v>
      </c>
      <c r="I3360" s="57"/>
      <c r="J3360" s="165">
        <f t="shared" ref="J3360:J3364" si="299">L3360/K3360</f>
        <v>1.8867924528301887</v>
      </c>
      <c r="K3360" s="57">
        <v>106</v>
      </c>
      <c r="L3360" s="164">
        <v>200</v>
      </c>
    </row>
    <row r="3361" spans="2:12" x14ac:dyDescent="0.3">
      <c r="B3361" s="57">
        <f t="shared" si="296"/>
        <v>3358</v>
      </c>
      <c r="C3361" s="142">
        <v>46240</v>
      </c>
      <c r="D3361" s="57" t="s">
        <v>968</v>
      </c>
      <c r="E3361" s="57" t="s">
        <v>146</v>
      </c>
      <c r="F3361" s="57" t="s">
        <v>446</v>
      </c>
      <c r="G3361" s="57" t="s">
        <v>990</v>
      </c>
      <c r="H3361" s="140" t="s">
        <v>4089</v>
      </c>
      <c r="I3361" s="57"/>
      <c r="J3361" s="165">
        <f t="shared" si="299"/>
        <v>18.867924528301888</v>
      </c>
      <c r="K3361" s="57">
        <v>106</v>
      </c>
      <c r="L3361" s="164">
        <v>2000</v>
      </c>
    </row>
    <row r="3362" spans="2:12" x14ac:dyDescent="0.3">
      <c r="B3362" s="57">
        <f t="shared" si="296"/>
        <v>3359</v>
      </c>
      <c r="C3362" s="142">
        <v>46240</v>
      </c>
      <c r="D3362" s="57" t="s">
        <v>968</v>
      </c>
      <c r="E3362" s="57" t="s">
        <v>146</v>
      </c>
      <c r="F3362" s="57" t="s">
        <v>446</v>
      </c>
      <c r="G3362" s="57" t="s">
        <v>990</v>
      </c>
      <c r="H3362" s="140" t="s">
        <v>4089</v>
      </c>
      <c r="I3362" s="57"/>
      <c r="J3362" s="165">
        <f t="shared" si="299"/>
        <v>18.867924528301888</v>
      </c>
      <c r="K3362" s="57">
        <v>106</v>
      </c>
      <c r="L3362" s="164">
        <v>2000</v>
      </c>
    </row>
    <row r="3363" spans="2:12" x14ac:dyDescent="0.3">
      <c r="B3363" s="57">
        <f t="shared" si="296"/>
        <v>3360</v>
      </c>
      <c r="C3363" s="142">
        <v>46240</v>
      </c>
      <c r="D3363" s="57" t="s">
        <v>968</v>
      </c>
      <c r="E3363" s="57" t="s">
        <v>146</v>
      </c>
      <c r="F3363" s="57" t="s">
        <v>300</v>
      </c>
      <c r="G3363" s="57" t="s">
        <v>303</v>
      </c>
      <c r="H3363" s="140" t="s">
        <v>4116</v>
      </c>
      <c r="I3363" s="57"/>
      <c r="J3363" s="165">
        <f t="shared" si="299"/>
        <v>34.622641509433961</v>
      </c>
      <c r="K3363" s="57">
        <v>106</v>
      </c>
      <c r="L3363" s="164">
        <v>3670</v>
      </c>
    </row>
    <row r="3364" spans="2:12" x14ac:dyDescent="0.3">
      <c r="B3364" s="57">
        <f t="shared" si="296"/>
        <v>3361</v>
      </c>
      <c r="C3364" s="142">
        <v>46240</v>
      </c>
      <c r="D3364" s="57" t="s">
        <v>968</v>
      </c>
      <c r="E3364" s="57" t="s">
        <v>146</v>
      </c>
      <c r="F3364" s="57" t="s">
        <v>546</v>
      </c>
      <c r="G3364" s="57" t="s">
        <v>545</v>
      </c>
      <c r="H3364" s="140" t="s">
        <v>4098</v>
      </c>
      <c r="I3364" s="57"/>
      <c r="J3364" s="165">
        <f t="shared" si="299"/>
        <v>18.867924528301888</v>
      </c>
      <c r="K3364" s="57">
        <v>106</v>
      </c>
      <c r="L3364" s="164">
        <v>2000</v>
      </c>
    </row>
    <row r="3365" spans="2:12" x14ac:dyDescent="0.3">
      <c r="B3365" s="57">
        <f t="shared" si="296"/>
        <v>3362</v>
      </c>
      <c r="C3365" s="142">
        <v>46240</v>
      </c>
      <c r="D3365" s="57" t="s">
        <v>968</v>
      </c>
      <c r="E3365" s="57" t="s">
        <v>434</v>
      </c>
      <c r="F3365" s="57" t="s">
        <v>446</v>
      </c>
      <c r="G3365" s="57" t="s">
        <v>359</v>
      </c>
      <c r="H3365" s="140" t="s">
        <v>3540</v>
      </c>
      <c r="I3365" s="57" t="s">
        <v>460</v>
      </c>
      <c r="J3365" s="57"/>
      <c r="L3365" s="164">
        <v>200</v>
      </c>
    </row>
    <row r="3366" spans="2:12" x14ac:dyDescent="0.3">
      <c r="B3366" s="57">
        <f t="shared" si="296"/>
        <v>3363</v>
      </c>
      <c r="C3366" s="142">
        <v>46240</v>
      </c>
      <c r="D3366" s="57" t="s">
        <v>968</v>
      </c>
      <c r="E3366" s="57" t="s">
        <v>986</v>
      </c>
      <c r="F3366" s="57" t="s">
        <v>446</v>
      </c>
      <c r="G3366" s="57" t="s">
        <v>359</v>
      </c>
      <c r="H3366" s="140" t="s">
        <v>3539</v>
      </c>
      <c r="I3366" s="57" t="s">
        <v>986</v>
      </c>
      <c r="J3366" s="57">
        <v>2</v>
      </c>
      <c r="L3366" s="164">
        <v>200</v>
      </c>
    </row>
    <row r="3367" spans="2:12" x14ac:dyDescent="0.3">
      <c r="B3367" s="57">
        <f t="shared" si="296"/>
        <v>3364</v>
      </c>
      <c r="C3367" s="142">
        <v>46240</v>
      </c>
      <c r="D3367" s="57" t="s">
        <v>968</v>
      </c>
      <c r="E3367" s="57" t="s">
        <v>146</v>
      </c>
      <c r="F3367" s="57" t="s">
        <v>2332</v>
      </c>
      <c r="G3367" s="57" t="s">
        <v>1004</v>
      </c>
      <c r="H3367" s="140" t="s">
        <v>3541</v>
      </c>
      <c r="I3367" s="57"/>
      <c r="J3367" s="165">
        <f>L3367/K3367</f>
        <v>12.264150943396226</v>
      </c>
      <c r="K3367" s="57">
        <v>106</v>
      </c>
      <c r="L3367" s="164">
        <v>1300</v>
      </c>
    </row>
    <row r="3368" spans="2:12" x14ac:dyDescent="0.3">
      <c r="B3368" s="57">
        <f t="shared" si="296"/>
        <v>3365</v>
      </c>
      <c r="C3368" s="142">
        <v>46240</v>
      </c>
      <c r="D3368" s="57" t="s">
        <v>968</v>
      </c>
      <c r="E3368" s="57" t="s">
        <v>2686</v>
      </c>
      <c r="F3368" s="57" t="s">
        <v>300</v>
      </c>
      <c r="G3368" s="57" t="s">
        <v>530</v>
      </c>
      <c r="H3368" s="140" t="s">
        <v>3548</v>
      </c>
      <c r="I3368" s="57"/>
      <c r="J3368" s="57"/>
      <c r="L3368" s="164">
        <v>1500</v>
      </c>
    </row>
    <row r="3369" spans="2:12" x14ac:dyDescent="0.3">
      <c r="B3369" s="57">
        <f t="shared" si="296"/>
        <v>3366</v>
      </c>
      <c r="C3369" s="142">
        <v>46240</v>
      </c>
      <c r="D3369" s="57" t="s">
        <v>968</v>
      </c>
      <c r="E3369" s="57" t="s">
        <v>434</v>
      </c>
      <c r="F3369" s="57" t="s">
        <v>2332</v>
      </c>
      <c r="G3369" s="57" t="s">
        <v>1004</v>
      </c>
      <c r="H3369" s="140" t="s">
        <v>3545</v>
      </c>
      <c r="I3369" s="57"/>
      <c r="J3369" s="57"/>
      <c r="L3369" s="164">
        <v>150</v>
      </c>
    </row>
    <row r="3370" spans="2:12" x14ac:dyDescent="0.3">
      <c r="B3370" s="57">
        <f t="shared" si="296"/>
        <v>3367</v>
      </c>
      <c r="C3370" s="142">
        <v>46240</v>
      </c>
      <c r="D3370" s="57" t="s">
        <v>968</v>
      </c>
      <c r="E3370" s="57" t="s">
        <v>532</v>
      </c>
      <c r="F3370" s="57" t="s">
        <v>300</v>
      </c>
      <c r="G3370" s="57" t="s">
        <v>530</v>
      </c>
      <c r="H3370" s="140" t="s">
        <v>3542</v>
      </c>
      <c r="I3370" s="57" t="s">
        <v>532</v>
      </c>
      <c r="J3370" s="57">
        <v>100</v>
      </c>
      <c r="K3370" s="57">
        <v>260</v>
      </c>
      <c r="L3370" s="164">
        <f t="shared" ref="L3370:L3392" si="300">J3370*K3370</f>
        <v>26000</v>
      </c>
    </row>
    <row r="3371" spans="2:12" x14ac:dyDescent="0.3">
      <c r="B3371" s="57">
        <f t="shared" si="296"/>
        <v>3368</v>
      </c>
      <c r="C3371" s="142">
        <v>46240</v>
      </c>
      <c r="D3371" s="57" t="s">
        <v>968</v>
      </c>
      <c r="E3371" s="57" t="s">
        <v>434</v>
      </c>
      <c r="F3371" s="57" t="s">
        <v>350</v>
      </c>
      <c r="G3371" s="57" t="s">
        <v>675</v>
      </c>
      <c r="H3371" s="140" t="s">
        <v>3546</v>
      </c>
      <c r="I3371" s="57"/>
      <c r="J3371" s="57"/>
      <c r="L3371" s="164">
        <v>5500</v>
      </c>
    </row>
    <row r="3372" spans="2:12" x14ac:dyDescent="0.3">
      <c r="B3372" s="57">
        <f t="shared" si="296"/>
        <v>3369</v>
      </c>
      <c r="C3372" s="142">
        <v>46240</v>
      </c>
      <c r="D3372" s="57" t="s">
        <v>968</v>
      </c>
      <c r="E3372" s="57" t="s">
        <v>532</v>
      </c>
      <c r="F3372" s="57" t="s">
        <v>446</v>
      </c>
      <c r="G3372" s="57" t="s">
        <v>990</v>
      </c>
      <c r="H3372" s="140" t="s">
        <v>3543</v>
      </c>
      <c r="I3372" s="57" t="s">
        <v>532</v>
      </c>
      <c r="J3372" s="57">
        <v>35</v>
      </c>
      <c r="L3372" s="164">
        <v>9310</v>
      </c>
    </row>
    <row r="3373" spans="2:12" x14ac:dyDescent="0.3">
      <c r="B3373" s="57">
        <f t="shared" si="296"/>
        <v>3370</v>
      </c>
      <c r="C3373" s="142">
        <v>46240</v>
      </c>
      <c r="D3373" s="57" t="s">
        <v>968</v>
      </c>
      <c r="E3373" s="57" t="s">
        <v>3021</v>
      </c>
      <c r="F3373" s="57" t="s">
        <v>502</v>
      </c>
      <c r="G3373" s="57" t="s">
        <v>2344</v>
      </c>
      <c r="H3373" s="140" t="s">
        <v>3544</v>
      </c>
      <c r="I3373" s="57"/>
      <c r="J3373" s="57"/>
      <c r="L3373" s="164">
        <v>1300</v>
      </c>
    </row>
    <row r="3374" spans="2:12" x14ac:dyDescent="0.3">
      <c r="B3374" s="57">
        <f t="shared" si="296"/>
        <v>3371</v>
      </c>
      <c r="C3374" s="142">
        <v>46240</v>
      </c>
      <c r="D3374" s="57" t="s">
        <v>968</v>
      </c>
      <c r="E3374" s="57" t="s">
        <v>146</v>
      </c>
      <c r="F3374" s="57" t="s">
        <v>300</v>
      </c>
      <c r="G3374" s="57" t="s">
        <v>443</v>
      </c>
      <c r="H3374" s="140" t="s">
        <v>4088</v>
      </c>
      <c r="I3374" s="57"/>
      <c r="J3374" s="165">
        <f t="shared" ref="J3374:J3376" si="301">L3374/K3374</f>
        <v>9.433962264150944</v>
      </c>
      <c r="K3374" s="57">
        <v>106</v>
      </c>
      <c r="L3374" s="164">
        <v>1000</v>
      </c>
    </row>
    <row r="3375" spans="2:12" x14ac:dyDescent="0.3">
      <c r="B3375" s="57">
        <f t="shared" si="296"/>
        <v>3372</v>
      </c>
      <c r="C3375" s="142">
        <v>46240</v>
      </c>
      <c r="D3375" s="57" t="s">
        <v>968</v>
      </c>
      <c r="E3375" s="57" t="s">
        <v>146</v>
      </c>
      <c r="F3375" s="57" t="s">
        <v>300</v>
      </c>
      <c r="G3375" s="57" t="s">
        <v>530</v>
      </c>
      <c r="H3375" s="140" t="s">
        <v>4092</v>
      </c>
      <c r="I3375" s="57"/>
      <c r="J3375" s="165">
        <f t="shared" si="301"/>
        <v>66.037735849056602</v>
      </c>
      <c r="K3375" s="57">
        <v>106</v>
      </c>
      <c r="L3375" s="164">
        <v>7000</v>
      </c>
    </row>
    <row r="3376" spans="2:12" x14ac:dyDescent="0.3">
      <c r="B3376" s="57">
        <f t="shared" si="296"/>
        <v>3373</v>
      </c>
      <c r="C3376" s="142">
        <v>46240</v>
      </c>
      <c r="D3376" s="57" t="s">
        <v>968</v>
      </c>
      <c r="E3376" s="57" t="s">
        <v>146</v>
      </c>
      <c r="F3376" s="57" t="s">
        <v>350</v>
      </c>
      <c r="G3376" s="57" t="s">
        <v>675</v>
      </c>
      <c r="H3376" s="140" t="s">
        <v>4102</v>
      </c>
      <c r="I3376" s="57" t="s">
        <v>146</v>
      </c>
      <c r="J3376" s="165">
        <f t="shared" si="301"/>
        <v>18.867924528301888</v>
      </c>
      <c r="K3376" s="57">
        <v>106</v>
      </c>
      <c r="L3376" s="164">
        <v>2000</v>
      </c>
    </row>
    <row r="3377" spans="2:12" x14ac:dyDescent="0.3">
      <c r="B3377" s="57">
        <f t="shared" si="296"/>
        <v>3374</v>
      </c>
      <c r="C3377" s="142">
        <v>46240</v>
      </c>
      <c r="D3377" s="57" t="s">
        <v>968</v>
      </c>
      <c r="E3377" s="57" t="s">
        <v>532</v>
      </c>
      <c r="F3377" s="57" t="s">
        <v>446</v>
      </c>
      <c r="G3377" s="57" t="s">
        <v>316</v>
      </c>
      <c r="H3377" s="140" t="s">
        <v>3547</v>
      </c>
      <c r="I3377" s="57" t="s">
        <v>532</v>
      </c>
      <c r="J3377" s="57">
        <v>10</v>
      </c>
      <c r="L3377" s="164">
        <v>2750</v>
      </c>
    </row>
    <row r="3378" spans="2:12" x14ac:dyDescent="0.3">
      <c r="B3378" s="57">
        <f t="shared" si="296"/>
        <v>3375</v>
      </c>
      <c r="C3378" s="142">
        <v>46240</v>
      </c>
      <c r="D3378" s="57" t="s">
        <v>968</v>
      </c>
      <c r="E3378" s="57" t="s">
        <v>146</v>
      </c>
      <c r="F3378" s="57" t="s">
        <v>300</v>
      </c>
      <c r="G3378" s="57" t="s">
        <v>530</v>
      </c>
      <c r="H3378" s="140" t="s">
        <v>3549</v>
      </c>
      <c r="I3378" s="57"/>
      <c r="J3378" s="165">
        <f>L3378/K3378</f>
        <v>28.29245283018868</v>
      </c>
      <c r="K3378" s="57">
        <v>106</v>
      </c>
      <c r="L3378" s="164">
        <v>2999</v>
      </c>
    </row>
    <row r="3379" spans="2:12" x14ac:dyDescent="0.3">
      <c r="B3379" s="57">
        <f t="shared" si="296"/>
        <v>3376</v>
      </c>
      <c r="C3379" s="142">
        <v>46240</v>
      </c>
      <c r="D3379" s="57" t="s">
        <v>968</v>
      </c>
      <c r="E3379" s="57" t="s">
        <v>767</v>
      </c>
      <c r="F3379" s="57" t="s">
        <v>300</v>
      </c>
      <c r="G3379" s="57" t="s">
        <v>616</v>
      </c>
      <c r="H3379" s="140" t="s">
        <v>3550</v>
      </c>
      <c r="I3379" s="57"/>
      <c r="J3379" s="57"/>
      <c r="L3379" s="164">
        <v>1000</v>
      </c>
    </row>
    <row r="3380" spans="2:12" x14ac:dyDescent="0.3">
      <c r="B3380" s="57">
        <f t="shared" si="296"/>
        <v>3377</v>
      </c>
      <c r="C3380" s="142">
        <v>46240</v>
      </c>
      <c r="D3380" s="57" t="s">
        <v>968</v>
      </c>
      <c r="E3380" s="57" t="s">
        <v>574</v>
      </c>
      <c r="F3380" s="57" t="s">
        <v>446</v>
      </c>
      <c r="G3380" s="57" t="s">
        <v>990</v>
      </c>
      <c r="H3380" s="140" t="s">
        <v>3551</v>
      </c>
      <c r="I3380" s="140" t="s">
        <v>2635</v>
      </c>
      <c r="J3380" s="57">
        <v>4</v>
      </c>
      <c r="K3380" s="167">
        <f>L3380/J3380</f>
        <v>750</v>
      </c>
      <c r="L3380" s="164">
        <v>3000</v>
      </c>
    </row>
    <row r="3381" spans="2:12" x14ac:dyDescent="0.3">
      <c r="B3381" s="57">
        <f t="shared" si="296"/>
        <v>3378</v>
      </c>
      <c r="C3381" s="142">
        <v>46240</v>
      </c>
      <c r="D3381" s="57" t="s">
        <v>968</v>
      </c>
      <c r="E3381" s="57" t="s">
        <v>3145</v>
      </c>
      <c r="F3381" s="57" t="s">
        <v>502</v>
      </c>
      <c r="G3381" s="57" t="s">
        <v>257</v>
      </c>
      <c r="H3381" s="140" t="s">
        <v>3552</v>
      </c>
      <c r="I3381" s="57"/>
      <c r="J3381" s="57"/>
      <c r="L3381" s="164">
        <v>1320</v>
      </c>
    </row>
    <row r="3382" spans="2:12" x14ac:dyDescent="0.3">
      <c r="B3382" s="57">
        <f t="shared" si="296"/>
        <v>3379</v>
      </c>
      <c r="C3382" s="142">
        <v>46240</v>
      </c>
      <c r="D3382" s="57" t="s">
        <v>968</v>
      </c>
      <c r="E3382" s="57" t="s">
        <v>146</v>
      </c>
      <c r="F3382" s="57" t="s">
        <v>300</v>
      </c>
      <c r="G3382" s="57" t="s">
        <v>709</v>
      </c>
      <c r="H3382" s="140" t="s">
        <v>4109</v>
      </c>
      <c r="I3382" s="57"/>
      <c r="J3382" s="165">
        <f>L3382/K3382</f>
        <v>28.30188679245283</v>
      </c>
      <c r="K3382" s="57">
        <v>106</v>
      </c>
      <c r="L3382" s="164">
        <v>3000</v>
      </c>
    </row>
    <row r="3383" spans="2:12" x14ac:dyDescent="0.3">
      <c r="B3383" s="57">
        <f t="shared" si="296"/>
        <v>3380</v>
      </c>
      <c r="C3383" s="142">
        <v>46240</v>
      </c>
      <c r="D3383" s="57" t="s">
        <v>968</v>
      </c>
      <c r="E3383" s="57" t="s">
        <v>843</v>
      </c>
      <c r="F3383" s="57" t="s">
        <v>300</v>
      </c>
      <c r="G3383" s="57" t="s">
        <v>300</v>
      </c>
      <c r="H3383" s="140" t="s">
        <v>2840</v>
      </c>
      <c r="I3383" s="57"/>
      <c r="J3383" s="57"/>
      <c r="L3383" s="164">
        <v>770</v>
      </c>
    </row>
    <row r="3384" spans="2:12" x14ac:dyDescent="0.3">
      <c r="B3384" s="57">
        <f t="shared" si="296"/>
        <v>3381</v>
      </c>
      <c r="C3384" s="142">
        <v>46240</v>
      </c>
      <c r="D3384" s="57" t="s">
        <v>968</v>
      </c>
      <c r="E3384" s="57" t="s">
        <v>574</v>
      </c>
      <c r="F3384" s="57" t="s">
        <v>300</v>
      </c>
      <c r="G3384" s="57" t="s">
        <v>709</v>
      </c>
      <c r="H3384" s="140" t="s">
        <v>3553</v>
      </c>
      <c r="I3384" s="140" t="s">
        <v>3949</v>
      </c>
      <c r="J3384" s="57">
        <v>4</v>
      </c>
      <c r="K3384" s="167">
        <f>L3384/J3384</f>
        <v>625</v>
      </c>
      <c r="L3384" s="164">
        <v>2500</v>
      </c>
    </row>
    <row r="3385" spans="2:12" x14ac:dyDescent="0.3">
      <c r="B3385" s="57">
        <f t="shared" si="296"/>
        <v>3382</v>
      </c>
      <c r="C3385" s="142">
        <v>46240</v>
      </c>
      <c r="D3385" s="57" t="s">
        <v>968</v>
      </c>
      <c r="E3385" s="57" t="s">
        <v>146</v>
      </c>
      <c r="F3385" s="57" t="s">
        <v>350</v>
      </c>
      <c r="H3385" s="140" t="s">
        <v>3554</v>
      </c>
      <c r="I3385" s="57"/>
      <c r="J3385" s="165">
        <f t="shared" ref="J3385:J3389" si="302">L3385/K3385</f>
        <v>18.867924528301888</v>
      </c>
      <c r="K3385" s="57">
        <v>106</v>
      </c>
      <c r="L3385" s="164">
        <v>2000</v>
      </c>
    </row>
    <row r="3386" spans="2:12" x14ac:dyDescent="0.3">
      <c r="B3386" s="57">
        <f t="shared" si="296"/>
        <v>3383</v>
      </c>
      <c r="C3386" s="142">
        <v>46240</v>
      </c>
      <c r="D3386" s="57" t="s">
        <v>968</v>
      </c>
      <c r="E3386" s="57" t="s">
        <v>146</v>
      </c>
      <c r="F3386" s="57" t="s">
        <v>300</v>
      </c>
      <c r="G3386" s="57" t="s">
        <v>3404</v>
      </c>
      <c r="H3386" s="140" t="s">
        <v>4095</v>
      </c>
      <c r="I3386" s="57"/>
      <c r="J3386" s="165">
        <f t="shared" si="302"/>
        <v>9.433962264150944</v>
      </c>
      <c r="K3386" s="57">
        <v>106</v>
      </c>
      <c r="L3386" s="164">
        <v>1000</v>
      </c>
    </row>
    <row r="3387" spans="2:12" x14ac:dyDescent="0.3">
      <c r="B3387" s="57">
        <f t="shared" si="296"/>
        <v>3384</v>
      </c>
      <c r="C3387" s="142">
        <v>46240</v>
      </c>
      <c r="D3387" s="57" t="s">
        <v>968</v>
      </c>
      <c r="E3387" s="57" t="s">
        <v>146</v>
      </c>
      <c r="F3387" s="57" t="s">
        <v>300</v>
      </c>
      <c r="G3387" s="57" t="s">
        <v>526</v>
      </c>
      <c r="H3387" s="140" t="s">
        <v>3555</v>
      </c>
      <c r="I3387" s="57"/>
      <c r="J3387" s="165">
        <f t="shared" si="302"/>
        <v>14.150943396226415</v>
      </c>
      <c r="K3387" s="57">
        <v>106</v>
      </c>
      <c r="L3387" s="164">
        <v>1500</v>
      </c>
    </row>
    <row r="3388" spans="2:12" x14ac:dyDescent="0.3">
      <c r="B3388" s="57">
        <f t="shared" si="296"/>
        <v>3385</v>
      </c>
      <c r="C3388" s="142">
        <v>46240</v>
      </c>
      <c r="D3388" s="57" t="s">
        <v>968</v>
      </c>
      <c r="E3388" s="57" t="s">
        <v>146</v>
      </c>
      <c r="F3388" s="57" t="s">
        <v>300</v>
      </c>
      <c r="G3388" s="57" t="s">
        <v>526</v>
      </c>
      <c r="H3388" s="140" t="s">
        <v>1051</v>
      </c>
      <c r="I3388" s="57"/>
      <c r="J3388" s="165">
        <f t="shared" si="302"/>
        <v>9.433962264150944</v>
      </c>
      <c r="K3388" s="57">
        <v>106</v>
      </c>
      <c r="L3388" s="164">
        <v>1000</v>
      </c>
    </row>
    <row r="3389" spans="2:12" x14ac:dyDescent="0.3">
      <c r="B3389" s="57">
        <f t="shared" si="296"/>
        <v>3386</v>
      </c>
      <c r="C3389" s="142">
        <v>46240</v>
      </c>
      <c r="D3389" s="57" t="s">
        <v>968</v>
      </c>
      <c r="E3389" s="57" t="s">
        <v>146</v>
      </c>
      <c r="F3389" s="57" t="s">
        <v>350</v>
      </c>
      <c r="G3389" s="57" t="s">
        <v>337</v>
      </c>
      <c r="H3389" s="140" t="s">
        <v>3565</v>
      </c>
      <c r="I3389" s="57"/>
      <c r="J3389" s="165">
        <f t="shared" si="302"/>
        <v>18.867924528301888</v>
      </c>
      <c r="K3389" s="57">
        <v>106</v>
      </c>
      <c r="L3389" s="164">
        <v>2000</v>
      </c>
    </row>
    <row r="3390" spans="2:12" x14ac:dyDescent="0.3">
      <c r="B3390" s="57">
        <f t="shared" si="296"/>
        <v>3387</v>
      </c>
      <c r="C3390" s="142">
        <v>46240</v>
      </c>
      <c r="D3390" s="57" t="s">
        <v>968</v>
      </c>
      <c r="E3390" s="57" t="s">
        <v>574</v>
      </c>
      <c r="F3390" s="57" t="s">
        <v>300</v>
      </c>
      <c r="G3390" s="57" t="s">
        <v>443</v>
      </c>
      <c r="H3390" s="140" t="s">
        <v>3556</v>
      </c>
      <c r="I3390" s="140" t="s">
        <v>2635</v>
      </c>
      <c r="J3390" s="57">
        <v>5.44</v>
      </c>
      <c r="K3390" s="168">
        <f>L3390/J3390</f>
        <v>496.3235294117647</v>
      </c>
      <c r="L3390" s="164">
        <v>2700</v>
      </c>
    </row>
    <row r="3391" spans="2:12" x14ac:dyDescent="0.3">
      <c r="B3391" s="57">
        <f t="shared" si="296"/>
        <v>3388</v>
      </c>
      <c r="C3391" s="142">
        <v>46240</v>
      </c>
      <c r="D3391" s="57" t="s">
        <v>968</v>
      </c>
      <c r="E3391" s="57" t="s">
        <v>574</v>
      </c>
      <c r="F3391" s="57" t="s">
        <v>300</v>
      </c>
      <c r="G3391" s="57" t="s">
        <v>3404</v>
      </c>
      <c r="H3391" s="140" t="s">
        <v>3557</v>
      </c>
      <c r="I3391" s="140" t="s">
        <v>4082</v>
      </c>
      <c r="J3391" s="57">
        <v>5.31</v>
      </c>
      <c r="K3391" s="168">
        <f>L3391/J3391</f>
        <v>499.05838041431264</v>
      </c>
      <c r="L3391" s="164">
        <v>2650</v>
      </c>
    </row>
    <row r="3392" spans="2:12" x14ac:dyDescent="0.3">
      <c r="B3392" s="57">
        <f t="shared" si="296"/>
        <v>3389</v>
      </c>
      <c r="C3392" s="142">
        <v>46240</v>
      </c>
      <c r="D3392" s="57" t="s">
        <v>968</v>
      </c>
      <c r="E3392" s="57" t="s">
        <v>532</v>
      </c>
      <c r="F3392" s="57" t="s">
        <v>2332</v>
      </c>
      <c r="G3392" s="57" t="s">
        <v>1004</v>
      </c>
      <c r="H3392" s="140" t="s">
        <v>3568</v>
      </c>
      <c r="I3392" s="57" t="s">
        <v>532</v>
      </c>
      <c r="J3392" s="57">
        <v>7</v>
      </c>
      <c r="K3392" s="57">
        <v>260</v>
      </c>
      <c r="L3392" s="164">
        <f t="shared" si="300"/>
        <v>1820</v>
      </c>
    </row>
    <row r="3393" spans="2:12" x14ac:dyDescent="0.3">
      <c r="B3393" s="57">
        <f t="shared" si="296"/>
        <v>3390</v>
      </c>
      <c r="C3393" s="142">
        <v>46240</v>
      </c>
      <c r="D3393" s="57" t="s">
        <v>968</v>
      </c>
      <c r="E3393" s="57" t="s">
        <v>434</v>
      </c>
      <c r="F3393" s="57" t="s">
        <v>2332</v>
      </c>
      <c r="G3393" s="57" t="s">
        <v>1004</v>
      </c>
      <c r="H3393" s="140" t="s">
        <v>3567</v>
      </c>
      <c r="I3393" s="57"/>
      <c r="J3393" s="57"/>
      <c r="L3393" s="164">
        <v>60</v>
      </c>
    </row>
    <row r="3394" spans="2:12" x14ac:dyDescent="0.3">
      <c r="B3394" s="57">
        <f t="shared" si="296"/>
        <v>3391</v>
      </c>
      <c r="C3394" s="142">
        <v>46240</v>
      </c>
      <c r="D3394" s="57" t="s">
        <v>968</v>
      </c>
      <c r="E3394" s="57" t="s">
        <v>434</v>
      </c>
      <c r="F3394" s="57" t="s">
        <v>2332</v>
      </c>
      <c r="G3394" s="57" t="s">
        <v>1004</v>
      </c>
      <c r="H3394" s="140" t="s">
        <v>3566</v>
      </c>
      <c r="I3394" s="57"/>
      <c r="J3394" s="57"/>
      <c r="L3394" s="164">
        <v>50</v>
      </c>
    </row>
    <row r="3395" spans="2:12" x14ac:dyDescent="0.3">
      <c r="B3395" s="57">
        <f t="shared" si="296"/>
        <v>3392</v>
      </c>
      <c r="C3395" s="142">
        <v>46240</v>
      </c>
      <c r="D3395" s="57" t="s">
        <v>968</v>
      </c>
      <c r="E3395" s="57" t="s">
        <v>481</v>
      </c>
      <c r="F3395" s="57" t="s">
        <v>300</v>
      </c>
      <c r="G3395" s="57" t="s">
        <v>2517</v>
      </c>
      <c r="H3395" s="140" t="s">
        <v>3558</v>
      </c>
      <c r="I3395" s="57" t="s">
        <v>481</v>
      </c>
      <c r="J3395" s="57">
        <v>25</v>
      </c>
      <c r="L3395" s="164">
        <v>1250</v>
      </c>
    </row>
    <row r="3396" spans="2:12" x14ac:dyDescent="0.3">
      <c r="B3396" s="57">
        <f t="shared" si="296"/>
        <v>3393</v>
      </c>
      <c r="C3396" s="142">
        <v>46240</v>
      </c>
      <c r="D3396" s="57" t="s">
        <v>968</v>
      </c>
      <c r="E3396" s="57" t="s">
        <v>434</v>
      </c>
      <c r="F3396" s="57" t="s">
        <v>502</v>
      </c>
      <c r="G3396" s="57" t="s">
        <v>2344</v>
      </c>
      <c r="H3396" s="140" t="s">
        <v>3559</v>
      </c>
      <c r="I3396" s="57"/>
      <c r="J3396" s="57"/>
      <c r="L3396" s="164">
        <v>13300</v>
      </c>
    </row>
    <row r="3397" spans="2:12" x14ac:dyDescent="0.3">
      <c r="B3397" s="57">
        <f t="shared" si="296"/>
        <v>3394</v>
      </c>
      <c r="C3397" s="142">
        <v>46240</v>
      </c>
      <c r="D3397" s="57" t="s">
        <v>968</v>
      </c>
      <c r="E3397" s="57" t="s">
        <v>574</v>
      </c>
      <c r="F3397" s="57" t="s">
        <v>300</v>
      </c>
      <c r="G3397" s="57" t="s">
        <v>2653</v>
      </c>
      <c r="H3397" s="140" t="s">
        <v>3527</v>
      </c>
      <c r="I3397" s="140" t="s">
        <v>4118</v>
      </c>
      <c r="J3397" s="57">
        <v>5.44</v>
      </c>
      <c r="K3397" s="57">
        <v>750</v>
      </c>
      <c r="L3397" s="164">
        <v>3862</v>
      </c>
    </row>
    <row r="3398" spans="2:12" x14ac:dyDescent="0.3">
      <c r="B3398" s="57">
        <f t="shared" ref="B3398:B3461" si="303">+B3397+1</f>
        <v>3395</v>
      </c>
      <c r="C3398" s="142">
        <v>46240</v>
      </c>
      <c r="D3398" s="57" t="s">
        <v>968</v>
      </c>
      <c r="E3398" s="57" t="s">
        <v>574</v>
      </c>
      <c r="F3398" s="57" t="s">
        <v>300</v>
      </c>
      <c r="G3398" s="57" t="s">
        <v>2653</v>
      </c>
      <c r="H3398" s="140" t="s">
        <v>3527</v>
      </c>
      <c r="I3398" s="140" t="s">
        <v>4118</v>
      </c>
      <c r="J3398" s="57">
        <v>5.49</v>
      </c>
      <c r="K3398" s="57">
        <v>750</v>
      </c>
      <c r="L3398" s="164">
        <v>4177</v>
      </c>
    </row>
    <row r="3399" spans="2:12" x14ac:dyDescent="0.3">
      <c r="B3399" s="57">
        <f t="shared" si="303"/>
        <v>3396</v>
      </c>
      <c r="C3399" s="142">
        <v>46240</v>
      </c>
      <c r="D3399" s="57" t="s">
        <v>968</v>
      </c>
      <c r="E3399" s="57" t="s">
        <v>767</v>
      </c>
      <c r="F3399" s="57" t="s">
        <v>300</v>
      </c>
      <c r="G3399" s="57" t="s">
        <v>498</v>
      </c>
      <c r="H3399" s="140" t="s">
        <v>3560</v>
      </c>
      <c r="I3399" s="57"/>
      <c r="J3399" s="57"/>
      <c r="L3399" s="164">
        <v>450</v>
      </c>
    </row>
    <row r="3400" spans="2:12" x14ac:dyDescent="0.3">
      <c r="B3400" s="57">
        <f t="shared" si="303"/>
        <v>3397</v>
      </c>
      <c r="C3400" s="142">
        <v>46240</v>
      </c>
      <c r="D3400" s="57" t="s">
        <v>968</v>
      </c>
      <c r="E3400" s="57" t="s">
        <v>146</v>
      </c>
      <c r="F3400" s="57" t="s">
        <v>436</v>
      </c>
      <c r="G3400" s="57" t="s">
        <v>987</v>
      </c>
      <c r="H3400" s="140" t="s">
        <v>3561</v>
      </c>
      <c r="I3400" s="57"/>
      <c r="J3400" s="165">
        <f>L3400/K3400</f>
        <v>18.867924528301888</v>
      </c>
      <c r="K3400" s="57">
        <v>106</v>
      </c>
      <c r="L3400" s="164">
        <v>2000</v>
      </c>
    </row>
    <row r="3401" spans="2:12" x14ac:dyDescent="0.3">
      <c r="B3401" s="57">
        <f t="shared" si="303"/>
        <v>3398</v>
      </c>
      <c r="C3401" s="142">
        <v>46240</v>
      </c>
      <c r="D3401" s="57" t="s">
        <v>968</v>
      </c>
      <c r="E3401" s="57" t="s">
        <v>434</v>
      </c>
      <c r="F3401" s="57" t="s">
        <v>300</v>
      </c>
      <c r="G3401" s="57" t="s">
        <v>2517</v>
      </c>
      <c r="H3401" s="140" t="s">
        <v>3562</v>
      </c>
      <c r="I3401" s="57"/>
      <c r="J3401" s="57"/>
      <c r="L3401" s="164">
        <v>4500</v>
      </c>
    </row>
    <row r="3402" spans="2:12" x14ac:dyDescent="0.3">
      <c r="B3402" s="57">
        <f t="shared" si="303"/>
        <v>3399</v>
      </c>
      <c r="C3402" s="142">
        <v>46240</v>
      </c>
      <c r="D3402" s="57" t="s">
        <v>968</v>
      </c>
      <c r="E3402" s="57" t="s">
        <v>767</v>
      </c>
      <c r="F3402" s="57" t="s">
        <v>261</v>
      </c>
      <c r="H3402" s="140" t="s">
        <v>3563</v>
      </c>
      <c r="I3402" s="57"/>
      <c r="J3402" s="57"/>
      <c r="L3402" s="164">
        <v>1000</v>
      </c>
    </row>
    <row r="3403" spans="2:12" x14ac:dyDescent="0.3">
      <c r="B3403" s="57">
        <f t="shared" si="303"/>
        <v>3400</v>
      </c>
      <c r="C3403" s="142">
        <v>46240</v>
      </c>
      <c r="D3403" s="57" t="s">
        <v>968</v>
      </c>
      <c r="E3403" s="57" t="s">
        <v>522</v>
      </c>
      <c r="F3403" s="57" t="s">
        <v>502</v>
      </c>
      <c r="G3403" s="57" t="s">
        <v>2344</v>
      </c>
      <c r="H3403" s="140" t="s">
        <v>3564</v>
      </c>
      <c r="I3403" s="57"/>
      <c r="J3403" s="57"/>
      <c r="L3403" s="164">
        <v>1100</v>
      </c>
    </row>
    <row r="3404" spans="2:12" x14ac:dyDescent="0.3">
      <c r="B3404" s="57">
        <f t="shared" si="303"/>
        <v>3401</v>
      </c>
      <c r="C3404" s="142">
        <v>46240</v>
      </c>
      <c r="D3404" s="57" t="s">
        <v>968</v>
      </c>
      <c r="E3404" s="57" t="s">
        <v>146</v>
      </c>
      <c r="F3404" s="57" t="s">
        <v>546</v>
      </c>
      <c r="G3404" s="57" t="s">
        <v>545</v>
      </c>
      <c r="H3404" s="140" t="s">
        <v>4114</v>
      </c>
      <c r="I3404" s="57" t="s">
        <v>146</v>
      </c>
      <c r="J3404" s="165">
        <f t="shared" ref="J3404:J3410" si="304">L3404/K3404</f>
        <v>1.8867924528301887</v>
      </c>
      <c r="K3404" s="57">
        <v>106</v>
      </c>
      <c r="L3404" s="164">
        <v>200</v>
      </c>
    </row>
    <row r="3405" spans="2:12" x14ac:dyDescent="0.3">
      <c r="B3405" s="57">
        <f t="shared" si="303"/>
        <v>3402</v>
      </c>
      <c r="C3405" s="142">
        <v>46240</v>
      </c>
      <c r="D3405" s="57" t="s">
        <v>968</v>
      </c>
      <c r="E3405" s="57" t="s">
        <v>146</v>
      </c>
      <c r="F3405" s="57" t="s">
        <v>546</v>
      </c>
      <c r="G3405" s="57" t="s">
        <v>545</v>
      </c>
      <c r="H3405" s="140" t="s">
        <v>4114</v>
      </c>
      <c r="I3405" s="57" t="s">
        <v>146</v>
      </c>
      <c r="J3405" s="165">
        <f t="shared" si="304"/>
        <v>18.867924528301888</v>
      </c>
      <c r="K3405" s="57">
        <v>106</v>
      </c>
      <c r="L3405" s="164">
        <v>2000</v>
      </c>
    </row>
    <row r="3406" spans="2:12" x14ac:dyDescent="0.3">
      <c r="B3406" s="57">
        <f t="shared" si="303"/>
        <v>3403</v>
      </c>
      <c r="C3406" s="142">
        <v>46240</v>
      </c>
      <c r="D3406" s="57" t="s">
        <v>968</v>
      </c>
      <c r="E3406" s="57" t="s">
        <v>146</v>
      </c>
      <c r="F3406" s="57" t="s">
        <v>300</v>
      </c>
      <c r="H3406" s="140" t="s">
        <v>4092</v>
      </c>
      <c r="I3406" s="57"/>
      <c r="J3406" s="165">
        <f t="shared" si="304"/>
        <v>143.69811320754718</v>
      </c>
      <c r="K3406" s="57">
        <v>106</v>
      </c>
      <c r="L3406" s="164">
        <v>15232</v>
      </c>
    </row>
    <row r="3407" spans="2:12" x14ac:dyDescent="0.3">
      <c r="B3407" s="57">
        <f t="shared" si="303"/>
        <v>3404</v>
      </c>
      <c r="C3407" s="142">
        <v>46241</v>
      </c>
      <c r="D3407" s="57" t="s">
        <v>968</v>
      </c>
      <c r="E3407" s="57" t="s">
        <v>146</v>
      </c>
      <c r="F3407" s="57" t="s">
        <v>300</v>
      </c>
      <c r="G3407" s="57" t="s">
        <v>443</v>
      </c>
      <c r="H3407" s="140" t="s">
        <v>4095</v>
      </c>
      <c r="I3407" s="57"/>
      <c r="J3407" s="165">
        <f t="shared" si="304"/>
        <v>18.867924528301888</v>
      </c>
      <c r="K3407" s="57">
        <v>106</v>
      </c>
      <c r="L3407" s="164">
        <v>2000</v>
      </c>
    </row>
    <row r="3408" spans="2:12" x14ac:dyDescent="0.3">
      <c r="B3408" s="57">
        <f t="shared" si="303"/>
        <v>3405</v>
      </c>
      <c r="C3408" s="142">
        <v>46241</v>
      </c>
      <c r="D3408" s="57" t="s">
        <v>968</v>
      </c>
      <c r="E3408" s="57" t="s">
        <v>146</v>
      </c>
      <c r="F3408" s="57" t="s">
        <v>502</v>
      </c>
      <c r="G3408" s="57" t="s">
        <v>257</v>
      </c>
      <c r="H3408" s="140" t="s">
        <v>3397</v>
      </c>
      <c r="I3408" s="57"/>
      <c r="J3408" s="165">
        <f t="shared" si="304"/>
        <v>18.867924528301888</v>
      </c>
      <c r="K3408" s="57">
        <v>106</v>
      </c>
      <c r="L3408" s="164">
        <v>2000</v>
      </c>
    </row>
    <row r="3409" spans="2:12" x14ac:dyDescent="0.3">
      <c r="B3409" s="57">
        <f t="shared" si="303"/>
        <v>3406</v>
      </c>
      <c r="C3409" s="142">
        <v>46241</v>
      </c>
      <c r="D3409" s="57" t="s">
        <v>968</v>
      </c>
      <c r="E3409" s="57" t="s">
        <v>146</v>
      </c>
      <c r="F3409" s="57" t="s">
        <v>2332</v>
      </c>
      <c r="G3409" s="57" t="s">
        <v>1004</v>
      </c>
      <c r="H3409" s="140" t="s">
        <v>4094</v>
      </c>
      <c r="I3409" s="57" t="s">
        <v>146</v>
      </c>
      <c r="J3409" s="165">
        <f t="shared" si="304"/>
        <v>18.867924528301888</v>
      </c>
      <c r="K3409" s="57">
        <v>106</v>
      </c>
      <c r="L3409" s="164">
        <v>2000</v>
      </c>
    </row>
    <row r="3410" spans="2:12" x14ac:dyDescent="0.3">
      <c r="B3410" s="57">
        <f t="shared" si="303"/>
        <v>3407</v>
      </c>
      <c r="C3410" s="142">
        <v>46241</v>
      </c>
      <c r="D3410" s="57" t="s">
        <v>968</v>
      </c>
      <c r="E3410" s="57" t="s">
        <v>146</v>
      </c>
      <c r="F3410" s="57" t="s">
        <v>2332</v>
      </c>
      <c r="G3410" s="57" t="s">
        <v>1004</v>
      </c>
      <c r="H3410" s="140" t="s">
        <v>3055</v>
      </c>
      <c r="I3410" s="57"/>
      <c r="J3410" s="165">
        <f t="shared" si="304"/>
        <v>18.867924528301888</v>
      </c>
      <c r="K3410" s="57">
        <v>106</v>
      </c>
      <c r="L3410" s="164">
        <v>2000</v>
      </c>
    </row>
    <row r="3411" spans="2:12" x14ac:dyDescent="0.3">
      <c r="B3411" s="57">
        <f t="shared" si="303"/>
        <v>3408</v>
      </c>
      <c r="C3411" s="142">
        <v>46241</v>
      </c>
      <c r="D3411" s="57" t="s">
        <v>968</v>
      </c>
      <c r="E3411" s="57" t="s">
        <v>532</v>
      </c>
      <c r="F3411" s="57" t="s">
        <v>350</v>
      </c>
      <c r="G3411" s="57" t="s">
        <v>3103</v>
      </c>
      <c r="H3411" s="140" t="s">
        <v>3569</v>
      </c>
      <c r="I3411" s="57" t="s">
        <v>532</v>
      </c>
      <c r="J3411" s="57">
        <v>30</v>
      </c>
      <c r="L3411" s="164">
        <v>8180</v>
      </c>
    </row>
    <row r="3412" spans="2:12" x14ac:dyDescent="0.3">
      <c r="B3412" s="57">
        <f t="shared" si="303"/>
        <v>3409</v>
      </c>
      <c r="C3412" s="142">
        <v>46241</v>
      </c>
      <c r="D3412" s="57" t="s">
        <v>968</v>
      </c>
      <c r="E3412" s="57" t="s">
        <v>3021</v>
      </c>
      <c r="F3412" s="57" t="s">
        <v>350</v>
      </c>
      <c r="G3412" s="57" t="s">
        <v>675</v>
      </c>
      <c r="H3412" s="140" t="s">
        <v>3570</v>
      </c>
      <c r="I3412" s="57"/>
      <c r="J3412" s="57"/>
      <c r="L3412" s="164">
        <v>4800</v>
      </c>
    </row>
    <row r="3413" spans="2:12" x14ac:dyDescent="0.3">
      <c r="B3413" s="57">
        <f t="shared" si="303"/>
        <v>3410</v>
      </c>
      <c r="C3413" s="142">
        <v>46241</v>
      </c>
      <c r="D3413" s="57" t="s">
        <v>968</v>
      </c>
      <c r="E3413" s="57" t="s">
        <v>434</v>
      </c>
      <c r="F3413" s="57" t="s">
        <v>446</v>
      </c>
      <c r="G3413" s="57" t="s">
        <v>990</v>
      </c>
      <c r="H3413" s="140" t="s">
        <v>3571</v>
      </c>
      <c r="I3413" s="57"/>
      <c r="J3413" s="57"/>
      <c r="L3413" s="164">
        <v>560</v>
      </c>
    </row>
    <row r="3414" spans="2:12" x14ac:dyDescent="0.3">
      <c r="B3414" s="57">
        <f t="shared" si="303"/>
        <v>3411</v>
      </c>
      <c r="C3414" s="142">
        <v>46241</v>
      </c>
      <c r="D3414" s="57" t="s">
        <v>968</v>
      </c>
      <c r="E3414" s="57" t="s">
        <v>146</v>
      </c>
      <c r="F3414" s="57" t="s">
        <v>300</v>
      </c>
      <c r="H3414" s="140" t="s">
        <v>3572</v>
      </c>
      <c r="I3414" s="57"/>
      <c r="J3414" s="165">
        <f>L3414/K3414</f>
        <v>18.867924528301888</v>
      </c>
      <c r="K3414" s="57">
        <v>106</v>
      </c>
      <c r="L3414" s="164">
        <v>2000</v>
      </c>
    </row>
    <row r="3415" spans="2:12" x14ac:dyDescent="0.3">
      <c r="B3415" s="57">
        <f t="shared" si="303"/>
        <v>3412</v>
      </c>
      <c r="C3415" s="142">
        <v>46241</v>
      </c>
      <c r="D3415" s="57" t="s">
        <v>968</v>
      </c>
      <c r="E3415" s="57" t="s">
        <v>434</v>
      </c>
      <c r="F3415" s="57" t="s">
        <v>446</v>
      </c>
      <c r="G3415" s="57" t="s">
        <v>990</v>
      </c>
      <c r="H3415" s="140" t="s">
        <v>3573</v>
      </c>
      <c r="I3415" s="57"/>
      <c r="J3415" s="57"/>
      <c r="L3415" s="164">
        <v>520</v>
      </c>
    </row>
    <row r="3416" spans="2:12" x14ac:dyDescent="0.3">
      <c r="B3416" s="57">
        <f t="shared" si="303"/>
        <v>3413</v>
      </c>
      <c r="C3416" s="142">
        <v>46241</v>
      </c>
      <c r="D3416" s="57" t="s">
        <v>968</v>
      </c>
      <c r="E3416" s="57" t="s">
        <v>481</v>
      </c>
      <c r="F3416" s="57" t="s">
        <v>502</v>
      </c>
      <c r="G3416" s="57" t="s">
        <v>2344</v>
      </c>
      <c r="H3416" s="140" t="s">
        <v>3574</v>
      </c>
      <c r="I3416" s="57" t="s">
        <v>481</v>
      </c>
      <c r="J3416" s="57">
        <v>25</v>
      </c>
      <c r="L3416" s="164">
        <v>650</v>
      </c>
    </row>
    <row r="3417" spans="2:12" x14ac:dyDescent="0.3">
      <c r="B3417" s="57">
        <f t="shared" si="303"/>
        <v>3414</v>
      </c>
      <c r="C3417" s="142">
        <v>46241</v>
      </c>
      <c r="D3417" s="57" t="s">
        <v>968</v>
      </c>
      <c r="E3417" s="57" t="s">
        <v>4128</v>
      </c>
      <c r="F3417" s="57" t="s">
        <v>502</v>
      </c>
      <c r="G3417" s="57" t="s">
        <v>2344</v>
      </c>
      <c r="H3417" s="140" t="s">
        <v>3575</v>
      </c>
      <c r="I3417" s="57"/>
      <c r="J3417" s="57"/>
      <c r="L3417" s="164">
        <v>2000</v>
      </c>
    </row>
    <row r="3418" spans="2:12" x14ac:dyDescent="0.3">
      <c r="B3418" s="57">
        <f t="shared" si="303"/>
        <v>3415</v>
      </c>
      <c r="C3418" s="142">
        <v>46241</v>
      </c>
      <c r="D3418" s="57" t="s">
        <v>435</v>
      </c>
      <c r="E3418" s="57" t="s">
        <v>522</v>
      </c>
      <c r="F3418" s="57" t="s">
        <v>621</v>
      </c>
      <c r="G3418" s="57" t="s">
        <v>345</v>
      </c>
      <c r="H3418" s="140" t="s">
        <v>3576</v>
      </c>
      <c r="I3418" s="57"/>
      <c r="J3418" s="57"/>
      <c r="L3418" s="164">
        <v>14500</v>
      </c>
    </row>
    <row r="3419" spans="2:12" x14ac:dyDescent="0.3">
      <c r="B3419" s="57">
        <f t="shared" si="303"/>
        <v>3416</v>
      </c>
      <c r="C3419" s="142">
        <v>46241</v>
      </c>
      <c r="D3419" s="57" t="s">
        <v>968</v>
      </c>
      <c r="E3419" s="57" t="s">
        <v>481</v>
      </c>
      <c r="F3419" s="57" t="s">
        <v>502</v>
      </c>
      <c r="G3419" s="57" t="s">
        <v>257</v>
      </c>
      <c r="H3419" s="140" t="s">
        <v>3577</v>
      </c>
      <c r="I3419" s="57" t="s">
        <v>481</v>
      </c>
      <c r="J3419" s="57">
        <v>40</v>
      </c>
      <c r="L3419" s="164">
        <v>3600</v>
      </c>
    </row>
    <row r="3420" spans="2:12" x14ac:dyDescent="0.3">
      <c r="B3420" s="57">
        <f t="shared" si="303"/>
        <v>3417</v>
      </c>
      <c r="C3420" s="142">
        <v>46241</v>
      </c>
      <c r="D3420" s="57" t="s">
        <v>968</v>
      </c>
      <c r="E3420" s="57" t="s">
        <v>481</v>
      </c>
      <c r="F3420" s="57" t="s">
        <v>502</v>
      </c>
      <c r="G3420" s="57" t="s">
        <v>257</v>
      </c>
      <c r="H3420" s="140" t="s">
        <v>3579</v>
      </c>
      <c r="I3420" s="57" t="s">
        <v>481</v>
      </c>
      <c r="J3420" s="57">
        <v>3</v>
      </c>
      <c r="L3420" s="164">
        <v>2100</v>
      </c>
    </row>
    <row r="3421" spans="2:12" x14ac:dyDescent="0.3">
      <c r="B3421" s="57">
        <f t="shared" si="303"/>
        <v>3418</v>
      </c>
      <c r="C3421" s="142">
        <v>46241</v>
      </c>
      <c r="D3421" s="57" t="s">
        <v>968</v>
      </c>
      <c r="E3421" s="57" t="s">
        <v>481</v>
      </c>
      <c r="F3421" s="57" t="s">
        <v>502</v>
      </c>
      <c r="G3421" s="57" t="s">
        <v>257</v>
      </c>
      <c r="H3421" s="140" t="s">
        <v>3578</v>
      </c>
      <c r="I3421" s="57" t="s">
        <v>3580</v>
      </c>
      <c r="J3421" s="57">
        <v>3</v>
      </c>
      <c r="L3421" s="164">
        <v>300</v>
      </c>
    </row>
    <row r="3422" spans="2:12" x14ac:dyDescent="0.3">
      <c r="B3422" s="57">
        <f t="shared" si="303"/>
        <v>3419</v>
      </c>
      <c r="C3422" s="142">
        <v>46241</v>
      </c>
      <c r="D3422" s="57" t="s">
        <v>968</v>
      </c>
      <c r="E3422" s="57" t="s">
        <v>434</v>
      </c>
      <c r="F3422" s="57" t="s">
        <v>621</v>
      </c>
      <c r="G3422" s="57" t="s">
        <v>345</v>
      </c>
      <c r="H3422" s="140" t="s">
        <v>3581</v>
      </c>
      <c r="I3422" s="57"/>
      <c r="J3422" s="57"/>
      <c r="L3422" s="164">
        <v>11300</v>
      </c>
    </row>
    <row r="3423" spans="2:12" x14ac:dyDescent="0.3">
      <c r="B3423" s="57">
        <f t="shared" si="303"/>
        <v>3420</v>
      </c>
      <c r="C3423" s="142">
        <v>46241</v>
      </c>
      <c r="D3423" s="57" t="s">
        <v>968</v>
      </c>
      <c r="E3423" s="57" t="s">
        <v>146</v>
      </c>
      <c r="F3423" s="57" t="s">
        <v>300</v>
      </c>
      <c r="G3423" s="57" t="s">
        <v>3404</v>
      </c>
      <c r="H3423" s="140" t="s">
        <v>4088</v>
      </c>
      <c r="I3423" s="57"/>
      <c r="J3423" s="165">
        <f>L3423/K3423</f>
        <v>18.867924528301888</v>
      </c>
      <c r="K3423" s="57">
        <v>106</v>
      </c>
      <c r="L3423" s="164">
        <v>2000</v>
      </c>
    </row>
    <row r="3424" spans="2:12" x14ac:dyDescent="0.3">
      <c r="B3424" s="57">
        <f t="shared" si="303"/>
        <v>3421</v>
      </c>
      <c r="C3424" s="142">
        <v>46241</v>
      </c>
      <c r="D3424" s="57" t="s">
        <v>435</v>
      </c>
      <c r="E3424" s="57" t="s">
        <v>2427</v>
      </c>
      <c r="F3424" s="57" t="s">
        <v>350</v>
      </c>
      <c r="G3424" s="57" t="s">
        <v>675</v>
      </c>
      <c r="H3424" s="140" t="s">
        <v>3582</v>
      </c>
      <c r="I3424" s="57" t="s">
        <v>2914</v>
      </c>
      <c r="J3424" s="165">
        <v>1500</v>
      </c>
      <c r="K3424" s="57">
        <v>56.8</v>
      </c>
      <c r="L3424" s="164">
        <f t="shared" ref="L3424:L3477" si="305">J3424*K3424</f>
        <v>85200</v>
      </c>
    </row>
    <row r="3425" spans="2:12" x14ac:dyDescent="0.3">
      <c r="B3425" s="57">
        <f t="shared" si="303"/>
        <v>3422</v>
      </c>
      <c r="C3425" s="142">
        <v>46241</v>
      </c>
      <c r="D3425" s="57" t="s">
        <v>435</v>
      </c>
      <c r="E3425" s="57" t="s">
        <v>4128</v>
      </c>
      <c r="F3425" s="57" t="s">
        <v>350</v>
      </c>
      <c r="G3425" s="57" t="s">
        <v>675</v>
      </c>
      <c r="H3425" s="140" t="s">
        <v>3531</v>
      </c>
      <c r="I3425" s="57" t="s">
        <v>2782</v>
      </c>
      <c r="J3425" s="57"/>
      <c r="L3425" s="164">
        <v>600</v>
      </c>
    </row>
    <row r="3426" spans="2:12" x14ac:dyDescent="0.3">
      <c r="B3426" s="57">
        <f t="shared" si="303"/>
        <v>3423</v>
      </c>
      <c r="C3426" s="142">
        <v>46241</v>
      </c>
      <c r="D3426" s="57" t="s">
        <v>968</v>
      </c>
      <c r="E3426" s="57" t="s">
        <v>146</v>
      </c>
      <c r="F3426" s="57" t="s">
        <v>350</v>
      </c>
      <c r="G3426" s="57" t="s">
        <v>675</v>
      </c>
      <c r="H3426" s="140" t="s">
        <v>3583</v>
      </c>
      <c r="I3426" s="57"/>
      <c r="J3426" s="165">
        <f>L3426/K3426</f>
        <v>18.867924528301888</v>
      </c>
      <c r="K3426" s="57">
        <v>106</v>
      </c>
      <c r="L3426" s="164">
        <v>2000</v>
      </c>
    </row>
    <row r="3427" spans="2:12" x14ac:dyDescent="0.3">
      <c r="B3427" s="57">
        <f t="shared" si="303"/>
        <v>3424</v>
      </c>
      <c r="C3427" s="142">
        <v>46241</v>
      </c>
      <c r="D3427" s="57" t="s">
        <v>968</v>
      </c>
      <c r="E3427" s="57" t="s">
        <v>532</v>
      </c>
      <c r="F3427" s="57" t="s">
        <v>502</v>
      </c>
      <c r="G3427" s="57" t="s">
        <v>2344</v>
      </c>
      <c r="H3427" s="140" t="s">
        <v>3584</v>
      </c>
      <c r="I3427" s="57" t="s">
        <v>532</v>
      </c>
      <c r="J3427" s="57">
        <v>50</v>
      </c>
      <c r="K3427" s="57">
        <v>260</v>
      </c>
      <c r="L3427" s="164">
        <f t="shared" si="305"/>
        <v>13000</v>
      </c>
    </row>
    <row r="3428" spans="2:12" x14ac:dyDescent="0.3">
      <c r="B3428" s="57">
        <f t="shared" si="303"/>
        <v>3425</v>
      </c>
      <c r="C3428" s="142">
        <v>46241</v>
      </c>
      <c r="D3428" s="57" t="s">
        <v>968</v>
      </c>
      <c r="E3428" s="57" t="s">
        <v>4128</v>
      </c>
      <c r="F3428" s="57" t="s">
        <v>502</v>
      </c>
      <c r="G3428" s="57" t="s">
        <v>2344</v>
      </c>
      <c r="H3428" s="140" t="s">
        <v>3531</v>
      </c>
      <c r="I3428" s="57" t="s">
        <v>532</v>
      </c>
      <c r="J3428" s="57"/>
      <c r="L3428" s="164">
        <v>300</v>
      </c>
    </row>
    <row r="3429" spans="2:12" x14ac:dyDescent="0.3">
      <c r="B3429" s="57">
        <f t="shared" si="303"/>
        <v>3426</v>
      </c>
      <c r="C3429" s="142">
        <v>46241</v>
      </c>
      <c r="D3429" s="57" t="s">
        <v>968</v>
      </c>
      <c r="E3429" s="57" t="s">
        <v>434</v>
      </c>
      <c r="F3429" s="57" t="s">
        <v>546</v>
      </c>
      <c r="G3429" s="57" t="s">
        <v>545</v>
      </c>
      <c r="H3429" s="140" t="s">
        <v>3585</v>
      </c>
      <c r="I3429" s="57" t="s">
        <v>3586</v>
      </c>
      <c r="J3429" s="57">
        <v>4</v>
      </c>
      <c r="K3429" s="57">
        <v>700</v>
      </c>
      <c r="L3429" s="164">
        <f t="shared" si="305"/>
        <v>2800</v>
      </c>
    </row>
    <row r="3430" spans="2:12" x14ac:dyDescent="0.3">
      <c r="B3430" s="57">
        <f t="shared" si="303"/>
        <v>3427</v>
      </c>
      <c r="C3430" s="142">
        <v>46241</v>
      </c>
      <c r="D3430" s="57" t="s">
        <v>968</v>
      </c>
      <c r="E3430" s="57" t="s">
        <v>434</v>
      </c>
      <c r="F3430" s="57" t="s">
        <v>546</v>
      </c>
      <c r="G3430" s="57" t="s">
        <v>545</v>
      </c>
      <c r="H3430" s="140" t="s">
        <v>3585</v>
      </c>
      <c r="I3430" s="57" t="s">
        <v>3587</v>
      </c>
      <c r="J3430" s="57">
        <v>5</v>
      </c>
      <c r="K3430" s="57">
        <v>10</v>
      </c>
      <c r="L3430" s="164">
        <f t="shared" si="305"/>
        <v>50</v>
      </c>
    </row>
    <row r="3431" spans="2:12" x14ac:dyDescent="0.3">
      <c r="B3431" s="57">
        <f t="shared" si="303"/>
        <v>3428</v>
      </c>
      <c r="C3431" s="142">
        <v>46241</v>
      </c>
      <c r="D3431" s="57" t="s">
        <v>968</v>
      </c>
      <c r="E3431" s="57" t="s">
        <v>434</v>
      </c>
      <c r="F3431" s="57" t="s">
        <v>546</v>
      </c>
      <c r="G3431" s="57" t="s">
        <v>545</v>
      </c>
      <c r="H3431" s="140" t="s">
        <v>3585</v>
      </c>
      <c r="I3431" s="57" t="s">
        <v>3588</v>
      </c>
      <c r="J3431" s="57">
        <v>30</v>
      </c>
      <c r="K3431" s="57">
        <v>12</v>
      </c>
      <c r="L3431" s="164">
        <f t="shared" si="305"/>
        <v>360</v>
      </c>
    </row>
    <row r="3432" spans="2:12" x14ac:dyDescent="0.3">
      <c r="B3432" s="57">
        <f t="shared" si="303"/>
        <v>3429</v>
      </c>
      <c r="C3432" s="142">
        <v>46241</v>
      </c>
      <c r="D3432" s="57" t="s">
        <v>968</v>
      </c>
      <c r="E3432" s="57" t="s">
        <v>434</v>
      </c>
      <c r="F3432" s="57" t="s">
        <v>546</v>
      </c>
      <c r="G3432" s="57" t="s">
        <v>545</v>
      </c>
      <c r="H3432" s="140" t="s">
        <v>3585</v>
      </c>
      <c r="I3432" s="57" t="s">
        <v>2682</v>
      </c>
      <c r="J3432" s="57">
        <v>2</v>
      </c>
      <c r="K3432" s="57">
        <v>300</v>
      </c>
      <c r="L3432" s="164">
        <f t="shared" si="305"/>
        <v>600</v>
      </c>
    </row>
    <row r="3433" spans="2:12" x14ac:dyDescent="0.3">
      <c r="B3433" s="57">
        <f t="shared" si="303"/>
        <v>3430</v>
      </c>
      <c r="C3433" s="142">
        <v>46241</v>
      </c>
      <c r="D3433" s="57" t="s">
        <v>968</v>
      </c>
      <c r="E3433" s="57" t="s">
        <v>434</v>
      </c>
      <c r="F3433" s="57" t="s">
        <v>546</v>
      </c>
      <c r="G3433" s="57" t="s">
        <v>545</v>
      </c>
      <c r="H3433" s="140" t="s">
        <v>3585</v>
      </c>
      <c r="I3433" s="57" t="s">
        <v>3589</v>
      </c>
      <c r="J3433" s="57">
        <v>4</v>
      </c>
      <c r="K3433" s="57">
        <v>200</v>
      </c>
      <c r="L3433" s="164">
        <f t="shared" si="305"/>
        <v>800</v>
      </c>
    </row>
    <row r="3434" spans="2:12" x14ac:dyDescent="0.3">
      <c r="B3434" s="57">
        <f t="shared" si="303"/>
        <v>3431</v>
      </c>
      <c r="C3434" s="142">
        <v>46241</v>
      </c>
      <c r="D3434" s="57" t="s">
        <v>968</v>
      </c>
      <c r="E3434" s="57" t="s">
        <v>434</v>
      </c>
      <c r="F3434" s="57" t="s">
        <v>546</v>
      </c>
      <c r="G3434" s="57" t="s">
        <v>545</v>
      </c>
      <c r="H3434" s="140" t="s">
        <v>3585</v>
      </c>
      <c r="I3434" s="57" t="s">
        <v>3590</v>
      </c>
      <c r="J3434" s="57">
        <v>4</v>
      </c>
      <c r="K3434" s="57">
        <v>80</v>
      </c>
      <c r="L3434" s="164">
        <f t="shared" si="305"/>
        <v>320</v>
      </c>
    </row>
    <row r="3435" spans="2:12" x14ac:dyDescent="0.3">
      <c r="B3435" s="57">
        <f t="shared" si="303"/>
        <v>3432</v>
      </c>
      <c r="C3435" s="142">
        <v>46241</v>
      </c>
      <c r="D3435" s="57" t="s">
        <v>968</v>
      </c>
      <c r="E3435" s="57" t="s">
        <v>434</v>
      </c>
      <c r="F3435" s="57" t="s">
        <v>546</v>
      </c>
      <c r="G3435" s="57" t="s">
        <v>545</v>
      </c>
      <c r="H3435" s="140" t="s">
        <v>3585</v>
      </c>
      <c r="I3435" s="57" t="s">
        <v>3591</v>
      </c>
      <c r="J3435" s="57">
        <v>2</v>
      </c>
      <c r="K3435" s="57">
        <v>12</v>
      </c>
      <c r="L3435" s="164">
        <f t="shared" si="305"/>
        <v>24</v>
      </c>
    </row>
    <row r="3436" spans="2:12" x14ac:dyDescent="0.3">
      <c r="B3436" s="57">
        <f t="shared" si="303"/>
        <v>3433</v>
      </c>
      <c r="C3436" s="142">
        <v>46241</v>
      </c>
      <c r="D3436" s="57" t="s">
        <v>968</v>
      </c>
      <c r="E3436" s="57" t="s">
        <v>434</v>
      </c>
      <c r="F3436" s="57" t="s">
        <v>546</v>
      </c>
      <c r="G3436" s="57" t="s">
        <v>545</v>
      </c>
      <c r="H3436" s="140" t="s">
        <v>3585</v>
      </c>
      <c r="I3436" s="57" t="s">
        <v>3592</v>
      </c>
      <c r="J3436" s="57">
        <v>2</v>
      </c>
      <c r="K3436" s="57">
        <v>50</v>
      </c>
      <c r="L3436" s="164">
        <f t="shared" si="305"/>
        <v>100</v>
      </c>
    </row>
    <row r="3437" spans="2:12" x14ac:dyDescent="0.3">
      <c r="B3437" s="57">
        <f t="shared" si="303"/>
        <v>3434</v>
      </c>
      <c r="C3437" s="142">
        <v>46241</v>
      </c>
      <c r="D3437" s="57" t="s">
        <v>968</v>
      </c>
      <c r="E3437" s="57" t="s">
        <v>434</v>
      </c>
      <c r="F3437" s="57" t="s">
        <v>546</v>
      </c>
      <c r="G3437" s="57" t="s">
        <v>545</v>
      </c>
      <c r="H3437" s="140" t="s">
        <v>3585</v>
      </c>
      <c r="I3437" s="57" t="s">
        <v>3593</v>
      </c>
      <c r="J3437" s="57">
        <v>4</v>
      </c>
      <c r="K3437" s="57">
        <v>100</v>
      </c>
      <c r="L3437" s="164">
        <f t="shared" si="305"/>
        <v>400</v>
      </c>
    </row>
    <row r="3438" spans="2:12" x14ac:dyDescent="0.3">
      <c r="B3438" s="57">
        <f t="shared" si="303"/>
        <v>3435</v>
      </c>
      <c r="C3438" s="142">
        <v>46241</v>
      </c>
      <c r="D3438" s="57" t="s">
        <v>968</v>
      </c>
      <c r="E3438" s="57" t="s">
        <v>434</v>
      </c>
      <c r="F3438" s="57" t="s">
        <v>546</v>
      </c>
      <c r="G3438" s="57" t="s">
        <v>545</v>
      </c>
      <c r="H3438" s="140" t="s">
        <v>3585</v>
      </c>
      <c r="I3438" s="57" t="s">
        <v>3594</v>
      </c>
      <c r="J3438" s="57">
        <v>4</v>
      </c>
      <c r="K3438" s="57">
        <v>30</v>
      </c>
      <c r="L3438" s="164">
        <f t="shared" si="305"/>
        <v>120</v>
      </c>
    </row>
    <row r="3439" spans="2:12" x14ac:dyDescent="0.3">
      <c r="B3439" s="57">
        <f t="shared" si="303"/>
        <v>3436</v>
      </c>
      <c r="C3439" s="142">
        <v>46241</v>
      </c>
      <c r="D3439" s="57" t="s">
        <v>968</v>
      </c>
      <c r="E3439" s="57" t="s">
        <v>434</v>
      </c>
      <c r="F3439" s="57" t="s">
        <v>546</v>
      </c>
      <c r="G3439" s="57" t="s">
        <v>545</v>
      </c>
      <c r="H3439" s="140" t="s">
        <v>3585</v>
      </c>
      <c r="I3439" s="57" t="s">
        <v>3595</v>
      </c>
      <c r="J3439" s="57">
        <v>6</v>
      </c>
      <c r="K3439" s="57">
        <v>100</v>
      </c>
      <c r="L3439" s="164">
        <f t="shared" si="305"/>
        <v>600</v>
      </c>
    </row>
    <row r="3440" spans="2:12" x14ac:dyDescent="0.3">
      <c r="B3440" s="57">
        <f t="shared" si="303"/>
        <v>3437</v>
      </c>
      <c r="C3440" s="142">
        <v>46241</v>
      </c>
      <c r="D3440" s="57" t="s">
        <v>968</v>
      </c>
      <c r="E3440" s="57" t="s">
        <v>434</v>
      </c>
      <c r="F3440" s="57" t="s">
        <v>546</v>
      </c>
      <c r="G3440" s="57" t="s">
        <v>545</v>
      </c>
      <c r="H3440" s="140" t="s">
        <v>3585</v>
      </c>
      <c r="I3440" s="57" t="s">
        <v>3596</v>
      </c>
      <c r="J3440" s="57">
        <v>1</v>
      </c>
      <c r="K3440" s="57">
        <v>200</v>
      </c>
      <c r="L3440" s="164">
        <f t="shared" si="305"/>
        <v>200</v>
      </c>
    </row>
    <row r="3441" spans="2:12" x14ac:dyDescent="0.3">
      <c r="B3441" s="57">
        <f t="shared" si="303"/>
        <v>3438</v>
      </c>
      <c r="C3441" s="142">
        <v>46241</v>
      </c>
      <c r="D3441" s="57" t="s">
        <v>968</v>
      </c>
      <c r="E3441" s="57" t="s">
        <v>434</v>
      </c>
      <c r="F3441" s="57" t="s">
        <v>546</v>
      </c>
      <c r="G3441" s="57" t="s">
        <v>545</v>
      </c>
      <c r="H3441" s="140" t="s">
        <v>3585</v>
      </c>
      <c r="I3441" s="57" t="s">
        <v>3597</v>
      </c>
      <c r="J3441" s="57">
        <v>4</v>
      </c>
      <c r="K3441" s="57">
        <v>20</v>
      </c>
      <c r="L3441" s="164">
        <f t="shared" si="305"/>
        <v>80</v>
      </c>
    </row>
    <row r="3442" spans="2:12" x14ac:dyDescent="0.3">
      <c r="B3442" s="57">
        <f t="shared" si="303"/>
        <v>3439</v>
      </c>
      <c r="C3442" s="142">
        <v>46241</v>
      </c>
      <c r="D3442" s="57" t="s">
        <v>968</v>
      </c>
      <c r="E3442" s="57" t="s">
        <v>434</v>
      </c>
      <c r="F3442" s="57" t="s">
        <v>350</v>
      </c>
      <c r="H3442" s="140" t="s">
        <v>3598</v>
      </c>
      <c r="I3442" s="57"/>
      <c r="J3442" s="57"/>
      <c r="L3442" s="164">
        <v>600</v>
      </c>
    </row>
    <row r="3443" spans="2:12" x14ac:dyDescent="0.3">
      <c r="B3443" s="57">
        <f t="shared" si="303"/>
        <v>3440</v>
      </c>
      <c r="C3443" s="142">
        <v>46241</v>
      </c>
      <c r="D3443" s="57" t="s">
        <v>968</v>
      </c>
      <c r="E3443" s="57" t="s">
        <v>574</v>
      </c>
      <c r="F3443" s="57" t="s">
        <v>546</v>
      </c>
      <c r="G3443" s="57" t="s">
        <v>3514</v>
      </c>
      <c r="H3443" s="140" t="s">
        <v>3599</v>
      </c>
      <c r="I3443" s="140" t="s">
        <v>2635</v>
      </c>
      <c r="J3443" s="57">
        <v>4.05</v>
      </c>
      <c r="K3443" s="168">
        <f>L3443/J3443</f>
        <v>748.14814814814815</v>
      </c>
      <c r="L3443" s="164">
        <v>3030</v>
      </c>
    </row>
    <row r="3444" spans="2:12" x14ac:dyDescent="0.3">
      <c r="B3444" s="57">
        <f t="shared" si="303"/>
        <v>3441</v>
      </c>
      <c r="C3444" s="142">
        <v>46241</v>
      </c>
      <c r="D3444" s="57" t="s">
        <v>968</v>
      </c>
      <c r="E3444" s="57" t="s">
        <v>3021</v>
      </c>
      <c r="F3444" s="57" t="s">
        <v>546</v>
      </c>
      <c r="G3444" s="57" t="s">
        <v>545</v>
      </c>
      <c r="H3444" s="140" t="s">
        <v>3600</v>
      </c>
      <c r="I3444" s="57"/>
      <c r="J3444" s="57"/>
      <c r="L3444" s="164">
        <v>120</v>
      </c>
    </row>
    <row r="3445" spans="2:12" x14ac:dyDescent="0.3">
      <c r="B3445" s="57">
        <f t="shared" si="303"/>
        <v>3442</v>
      </c>
      <c r="C3445" s="142">
        <v>46241</v>
      </c>
      <c r="D3445" s="57" t="s">
        <v>968</v>
      </c>
      <c r="E3445" s="57" t="s">
        <v>574</v>
      </c>
      <c r="F3445" s="57" t="s">
        <v>546</v>
      </c>
      <c r="G3445" s="57" t="s">
        <v>3514</v>
      </c>
      <c r="H3445" s="140" t="s">
        <v>3601</v>
      </c>
      <c r="I3445" s="140" t="s">
        <v>4081</v>
      </c>
      <c r="J3445" s="57">
        <v>3.72</v>
      </c>
      <c r="K3445" s="168">
        <f>L3445/J3445</f>
        <v>599.46236559139777</v>
      </c>
      <c r="L3445" s="164">
        <v>2230</v>
      </c>
    </row>
    <row r="3446" spans="2:12" x14ac:dyDescent="0.3">
      <c r="B3446" s="57">
        <f t="shared" si="303"/>
        <v>3443</v>
      </c>
      <c r="C3446" s="142">
        <v>46241</v>
      </c>
      <c r="D3446" s="57" t="s">
        <v>968</v>
      </c>
      <c r="E3446" s="57" t="s">
        <v>2029</v>
      </c>
      <c r="F3446" s="57" t="s">
        <v>300</v>
      </c>
      <c r="G3446" s="57" t="s">
        <v>498</v>
      </c>
      <c r="H3446" s="140" t="s">
        <v>4093</v>
      </c>
      <c r="I3446" s="57"/>
      <c r="J3446" s="165">
        <f>L3446/K3446</f>
        <v>53.254716981132077</v>
      </c>
      <c r="K3446" s="57">
        <v>106</v>
      </c>
      <c r="L3446" s="164">
        <v>5645</v>
      </c>
    </row>
    <row r="3447" spans="2:12" x14ac:dyDescent="0.3">
      <c r="B3447" s="57">
        <f t="shared" si="303"/>
        <v>3444</v>
      </c>
      <c r="C3447" s="142">
        <v>46241</v>
      </c>
      <c r="D3447" s="57" t="s">
        <v>968</v>
      </c>
      <c r="E3447" s="57" t="s">
        <v>532</v>
      </c>
      <c r="F3447" s="57" t="s">
        <v>446</v>
      </c>
      <c r="G3447" s="57" t="s">
        <v>359</v>
      </c>
      <c r="H3447" s="140" t="s">
        <v>3602</v>
      </c>
      <c r="I3447" s="57" t="s">
        <v>532</v>
      </c>
      <c r="J3447" s="57">
        <v>10</v>
      </c>
      <c r="K3447" s="57">
        <v>260</v>
      </c>
      <c r="L3447" s="164">
        <f t="shared" si="305"/>
        <v>2600</v>
      </c>
    </row>
    <row r="3448" spans="2:12" x14ac:dyDescent="0.3">
      <c r="B3448" s="57">
        <f t="shared" si="303"/>
        <v>3445</v>
      </c>
      <c r="C3448" s="142">
        <v>46241</v>
      </c>
      <c r="D3448" s="57" t="s">
        <v>968</v>
      </c>
      <c r="E3448" s="57" t="s">
        <v>4128</v>
      </c>
      <c r="F3448" s="57" t="s">
        <v>446</v>
      </c>
      <c r="G3448" s="57" t="s">
        <v>359</v>
      </c>
      <c r="H3448" s="140" t="s">
        <v>3531</v>
      </c>
      <c r="I3448" s="57" t="s">
        <v>532</v>
      </c>
      <c r="J3448" s="57"/>
      <c r="L3448" s="164">
        <v>50</v>
      </c>
    </row>
    <row r="3449" spans="2:12" x14ac:dyDescent="0.3">
      <c r="B3449" s="57">
        <f t="shared" si="303"/>
        <v>3446</v>
      </c>
      <c r="C3449" s="142">
        <v>46241</v>
      </c>
      <c r="D3449" s="57" t="s">
        <v>968</v>
      </c>
      <c r="E3449" s="57" t="s">
        <v>2022</v>
      </c>
      <c r="H3449" s="140" t="s">
        <v>3603</v>
      </c>
      <c r="I3449" s="57"/>
      <c r="J3449" s="57"/>
      <c r="L3449" s="164">
        <v>4700</v>
      </c>
    </row>
    <row r="3450" spans="2:12" x14ac:dyDescent="0.3">
      <c r="B3450" s="57">
        <f t="shared" si="303"/>
        <v>3447</v>
      </c>
      <c r="C3450" s="142">
        <v>46241</v>
      </c>
      <c r="D3450" s="57" t="s">
        <v>435</v>
      </c>
      <c r="E3450" s="57" t="s">
        <v>574</v>
      </c>
      <c r="F3450" s="57" t="s">
        <v>446</v>
      </c>
      <c r="G3450" s="57" t="s">
        <v>359</v>
      </c>
      <c r="H3450" s="140" t="s">
        <v>3608</v>
      </c>
      <c r="I3450" s="140" t="s">
        <v>2635</v>
      </c>
      <c r="J3450" s="57">
        <v>12</v>
      </c>
      <c r="K3450" s="168">
        <f>L3450/J3450</f>
        <v>783.33333333333337</v>
      </c>
      <c r="L3450" s="164">
        <v>9400</v>
      </c>
    </row>
    <row r="3451" spans="2:12" x14ac:dyDescent="0.3">
      <c r="B3451" s="57">
        <f t="shared" si="303"/>
        <v>3448</v>
      </c>
      <c r="C3451" s="142">
        <v>46241</v>
      </c>
      <c r="D3451" s="57" t="s">
        <v>968</v>
      </c>
      <c r="E3451" s="57" t="s">
        <v>434</v>
      </c>
      <c r="F3451" s="57" t="s">
        <v>652</v>
      </c>
      <c r="G3451" s="57" t="s">
        <v>651</v>
      </c>
      <c r="H3451" s="140" t="s">
        <v>3604</v>
      </c>
      <c r="I3451" s="57"/>
      <c r="J3451" s="57"/>
      <c r="L3451" s="164">
        <v>300</v>
      </c>
    </row>
    <row r="3452" spans="2:12" x14ac:dyDescent="0.3">
      <c r="B3452" s="57">
        <f t="shared" si="303"/>
        <v>3449</v>
      </c>
      <c r="C3452" s="142">
        <v>46241</v>
      </c>
      <c r="D3452" s="57" t="s">
        <v>968</v>
      </c>
      <c r="E3452" s="57" t="s">
        <v>767</v>
      </c>
      <c r="F3452" s="57" t="s">
        <v>652</v>
      </c>
      <c r="G3452" s="57" t="s">
        <v>651</v>
      </c>
      <c r="H3452" s="140" t="s">
        <v>3605</v>
      </c>
      <c r="I3452" s="57"/>
      <c r="J3452" s="57"/>
      <c r="L3452" s="164">
        <v>200</v>
      </c>
    </row>
    <row r="3453" spans="2:12" x14ac:dyDescent="0.3">
      <c r="B3453" s="57">
        <f t="shared" si="303"/>
        <v>3450</v>
      </c>
      <c r="C3453" s="142">
        <v>46241</v>
      </c>
      <c r="D3453" s="57" t="s">
        <v>968</v>
      </c>
      <c r="E3453" s="57" t="s">
        <v>767</v>
      </c>
      <c r="F3453" s="57" t="s">
        <v>652</v>
      </c>
      <c r="G3453" s="57" t="s">
        <v>651</v>
      </c>
      <c r="H3453" s="140" t="s">
        <v>3606</v>
      </c>
      <c r="I3453" s="57"/>
      <c r="J3453" s="57"/>
      <c r="L3453" s="164">
        <v>200</v>
      </c>
    </row>
    <row r="3454" spans="2:12" x14ac:dyDescent="0.3">
      <c r="B3454" s="57">
        <f t="shared" si="303"/>
        <v>3451</v>
      </c>
      <c r="C3454" s="142">
        <v>46241</v>
      </c>
      <c r="D3454" s="57" t="s">
        <v>968</v>
      </c>
      <c r="E3454" s="57" t="s">
        <v>2686</v>
      </c>
      <c r="F3454" s="57" t="s">
        <v>652</v>
      </c>
      <c r="G3454" s="57" t="s">
        <v>651</v>
      </c>
      <c r="H3454" s="140" t="s">
        <v>3607</v>
      </c>
      <c r="I3454" s="57"/>
      <c r="J3454" s="57"/>
      <c r="L3454" s="164">
        <v>1900</v>
      </c>
    </row>
    <row r="3455" spans="2:12" x14ac:dyDescent="0.3">
      <c r="B3455" s="57">
        <f t="shared" si="303"/>
        <v>3452</v>
      </c>
      <c r="C3455" s="142">
        <v>46241</v>
      </c>
      <c r="D3455" s="57" t="s">
        <v>968</v>
      </c>
      <c r="E3455" s="57" t="s">
        <v>4128</v>
      </c>
      <c r="F3455" s="57" t="s">
        <v>652</v>
      </c>
      <c r="G3455" s="57" t="s">
        <v>651</v>
      </c>
      <c r="H3455" s="140" t="s">
        <v>3610</v>
      </c>
      <c r="I3455" s="57"/>
      <c r="J3455" s="57"/>
      <c r="L3455" s="164">
        <v>400</v>
      </c>
    </row>
    <row r="3456" spans="2:12" x14ac:dyDescent="0.3">
      <c r="B3456" s="57">
        <f t="shared" si="303"/>
        <v>3453</v>
      </c>
      <c r="C3456" s="142">
        <v>46241</v>
      </c>
      <c r="D3456" s="57" t="s">
        <v>968</v>
      </c>
      <c r="E3456" s="57" t="s">
        <v>4128</v>
      </c>
      <c r="F3456" s="57" t="s">
        <v>652</v>
      </c>
      <c r="G3456" s="57" t="s">
        <v>651</v>
      </c>
      <c r="H3456" s="140" t="s">
        <v>3611</v>
      </c>
      <c r="I3456" s="57"/>
      <c r="J3456" s="57"/>
      <c r="L3456" s="164">
        <v>200</v>
      </c>
    </row>
    <row r="3457" spans="2:12" x14ac:dyDescent="0.3">
      <c r="B3457" s="57">
        <f t="shared" si="303"/>
        <v>3454</v>
      </c>
      <c r="C3457" s="142">
        <v>46241</v>
      </c>
      <c r="D3457" s="57" t="s">
        <v>968</v>
      </c>
      <c r="E3457" s="57" t="s">
        <v>4128</v>
      </c>
      <c r="F3457" s="57" t="s">
        <v>652</v>
      </c>
      <c r="G3457" s="57" t="s">
        <v>651</v>
      </c>
      <c r="H3457" s="140" t="s">
        <v>3612</v>
      </c>
      <c r="I3457" s="57"/>
      <c r="J3457" s="57"/>
      <c r="L3457" s="164">
        <v>1500</v>
      </c>
    </row>
    <row r="3458" spans="2:12" x14ac:dyDescent="0.3">
      <c r="B3458" s="57">
        <f t="shared" si="303"/>
        <v>3455</v>
      </c>
      <c r="C3458" s="142">
        <v>46241</v>
      </c>
      <c r="D3458" s="57" t="s">
        <v>968</v>
      </c>
      <c r="E3458" s="57" t="s">
        <v>574</v>
      </c>
      <c r="F3458" s="57" t="s">
        <v>446</v>
      </c>
      <c r="G3458" s="57" t="s">
        <v>990</v>
      </c>
      <c r="H3458" s="140" t="s">
        <v>3609</v>
      </c>
      <c r="I3458" s="140" t="s">
        <v>4081</v>
      </c>
      <c r="J3458" s="57">
        <v>4</v>
      </c>
      <c r="K3458" s="167">
        <f>L3458/J3458</f>
        <v>650</v>
      </c>
      <c r="L3458" s="164">
        <v>2600</v>
      </c>
    </row>
    <row r="3459" spans="2:12" x14ac:dyDescent="0.3">
      <c r="B3459" s="57">
        <f t="shared" si="303"/>
        <v>3456</v>
      </c>
      <c r="C3459" s="142">
        <v>46241</v>
      </c>
      <c r="D3459" s="57" t="s">
        <v>968</v>
      </c>
      <c r="E3459" s="57" t="s">
        <v>434</v>
      </c>
      <c r="F3459" s="57" t="s">
        <v>300</v>
      </c>
      <c r="G3459" s="57" t="s">
        <v>616</v>
      </c>
      <c r="H3459" s="140" t="s">
        <v>3613</v>
      </c>
      <c r="I3459" s="57"/>
      <c r="J3459" s="57"/>
      <c r="L3459" s="164">
        <v>10500</v>
      </c>
    </row>
    <row r="3460" spans="2:12" x14ac:dyDescent="0.3">
      <c r="B3460" s="57">
        <f t="shared" si="303"/>
        <v>3457</v>
      </c>
      <c r="C3460" s="142">
        <v>46241</v>
      </c>
      <c r="D3460" s="57" t="s">
        <v>968</v>
      </c>
      <c r="E3460" s="57" t="s">
        <v>434</v>
      </c>
      <c r="F3460" s="57" t="s">
        <v>300</v>
      </c>
      <c r="G3460" s="57" t="s">
        <v>300</v>
      </c>
      <c r="H3460" s="140" t="s">
        <v>3614</v>
      </c>
      <c r="I3460" s="57"/>
      <c r="J3460" s="57"/>
      <c r="L3460" s="164">
        <v>2430</v>
      </c>
    </row>
    <row r="3461" spans="2:12" x14ac:dyDescent="0.3">
      <c r="B3461" s="57">
        <f t="shared" si="303"/>
        <v>3458</v>
      </c>
      <c r="C3461" s="142">
        <v>46241</v>
      </c>
      <c r="D3461" s="57" t="s">
        <v>968</v>
      </c>
      <c r="E3461" s="57" t="s">
        <v>434</v>
      </c>
      <c r="F3461" s="57" t="s">
        <v>300</v>
      </c>
      <c r="G3461" s="57" t="s">
        <v>530</v>
      </c>
      <c r="H3461" s="140" t="s">
        <v>3615</v>
      </c>
      <c r="I3461" s="57"/>
      <c r="J3461" s="57"/>
      <c r="L3461" s="164">
        <v>9830</v>
      </c>
    </row>
    <row r="3462" spans="2:12" x14ac:dyDescent="0.3">
      <c r="B3462" s="57">
        <f t="shared" ref="B3462:B3525" si="306">+B3461+1</f>
        <v>3459</v>
      </c>
      <c r="C3462" s="142">
        <v>46241</v>
      </c>
      <c r="D3462" s="57" t="s">
        <v>968</v>
      </c>
      <c r="E3462" s="57" t="s">
        <v>434</v>
      </c>
      <c r="F3462" s="57" t="s">
        <v>300</v>
      </c>
      <c r="G3462" s="57" t="s">
        <v>300</v>
      </c>
      <c r="H3462" s="140" t="s">
        <v>3617</v>
      </c>
      <c r="I3462" s="57"/>
      <c r="J3462" s="57"/>
      <c r="L3462" s="164">
        <v>2740</v>
      </c>
    </row>
    <row r="3463" spans="2:12" x14ac:dyDescent="0.3">
      <c r="B3463" s="57">
        <f t="shared" si="306"/>
        <v>3460</v>
      </c>
      <c r="C3463" s="142">
        <v>46241</v>
      </c>
      <c r="D3463" s="57" t="s">
        <v>968</v>
      </c>
      <c r="E3463" s="57" t="s">
        <v>434</v>
      </c>
      <c r="F3463" s="57" t="s">
        <v>300</v>
      </c>
      <c r="G3463" s="57" t="s">
        <v>2653</v>
      </c>
      <c r="H3463" s="140" t="s">
        <v>3616</v>
      </c>
      <c r="I3463" s="57"/>
      <c r="J3463" s="57"/>
      <c r="L3463" s="164">
        <v>550</v>
      </c>
    </row>
    <row r="3464" spans="2:12" x14ac:dyDescent="0.3">
      <c r="B3464" s="57">
        <f t="shared" si="306"/>
        <v>3461</v>
      </c>
      <c r="C3464" s="142">
        <v>46241</v>
      </c>
      <c r="D3464" s="57" t="s">
        <v>968</v>
      </c>
      <c r="E3464" s="57" t="s">
        <v>4128</v>
      </c>
      <c r="F3464" s="57" t="s">
        <v>300</v>
      </c>
      <c r="G3464" s="57" t="s">
        <v>530</v>
      </c>
      <c r="H3464" s="140" t="s">
        <v>3618</v>
      </c>
      <c r="I3464" s="57"/>
      <c r="J3464" s="57"/>
      <c r="L3464" s="164">
        <v>6850</v>
      </c>
    </row>
    <row r="3465" spans="2:12" x14ac:dyDescent="0.3">
      <c r="B3465" s="57">
        <f t="shared" si="306"/>
        <v>3462</v>
      </c>
      <c r="C3465" s="142">
        <v>46241</v>
      </c>
      <c r="D3465" s="57" t="s">
        <v>435</v>
      </c>
      <c r="E3465" s="57" t="s">
        <v>2427</v>
      </c>
      <c r="F3465" s="57" t="s">
        <v>350</v>
      </c>
      <c r="G3465" s="57" t="s">
        <v>3103</v>
      </c>
      <c r="H3465" s="140" t="s">
        <v>3619</v>
      </c>
      <c r="I3465" s="57" t="s">
        <v>2914</v>
      </c>
      <c r="J3465" s="165">
        <v>252</v>
      </c>
      <c r="K3465" s="57">
        <v>59</v>
      </c>
      <c r="L3465" s="164">
        <f t="shared" si="305"/>
        <v>14868</v>
      </c>
    </row>
    <row r="3466" spans="2:12" x14ac:dyDescent="0.3">
      <c r="B3466" s="57">
        <f t="shared" si="306"/>
        <v>3463</v>
      </c>
      <c r="C3466" s="142">
        <v>46241</v>
      </c>
      <c r="D3466" s="57" t="s">
        <v>435</v>
      </c>
      <c r="E3466" s="57" t="s">
        <v>4128</v>
      </c>
      <c r="F3466" s="57" t="s">
        <v>350</v>
      </c>
      <c r="G3466" s="57" t="s">
        <v>3103</v>
      </c>
      <c r="H3466" s="140" t="s">
        <v>3531</v>
      </c>
      <c r="I3466" s="57" t="s">
        <v>2782</v>
      </c>
      <c r="J3466" s="57"/>
      <c r="L3466" s="164">
        <v>122</v>
      </c>
    </row>
    <row r="3467" spans="2:12" x14ac:dyDescent="0.3">
      <c r="B3467" s="57">
        <f t="shared" si="306"/>
        <v>3464</v>
      </c>
      <c r="C3467" s="142">
        <v>46242</v>
      </c>
      <c r="D3467" s="57" t="s">
        <v>968</v>
      </c>
      <c r="E3467" s="57" t="s">
        <v>146</v>
      </c>
      <c r="F3467" s="57" t="s">
        <v>300</v>
      </c>
      <c r="G3467" s="57" t="s">
        <v>530</v>
      </c>
      <c r="H3467" s="140" t="s">
        <v>4115</v>
      </c>
      <c r="I3467" s="57"/>
      <c r="J3467" s="165">
        <f>L3467/K3467</f>
        <v>18.867924528301888</v>
      </c>
      <c r="K3467" s="57">
        <v>106</v>
      </c>
      <c r="L3467" s="164">
        <v>2000</v>
      </c>
    </row>
    <row r="3468" spans="2:12" x14ac:dyDescent="0.3">
      <c r="B3468" s="57">
        <f t="shared" si="306"/>
        <v>3465</v>
      </c>
      <c r="C3468" s="142">
        <v>46242</v>
      </c>
      <c r="D3468" s="57" t="s">
        <v>968</v>
      </c>
      <c r="E3468" s="57" t="s">
        <v>532</v>
      </c>
      <c r="F3468" s="57" t="s">
        <v>300</v>
      </c>
      <c r="G3468" s="57" t="s">
        <v>3404</v>
      </c>
      <c r="H3468" s="140" t="s">
        <v>3620</v>
      </c>
      <c r="I3468" s="57" t="s">
        <v>532</v>
      </c>
      <c r="J3468" s="57">
        <v>30</v>
      </c>
      <c r="K3468" s="57">
        <v>260</v>
      </c>
      <c r="L3468" s="164">
        <v>7800</v>
      </c>
    </row>
    <row r="3469" spans="2:12" x14ac:dyDescent="0.3">
      <c r="B3469" s="57">
        <f t="shared" si="306"/>
        <v>3466</v>
      </c>
      <c r="C3469" s="142">
        <v>46242</v>
      </c>
      <c r="D3469" s="57" t="s">
        <v>968</v>
      </c>
      <c r="E3469" s="57" t="s">
        <v>146</v>
      </c>
      <c r="F3469" s="57" t="s">
        <v>446</v>
      </c>
      <c r="G3469" s="57" t="s">
        <v>649</v>
      </c>
      <c r="H3469" s="140" t="s">
        <v>879</v>
      </c>
      <c r="I3469" s="57"/>
      <c r="J3469" s="165">
        <f>L3469/K3469</f>
        <v>28.30188679245283</v>
      </c>
      <c r="K3469" s="57">
        <v>106</v>
      </c>
      <c r="L3469" s="164">
        <v>3000</v>
      </c>
    </row>
    <row r="3470" spans="2:12" x14ac:dyDescent="0.3">
      <c r="B3470" s="57">
        <f t="shared" si="306"/>
        <v>3467</v>
      </c>
      <c r="C3470" s="142">
        <v>46242</v>
      </c>
      <c r="D3470" s="57" t="s">
        <v>968</v>
      </c>
      <c r="E3470" s="57" t="s">
        <v>434</v>
      </c>
      <c r="F3470" s="57" t="s">
        <v>300</v>
      </c>
      <c r="G3470" s="57" t="s">
        <v>530</v>
      </c>
      <c r="H3470" s="140" t="s">
        <v>3621</v>
      </c>
      <c r="I3470" s="57" t="s">
        <v>3625</v>
      </c>
      <c r="J3470" s="57">
        <v>3</v>
      </c>
      <c r="K3470" s="57">
        <v>200</v>
      </c>
      <c r="L3470" s="164">
        <f t="shared" si="305"/>
        <v>600</v>
      </c>
    </row>
    <row r="3471" spans="2:12" x14ac:dyDescent="0.3">
      <c r="B3471" s="57">
        <f t="shared" si="306"/>
        <v>3468</v>
      </c>
      <c r="C3471" s="142">
        <v>46242</v>
      </c>
      <c r="D3471" s="57" t="s">
        <v>968</v>
      </c>
      <c r="E3471" s="57" t="s">
        <v>146</v>
      </c>
      <c r="F3471" s="57" t="s">
        <v>300</v>
      </c>
      <c r="G3471" s="57" t="s">
        <v>3404</v>
      </c>
      <c r="H3471" s="140" t="s">
        <v>4095</v>
      </c>
      <c r="I3471" s="57"/>
      <c r="J3471" s="165">
        <f>L3471/K3471</f>
        <v>18.867924528301888</v>
      </c>
      <c r="K3471" s="57">
        <v>106</v>
      </c>
      <c r="L3471" s="164">
        <v>2000</v>
      </c>
    </row>
    <row r="3472" spans="2:12" x14ac:dyDescent="0.3">
      <c r="B3472" s="57">
        <f t="shared" si="306"/>
        <v>3469</v>
      </c>
      <c r="C3472" s="142">
        <v>46242</v>
      </c>
      <c r="D3472" s="57" t="s">
        <v>435</v>
      </c>
      <c r="E3472" s="57" t="s">
        <v>2427</v>
      </c>
      <c r="F3472" s="57" t="s">
        <v>300</v>
      </c>
      <c r="G3472" s="57" t="s">
        <v>530</v>
      </c>
      <c r="H3472" s="140" t="s">
        <v>3626</v>
      </c>
      <c r="I3472" s="57" t="s">
        <v>2427</v>
      </c>
      <c r="J3472" s="57"/>
      <c r="L3472" s="164">
        <v>57900</v>
      </c>
    </row>
    <row r="3473" spans="2:12" x14ac:dyDescent="0.3">
      <c r="B3473" s="57">
        <f t="shared" si="306"/>
        <v>3470</v>
      </c>
      <c r="C3473" s="142">
        <v>46242</v>
      </c>
      <c r="D3473" s="57" t="s">
        <v>968</v>
      </c>
      <c r="E3473" s="57" t="s">
        <v>146</v>
      </c>
      <c r="F3473" s="57" t="s">
        <v>546</v>
      </c>
      <c r="G3473" s="57" t="s">
        <v>545</v>
      </c>
      <c r="H3473" s="140" t="s">
        <v>4098</v>
      </c>
      <c r="I3473" s="57"/>
      <c r="J3473" s="165">
        <f>L3473/K3473</f>
        <v>18.867924528301888</v>
      </c>
      <c r="K3473" s="57">
        <v>106</v>
      </c>
      <c r="L3473" s="164">
        <v>2000</v>
      </c>
    </row>
    <row r="3474" spans="2:12" x14ac:dyDescent="0.3">
      <c r="B3474" s="57">
        <f t="shared" si="306"/>
        <v>3471</v>
      </c>
      <c r="C3474" s="142">
        <v>46242</v>
      </c>
      <c r="D3474" s="57" t="s">
        <v>968</v>
      </c>
      <c r="E3474" s="57" t="s">
        <v>574</v>
      </c>
      <c r="F3474" s="57" t="s">
        <v>2332</v>
      </c>
      <c r="G3474" s="57" t="s">
        <v>1004</v>
      </c>
      <c r="H3474" s="140" t="s">
        <v>3622</v>
      </c>
      <c r="I3474" s="140" t="s">
        <v>4081</v>
      </c>
      <c r="J3474" s="57">
        <v>4.2</v>
      </c>
      <c r="K3474" s="168">
        <f>L3474/J3474</f>
        <v>654.7619047619047</v>
      </c>
      <c r="L3474" s="164">
        <v>2750</v>
      </c>
    </row>
    <row r="3475" spans="2:12" x14ac:dyDescent="0.3">
      <c r="B3475" s="57">
        <f t="shared" si="306"/>
        <v>3472</v>
      </c>
      <c r="C3475" s="142">
        <v>46242</v>
      </c>
      <c r="D3475" s="57" t="s">
        <v>968</v>
      </c>
      <c r="E3475" s="57" t="s">
        <v>2022</v>
      </c>
      <c r="F3475" s="57" t="s">
        <v>446</v>
      </c>
      <c r="G3475" s="57" t="s">
        <v>990</v>
      </c>
      <c r="H3475" s="140" t="s">
        <v>3624</v>
      </c>
      <c r="I3475" s="57"/>
      <c r="J3475" s="57"/>
      <c r="L3475" s="164">
        <v>1500</v>
      </c>
    </row>
    <row r="3476" spans="2:12" x14ac:dyDescent="0.3">
      <c r="B3476" s="57">
        <f t="shared" si="306"/>
        <v>3473</v>
      </c>
      <c r="C3476" s="142">
        <v>46242</v>
      </c>
      <c r="D3476" s="57" t="s">
        <v>968</v>
      </c>
      <c r="E3476" s="57" t="s">
        <v>434</v>
      </c>
      <c r="F3476" s="57" t="s">
        <v>300</v>
      </c>
      <c r="G3476" s="57" t="s">
        <v>2653</v>
      </c>
      <c r="H3476" s="140" t="s">
        <v>3623</v>
      </c>
      <c r="I3476" s="57" t="s">
        <v>3627</v>
      </c>
      <c r="J3476" s="57">
        <v>3</v>
      </c>
      <c r="L3476" s="164">
        <v>210</v>
      </c>
    </row>
    <row r="3477" spans="2:12" x14ac:dyDescent="0.3">
      <c r="B3477" s="57">
        <f t="shared" si="306"/>
        <v>3474</v>
      </c>
      <c r="C3477" s="142">
        <v>46242</v>
      </c>
      <c r="D3477" s="57" t="s">
        <v>968</v>
      </c>
      <c r="E3477" s="57" t="s">
        <v>2427</v>
      </c>
      <c r="F3477" s="57" t="s">
        <v>300</v>
      </c>
      <c r="G3477" s="57" t="s">
        <v>530</v>
      </c>
      <c r="H3477" s="140" t="s">
        <v>3628</v>
      </c>
      <c r="I3477" s="57" t="s">
        <v>3390</v>
      </c>
      <c r="J3477" s="57">
        <v>100</v>
      </c>
      <c r="K3477" s="57">
        <v>140</v>
      </c>
      <c r="L3477" s="164">
        <f t="shared" si="305"/>
        <v>14000</v>
      </c>
    </row>
    <row r="3478" spans="2:12" x14ac:dyDescent="0.3">
      <c r="B3478" s="57">
        <f t="shared" si="306"/>
        <v>3475</v>
      </c>
      <c r="C3478" s="142">
        <v>46242</v>
      </c>
      <c r="D3478" s="57" t="s">
        <v>968</v>
      </c>
      <c r="E3478" s="57" t="s">
        <v>4128</v>
      </c>
      <c r="F3478" s="57" t="s">
        <v>300</v>
      </c>
      <c r="G3478" s="57" t="s">
        <v>530</v>
      </c>
      <c r="H3478" s="140" t="s">
        <v>3531</v>
      </c>
      <c r="I3478" s="57" t="s">
        <v>2782</v>
      </c>
      <c r="J3478" s="57"/>
      <c r="L3478" s="164">
        <v>200</v>
      </c>
    </row>
    <row r="3479" spans="2:12" x14ac:dyDescent="0.3">
      <c r="B3479" s="57">
        <f t="shared" si="306"/>
        <v>3476</v>
      </c>
      <c r="C3479" s="142">
        <v>46242</v>
      </c>
      <c r="D3479" s="57" t="s">
        <v>968</v>
      </c>
      <c r="E3479" s="57" t="s">
        <v>146</v>
      </c>
      <c r="F3479" s="57" t="s">
        <v>502</v>
      </c>
      <c r="G3479" s="57" t="s">
        <v>2344</v>
      </c>
      <c r="H3479" s="140" t="s">
        <v>1826</v>
      </c>
      <c r="I3479" s="57"/>
      <c r="J3479" s="165">
        <f t="shared" ref="J3479:J3483" si="307">L3479/K3479</f>
        <v>18.867924528301888</v>
      </c>
      <c r="K3479" s="57">
        <v>106</v>
      </c>
      <c r="L3479" s="164">
        <v>2000</v>
      </c>
    </row>
    <row r="3480" spans="2:12" x14ac:dyDescent="0.3">
      <c r="B3480" s="57">
        <f t="shared" si="306"/>
        <v>3477</v>
      </c>
      <c r="C3480" s="142">
        <v>46242</v>
      </c>
      <c r="D3480" s="57" t="s">
        <v>968</v>
      </c>
      <c r="E3480" s="57" t="s">
        <v>146</v>
      </c>
      <c r="F3480" s="57" t="s">
        <v>2332</v>
      </c>
      <c r="G3480" s="57" t="s">
        <v>1004</v>
      </c>
      <c r="H3480" s="140" t="s">
        <v>3541</v>
      </c>
      <c r="I3480" s="57"/>
      <c r="J3480" s="165">
        <f t="shared" si="307"/>
        <v>1.8867924528301887</v>
      </c>
      <c r="K3480" s="57">
        <v>106</v>
      </c>
      <c r="L3480" s="164">
        <v>200</v>
      </c>
    </row>
    <row r="3481" spans="2:12" x14ac:dyDescent="0.3">
      <c r="B3481" s="57">
        <f t="shared" si="306"/>
        <v>3478</v>
      </c>
      <c r="C3481" s="142">
        <v>46242</v>
      </c>
      <c r="D3481" s="57" t="s">
        <v>968</v>
      </c>
      <c r="E3481" s="57" t="s">
        <v>146</v>
      </c>
      <c r="F3481" s="57" t="s">
        <v>300</v>
      </c>
      <c r="H3481" s="140" t="s">
        <v>1051</v>
      </c>
      <c r="I3481" s="57"/>
      <c r="J3481" s="165">
        <f t="shared" si="307"/>
        <v>18.867924528301888</v>
      </c>
      <c r="K3481" s="57">
        <v>106</v>
      </c>
      <c r="L3481" s="164">
        <v>2000</v>
      </c>
    </row>
    <row r="3482" spans="2:12" x14ac:dyDescent="0.3">
      <c r="B3482" s="57">
        <f t="shared" si="306"/>
        <v>3479</v>
      </c>
      <c r="C3482" s="142">
        <v>46242</v>
      </c>
      <c r="D3482" s="57" t="s">
        <v>968</v>
      </c>
      <c r="E3482" s="57" t="s">
        <v>146</v>
      </c>
      <c r="F3482" s="57" t="s">
        <v>446</v>
      </c>
      <c r="G3482" s="57" t="s">
        <v>316</v>
      </c>
      <c r="H3482" s="140" t="s">
        <v>2789</v>
      </c>
      <c r="I3482" s="57"/>
      <c r="J3482" s="165">
        <f t="shared" si="307"/>
        <v>18.867924528301888</v>
      </c>
      <c r="K3482" s="57">
        <v>106</v>
      </c>
      <c r="L3482" s="164">
        <v>2000</v>
      </c>
    </row>
    <row r="3483" spans="2:12" x14ac:dyDescent="0.3">
      <c r="B3483" s="57">
        <f t="shared" si="306"/>
        <v>3480</v>
      </c>
      <c r="C3483" s="142">
        <v>46242</v>
      </c>
      <c r="D3483" s="57" t="s">
        <v>968</v>
      </c>
      <c r="E3483" s="57" t="s">
        <v>146</v>
      </c>
      <c r="F3483" s="57" t="s">
        <v>2332</v>
      </c>
      <c r="G3483" s="57" t="s">
        <v>1004</v>
      </c>
      <c r="H3483" s="140" t="s">
        <v>3630</v>
      </c>
      <c r="I3483" s="57"/>
      <c r="J3483" s="165">
        <f t="shared" si="307"/>
        <v>28.30188679245283</v>
      </c>
      <c r="K3483" s="57">
        <v>106</v>
      </c>
      <c r="L3483" s="164">
        <v>3000</v>
      </c>
    </row>
    <row r="3484" spans="2:12" x14ac:dyDescent="0.3">
      <c r="B3484" s="57">
        <f t="shared" si="306"/>
        <v>3481</v>
      </c>
      <c r="C3484" s="142">
        <v>46242</v>
      </c>
      <c r="D3484" s="57" t="s">
        <v>968</v>
      </c>
      <c r="E3484" s="57" t="s">
        <v>574</v>
      </c>
      <c r="F3484" s="57" t="s">
        <v>2332</v>
      </c>
      <c r="G3484" s="57" t="s">
        <v>1004</v>
      </c>
      <c r="H3484" s="140" t="s">
        <v>3622</v>
      </c>
      <c r="I3484" s="140" t="s">
        <v>2635</v>
      </c>
      <c r="J3484" s="57">
        <v>4.2</v>
      </c>
      <c r="K3484" s="168">
        <f>L3484/J3484</f>
        <v>654.7619047619047</v>
      </c>
      <c r="L3484" s="164">
        <v>2750</v>
      </c>
    </row>
    <row r="3485" spans="2:12" x14ac:dyDescent="0.3">
      <c r="B3485" s="57">
        <f t="shared" si="306"/>
        <v>3482</v>
      </c>
      <c r="C3485" s="142">
        <v>46242</v>
      </c>
      <c r="D3485" s="57" t="s">
        <v>968</v>
      </c>
      <c r="E3485" s="57" t="s">
        <v>574</v>
      </c>
      <c r="F3485" s="57" t="s">
        <v>502</v>
      </c>
      <c r="G3485" s="57" t="s">
        <v>2344</v>
      </c>
      <c r="H3485" s="140" t="s">
        <v>3631</v>
      </c>
      <c r="I3485" s="140" t="s">
        <v>4081</v>
      </c>
      <c r="J3485" s="57">
        <v>5.17</v>
      </c>
      <c r="K3485" s="168">
        <f>L3485/J3485</f>
        <v>580.27079303675055</v>
      </c>
      <c r="L3485" s="164">
        <v>3000</v>
      </c>
    </row>
    <row r="3486" spans="2:12" x14ac:dyDescent="0.3">
      <c r="B3486" s="57">
        <f t="shared" si="306"/>
        <v>3483</v>
      </c>
      <c r="C3486" s="142">
        <v>46242</v>
      </c>
      <c r="D3486" s="57" t="s">
        <v>968</v>
      </c>
      <c r="E3486" s="57" t="s">
        <v>434</v>
      </c>
      <c r="F3486" s="57" t="s">
        <v>300</v>
      </c>
      <c r="H3486" s="140" t="s">
        <v>3632</v>
      </c>
      <c r="I3486" s="57"/>
      <c r="J3486" s="57"/>
      <c r="L3486" s="164">
        <v>4000</v>
      </c>
    </row>
    <row r="3487" spans="2:12" x14ac:dyDescent="0.3">
      <c r="B3487" s="57">
        <f t="shared" si="306"/>
        <v>3484</v>
      </c>
      <c r="C3487" s="142">
        <v>46242</v>
      </c>
      <c r="D3487" s="57" t="s">
        <v>968</v>
      </c>
      <c r="E3487" s="57" t="s">
        <v>146</v>
      </c>
      <c r="F3487" s="57" t="s">
        <v>546</v>
      </c>
      <c r="G3487" s="57" t="s">
        <v>3514</v>
      </c>
      <c r="H3487" s="140" t="s">
        <v>4114</v>
      </c>
      <c r="I3487" s="57" t="s">
        <v>146</v>
      </c>
      <c r="J3487" s="165">
        <f>L3487/K3487</f>
        <v>18.867924528301888</v>
      </c>
      <c r="K3487" s="57">
        <v>106</v>
      </c>
      <c r="L3487" s="164">
        <v>2000</v>
      </c>
    </row>
    <row r="3488" spans="2:12" x14ac:dyDescent="0.3">
      <c r="B3488" s="57">
        <f t="shared" si="306"/>
        <v>3485</v>
      </c>
      <c r="C3488" s="142">
        <v>46242</v>
      </c>
      <c r="D3488" s="57" t="s">
        <v>968</v>
      </c>
      <c r="E3488" s="57" t="s">
        <v>3021</v>
      </c>
      <c r="F3488" s="57" t="s">
        <v>300</v>
      </c>
      <c r="G3488" s="57" t="s">
        <v>530</v>
      </c>
      <c r="H3488" s="140" t="s">
        <v>3633</v>
      </c>
      <c r="I3488" s="57"/>
      <c r="J3488" s="57"/>
      <c r="L3488" s="164">
        <v>620</v>
      </c>
    </row>
    <row r="3489" spans="2:12" x14ac:dyDescent="0.3">
      <c r="B3489" s="57">
        <f t="shared" si="306"/>
        <v>3486</v>
      </c>
      <c r="C3489" s="142">
        <v>46242</v>
      </c>
      <c r="D3489" s="57" t="s">
        <v>968</v>
      </c>
      <c r="E3489" s="57" t="s">
        <v>146</v>
      </c>
      <c r="F3489" s="57" t="s">
        <v>350</v>
      </c>
      <c r="G3489" s="57" t="s">
        <v>3103</v>
      </c>
      <c r="H3489" s="140" t="s">
        <v>4106</v>
      </c>
      <c r="I3489" s="57"/>
      <c r="J3489" s="165">
        <f t="shared" ref="J3489:J3490" si="308">L3489/K3489</f>
        <v>18.867924528301888</v>
      </c>
      <c r="K3489" s="57">
        <v>106</v>
      </c>
      <c r="L3489" s="164">
        <v>2000</v>
      </c>
    </row>
    <row r="3490" spans="2:12" x14ac:dyDescent="0.3">
      <c r="B3490" s="57">
        <f t="shared" si="306"/>
        <v>3487</v>
      </c>
      <c r="C3490" s="142">
        <v>46242</v>
      </c>
      <c r="D3490" s="57" t="s">
        <v>968</v>
      </c>
      <c r="E3490" s="57" t="s">
        <v>146</v>
      </c>
      <c r="F3490" s="57" t="s">
        <v>446</v>
      </c>
      <c r="G3490" s="57" t="s">
        <v>359</v>
      </c>
      <c r="H3490" s="140" t="s">
        <v>4099</v>
      </c>
      <c r="I3490" s="57"/>
      <c r="J3490" s="165">
        <f t="shared" si="308"/>
        <v>18.867924528301888</v>
      </c>
      <c r="K3490" s="57">
        <v>106</v>
      </c>
      <c r="L3490" s="164">
        <v>2000</v>
      </c>
    </row>
    <row r="3491" spans="2:12" x14ac:dyDescent="0.3">
      <c r="B3491" s="57">
        <f t="shared" si="306"/>
        <v>3488</v>
      </c>
      <c r="C3491" s="142">
        <v>46242</v>
      </c>
      <c r="D3491" s="57" t="s">
        <v>435</v>
      </c>
      <c r="E3491" s="57" t="s">
        <v>2427</v>
      </c>
      <c r="F3491" s="57" t="s">
        <v>300</v>
      </c>
      <c r="G3491" s="57" t="s">
        <v>530</v>
      </c>
      <c r="H3491" s="140" t="s">
        <v>3634</v>
      </c>
      <c r="I3491" s="57" t="s">
        <v>2427</v>
      </c>
      <c r="J3491" s="57"/>
      <c r="L3491" s="164">
        <v>58930</v>
      </c>
    </row>
    <row r="3492" spans="2:12" x14ac:dyDescent="0.3">
      <c r="B3492" s="57">
        <f t="shared" si="306"/>
        <v>3489</v>
      </c>
      <c r="C3492" s="142">
        <v>46242</v>
      </c>
      <c r="D3492" s="57" t="s">
        <v>435</v>
      </c>
      <c r="E3492" s="57" t="s">
        <v>481</v>
      </c>
      <c r="F3492" s="57" t="s">
        <v>350</v>
      </c>
      <c r="G3492" s="57" t="s">
        <v>675</v>
      </c>
      <c r="H3492" s="140" t="s">
        <v>3635</v>
      </c>
      <c r="I3492" s="57" t="s">
        <v>481</v>
      </c>
      <c r="J3492" s="57" t="s">
        <v>3636</v>
      </c>
      <c r="L3492" s="164">
        <v>525</v>
      </c>
    </row>
    <row r="3493" spans="2:12" x14ac:dyDescent="0.3">
      <c r="B3493" s="57">
        <f t="shared" si="306"/>
        <v>3490</v>
      </c>
      <c r="C3493" s="142">
        <v>46242</v>
      </c>
      <c r="D3493" s="57" t="s">
        <v>435</v>
      </c>
      <c r="E3493" s="57" t="s">
        <v>481</v>
      </c>
      <c r="F3493" s="57" t="s">
        <v>350</v>
      </c>
      <c r="G3493" s="57" t="s">
        <v>675</v>
      </c>
      <c r="H3493" s="140" t="s">
        <v>3637</v>
      </c>
      <c r="I3493" s="57" t="s">
        <v>481</v>
      </c>
      <c r="J3493" s="57" t="s">
        <v>3638</v>
      </c>
      <c r="L3493" s="164">
        <v>1350</v>
      </c>
    </row>
    <row r="3494" spans="2:12" x14ac:dyDescent="0.3">
      <c r="B3494" s="57">
        <f t="shared" si="306"/>
        <v>3491</v>
      </c>
      <c r="C3494" s="142">
        <v>46243</v>
      </c>
      <c r="D3494" s="57" t="s">
        <v>968</v>
      </c>
      <c r="E3494" s="57" t="s">
        <v>146</v>
      </c>
      <c r="F3494" s="57" t="s">
        <v>2332</v>
      </c>
      <c r="G3494" s="57" t="s">
        <v>1004</v>
      </c>
      <c r="H3494" s="140" t="s">
        <v>3055</v>
      </c>
      <c r="I3494" s="57"/>
      <c r="J3494" s="165">
        <f t="shared" ref="J3494:J3495" si="309">L3494/K3494</f>
        <v>9.433962264150944</v>
      </c>
      <c r="K3494" s="57">
        <v>106</v>
      </c>
      <c r="L3494" s="164">
        <v>1000</v>
      </c>
    </row>
    <row r="3495" spans="2:12" x14ac:dyDescent="0.3">
      <c r="B3495" s="57">
        <f t="shared" si="306"/>
        <v>3492</v>
      </c>
      <c r="C3495" s="142">
        <v>46243</v>
      </c>
      <c r="D3495" s="57" t="s">
        <v>968</v>
      </c>
      <c r="E3495" s="57" t="s">
        <v>146</v>
      </c>
      <c r="F3495" s="57" t="s">
        <v>300</v>
      </c>
      <c r="G3495" s="57" t="s">
        <v>438</v>
      </c>
      <c r="H3495" s="140" t="s">
        <v>4110</v>
      </c>
      <c r="I3495" s="57"/>
      <c r="J3495" s="165">
        <f t="shared" si="309"/>
        <v>18.867924528301888</v>
      </c>
      <c r="K3495" s="57">
        <v>106</v>
      </c>
      <c r="L3495" s="164">
        <v>2000</v>
      </c>
    </row>
    <row r="3496" spans="2:12" x14ac:dyDescent="0.3">
      <c r="B3496" s="57">
        <f t="shared" si="306"/>
        <v>3493</v>
      </c>
      <c r="C3496" s="142">
        <v>46243</v>
      </c>
      <c r="D3496" s="57" t="s">
        <v>435</v>
      </c>
      <c r="E3496" s="57" t="s">
        <v>908</v>
      </c>
      <c r="F3496" s="57" t="s">
        <v>502</v>
      </c>
      <c r="G3496" s="57" t="s">
        <v>2344</v>
      </c>
      <c r="H3496" s="140" t="s">
        <v>3639</v>
      </c>
      <c r="I3496" s="57" t="s">
        <v>908</v>
      </c>
      <c r="J3496" s="57" t="s">
        <v>3644</v>
      </c>
      <c r="K3496" s="57">
        <v>1800</v>
      </c>
      <c r="L3496" s="164">
        <v>61920</v>
      </c>
    </row>
    <row r="3497" spans="2:12" x14ac:dyDescent="0.3">
      <c r="B3497" s="57">
        <f t="shared" si="306"/>
        <v>3494</v>
      </c>
      <c r="C3497" s="142">
        <v>46243</v>
      </c>
      <c r="D3497" s="57" t="s">
        <v>968</v>
      </c>
      <c r="E3497" s="57" t="s">
        <v>434</v>
      </c>
      <c r="F3497" s="57" t="s">
        <v>546</v>
      </c>
      <c r="G3497" s="57" t="s">
        <v>545</v>
      </c>
      <c r="H3497" s="140" t="s">
        <v>3640</v>
      </c>
      <c r="I3497" s="57"/>
      <c r="J3497" s="57"/>
      <c r="L3497" s="164">
        <v>120</v>
      </c>
    </row>
    <row r="3498" spans="2:12" x14ac:dyDescent="0.3">
      <c r="B3498" s="57">
        <f t="shared" si="306"/>
        <v>3495</v>
      </c>
      <c r="C3498" s="142">
        <v>46243</v>
      </c>
      <c r="D3498" s="57" t="s">
        <v>968</v>
      </c>
      <c r="E3498" s="57" t="s">
        <v>460</v>
      </c>
      <c r="F3498" s="57" t="s">
        <v>300</v>
      </c>
      <c r="G3498" s="57" t="s">
        <v>2653</v>
      </c>
      <c r="H3498" s="140" t="s">
        <v>3641</v>
      </c>
      <c r="I3498" s="57" t="s">
        <v>460</v>
      </c>
      <c r="J3498" s="57" t="s">
        <v>3645</v>
      </c>
      <c r="L3498" s="164">
        <v>600</v>
      </c>
    </row>
    <row r="3499" spans="2:12" x14ac:dyDescent="0.3">
      <c r="B3499" s="57">
        <f t="shared" si="306"/>
        <v>3496</v>
      </c>
      <c r="C3499" s="142">
        <v>46243</v>
      </c>
      <c r="D3499" s="57" t="s">
        <v>968</v>
      </c>
      <c r="E3499" s="57" t="s">
        <v>146</v>
      </c>
      <c r="F3499" s="57" t="s">
        <v>300</v>
      </c>
      <c r="G3499" s="57" t="s">
        <v>3404</v>
      </c>
      <c r="H3499" s="140" t="s">
        <v>4088</v>
      </c>
      <c r="I3499" s="57"/>
      <c r="J3499" s="165">
        <f>L3499/K3499</f>
        <v>18.867924528301888</v>
      </c>
      <c r="K3499" s="57">
        <v>106</v>
      </c>
      <c r="L3499" s="164">
        <v>2000</v>
      </c>
    </row>
    <row r="3500" spans="2:12" x14ac:dyDescent="0.3">
      <c r="B3500" s="57">
        <f t="shared" si="306"/>
        <v>3497</v>
      </c>
      <c r="C3500" s="142">
        <v>46243</v>
      </c>
      <c r="D3500" s="57" t="s">
        <v>968</v>
      </c>
      <c r="E3500" s="57" t="s">
        <v>574</v>
      </c>
      <c r="F3500" s="57" t="s">
        <v>300</v>
      </c>
      <c r="G3500" s="57" t="s">
        <v>3404</v>
      </c>
      <c r="H3500" s="140" t="s">
        <v>3642</v>
      </c>
      <c r="I3500" s="140" t="s">
        <v>2635</v>
      </c>
      <c r="J3500" s="57">
        <v>4.22</v>
      </c>
      <c r="K3500" s="168">
        <f>L3500/J3500</f>
        <v>497.63033175355451</v>
      </c>
      <c r="L3500" s="164">
        <v>2100</v>
      </c>
    </row>
    <row r="3501" spans="2:12" x14ac:dyDescent="0.3">
      <c r="B3501" s="57">
        <f t="shared" si="306"/>
        <v>3498</v>
      </c>
      <c r="C3501" s="142">
        <v>46243</v>
      </c>
      <c r="D3501" s="57" t="s">
        <v>968</v>
      </c>
      <c r="E3501" s="57" t="s">
        <v>532</v>
      </c>
      <c r="F3501" s="57" t="s">
        <v>546</v>
      </c>
      <c r="G3501" s="57" t="s">
        <v>3514</v>
      </c>
      <c r="H3501" s="140" t="s">
        <v>3643</v>
      </c>
      <c r="I3501" s="57" t="s">
        <v>532</v>
      </c>
      <c r="J3501" s="57">
        <v>10</v>
      </c>
      <c r="K3501" s="57">
        <v>275</v>
      </c>
      <c r="L3501" s="164">
        <f t="shared" ref="L3501:L3563" si="310">J3501*K3501</f>
        <v>2750</v>
      </c>
    </row>
    <row r="3502" spans="2:12" x14ac:dyDescent="0.3">
      <c r="B3502" s="57">
        <f t="shared" si="306"/>
        <v>3499</v>
      </c>
      <c r="C3502" s="142">
        <v>46243</v>
      </c>
      <c r="D3502" s="57" t="s">
        <v>968</v>
      </c>
      <c r="E3502" s="57" t="s">
        <v>146</v>
      </c>
      <c r="F3502" s="57" t="s">
        <v>2332</v>
      </c>
      <c r="G3502" s="57" t="s">
        <v>1004</v>
      </c>
      <c r="H3502" s="140" t="s">
        <v>4094</v>
      </c>
      <c r="I3502" s="57" t="s">
        <v>146</v>
      </c>
      <c r="J3502" s="165">
        <f>L3502/K3502</f>
        <v>33.018867924528301</v>
      </c>
      <c r="K3502" s="57">
        <v>106</v>
      </c>
      <c r="L3502" s="164">
        <v>3500</v>
      </c>
    </row>
    <row r="3503" spans="2:12" x14ac:dyDescent="0.3">
      <c r="B3503" s="57">
        <f t="shared" si="306"/>
        <v>3500</v>
      </c>
      <c r="C3503" s="142">
        <v>46243</v>
      </c>
      <c r="D3503" s="57" t="s">
        <v>968</v>
      </c>
      <c r="E3503" s="57" t="s">
        <v>767</v>
      </c>
      <c r="F3503" s="57" t="s">
        <v>300</v>
      </c>
      <c r="G3503" s="57" t="s">
        <v>526</v>
      </c>
      <c r="H3503" s="140" t="s">
        <v>3646</v>
      </c>
      <c r="I3503" s="57"/>
      <c r="J3503" s="57"/>
      <c r="L3503" s="164">
        <v>1500</v>
      </c>
    </row>
    <row r="3504" spans="2:12" x14ac:dyDescent="0.3">
      <c r="B3504" s="57">
        <f t="shared" si="306"/>
        <v>3501</v>
      </c>
      <c r="C3504" s="142">
        <v>46243</v>
      </c>
      <c r="D3504" s="57" t="s">
        <v>968</v>
      </c>
      <c r="E3504" s="57" t="s">
        <v>146</v>
      </c>
      <c r="F3504" s="57" t="s">
        <v>300</v>
      </c>
      <c r="G3504" s="57" t="s">
        <v>616</v>
      </c>
      <c r="H3504" s="140" t="s">
        <v>1051</v>
      </c>
      <c r="I3504" s="57"/>
      <c r="J3504" s="165">
        <f t="shared" ref="J3504:J3505" si="311">L3504/K3504</f>
        <v>18.867924528301888</v>
      </c>
      <c r="K3504" s="57">
        <v>106</v>
      </c>
      <c r="L3504" s="164">
        <v>2000</v>
      </c>
    </row>
    <row r="3505" spans="2:12" x14ac:dyDescent="0.3">
      <c r="B3505" s="57">
        <f t="shared" si="306"/>
        <v>3502</v>
      </c>
      <c r="C3505" s="142">
        <v>46243</v>
      </c>
      <c r="D3505" s="57" t="s">
        <v>968</v>
      </c>
      <c r="E3505" s="57" t="s">
        <v>146</v>
      </c>
      <c r="F3505" s="57" t="s">
        <v>300</v>
      </c>
      <c r="G3505" s="57" t="s">
        <v>616</v>
      </c>
      <c r="H3505" s="140" t="s">
        <v>3647</v>
      </c>
      <c r="I3505" s="57"/>
      <c r="J3505" s="165">
        <f t="shared" si="311"/>
        <v>18.867924528301888</v>
      </c>
      <c r="K3505" s="57">
        <v>106</v>
      </c>
      <c r="L3505" s="164">
        <v>2000</v>
      </c>
    </row>
    <row r="3506" spans="2:12" x14ac:dyDescent="0.3">
      <c r="B3506" s="57">
        <f t="shared" si="306"/>
        <v>3503</v>
      </c>
      <c r="C3506" s="142">
        <v>46243</v>
      </c>
      <c r="D3506" s="57" t="s">
        <v>968</v>
      </c>
      <c r="E3506" s="57" t="s">
        <v>532</v>
      </c>
      <c r="F3506" s="57" t="s">
        <v>2332</v>
      </c>
      <c r="G3506" s="57" t="s">
        <v>1004</v>
      </c>
      <c r="H3506" s="140" t="s">
        <v>3648</v>
      </c>
      <c r="I3506" s="57" t="s">
        <v>532</v>
      </c>
      <c r="J3506" s="57">
        <v>16</v>
      </c>
      <c r="K3506" s="57">
        <v>260</v>
      </c>
      <c r="L3506" s="164">
        <f t="shared" si="310"/>
        <v>4160</v>
      </c>
    </row>
    <row r="3507" spans="2:12" x14ac:dyDescent="0.3">
      <c r="B3507" s="57">
        <f t="shared" si="306"/>
        <v>3504</v>
      </c>
      <c r="C3507" s="142">
        <v>46243</v>
      </c>
      <c r="D3507" s="57" t="s">
        <v>968</v>
      </c>
      <c r="E3507" s="57" t="s">
        <v>574</v>
      </c>
      <c r="F3507" s="57" t="s">
        <v>350</v>
      </c>
      <c r="G3507" s="57" t="s">
        <v>3103</v>
      </c>
      <c r="H3507" s="140" t="s">
        <v>3650</v>
      </c>
      <c r="I3507" s="140" t="s">
        <v>2635</v>
      </c>
      <c r="J3507" s="57">
        <v>3.44</v>
      </c>
      <c r="K3507" s="168">
        <f>L3507/J3507</f>
        <v>651.16279069767438</v>
      </c>
      <c r="L3507" s="164">
        <v>2240</v>
      </c>
    </row>
    <row r="3508" spans="2:12" x14ac:dyDescent="0.3">
      <c r="B3508" s="57">
        <f t="shared" si="306"/>
        <v>3505</v>
      </c>
      <c r="C3508" s="142">
        <v>46243</v>
      </c>
      <c r="D3508" s="57" t="s">
        <v>4139</v>
      </c>
      <c r="E3508" s="57" t="s">
        <v>3651</v>
      </c>
      <c r="F3508" s="57" t="s">
        <v>300</v>
      </c>
      <c r="G3508" s="57" t="s">
        <v>526</v>
      </c>
      <c r="H3508" s="140" t="s">
        <v>3652</v>
      </c>
      <c r="I3508" s="57"/>
      <c r="J3508" s="57"/>
      <c r="L3508" s="164">
        <v>10000</v>
      </c>
    </row>
    <row r="3509" spans="2:12" x14ac:dyDescent="0.3">
      <c r="B3509" s="57">
        <f t="shared" si="306"/>
        <v>3506</v>
      </c>
      <c r="C3509" s="142">
        <v>46243</v>
      </c>
      <c r="D3509" s="57" t="s">
        <v>968</v>
      </c>
      <c r="E3509" s="57" t="s">
        <v>767</v>
      </c>
      <c r="F3509" s="57" t="s">
        <v>2332</v>
      </c>
      <c r="G3509" s="57" t="s">
        <v>1004</v>
      </c>
      <c r="H3509" s="140" t="s">
        <v>3649</v>
      </c>
      <c r="I3509" s="57"/>
      <c r="J3509" s="57"/>
      <c r="L3509" s="164">
        <v>800</v>
      </c>
    </row>
    <row r="3510" spans="2:12" x14ac:dyDescent="0.3">
      <c r="B3510" s="57">
        <f t="shared" si="306"/>
        <v>3507</v>
      </c>
      <c r="C3510" s="142">
        <v>46244</v>
      </c>
      <c r="D3510" s="57" t="s">
        <v>968</v>
      </c>
      <c r="E3510" s="57" t="s">
        <v>146</v>
      </c>
      <c r="F3510" s="57" t="s">
        <v>2332</v>
      </c>
      <c r="H3510" s="140" t="s">
        <v>3672</v>
      </c>
      <c r="I3510" s="57"/>
      <c r="J3510" s="165">
        <f t="shared" ref="J3510:J3512" si="312">L3510/K3510</f>
        <v>47.358490566037737</v>
      </c>
      <c r="K3510" s="57">
        <v>106</v>
      </c>
      <c r="L3510" s="164">
        <v>5020</v>
      </c>
    </row>
    <row r="3511" spans="2:12" x14ac:dyDescent="0.3">
      <c r="B3511" s="57">
        <f t="shared" si="306"/>
        <v>3508</v>
      </c>
      <c r="C3511" s="142">
        <v>46244</v>
      </c>
      <c r="D3511" s="57" t="s">
        <v>968</v>
      </c>
      <c r="E3511" s="57" t="s">
        <v>146</v>
      </c>
      <c r="F3511" s="57" t="s">
        <v>546</v>
      </c>
      <c r="G3511" s="57" t="s">
        <v>3514</v>
      </c>
      <c r="H3511" s="140" t="s">
        <v>4114</v>
      </c>
      <c r="I3511" s="57" t="s">
        <v>146</v>
      </c>
      <c r="J3511" s="165">
        <f t="shared" si="312"/>
        <v>5.6603773584905657</v>
      </c>
      <c r="K3511" s="57">
        <v>106</v>
      </c>
      <c r="L3511" s="164">
        <v>600</v>
      </c>
    </row>
    <row r="3512" spans="2:12" x14ac:dyDescent="0.3">
      <c r="B3512" s="57">
        <f t="shared" si="306"/>
        <v>3509</v>
      </c>
      <c r="C3512" s="142">
        <v>46244</v>
      </c>
      <c r="D3512" s="57" t="s">
        <v>968</v>
      </c>
      <c r="E3512" s="57" t="s">
        <v>4091</v>
      </c>
      <c r="F3512" s="57" t="s">
        <v>300</v>
      </c>
      <c r="G3512" s="57" t="s">
        <v>530</v>
      </c>
      <c r="H3512" s="140" t="s">
        <v>4096</v>
      </c>
      <c r="I3512" s="57"/>
      <c r="J3512" s="165">
        <f t="shared" si="312"/>
        <v>18.867924528301888</v>
      </c>
      <c r="K3512" s="57">
        <v>106</v>
      </c>
      <c r="L3512" s="164">
        <v>2000</v>
      </c>
    </row>
    <row r="3513" spans="2:12" x14ac:dyDescent="0.3">
      <c r="B3513" s="57">
        <f t="shared" si="306"/>
        <v>3510</v>
      </c>
      <c r="C3513" s="142">
        <v>46244</v>
      </c>
      <c r="D3513" s="57" t="s">
        <v>968</v>
      </c>
      <c r="E3513" s="57" t="s">
        <v>460</v>
      </c>
      <c r="F3513" s="57" t="s">
        <v>300</v>
      </c>
      <c r="G3513" s="57" t="s">
        <v>2653</v>
      </c>
      <c r="H3513" s="140" t="s">
        <v>3665</v>
      </c>
      <c r="I3513" s="57" t="s">
        <v>3668</v>
      </c>
      <c r="J3513" s="57" t="s">
        <v>2680</v>
      </c>
      <c r="L3513" s="164">
        <v>500</v>
      </c>
    </row>
    <row r="3514" spans="2:12" x14ac:dyDescent="0.3">
      <c r="B3514" s="57">
        <f t="shared" si="306"/>
        <v>3511</v>
      </c>
      <c r="C3514" s="142">
        <v>46244</v>
      </c>
      <c r="D3514" s="57" t="s">
        <v>968</v>
      </c>
      <c r="E3514" s="57" t="s">
        <v>460</v>
      </c>
      <c r="F3514" s="57" t="s">
        <v>300</v>
      </c>
      <c r="G3514" s="57" t="s">
        <v>2653</v>
      </c>
      <c r="H3514" s="140" t="s">
        <v>3666</v>
      </c>
      <c r="I3514" s="57" t="s">
        <v>3669</v>
      </c>
      <c r="J3514" s="57" t="s">
        <v>2680</v>
      </c>
      <c r="L3514" s="164">
        <v>500</v>
      </c>
    </row>
    <row r="3515" spans="2:12" x14ac:dyDescent="0.3">
      <c r="B3515" s="57">
        <f t="shared" si="306"/>
        <v>3512</v>
      </c>
      <c r="C3515" s="142">
        <v>46244</v>
      </c>
      <c r="D3515" s="57" t="s">
        <v>968</v>
      </c>
      <c r="E3515" s="57" t="s">
        <v>460</v>
      </c>
      <c r="F3515" s="57" t="s">
        <v>300</v>
      </c>
      <c r="G3515" s="57" t="s">
        <v>2653</v>
      </c>
      <c r="H3515" s="140" t="s">
        <v>3667</v>
      </c>
      <c r="I3515" s="57" t="s">
        <v>3670</v>
      </c>
      <c r="J3515" s="57" t="s">
        <v>3671</v>
      </c>
      <c r="L3515" s="164">
        <v>300</v>
      </c>
    </row>
    <row r="3516" spans="2:12" x14ac:dyDescent="0.3">
      <c r="B3516" s="57">
        <f t="shared" si="306"/>
        <v>3513</v>
      </c>
      <c r="C3516" s="142">
        <v>46244</v>
      </c>
      <c r="D3516" s="57" t="s">
        <v>968</v>
      </c>
      <c r="E3516" s="57" t="s">
        <v>146</v>
      </c>
      <c r="F3516" s="57" t="s">
        <v>546</v>
      </c>
      <c r="G3516" s="57" t="s">
        <v>3514</v>
      </c>
      <c r="H3516" s="140" t="s">
        <v>4114</v>
      </c>
      <c r="I3516" s="57" t="s">
        <v>146</v>
      </c>
      <c r="J3516" s="165">
        <f t="shared" ref="J3516:J3517" si="313">L3516/K3516</f>
        <v>2.4528301886792452</v>
      </c>
      <c r="K3516" s="57">
        <v>106</v>
      </c>
      <c r="L3516" s="164">
        <v>260</v>
      </c>
    </row>
    <row r="3517" spans="2:12" x14ac:dyDescent="0.3">
      <c r="B3517" s="57">
        <f t="shared" si="306"/>
        <v>3514</v>
      </c>
      <c r="C3517" s="142">
        <v>46244</v>
      </c>
      <c r="D3517" s="57" t="s">
        <v>968</v>
      </c>
      <c r="E3517" s="57" t="s">
        <v>146</v>
      </c>
      <c r="F3517" s="57" t="s">
        <v>300</v>
      </c>
      <c r="G3517" s="57" t="s">
        <v>530</v>
      </c>
      <c r="H3517" s="140" t="s">
        <v>4115</v>
      </c>
      <c r="I3517" s="57"/>
      <c r="J3517" s="165">
        <f t="shared" si="313"/>
        <v>18.867924528301888</v>
      </c>
      <c r="K3517" s="57">
        <v>106</v>
      </c>
      <c r="L3517" s="164">
        <v>2000</v>
      </c>
    </row>
    <row r="3518" spans="2:12" x14ac:dyDescent="0.3">
      <c r="B3518" s="57">
        <f t="shared" si="306"/>
        <v>3515</v>
      </c>
      <c r="C3518" s="142">
        <v>46244</v>
      </c>
      <c r="D3518" s="57" t="s">
        <v>968</v>
      </c>
      <c r="E3518" s="57" t="s">
        <v>532</v>
      </c>
      <c r="F3518" s="57" t="s">
        <v>300</v>
      </c>
      <c r="G3518" s="57" t="s">
        <v>530</v>
      </c>
      <c r="H3518" s="140" t="s">
        <v>3654</v>
      </c>
      <c r="I3518" s="57" t="s">
        <v>532</v>
      </c>
      <c r="J3518" s="57">
        <v>50</v>
      </c>
      <c r="K3518" s="57">
        <v>260</v>
      </c>
      <c r="L3518" s="164">
        <f t="shared" si="310"/>
        <v>13000</v>
      </c>
    </row>
    <row r="3519" spans="2:12" x14ac:dyDescent="0.3">
      <c r="B3519" s="57">
        <f t="shared" si="306"/>
        <v>3516</v>
      </c>
      <c r="C3519" s="142">
        <v>46244</v>
      </c>
      <c r="D3519" s="57" t="s">
        <v>968</v>
      </c>
      <c r="E3519" s="57" t="s">
        <v>532</v>
      </c>
      <c r="F3519" s="57" t="s">
        <v>300</v>
      </c>
      <c r="G3519" s="57" t="s">
        <v>3404</v>
      </c>
      <c r="H3519" s="140" t="s">
        <v>3655</v>
      </c>
      <c r="I3519" s="57" t="s">
        <v>532</v>
      </c>
      <c r="J3519" s="57">
        <v>15</v>
      </c>
      <c r="K3519" s="57">
        <v>260</v>
      </c>
      <c r="L3519" s="164">
        <f t="shared" si="310"/>
        <v>3900</v>
      </c>
    </row>
    <row r="3520" spans="2:12" x14ac:dyDescent="0.3">
      <c r="B3520" s="57">
        <f t="shared" si="306"/>
        <v>3517</v>
      </c>
      <c r="C3520" s="142">
        <v>46244</v>
      </c>
      <c r="D3520" s="57" t="s">
        <v>968</v>
      </c>
      <c r="E3520" s="57" t="s">
        <v>4128</v>
      </c>
      <c r="F3520" s="57" t="s">
        <v>300</v>
      </c>
      <c r="G3520" s="57" t="s">
        <v>709</v>
      </c>
      <c r="H3520" s="140" t="s">
        <v>3664</v>
      </c>
      <c r="I3520" s="57"/>
      <c r="J3520" s="57"/>
      <c r="L3520" s="164">
        <v>4050</v>
      </c>
    </row>
    <row r="3521" spans="2:12" x14ac:dyDescent="0.3">
      <c r="B3521" s="57">
        <f t="shared" si="306"/>
        <v>3518</v>
      </c>
      <c r="C3521" s="142">
        <v>46244</v>
      </c>
      <c r="D3521" s="57" t="s">
        <v>968</v>
      </c>
      <c r="E3521" s="57" t="s">
        <v>146</v>
      </c>
      <c r="F3521" s="57" t="s">
        <v>300</v>
      </c>
      <c r="G3521" s="57" t="s">
        <v>3404</v>
      </c>
      <c r="H3521" s="140" t="s">
        <v>4088</v>
      </c>
      <c r="I3521" s="57"/>
      <c r="J3521" s="165">
        <f t="shared" ref="J3521:J3523" si="314">L3521/K3521</f>
        <v>18.867924528301888</v>
      </c>
      <c r="K3521" s="57">
        <v>106</v>
      </c>
      <c r="L3521" s="164">
        <v>2000</v>
      </c>
    </row>
    <row r="3522" spans="2:12" x14ac:dyDescent="0.3">
      <c r="B3522" s="57">
        <f t="shared" si="306"/>
        <v>3519</v>
      </c>
      <c r="C3522" s="142">
        <v>46244</v>
      </c>
      <c r="D3522" s="57" t="s">
        <v>968</v>
      </c>
      <c r="E3522" s="57" t="s">
        <v>146</v>
      </c>
      <c r="F3522" s="57" t="s">
        <v>546</v>
      </c>
      <c r="G3522" s="57" t="s">
        <v>3514</v>
      </c>
      <c r="H3522" s="140" t="s">
        <v>4114</v>
      </c>
      <c r="I3522" s="57" t="s">
        <v>146</v>
      </c>
      <c r="J3522" s="165">
        <f t="shared" si="314"/>
        <v>18.867924528301888</v>
      </c>
      <c r="K3522" s="57">
        <v>106</v>
      </c>
      <c r="L3522" s="164">
        <v>2000</v>
      </c>
    </row>
    <row r="3523" spans="2:12" x14ac:dyDescent="0.3">
      <c r="B3523" s="57">
        <f t="shared" si="306"/>
        <v>3520</v>
      </c>
      <c r="C3523" s="142">
        <v>46244</v>
      </c>
      <c r="D3523" s="57" t="s">
        <v>968</v>
      </c>
      <c r="E3523" s="57" t="s">
        <v>146</v>
      </c>
      <c r="F3523" s="57" t="s">
        <v>446</v>
      </c>
      <c r="G3523" s="57" t="s">
        <v>359</v>
      </c>
      <c r="H3523" s="140" t="s">
        <v>4099</v>
      </c>
      <c r="I3523" s="57"/>
      <c r="J3523" s="165">
        <f t="shared" si="314"/>
        <v>20.660377358490567</v>
      </c>
      <c r="K3523" s="57">
        <v>106</v>
      </c>
      <c r="L3523" s="164">
        <v>2190</v>
      </c>
    </row>
    <row r="3524" spans="2:12" x14ac:dyDescent="0.3">
      <c r="B3524" s="57">
        <f t="shared" si="306"/>
        <v>3521</v>
      </c>
      <c r="C3524" s="142">
        <v>46244</v>
      </c>
      <c r="D3524" s="57" t="s">
        <v>968</v>
      </c>
      <c r="E3524" s="57" t="s">
        <v>4128</v>
      </c>
      <c r="F3524" s="57" t="s">
        <v>502</v>
      </c>
      <c r="G3524" s="57" t="s">
        <v>2344</v>
      </c>
      <c r="H3524" s="140" t="s">
        <v>3653</v>
      </c>
      <c r="I3524" s="57" t="s">
        <v>908</v>
      </c>
      <c r="J3524" s="57"/>
      <c r="L3524" s="164">
        <v>2100</v>
      </c>
    </row>
    <row r="3525" spans="2:12" x14ac:dyDescent="0.3">
      <c r="B3525" s="57">
        <f t="shared" si="306"/>
        <v>3522</v>
      </c>
      <c r="C3525" s="142">
        <v>46244</v>
      </c>
      <c r="D3525" s="57" t="s">
        <v>968</v>
      </c>
      <c r="E3525" s="57" t="s">
        <v>146</v>
      </c>
      <c r="F3525" s="57" t="s">
        <v>300</v>
      </c>
      <c r="G3525" s="57" t="s">
        <v>303</v>
      </c>
      <c r="H3525" s="140" t="s">
        <v>4116</v>
      </c>
      <c r="I3525" s="57"/>
      <c r="J3525" s="165">
        <f t="shared" ref="J3525:J3528" si="315">L3525/K3525</f>
        <v>35.377358490566039</v>
      </c>
      <c r="K3525" s="57">
        <v>106</v>
      </c>
      <c r="L3525" s="164">
        <v>3750</v>
      </c>
    </row>
    <row r="3526" spans="2:12" x14ac:dyDescent="0.3">
      <c r="B3526" s="57">
        <f t="shared" ref="B3526:B3589" si="316">+B3525+1</f>
        <v>3523</v>
      </c>
      <c r="C3526" s="142">
        <v>46244</v>
      </c>
      <c r="D3526" s="57" t="s">
        <v>968</v>
      </c>
      <c r="E3526" s="57" t="s">
        <v>146</v>
      </c>
      <c r="F3526" s="57" t="s">
        <v>300</v>
      </c>
      <c r="G3526" s="57" t="s">
        <v>2653</v>
      </c>
      <c r="H3526" s="140" t="s">
        <v>3656</v>
      </c>
      <c r="I3526" s="57"/>
      <c r="J3526" s="165">
        <f t="shared" si="315"/>
        <v>18.867924528301888</v>
      </c>
      <c r="K3526" s="57">
        <v>106</v>
      </c>
      <c r="L3526" s="164">
        <v>2000</v>
      </c>
    </row>
    <row r="3527" spans="2:12" x14ac:dyDescent="0.3">
      <c r="B3527" s="57">
        <f t="shared" si="316"/>
        <v>3524</v>
      </c>
      <c r="C3527" s="142">
        <v>46244</v>
      </c>
      <c r="D3527" s="57" t="s">
        <v>968</v>
      </c>
      <c r="E3527" s="57" t="s">
        <v>146</v>
      </c>
      <c r="F3527" s="57" t="s">
        <v>502</v>
      </c>
      <c r="G3527" s="57" t="s">
        <v>257</v>
      </c>
      <c r="H3527" s="140" t="s">
        <v>3476</v>
      </c>
      <c r="I3527" s="57"/>
      <c r="J3527" s="165">
        <f t="shared" si="315"/>
        <v>28.30188679245283</v>
      </c>
      <c r="K3527" s="57">
        <v>106</v>
      </c>
      <c r="L3527" s="164">
        <v>3000</v>
      </c>
    </row>
    <row r="3528" spans="2:12" x14ac:dyDescent="0.3">
      <c r="B3528" s="57">
        <f t="shared" si="316"/>
        <v>3525</v>
      </c>
      <c r="C3528" s="142">
        <v>46244</v>
      </c>
      <c r="D3528" s="57" t="s">
        <v>968</v>
      </c>
      <c r="E3528" s="57" t="s">
        <v>146</v>
      </c>
      <c r="F3528" s="57" t="s">
        <v>502</v>
      </c>
      <c r="G3528" s="57" t="s">
        <v>257</v>
      </c>
      <c r="H3528" s="140" t="s">
        <v>3397</v>
      </c>
      <c r="I3528" s="57"/>
      <c r="J3528" s="165">
        <f t="shared" si="315"/>
        <v>28.30188679245283</v>
      </c>
      <c r="K3528" s="57">
        <v>106</v>
      </c>
      <c r="L3528" s="164">
        <v>3000</v>
      </c>
    </row>
    <row r="3529" spans="2:12" x14ac:dyDescent="0.3">
      <c r="B3529" s="57">
        <f t="shared" si="316"/>
        <v>3526</v>
      </c>
      <c r="C3529" s="142">
        <v>46244</v>
      </c>
      <c r="D3529" s="57" t="s">
        <v>968</v>
      </c>
      <c r="E3529" s="57" t="s">
        <v>3663</v>
      </c>
      <c r="F3529" s="57" t="s">
        <v>2332</v>
      </c>
      <c r="G3529" s="57" t="s">
        <v>3292</v>
      </c>
      <c r="H3529" s="140" t="s">
        <v>3657</v>
      </c>
      <c r="I3529" s="57"/>
      <c r="J3529" s="57"/>
      <c r="L3529" s="164">
        <v>650</v>
      </c>
    </row>
    <row r="3530" spans="2:12" x14ac:dyDescent="0.3">
      <c r="B3530" s="57">
        <f t="shared" si="316"/>
        <v>3527</v>
      </c>
      <c r="C3530" s="142">
        <v>46244</v>
      </c>
      <c r="D3530" s="57" t="s">
        <v>968</v>
      </c>
      <c r="E3530" s="57" t="s">
        <v>146</v>
      </c>
      <c r="F3530" s="57" t="s">
        <v>300</v>
      </c>
      <c r="G3530" s="57" t="s">
        <v>498</v>
      </c>
      <c r="H3530" s="140" t="s">
        <v>3468</v>
      </c>
      <c r="I3530" s="57"/>
      <c r="J3530" s="165">
        <f>L3530/K3530</f>
        <v>18.867924528301888</v>
      </c>
      <c r="K3530" s="57">
        <v>106</v>
      </c>
      <c r="L3530" s="164">
        <v>2000</v>
      </c>
    </row>
    <row r="3531" spans="2:12" x14ac:dyDescent="0.3">
      <c r="B3531" s="57">
        <f t="shared" si="316"/>
        <v>3528</v>
      </c>
      <c r="C3531" s="142">
        <v>46244</v>
      </c>
      <c r="D3531" s="57" t="s">
        <v>968</v>
      </c>
      <c r="E3531" s="57" t="s">
        <v>481</v>
      </c>
      <c r="F3531" s="57" t="s">
        <v>546</v>
      </c>
      <c r="G3531" s="57" t="s">
        <v>545</v>
      </c>
      <c r="H3531" s="140" t="s">
        <v>3658</v>
      </c>
      <c r="I3531" s="57" t="s">
        <v>481</v>
      </c>
      <c r="J3531" s="57"/>
      <c r="L3531" s="164">
        <v>275</v>
      </c>
    </row>
    <row r="3532" spans="2:12" x14ac:dyDescent="0.3">
      <c r="B3532" s="57">
        <f t="shared" si="316"/>
        <v>3529</v>
      </c>
      <c r="C3532" s="142">
        <v>46244</v>
      </c>
      <c r="D3532" s="57" t="s">
        <v>968</v>
      </c>
      <c r="E3532" s="57" t="s">
        <v>146</v>
      </c>
      <c r="F3532" s="57" t="s">
        <v>300</v>
      </c>
      <c r="G3532" s="57" t="s">
        <v>709</v>
      </c>
      <c r="H3532" s="140" t="s">
        <v>4109</v>
      </c>
      <c r="I3532" s="57"/>
      <c r="J3532" s="165">
        <f>L3532/K3532</f>
        <v>18.867924528301888</v>
      </c>
      <c r="K3532" s="57">
        <v>106</v>
      </c>
      <c r="L3532" s="164">
        <v>2000</v>
      </c>
    </row>
    <row r="3533" spans="2:12" x14ac:dyDescent="0.3">
      <c r="B3533" s="57">
        <f t="shared" si="316"/>
        <v>3530</v>
      </c>
      <c r="C3533" s="142">
        <v>46244</v>
      </c>
      <c r="D3533" s="57" t="s">
        <v>968</v>
      </c>
      <c r="E3533" s="57" t="s">
        <v>767</v>
      </c>
      <c r="F3533" s="57" t="s">
        <v>300</v>
      </c>
      <c r="G3533" s="57" t="s">
        <v>2517</v>
      </c>
      <c r="H3533" s="140" t="s">
        <v>3659</v>
      </c>
      <c r="I3533" s="57"/>
      <c r="J3533" s="57"/>
      <c r="L3533" s="164">
        <v>1000</v>
      </c>
    </row>
    <row r="3534" spans="2:12" x14ac:dyDescent="0.3">
      <c r="B3534" s="57">
        <f t="shared" si="316"/>
        <v>3531</v>
      </c>
      <c r="C3534" s="142">
        <v>46244</v>
      </c>
      <c r="D3534" s="57" t="s">
        <v>968</v>
      </c>
      <c r="E3534" s="57" t="s">
        <v>146</v>
      </c>
      <c r="F3534" s="57" t="s">
        <v>300</v>
      </c>
      <c r="G3534" s="57" t="s">
        <v>616</v>
      </c>
      <c r="H3534" s="140" t="s">
        <v>4112</v>
      </c>
      <c r="I3534" s="57" t="s">
        <v>146</v>
      </c>
      <c r="J3534" s="165">
        <f>L3534/K3534</f>
        <v>39.528301886792455</v>
      </c>
      <c r="K3534" s="57">
        <v>106</v>
      </c>
      <c r="L3534" s="164">
        <v>4190</v>
      </c>
    </row>
    <row r="3535" spans="2:12" x14ac:dyDescent="0.3">
      <c r="B3535" s="57">
        <f t="shared" si="316"/>
        <v>3532</v>
      </c>
      <c r="C3535" s="142">
        <v>46244</v>
      </c>
      <c r="D3535" s="57" t="s">
        <v>968</v>
      </c>
      <c r="E3535" s="57" t="s">
        <v>574</v>
      </c>
      <c r="F3535" s="57" t="s">
        <v>446</v>
      </c>
      <c r="G3535" s="57" t="s">
        <v>359</v>
      </c>
      <c r="H3535" s="140" t="s">
        <v>3660</v>
      </c>
      <c r="I3535" s="140" t="s">
        <v>4081</v>
      </c>
      <c r="J3535" s="57">
        <v>12</v>
      </c>
      <c r="K3535" s="168">
        <f>L3535/J3535</f>
        <v>783.33333333333337</v>
      </c>
      <c r="L3535" s="164">
        <v>9400</v>
      </c>
    </row>
    <row r="3536" spans="2:12" x14ac:dyDescent="0.3">
      <c r="B3536" s="57">
        <f t="shared" si="316"/>
        <v>3533</v>
      </c>
      <c r="C3536" s="142">
        <v>46244</v>
      </c>
      <c r="D3536" s="57" t="s">
        <v>968</v>
      </c>
      <c r="E3536" s="57" t="s">
        <v>4128</v>
      </c>
      <c r="F3536" s="57" t="s">
        <v>300</v>
      </c>
      <c r="G3536" s="57" t="s">
        <v>3404</v>
      </c>
      <c r="H3536" s="140" t="s">
        <v>3661</v>
      </c>
      <c r="I3536" s="57"/>
      <c r="J3536" s="57"/>
      <c r="L3536" s="164">
        <v>4050</v>
      </c>
    </row>
    <row r="3537" spans="2:12" x14ac:dyDescent="0.3">
      <c r="B3537" s="57">
        <f t="shared" si="316"/>
        <v>3534</v>
      </c>
      <c r="C3537" s="142">
        <v>46244</v>
      </c>
      <c r="D3537" s="57" t="s">
        <v>968</v>
      </c>
      <c r="E3537" s="57" t="s">
        <v>146</v>
      </c>
      <c r="F3537" s="57" t="s">
        <v>446</v>
      </c>
      <c r="G3537" s="57" t="s">
        <v>990</v>
      </c>
      <c r="H3537" s="140" t="s">
        <v>3662</v>
      </c>
      <c r="I3537" s="57"/>
      <c r="J3537" s="165">
        <f>L3537/K3537</f>
        <v>18.867924528301888</v>
      </c>
      <c r="K3537" s="57">
        <v>106</v>
      </c>
      <c r="L3537" s="164">
        <v>2000</v>
      </c>
    </row>
    <row r="3538" spans="2:12" x14ac:dyDescent="0.3">
      <c r="B3538" s="57">
        <f t="shared" si="316"/>
        <v>3535</v>
      </c>
      <c r="C3538" s="142">
        <v>46244</v>
      </c>
      <c r="D3538" s="57" t="s">
        <v>435</v>
      </c>
      <c r="E3538" s="57" t="s">
        <v>3679</v>
      </c>
      <c r="F3538" s="57" t="s">
        <v>300</v>
      </c>
      <c r="G3538" s="57" t="s">
        <v>300</v>
      </c>
      <c r="H3538" s="140" t="s">
        <v>3673</v>
      </c>
      <c r="I3538" s="57" t="s">
        <v>3679</v>
      </c>
      <c r="J3538" s="57"/>
      <c r="L3538" s="164">
        <v>720</v>
      </c>
    </row>
    <row r="3539" spans="2:12" x14ac:dyDescent="0.3">
      <c r="B3539" s="57">
        <f t="shared" si="316"/>
        <v>3536</v>
      </c>
      <c r="C3539" s="142">
        <v>46244</v>
      </c>
      <c r="D3539" s="57" t="s">
        <v>968</v>
      </c>
      <c r="E3539" s="57" t="s">
        <v>146</v>
      </c>
      <c r="F3539" s="57" t="s">
        <v>300</v>
      </c>
      <c r="G3539" s="57" t="s">
        <v>530</v>
      </c>
      <c r="H3539" s="140" t="s">
        <v>3674</v>
      </c>
      <c r="I3539" s="57"/>
      <c r="J3539" s="165">
        <f>L3539/K3539</f>
        <v>18.867924528301888</v>
      </c>
      <c r="K3539" s="57">
        <v>106</v>
      </c>
      <c r="L3539" s="164">
        <v>2000</v>
      </c>
    </row>
    <row r="3540" spans="2:12" x14ac:dyDescent="0.3">
      <c r="B3540" s="57">
        <f t="shared" si="316"/>
        <v>3537</v>
      </c>
      <c r="C3540" s="142">
        <v>46244</v>
      </c>
      <c r="D3540" s="57" t="s">
        <v>968</v>
      </c>
      <c r="E3540" s="57" t="s">
        <v>574</v>
      </c>
      <c r="F3540" s="57" t="s">
        <v>652</v>
      </c>
      <c r="G3540" s="57" t="s">
        <v>651</v>
      </c>
      <c r="H3540" s="140" t="s">
        <v>3675</v>
      </c>
      <c r="I3540" s="140" t="s">
        <v>4118</v>
      </c>
      <c r="J3540" s="57">
        <v>5.43</v>
      </c>
      <c r="K3540" s="57">
        <v>750</v>
      </c>
      <c r="L3540" s="164">
        <f t="shared" si="310"/>
        <v>4072.5</v>
      </c>
    </row>
    <row r="3541" spans="2:12" x14ac:dyDescent="0.3">
      <c r="B3541" s="57">
        <f t="shared" si="316"/>
        <v>3538</v>
      </c>
      <c r="C3541" s="142">
        <v>46244</v>
      </c>
      <c r="D3541" s="57" t="s">
        <v>968</v>
      </c>
      <c r="E3541" s="57" t="s">
        <v>574</v>
      </c>
      <c r="F3541" s="57" t="s">
        <v>652</v>
      </c>
      <c r="G3541" s="57" t="s">
        <v>651</v>
      </c>
      <c r="H3541" s="140" t="s">
        <v>3675</v>
      </c>
      <c r="I3541" s="140" t="s">
        <v>4118</v>
      </c>
      <c r="J3541" s="57">
        <v>5.32</v>
      </c>
      <c r="K3541" s="57">
        <v>750</v>
      </c>
      <c r="L3541" s="164">
        <f t="shared" si="310"/>
        <v>3990</v>
      </c>
    </row>
    <row r="3542" spans="2:12" x14ac:dyDescent="0.3">
      <c r="B3542" s="57">
        <f t="shared" si="316"/>
        <v>3539</v>
      </c>
      <c r="C3542" s="142">
        <v>46244</v>
      </c>
      <c r="D3542" s="57" t="s">
        <v>968</v>
      </c>
      <c r="E3542" s="57" t="s">
        <v>146</v>
      </c>
      <c r="F3542" s="57" t="s">
        <v>300</v>
      </c>
      <c r="G3542" s="57" t="s">
        <v>498</v>
      </c>
      <c r="H3542" s="140" t="s">
        <v>3676</v>
      </c>
      <c r="I3542" s="57"/>
      <c r="J3542" s="165">
        <f t="shared" ref="J3542:J3544" si="317">L3542/K3542</f>
        <v>37.735849056603776</v>
      </c>
      <c r="K3542" s="57">
        <v>106</v>
      </c>
      <c r="L3542" s="164">
        <v>4000</v>
      </c>
    </row>
    <row r="3543" spans="2:12" x14ac:dyDescent="0.3">
      <c r="B3543" s="57">
        <f t="shared" si="316"/>
        <v>3540</v>
      </c>
      <c r="C3543" s="142">
        <v>46244</v>
      </c>
      <c r="D3543" s="57" t="s">
        <v>968</v>
      </c>
      <c r="E3543" s="57" t="s">
        <v>146</v>
      </c>
      <c r="F3543" s="57" t="s">
        <v>652</v>
      </c>
      <c r="G3543" s="57" t="s">
        <v>651</v>
      </c>
      <c r="H3543" s="140" t="s">
        <v>4102</v>
      </c>
      <c r="I3543" s="57" t="s">
        <v>146</v>
      </c>
      <c r="J3543" s="165">
        <f t="shared" si="317"/>
        <v>18.867924528301888</v>
      </c>
      <c r="K3543" s="57">
        <v>106</v>
      </c>
      <c r="L3543" s="164">
        <v>2000</v>
      </c>
    </row>
    <row r="3544" spans="2:12" x14ac:dyDescent="0.3">
      <c r="B3544" s="57">
        <f t="shared" si="316"/>
        <v>3541</v>
      </c>
      <c r="C3544" s="142">
        <v>46244</v>
      </c>
      <c r="D3544" s="57" t="s">
        <v>968</v>
      </c>
      <c r="E3544" s="57" t="s">
        <v>146</v>
      </c>
      <c r="F3544" s="57" t="s">
        <v>446</v>
      </c>
      <c r="G3544" s="57" t="s">
        <v>990</v>
      </c>
      <c r="H3544" s="140" t="s">
        <v>4089</v>
      </c>
      <c r="I3544" s="57"/>
      <c r="J3544" s="165">
        <f t="shared" si="317"/>
        <v>18.867924528301888</v>
      </c>
      <c r="K3544" s="57">
        <v>106</v>
      </c>
      <c r="L3544" s="164">
        <v>2000</v>
      </c>
    </row>
    <row r="3545" spans="2:12" x14ac:dyDescent="0.3">
      <c r="B3545" s="57">
        <f t="shared" si="316"/>
        <v>3542</v>
      </c>
      <c r="C3545" s="142">
        <v>46244</v>
      </c>
      <c r="D3545" s="57" t="s">
        <v>968</v>
      </c>
      <c r="E3545" s="57" t="s">
        <v>146</v>
      </c>
      <c r="F3545" s="57" t="s">
        <v>4097</v>
      </c>
      <c r="G3545" s="57" t="s">
        <v>572</v>
      </c>
      <c r="H3545" s="140" t="s">
        <v>3677</v>
      </c>
      <c r="I3545" s="57"/>
      <c r="L3545" s="164">
        <v>8800</v>
      </c>
    </row>
    <row r="3546" spans="2:12" x14ac:dyDescent="0.3">
      <c r="B3546" s="57">
        <f t="shared" si="316"/>
        <v>3543</v>
      </c>
      <c r="C3546" s="142">
        <v>46244</v>
      </c>
      <c r="D3546" s="57" t="s">
        <v>968</v>
      </c>
      <c r="E3546" s="57" t="s">
        <v>4128</v>
      </c>
      <c r="F3546" s="57" t="s">
        <v>446</v>
      </c>
      <c r="G3546" s="57" t="s">
        <v>572</v>
      </c>
      <c r="H3546" s="140" t="s">
        <v>3678</v>
      </c>
      <c r="I3546" s="57"/>
      <c r="J3546" s="57"/>
      <c r="L3546" s="164">
        <v>1660</v>
      </c>
    </row>
    <row r="3547" spans="2:12" x14ac:dyDescent="0.3">
      <c r="B3547" s="57">
        <f t="shared" si="316"/>
        <v>3544</v>
      </c>
      <c r="C3547" s="142">
        <v>46244</v>
      </c>
      <c r="D3547" s="57" t="s">
        <v>968</v>
      </c>
      <c r="E3547" s="57" t="s">
        <v>146</v>
      </c>
      <c r="F3547" s="57" t="s">
        <v>300</v>
      </c>
      <c r="G3547" s="57" t="s">
        <v>3404</v>
      </c>
      <c r="H3547" s="140" t="s">
        <v>4095</v>
      </c>
      <c r="I3547" s="57"/>
      <c r="J3547" s="165">
        <f t="shared" ref="J3547:J3549" si="318">L3547/K3547</f>
        <v>18.867924528301888</v>
      </c>
      <c r="K3547" s="57">
        <v>106</v>
      </c>
      <c r="L3547" s="164">
        <v>2000</v>
      </c>
    </row>
    <row r="3548" spans="2:12" x14ac:dyDescent="0.3">
      <c r="B3548" s="57">
        <f t="shared" si="316"/>
        <v>3545</v>
      </c>
      <c r="C3548" s="142">
        <v>46245</v>
      </c>
      <c r="D3548" s="57" t="s">
        <v>968</v>
      </c>
      <c r="E3548" s="57" t="s">
        <v>146</v>
      </c>
      <c r="F3548" s="57" t="s">
        <v>350</v>
      </c>
      <c r="H3548" s="140" t="s">
        <v>4092</v>
      </c>
      <c r="I3548" s="57"/>
      <c r="J3548" s="165">
        <f t="shared" si="318"/>
        <v>140.14150943396226</v>
      </c>
      <c r="K3548" s="57">
        <v>106</v>
      </c>
      <c r="L3548" s="164">
        <v>14855</v>
      </c>
    </row>
    <row r="3549" spans="2:12" x14ac:dyDescent="0.3">
      <c r="B3549" s="57">
        <f t="shared" si="316"/>
        <v>3546</v>
      </c>
      <c r="C3549" s="142">
        <v>46245</v>
      </c>
      <c r="D3549" s="57" t="s">
        <v>968</v>
      </c>
      <c r="E3549" s="57" t="s">
        <v>146</v>
      </c>
      <c r="F3549" s="57" t="s">
        <v>2332</v>
      </c>
      <c r="G3549" s="57" t="s">
        <v>1004</v>
      </c>
      <c r="H3549" s="140" t="s">
        <v>3680</v>
      </c>
      <c r="I3549" s="57"/>
      <c r="J3549" s="165">
        <f t="shared" si="318"/>
        <v>18.867924528301888</v>
      </c>
      <c r="K3549" s="57">
        <v>106</v>
      </c>
      <c r="L3549" s="164">
        <v>2000</v>
      </c>
    </row>
    <row r="3550" spans="2:12" x14ac:dyDescent="0.3">
      <c r="B3550" s="57">
        <f t="shared" si="316"/>
        <v>3547</v>
      </c>
      <c r="C3550" s="142">
        <v>46245</v>
      </c>
      <c r="D3550" s="57" t="s">
        <v>968</v>
      </c>
      <c r="E3550" s="57" t="s">
        <v>532</v>
      </c>
      <c r="F3550" s="57" t="s">
        <v>546</v>
      </c>
      <c r="G3550" s="57" t="s">
        <v>545</v>
      </c>
      <c r="H3550" s="140" t="s">
        <v>3681</v>
      </c>
      <c r="I3550" s="57" t="s">
        <v>532</v>
      </c>
      <c r="J3550" s="57">
        <v>10</v>
      </c>
      <c r="K3550" s="57">
        <v>270</v>
      </c>
      <c r="L3550" s="164">
        <f t="shared" si="310"/>
        <v>2700</v>
      </c>
    </row>
    <row r="3551" spans="2:12" x14ac:dyDescent="0.3">
      <c r="B3551" s="57">
        <f t="shared" si="316"/>
        <v>3548</v>
      </c>
      <c r="C3551" s="142">
        <v>46245</v>
      </c>
      <c r="D3551" s="57" t="s">
        <v>968</v>
      </c>
      <c r="E3551" s="57" t="s">
        <v>146</v>
      </c>
      <c r="F3551" s="57" t="s">
        <v>300</v>
      </c>
      <c r="G3551" s="57" t="s">
        <v>530</v>
      </c>
      <c r="H3551" s="140" t="s">
        <v>3682</v>
      </c>
      <c r="I3551" s="57"/>
      <c r="J3551" s="165">
        <f>L3551/K3551</f>
        <v>18.867924528301888</v>
      </c>
      <c r="K3551" s="57">
        <v>106</v>
      </c>
      <c r="L3551" s="164">
        <v>2000</v>
      </c>
    </row>
    <row r="3552" spans="2:12" x14ac:dyDescent="0.3">
      <c r="B3552" s="57">
        <f t="shared" si="316"/>
        <v>3549</v>
      </c>
      <c r="C3552" s="142">
        <v>46245</v>
      </c>
      <c r="D3552" s="57" t="s">
        <v>968</v>
      </c>
      <c r="E3552" s="57" t="s">
        <v>434</v>
      </c>
      <c r="F3552" s="57" t="s">
        <v>446</v>
      </c>
      <c r="G3552" s="57" t="s">
        <v>990</v>
      </c>
      <c r="H3552" s="140" t="s">
        <v>3683</v>
      </c>
      <c r="I3552" s="57"/>
      <c r="J3552" s="57"/>
      <c r="L3552" s="164">
        <v>4550</v>
      </c>
    </row>
    <row r="3553" spans="2:12" x14ac:dyDescent="0.3">
      <c r="B3553" s="57">
        <f t="shared" si="316"/>
        <v>3550</v>
      </c>
      <c r="C3553" s="142">
        <v>46245</v>
      </c>
      <c r="D3553" s="57" t="s">
        <v>968</v>
      </c>
      <c r="E3553" s="57" t="s">
        <v>460</v>
      </c>
      <c r="F3553" s="57" t="s">
        <v>446</v>
      </c>
      <c r="G3553" s="57" t="s">
        <v>990</v>
      </c>
      <c r="H3553" s="140" t="s">
        <v>3684</v>
      </c>
      <c r="I3553" s="57" t="s">
        <v>3669</v>
      </c>
      <c r="J3553" s="57" t="s">
        <v>2680</v>
      </c>
      <c r="L3553" s="164">
        <v>420</v>
      </c>
    </row>
    <row r="3554" spans="2:12" x14ac:dyDescent="0.3">
      <c r="B3554" s="57">
        <f t="shared" si="316"/>
        <v>3551</v>
      </c>
      <c r="C3554" s="142">
        <v>46245</v>
      </c>
      <c r="D3554" s="57" t="s">
        <v>968</v>
      </c>
      <c r="E3554" s="57" t="s">
        <v>574</v>
      </c>
      <c r="F3554" s="57" t="s">
        <v>300</v>
      </c>
      <c r="G3554" s="57" t="s">
        <v>616</v>
      </c>
      <c r="H3554" s="140" t="s">
        <v>3693</v>
      </c>
      <c r="I3554" s="140" t="s">
        <v>4081</v>
      </c>
      <c r="J3554" s="57">
        <v>4.6399999999999997</v>
      </c>
      <c r="K3554" s="57">
        <v>700</v>
      </c>
      <c r="L3554" s="164">
        <f t="shared" si="310"/>
        <v>3248</v>
      </c>
    </row>
    <row r="3555" spans="2:12" x14ac:dyDescent="0.3">
      <c r="B3555" s="57">
        <f t="shared" si="316"/>
        <v>3552</v>
      </c>
      <c r="C3555" s="142">
        <v>46245</v>
      </c>
      <c r="D3555" s="57" t="s">
        <v>968</v>
      </c>
      <c r="E3555" s="57" t="s">
        <v>574</v>
      </c>
      <c r="F3555" s="57" t="s">
        <v>300</v>
      </c>
      <c r="G3555" s="57" t="s">
        <v>616</v>
      </c>
      <c r="H3555" s="140" t="s">
        <v>3692</v>
      </c>
      <c r="I3555" s="140" t="s">
        <v>2635</v>
      </c>
      <c r="J3555" s="57">
        <v>5.7</v>
      </c>
      <c r="K3555" s="57">
        <v>750</v>
      </c>
      <c r="L3555" s="164">
        <f t="shared" si="310"/>
        <v>4275</v>
      </c>
    </row>
    <row r="3556" spans="2:12" x14ac:dyDescent="0.3">
      <c r="B3556" s="57">
        <f t="shared" si="316"/>
        <v>3553</v>
      </c>
      <c r="C3556" s="142">
        <v>46245</v>
      </c>
      <c r="D3556" s="57" t="s">
        <v>968</v>
      </c>
      <c r="E3556" s="57" t="s">
        <v>146</v>
      </c>
      <c r="F3556" s="57" t="s">
        <v>350</v>
      </c>
      <c r="G3556" s="57" t="s">
        <v>675</v>
      </c>
      <c r="H3556" s="140" t="s">
        <v>4102</v>
      </c>
      <c r="I3556" s="57" t="s">
        <v>146</v>
      </c>
      <c r="J3556" s="165">
        <f>L3556/K3556</f>
        <v>18.867924528301888</v>
      </c>
      <c r="K3556" s="57">
        <v>106</v>
      </c>
      <c r="L3556" s="164">
        <v>2000</v>
      </c>
    </row>
    <row r="3557" spans="2:12" x14ac:dyDescent="0.3">
      <c r="B3557" s="57">
        <f t="shared" si="316"/>
        <v>3554</v>
      </c>
      <c r="C3557" s="142">
        <v>46245</v>
      </c>
      <c r="D3557" s="57" t="s">
        <v>968</v>
      </c>
      <c r="E3557" s="57" t="s">
        <v>574</v>
      </c>
      <c r="F3557" s="57" t="s">
        <v>350</v>
      </c>
      <c r="G3557" s="57" t="s">
        <v>3103</v>
      </c>
      <c r="H3557" s="140" t="s">
        <v>3685</v>
      </c>
      <c r="I3557" s="140" t="s">
        <v>4081</v>
      </c>
      <c r="J3557" s="57">
        <v>4.45</v>
      </c>
      <c r="K3557" s="168">
        <f>L3557/J3557</f>
        <v>649.43820224719093</v>
      </c>
      <c r="L3557" s="164">
        <v>2890</v>
      </c>
    </row>
    <row r="3558" spans="2:12" x14ac:dyDescent="0.3">
      <c r="B3558" s="57">
        <f t="shared" si="316"/>
        <v>3555</v>
      </c>
      <c r="C3558" s="142">
        <v>46245</v>
      </c>
      <c r="D3558" s="57" t="s">
        <v>968</v>
      </c>
      <c r="E3558" s="57" t="s">
        <v>146</v>
      </c>
      <c r="F3558" s="57" t="s">
        <v>300</v>
      </c>
      <c r="G3558" s="57" t="s">
        <v>530</v>
      </c>
      <c r="H3558" s="140" t="s">
        <v>4095</v>
      </c>
      <c r="I3558" s="57"/>
      <c r="J3558" s="165">
        <f>L3558/K3558</f>
        <v>18.867924528301888</v>
      </c>
      <c r="K3558" s="57">
        <v>106</v>
      </c>
      <c r="L3558" s="164">
        <v>2000</v>
      </c>
    </row>
    <row r="3559" spans="2:12" x14ac:dyDescent="0.3">
      <c r="B3559" s="57">
        <f t="shared" si="316"/>
        <v>3556</v>
      </c>
      <c r="C3559" s="142">
        <v>46245</v>
      </c>
      <c r="D3559" s="57" t="s">
        <v>968</v>
      </c>
      <c r="E3559" s="57" t="s">
        <v>532</v>
      </c>
      <c r="F3559" s="57" t="s">
        <v>2332</v>
      </c>
      <c r="G3559" s="57" t="s">
        <v>1004</v>
      </c>
      <c r="H3559" s="140" t="s">
        <v>3686</v>
      </c>
      <c r="I3559" s="57" t="s">
        <v>532</v>
      </c>
      <c r="J3559" s="57">
        <v>6</v>
      </c>
      <c r="K3559" s="57">
        <v>260</v>
      </c>
      <c r="L3559" s="164">
        <f t="shared" si="310"/>
        <v>1560</v>
      </c>
    </row>
    <row r="3560" spans="2:12" x14ac:dyDescent="0.3">
      <c r="B3560" s="57">
        <f t="shared" si="316"/>
        <v>3557</v>
      </c>
      <c r="C3560" s="142">
        <v>46245</v>
      </c>
      <c r="D3560" s="57" t="s">
        <v>968</v>
      </c>
      <c r="E3560" s="57" t="s">
        <v>146</v>
      </c>
      <c r="F3560" s="57" t="s">
        <v>300</v>
      </c>
      <c r="G3560" s="57" t="s">
        <v>616</v>
      </c>
      <c r="H3560" s="140" t="s">
        <v>894</v>
      </c>
      <c r="I3560" s="57"/>
      <c r="J3560" s="165">
        <f t="shared" ref="J3560:J3561" si="319">L3560/K3560</f>
        <v>35.179245283018865</v>
      </c>
      <c r="K3560" s="57">
        <v>106</v>
      </c>
      <c r="L3560" s="164">
        <v>3729</v>
      </c>
    </row>
    <row r="3561" spans="2:12" x14ac:dyDescent="0.3">
      <c r="B3561" s="57">
        <f t="shared" si="316"/>
        <v>3558</v>
      </c>
      <c r="C3561" s="142">
        <v>46245</v>
      </c>
      <c r="D3561" s="57" t="s">
        <v>968</v>
      </c>
      <c r="E3561" s="57" t="s">
        <v>146</v>
      </c>
      <c r="F3561" s="57" t="s">
        <v>300</v>
      </c>
      <c r="G3561" s="57" t="s">
        <v>530</v>
      </c>
      <c r="H3561" s="140" t="s">
        <v>4105</v>
      </c>
      <c r="I3561" s="57"/>
      <c r="J3561" s="165">
        <f t="shared" si="319"/>
        <v>9.433962264150944</v>
      </c>
      <c r="K3561" s="57">
        <v>106</v>
      </c>
      <c r="L3561" s="164">
        <v>1000</v>
      </c>
    </row>
    <row r="3562" spans="2:12" x14ac:dyDescent="0.3">
      <c r="B3562" s="57">
        <f t="shared" si="316"/>
        <v>3559</v>
      </c>
      <c r="C3562" s="142">
        <v>46245</v>
      </c>
      <c r="D3562" s="57" t="s">
        <v>968</v>
      </c>
      <c r="E3562" s="57" t="s">
        <v>434</v>
      </c>
      <c r="F3562" s="57" t="s">
        <v>350</v>
      </c>
      <c r="G3562" s="57" t="s">
        <v>3433</v>
      </c>
      <c r="H3562" s="140" t="s">
        <v>3687</v>
      </c>
      <c r="I3562" s="57"/>
      <c r="J3562" s="57"/>
      <c r="L3562" s="164">
        <v>165</v>
      </c>
    </row>
    <row r="3563" spans="2:12" x14ac:dyDescent="0.3">
      <c r="B3563" s="57">
        <f t="shared" si="316"/>
        <v>3560</v>
      </c>
      <c r="C3563" s="142">
        <v>46245</v>
      </c>
      <c r="D3563" s="57" t="s">
        <v>968</v>
      </c>
      <c r="E3563" s="57" t="s">
        <v>532</v>
      </c>
      <c r="F3563" s="57" t="s">
        <v>300</v>
      </c>
      <c r="G3563" s="57" t="s">
        <v>530</v>
      </c>
      <c r="H3563" s="140" t="s">
        <v>3688</v>
      </c>
      <c r="I3563" s="57" t="s">
        <v>532</v>
      </c>
      <c r="J3563" s="57">
        <v>20</v>
      </c>
      <c r="K3563" s="57">
        <v>260</v>
      </c>
      <c r="L3563" s="164">
        <f t="shared" si="310"/>
        <v>5200</v>
      </c>
    </row>
    <row r="3564" spans="2:12" x14ac:dyDescent="0.3">
      <c r="B3564" s="57">
        <f t="shared" si="316"/>
        <v>3561</v>
      </c>
      <c r="C3564" s="142">
        <v>46245</v>
      </c>
      <c r="D3564" s="57" t="s">
        <v>968</v>
      </c>
      <c r="E3564" s="57" t="s">
        <v>4128</v>
      </c>
      <c r="F3564" s="57" t="s">
        <v>300</v>
      </c>
      <c r="G3564" s="57" t="s">
        <v>530</v>
      </c>
      <c r="H3564" s="140" t="s">
        <v>3531</v>
      </c>
      <c r="I3564" s="57" t="s">
        <v>532</v>
      </c>
      <c r="J3564" s="57"/>
      <c r="L3564" s="164">
        <v>100</v>
      </c>
    </row>
    <row r="3565" spans="2:12" x14ac:dyDescent="0.3">
      <c r="B3565" s="57">
        <f t="shared" si="316"/>
        <v>3562</v>
      </c>
      <c r="C3565" s="142">
        <v>46245</v>
      </c>
      <c r="D3565" s="57" t="s">
        <v>968</v>
      </c>
      <c r="E3565" s="57" t="s">
        <v>460</v>
      </c>
      <c r="F3565" s="57" t="s">
        <v>350</v>
      </c>
      <c r="G3565" s="57" t="s">
        <v>3270</v>
      </c>
      <c r="H3565" s="140" t="s">
        <v>3689</v>
      </c>
      <c r="I3565" s="57" t="s">
        <v>3668</v>
      </c>
      <c r="J3565" s="57" t="s">
        <v>3694</v>
      </c>
      <c r="L3565" s="164">
        <v>1200</v>
      </c>
    </row>
    <row r="3566" spans="2:12" x14ac:dyDescent="0.3">
      <c r="B3566" s="57">
        <f t="shared" si="316"/>
        <v>3563</v>
      </c>
      <c r="C3566" s="142">
        <v>46245</v>
      </c>
      <c r="D3566" s="57" t="s">
        <v>968</v>
      </c>
      <c r="E3566" s="57" t="s">
        <v>146</v>
      </c>
      <c r="F3566" s="57" t="s">
        <v>350</v>
      </c>
      <c r="G3566" s="57" t="s">
        <v>3103</v>
      </c>
      <c r="H3566" s="140" t="s">
        <v>4106</v>
      </c>
      <c r="I3566" s="57"/>
      <c r="J3566" s="165">
        <f>L3566/K3566</f>
        <v>18.867924528301888</v>
      </c>
      <c r="K3566" s="57">
        <v>106</v>
      </c>
      <c r="L3566" s="164">
        <v>2000</v>
      </c>
    </row>
    <row r="3567" spans="2:12" x14ac:dyDescent="0.3">
      <c r="B3567" s="57">
        <f t="shared" si="316"/>
        <v>3564</v>
      </c>
      <c r="C3567" s="142">
        <v>46245</v>
      </c>
      <c r="D3567" s="57" t="s">
        <v>968</v>
      </c>
      <c r="E3567" s="57" t="s">
        <v>460</v>
      </c>
      <c r="F3567" s="57" t="s">
        <v>350</v>
      </c>
      <c r="G3567" s="57" t="s">
        <v>675</v>
      </c>
      <c r="H3567" s="140" t="s">
        <v>3690</v>
      </c>
      <c r="I3567" s="57"/>
      <c r="J3567" s="57"/>
      <c r="L3567" s="164">
        <v>2300</v>
      </c>
    </row>
    <row r="3568" spans="2:12" x14ac:dyDescent="0.3">
      <c r="B3568" s="57">
        <f t="shared" si="316"/>
        <v>3565</v>
      </c>
      <c r="C3568" s="142">
        <v>46245</v>
      </c>
      <c r="D3568" s="57" t="s">
        <v>968</v>
      </c>
      <c r="E3568" s="57" t="s">
        <v>2427</v>
      </c>
      <c r="F3568" s="57" t="s">
        <v>300</v>
      </c>
      <c r="G3568" s="57" t="s">
        <v>530</v>
      </c>
      <c r="H3568" s="140" t="s">
        <v>3691</v>
      </c>
      <c r="I3568" s="57" t="s">
        <v>3443</v>
      </c>
      <c r="J3568" s="57">
        <v>769</v>
      </c>
      <c r="K3568" s="168">
        <f>L3568/J3568</f>
        <v>59.427828348504555</v>
      </c>
      <c r="L3568" s="164">
        <v>45700</v>
      </c>
    </row>
    <row r="3569" spans="2:12" x14ac:dyDescent="0.3">
      <c r="B3569" s="57">
        <f t="shared" si="316"/>
        <v>3566</v>
      </c>
      <c r="C3569" s="142">
        <v>46245</v>
      </c>
      <c r="D3569" s="57" t="s">
        <v>968</v>
      </c>
      <c r="E3569" s="57" t="s">
        <v>574</v>
      </c>
      <c r="F3569" s="57" t="s">
        <v>300</v>
      </c>
      <c r="G3569" s="57" t="s">
        <v>3404</v>
      </c>
      <c r="H3569" s="140" t="s">
        <v>3695</v>
      </c>
      <c r="I3569" s="140" t="s">
        <v>2635</v>
      </c>
      <c r="J3569" s="57">
        <v>4.45</v>
      </c>
      <c r="K3569" s="168">
        <f>L3569/J3569</f>
        <v>494.38202247191009</v>
      </c>
      <c r="L3569" s="164">
        <v>2200</v>
      </c>
    </row>
    <row r="3570" spans="2:12" x14ac:dyDescent="0.3">
      <c r="B3570" s="57">
        <f t="shared" si="316"/>
        <v>3567</v>
      </c>
      <c r="C3570" s="142">
        <v>46245</v>
      </c>
      <c r="D3570" s="57" t="s">
        <v>968</v>
      </c>
      <c r="E3570" s="57" t="s">
        <v>146</v>
      </c>
      <c r="F3570" s="57" t="s">
        <v>300</v>
      </c>
      <c r="G3570" s="57" t="s">
        <v>994</v>
      </c>
      <c r="H3570" s="140" t="s">
        <v>3696</v>
      </c>
      <c r="I3570" s="57"/>
      <c r="J3570" s="165">
        <f t="shared" ref="J3570:J3571" si="320">L3570/K3570</f>
        <v>18.867924528301888</v>
      </c>
      <c r="K3570" s="57">
        <v>106</v>
      </c>
      <c r="L3570" s="164">
        <v>2000</v>
      </c>
    </row>
    <row r="3571" spans="2:12" x14ac:dyDescent="0.3">
      <c r="B3571" s="57">
        <f t="shared" si="316"/>
        <v>3568</v>
      </c>
      <c r="C3571" s="142">
        <v>46245</v>
      </c>
      <c r="D3571" s="57" t="s">
        <v>968</v>
      </c>
      <c r="E3571" s="57" t="s">
        <v>146</v>
      </c>
      <c r="F3571" s="57" t="s">
        <v>546</v>
      </c>
      <c r="G3571" s="57" t="s">
        <v>3514</v>
      </c>
      <c r="H3571" s="140" t="s">
        <v>4114</v>
      </c>
      <c r="I3571" s="57" t="s">
        <v>146</v>
      </c>
      <c r="J3571" s="165">
        <f t="shared" si="320"/>
        <v>18.867924528301888</v>
      </c>
      <c r="K3571" s="57">
        <v>106</v>
      </c>
      <c r="L3571" s="164">
        <v>2000</v>
      </c>
    </row>
    <row r="3572" spans="2:12" x14ac:dyDescent="0.3">
      <c r="B3572" s="57">
        <f t="shared" si="316"/>
        <v>3569</v>
      </c>
      <c r="C3572" s="142">
        <v>46245</v>
      </c>
      <c r="D3572" s="57" t="s">
        <v>968</v>
      </c>
      <c r="E3572" s="57" t="s">
        <v>986</v>
      </c>
      <c r="F3572" s="57" t="s">
        <v>502</v>
      </c>
      <c r="G3572" s="57" t="s">
        <v>257</v>
      </c>
      <c r="H3572" s="140" t="s">
        <v>3697</v>
      </c>
      <c r="I3572" s="57" t="s">
        <v>986</v>
      </c>
      <c r="J3572" s="57">
        <v>25</v>
      </c>
      <c r="L3572" s="164">
        <v>2000</v>
      </c>
    </row>
    <row r="3573" spans="2:12" x14ac:dyDescent="0.3">
      <c r="B3573" s="57">
        <f t="shared" si="316"/>
        <v>3570</v>
      </c>
      <c r="C3573" s="142">
        <v>46245</v>
      </c>
      <c r="D3573" s="57" t="s">
        <v>968</v>
      </c>
      <c r="E3573" s="57" t="s">
        <v>460</v>
      </c>
      <c r="F3573" s="57" t="s">
        <v>2332</v>
      </c>
      <c r="G3573" s="57" t="s">
        <v>1004</v>
      </c>
      <c r="H3573" s="140" t="s">
        <v>3698</v>
      </c>
      <c r="I3573" s="57" t="s">
        <v>460</v>
      </c>
      <c r="J3573" s="57" t="s">
        <v>2680</v>
      </c>
      <c r="L3573" s="164">
        <v>400</v>
      </c>
    </row>
    <row r="3574" spans="2:12" x14ac:dyDescent="0.3">
      <c r="B3574" s="57">
        <f t="shared" si="316"/>
        <v>3571</v>
      </c>
      <c r="C3574" s="142">
        <v>46245</v>
      </c>
      <c r="D3574" s="57" t="s">
        <v>968</v>
      </c>
      <c r="E3574" s="57" t="s">
        <v>146</v>
      </c>
      <c r="F3574" s="57" t="s">
        <v>502</v>
      </c>
      <c r="G3574" s="57" t="s">
        <v>2344</v>
      </c>
      <c r="H3574" s="140" t="s">
        <v>1826</v>
      </c>
      <c r="I3574" s="57"/>
      <c r="J3574" s="165">
        <f>L3574/K3574</f>
        <v>18.867924528301888</v>
      </c>
      <c r="K3574" s="57">
        <v>106</v>
      </c>
      <c r="L3574" s="164">
        <v>2000</v>
      </c>
    </row>
    <row r="3575" spans="2:12" x14ac:dyDescent="0.3">
      <c r="B3575" s="57">
        <f t="shared" si="316"/>
        <v>3572</v>
      </c>
      <c r="C3575" s="142">
        <v>46245</v>
      </c>
      <c r="D3575" s="57" t="s">
        <v>968</v>
      </c>
      <c r="E3575" s="57" t="s">
        <v>460</v>
      </c>
      <c r="F3575" s="57" t="s">
        <v>2332</v>
      </c>
      <c r="G3575" s="57" t="s">
        <v>1004</v>
      </c>
      <c r="H3575" s="140" t="s">
        <v>3698</v>
      </c>
      <c r="I3575" s="57"/>
      <c r="J3575" s="57"/>
      <c r="L3575" s="164">
        <v>400</v>
      </c>
    </row>
    <row r="3576" spans="2:12" x14ac:dyDescent="0.3">
      <c r="B3576" s="57">
        <f t="shared" si="316"/>
        <v>3573</v>
      </c>
      <c r="C3576" s="142">
        <v>46245</v>
      </c>
      <c r="D3576" s="57" t="s">
        <v>968</v>
      </c>
      <c r="E3576" s="57" t="s">
        <v>434</v>
      </c>
      <c r="F3576" s="57" t="s">
        <v>502</v>
      </c>
      <c r="G3576" s="57" t="s">
        <v>257</v>
      </c>
      <c r="H3576" s="140" t="s">
        <v>3704</v>
      </c>
      <c r="I3576" s="57"/>
      <c r="J3576" s="57"/>
      <c r="L3576" s="164">
        <v>1800</v>
      </c>
    </row>
    <row r="3577" spans="2:12" x14ac:dyDescent="0.3">
      <c r="B3577" s="57">
        <f t="shared" si="316"/>
        <v>3574</v>
      </c>
      <c r="C3577" s="142">
        <v>46245</v>
      </c>
      <c r="D3577" s="57" t="s">
        <v>968</v>
      </c>
      <c r="E3577" s="57" t="s">
        <v>146</v>
      </c>
      <c r="F3577" s="57" t="s">
        <v>300</v>
      </c>
      <c r="G3577" s="57" t="s">
        <v>438</v>
      </c>
      <c r="H3577" s="140" t="s">
        <v>4110</v>
      </c>
      <c r="I3577" s="57"/>
      <c r="J3577" s="165">
        <f>L3577/K3577</f>
        <v>18.867924528301888</v>
      </c>
      <c r="K3577" s="57">
        <v>106</v>
      </c>
      <c r="L3577" s="164">
        <v>2000</v>
      </c>
    </row>
    <row r="3578" spans="2:12" x14ac:dyDescent="0.3">
      <c r="B3578" s="57">
        <f t="shared" si="316"/>
        <v>3575</v>
      </c>
      <c r="C3578" s="142">
        <v>46245</v>
      </c>
      <c r="D3578" s="57" t="s">
        <v>968</v>
      </c>
      <c r="E3578" s="57" t="s">
        <v>767</v>
      </c>
      <c r="F3578" s="57" t="s">
        <v>502</v>
      </c>
      <c r="G3578" s="57" t="s">
        <v>257</v>
      </c>
      <c r="H3578" s="140" t="s">
        <v>3699</v>
      </c>
      <c r="I3578" s="57"/>
      <c r="J3578" s="57"/>
      <c r="L3578" s="164">
        <v>1760</v>
      </c>
    </row>
    <row r="3579" spans="2:12" x14ac:dyDescent="0.3">
      <c r="B3579" s="57">
        <f t="shared" si="316"/>
        <v>3576</v>
      </c>
      <c r="C3579" s="142">
        <v>46245</v>
      </c>
      <c r="D3579" s="57" t="s">
        <v>968</v>
      </c>
      <c r="E3579" s="57" t="s">
        <v>574</v>
      </c>
      <c r="F3579" s="57" t="s">
        <v>546</v>
      </c>
      <c r="G3579" s="57" t="s">
        <v>3514</v>
      </c>
      <c r="H3579" s="140" t="s">
        <v>3700</v>
      </c>
      <c r="I3579" s="140" t="s">
        <v>2635</v>
      </c>
      <c r="J3579" s="57">
        <v>3.74</v>
      </c>
      <c r="K3579" s="57">
        <v>750</v>
      </c>
      <c r="L3579" s="164">
        <f t="shared" ref="L3579:L3583" si="321">J3579*K3579</f>
        <v>2805</v>
      </c>
    </row>
    <row r="3580" spans="2:12" x14ac:dyDescent="0.3">
      <c r="B3580" s="57">
        <f t="shared" si="316"/>
        <v>3577</v>
      </c>
      <c r="C3580" s="142">
        <v>46245</v>
      </c>
      <c r="D3580" s="57" t="s">
        <v>968</v>
      </c>
      <c r="E3580" s="57" t="s">
        <v>3424</v>
      </c>
      <c r="F3580" s="57" t="s">
        <v>546</v>
      </c>
      <c r="G3580" s="57" t="s">
        <v>3514</v>
      </c>
      <c r="H3580" s="140" t="s">
        <v>3707</v>
      </c>
      <c r="I3580" s="57"/>
      <c r="J3580" s="57"/>
      <c r="L3580" s="164">
        <v>100</v>
      </c>
    </row>
    <row r="3581" spans="2:12" x14ac:dyDescent="0.3">
      <c r="B3581" s="57">
        <f t="shared" si="316"/>
        <v>3578</v>
      </c>
      <c r="C3581" s="142">
        <v>46245</v>
      </c>
      <c r="D3581" s="57" t="s">
        <v>968</v>
      </c>
      <c r="E3581" s="57" t="s">
        <v>434</v>
      </c>
      <c r="F3581" s="57" t="s">
        <v>300</v>
      </c>
      <c r="G3581" s="57" t="s">
        <v>2653</v>
      </c>
      <c r="H3581" s="140" t="s">
        <v>3701</v>
      </c>
      <c r="I3581" s="57"/>
      <c r="J3581" s="57"/>
      <c r="L3581" s="164">
        <v>800</v>
      </c>
    </row>
    <row r="3582" spans="2:12" x14ac:dyDescent="0.3">
      <c r="B3582" s="57">
        <f t="shared" si="316"/>
        <v>3579</v>
      </c>
      <c r="C3582" s="142">
        <v>46245</v>
      </c>
      <c r="D3582" s="57" t="s">
        <v>968</v>
      </c>
      <c r="E3582" s="57" t="s">
        <v>481</v>
      </c>
      <c r="F3582" s="57" t="s">
        <v>300</v>
      </c>
      <c r="G3582" s="57" t="s">
        <v>2653</v>
      </c>
      <c r="H3582" s="140" t="s">
        <v>3702</v>
      </c>
      <c r="I3582" s="57" t="s">
        <v>481</v>
      </c>
      <c r="J3582" s="57" t="s">
        <v>3705</v>
      </c>
      <c r="L3582" s="164">
        <v>1100</v>
      </c>
    </row>
    <row r="3583" spans="2:12" x14ac:dyDescent="0.3">
      <c r="B3583" s="57">
        <f t="shared" si="316"/>
        <v>3580</v>
      </c>
      <c r="C3583" s="142">
        <v>46245</v>
      </c>
      <c r="D3583" s="57" t="s">
        <v>968</v>
      </c>
      <c r="E3583" s="57" t="s">
        <v>532</v>
      </c>
      <c r="F3583" s="57" t="s">
        <v>502</v>
      </c>
      <c r="G3583" s="57" t="s">
        <v>2344</v>
      </c>
      <c r="H3583" s="140" t="s">
        <v>3706</v>
      </c>
      <c r="I3583" s="57" t="s">
        <v>532</v>
      </c>
      <c r="J3583" s="57">
        <v>50</v>
      </c>
      <c r="K3583" s="57">
        <v>260</v>
      </c>
      <c r="L3583" s="164">
        <f t="shared" si="321"/>
        <v>13000</v>
      </c>
    </row>
    <row r="3584" spans="2:12" x14ac:dyDescent="0.3">
      <c r="B3584" s="57">
        <f t="shared" si="316"/>
        <v>3581</v>
      </c>
      <c r="C3584" s="142">
        <v>46245</v>
      </c>
      <c r="D3584" s="57" t="s">
        <v>968</v>
      </c>
      <c r="E3584" s="57" t="s">
        <v>4128</v>
      </c>
      <c r="F3584" s="57" t="s">
        <v>502</v>
      </c>
      <c r="G3584" s="57" t="s">
        <v>2344</v>
      </c>
      <c r="H3584" s="140" t="s">
        <v>3531</v>
      </c>
      <c r="I3584" s="57" t="s">
        <v>532</v>
      </c>
      <c r="J3584" s="57"/>
      <c r="L3584" s="164">
        <v>300</v>
      </c>
    </row>
    <row r="3585" spans="2:12" x14ac:dyDescent="0.3">
      <c r="B3585" s="57">
        <f t="shared" si="316"/>
        <v>3582</v>
      </c>
      <c r="C3585" s="142">
        <v>46245</v>
      </c>
      <c r="D3585" s="57" t="s">
        <v>968</v>
      </c>
      <c r="E3585" s="57" t="s">
        <v>2686</v>
      </c>
      <c r="F3585" s="57" t="s">
        <v>446</v>
      </c>
      <c r="G3585" s="57" t="s">
        <v>359</v>
      </c>
      <c r="H3585" s="140" t="s">
        <v>3703</v>
      </c>
      <c r="I3585" s="57"/>
      <c r="J3585" s="57"/>
      <c r="L3585" s="164">
        <v>2400</v>
      </c>
    </row>
    <row r="3586" spans="2:12" x14ac:dyDescent="0.3">
      <c r="B3586" s="57">
        <f t="shared" si="316"/>
        <v>3583</v>
      </c>
      <c r="C3586" s="142">
        <v>46245</v>
      </c>
      <c r="D3586" s="57" t="s">
        <v>968</v>
      </c>
      <c r="E3586" s="57" t="s">
        <v>4128</v>
      </c>
      <c r="F3586" s="57" t="s">
        <v>446</v>
      </c>
      <c r="G3586" s="57" t="s">
        <v>359</v>
      </c>
      <c r="H3586" s="140" t="s">
        <v>3708</v>
      </c>
      <c r="I3586" s="57"/>
      <c r="J3586" s="57"/>
      <c r="L3586" s="164">
        <v>5800</v>
      </c>
    </row>
    <row r="3587" spans="2:12" x14ac:dyDescent="0.3">
      <c r="B3587" s="57">
        <f t="shared" si="316"/>
        <v>3584</v>
      </c>
      <c r="C3587" s="142">
        <v>46245</v>
      </c>
      <c r="D3587" s="57" t="s">
        <v>968</v>
      </c>
      <c r="E3587" s="57" t="s">
        <v>146</v>
      </c>
      <c r="F3587" s="57" t="s">
        <v>2332</v>
      </c>
      <c r="G3587" s="57" t="s">
        <v>1004</v>
      </c>
      <c r="H3587" s="140" t="s">
        <v>3709</v>
      </c>
      <c r="I3587" s="57"/>
      <c r="J3587" s="165">
        <f>L3587/K3587</f>
        <v>18.867924528301888</v>
      </c>
      <c r="K3587" s="57">
        <v>106</v>
      </c>
      <c r="L3587" s="164">
        <v>2000</v>
      </c>
    </row>
    <row r="3588" spans="2:12" x14ac:dyDescent="0.3">
      <c r="B3588" s="57">
        <f t="shared" si="316"/>
        <v>3585</v>
      </c>
      <c r="C3588" s="142">
        <v>46245</v>
      </c>
      <c r="D3588" s="57" t="s">
        <v>4139</v>
      </c>
      <c r="E3588" s="57" t="s">
        <v>4008</v>
      </c>
      <c r="F3588" s="57" t="s">
        <v>300</v>
      </c>
      <c r="G3588" s="57" t="s">
        <v>300</v>
      </c>
      <c r="H3588" s="140" t="s">
        <v>3710</v>
      </c>
      <c r="I3588" s="57"/>
      <c r="J3588" s="57"/>
      <c r="L3588" s="164">
        <v>5000</v>
      </c>
    </row>
    <row r="3589" spans="2:12" x14ac:dyDescent="0.3">
      <c r="B3589" s="57">
        <f t="shared" si="316"/>
        <v>3586</v>
      </c>
      <c r="C3589" s="142">
        <v>46245</v>
      </c>
      <c r="D3589" s="57" t="s">
        <v>968</v>
      </c>
      <c r="E3589" s="57" t="s">
        <v>146</v>
      </c>
      <c r="F3589" s="57" t="s">
        <v>300</v>
      </c>
      <c r="G3589" s="57" t="s">
        <v>530</v>
      </c>
      <c r="H3589" s="140" t="s">
        <v>4095</v>
      </c>
      <c r="I3589" s="57"/>
      <c r="J3589" s="165">
        <f t="shared" ref="J3589:J3590" si="322">L3589/K3589</f>
        <v>18.867924528301888</v>
      </c>
      <c r="K3589" s="57">
        <v>106</v>
      </c>
      <c r="L3589" s="164">
        <v>2000</v>
      </c>
    </row>
    <row r="3590" spans="2:12" x14ac:dyDescent="0.3">
      <c r="B3590" s="57">
        <f t="shared" ref="B3590:B3653" si="323">+B3589+1</f>
        <v>3587</v>
      </c>
      <c r="C3590" s="142">
        <v>46245</v>
      </c>
      <c r="D3590" s="57" t="s">
        <v>968</v>
      </c>
      <c r="E3590" s="57" t="s">
        <v>146</v>
      </c>
      <c r="F3590" s="57" t="s">
        <v>300</v>
      </c>
      <c r="G3590" s="57" t="s">
        <v>530</v>
      </c>
      <c r="H3590" s="140" t="s">
        <v>4095</v>
      </c>
      <c r="I3590" s="57"/>
      <c r="J3590" s="165">
        <f t="shared" si="322"/>
        <v>14.150943396226415</v>
      </c>
      <c r="K3590" s="57">
        <v>106</v>
      </c>
      <c r="L3590" s="164">
        <v>1500</v>
      </c>
    </row>
    <row r="3591" spans="2:12" x14ac:dyDescent="0.3">
      <c r="B3591" s="57">
        <f t="shared" si="323"/>
        <v>3588</v>
      </c>
      <c r="C3591" s="142">
        <v>46245</v>
      </c>
      <c r="D3591" s="57" t="s">
        <v>968</v>
      </c>
      <c r="E3591" s="57" t="s">
        <v>2686</v>
      </c>
      <c r="F3591" s="57" t="s">
        <v>502</v>
      </c>
      <c r="G3591" s="57" t="s">
        <v>2344</v>
      </c>
      <c r="H3591" s="140" t="s">
        <v>3711</v>
      </c>
      <c r="I3591" s="57"/>
      <c r="J3591" s="57"/>
      <c r="L3591" s="164">
        <v>2500</v>
      </c>
    </row>
    <row r="3592" spans="2:12" x14ac:dyDescent="0.3">
      <c r="B3592" s="57">
        <f t="shared" si="323"/>
        <v>3589</v>
      </c>
      <c r="C3592" s="142">
        <v>46245</v>
      </c>
      <c r="D3592" s="57" t="s">
        <v>968</v>
      </c>
      <c r="E3592" s="57" t="s">
        <v>522</v>
      </c>
      <c r="F3592" s="57" t="s">
        <v>502</v>
      </c>
      <c r="G3592" s="57" t="s">
        <v>2344</v>
      </c>
      <c r="H3592" s="140" t="s">
        <v>3712</v>
      </c>
      <c r="I3592" s="57"/>
      <c r="J3592" s="57"/>
      <c r="L3592" s="164">
        <v>2800</v>
      </c>
    </row>
    <row r="3593" spans="2:12" x14ac:dyDescent="0.3">
      <c r="B3593" s="57">
        <f t="shared" si="323"/>
        <v>3590</v>
      </c>
      <c r="C3593" s="142">
        <v>46245</v>
      </c>
      <c r="D3593" s="57" t="s">
        <v>968</v>
      </c>
      <c r="E3593" s="57" t="s">
        <v>4008</v>
      </c>
      <c r="F3593" s="57" t="s">
        <v>300</v>
      </c>
      <c r="G3593" s="57" t="s">
        <v>530</v>
      </c>
      <c r="H3593" s="140" t="s">
        <v>3713</v>
      </c>
      <c r="I3593" s="57"/>
      <c r="J3593" s="57"/>
      <c r="L3593" s="164">
        <v>3000</v>
      </c>
    </row>
    <row r="3594" spans="2:12" x14ac:dyDescent="0.3">
      <c r="B3594" s="57">
        <f t="shared" si="323"/>
        <v>3591</v>
      </c>
      <c r="C3594" s="142">
        <v>46245</v>
      </c>
      <c r="D3594" s="57" t="s">
        <v>968</v>
      </c>
      <c r="E3594" s="57" t="s">
        <v>434</v>
      </c>
      <c r="F3594" s="57" t="s">
        <v>300</v>
      </c>
      <c r="G3594" s="57" t="s">
        <v>530</v>
      </c>
      <c r="H3594" s="140" t="s">
        <v>3714</v>
      </c>
      <c r="I3594" s="57"/>
      <c r="J3594" s="57"/>
      <c r="L3594" s="164">
        <v>1144</v>
      </c>
    </row>
    <row r="3595" spans="2:12" x14ac:dyDescent="0.3">
      <c r="B3595" s="57">
        <f t="shared" si="323"/>
        <v>3592</v>
      </c>
      <c r="C3595" s="142">
        <v>46245</v>
      </c>
      <c r="D3595" s="57" t="s">
        <v>968</v>
      </c>
      <c r="E3595" s="57" t="s">
        <v>3424</v>
      </c>
      <c r="F3595" s="57" t="s">
        <v>300</v>
      </c>
      <c r="G3595" s="57" t="s">
        <v>2473</v>
      </c>
      <c r="H3595" s="140" t="s">
        <v>3715</v>
      </c>
      <c r="I3595" s="57"/>
      <c r="J3595" s="57"/>
      <c r="L3595" s="164">
        <v>850</v>
      </c>
    </row>
    <row r="3596" spans="2:12" x14ac:dyDescent="0.3">
      <c r="B3596" s="57">
        <f t="shared" si="323"/>
        <v>3593</v>
      </c>
      <c r="C3596" s="142">
        <v>46245</v>
      </c>
      <c r="D3596" s="57" t="s">
        <v>968</v>
      </c>
      <c r="E3596" s="57" t="s">
        <v>434</v>
      </c>
      <c r="F3596" s="57" t="s">
        <v>300</v>
      </c>
      <c r="G3596" s="57" t="s">
        <v>2473</v>
      </c>
      <c r="H3596" s="140" t="s">
        <v>3716</v>
      </c>
      <c r="I3596" s="57"/>
      <c r="J3596" s="57"/>
      <c r="L3596" s="164">
        <v>200</v>
      </c>
    </row>
    <row r="3597" spans="2:12" x14ac:dyDescent="0.3">
      <c r="B3597" s="57">
        <f t="shared" si="323"/>
        <v>3594</v>
      </c>
      <c r="C3597" s="142">
        <v>46246</v>
      </c>
      <c r="D3597" s="57" t="s">
        <v>435</v>
      </c>
      <c r="E3597" s="57" t="s">
        <v>2427</v>
      </c>
      <c r="F3597" s="57" t="s">
        <v>300</v>
      </c>
      <c r="G3597" s="57" t="s">
        <v>530</v>
      </c>
      <c r="H3597" s="140" t="s">
        <v>3717</v>
      </c>
      <c r="I3597" s="57" t="s">
        <v>2914</v>
      </c>
      <c r="J3597" s="165">
        <v>2004</v>
      </c>
      <c r="K3597" s="168">
        <f>L3597/J3597</f>
        <v>56.721556886227546</v>
      </c>
      <c r="L3597" s="164">
        <v>113670</v>
      </c>
    </row>
    <row r="3598" spans="2:12" x14ac:dyDescent="0.3">
      <c r="B3598" s="57">
        <f t="shared" si="323"/>
        <v>3595</v>
      </c>
      <c r="C3598" s="142">
        <v>46246</v>
      </c>
      <c r="D3598" s="57" t="s">
        <v>968</v>
      </c>
      <c r="E3598" s="57" t="s">
        <v>146</v>
      </c>
      <c r="F3598" s="57" t="s">
        <v>300</v>
      </c>
      <c r="G3598" s="57" t="s">
        <v>530</v>
      </c>
      <c r="H3598" s="140" t="s">
        <v>3718</v>
      </c>
      <c r="I3598" s="57"/>
      <c r="J3598" s="165">
        <f t="shared" ref="J3598:J3599" si="324">L3598/K3598</f>
        <v>18.867924528301888</v>
      </c>
      <c r="K3598" s="57">
        <v>106</v>
      </c>
      <c r="L3598" s="164">
        <v>2000</v>
      </c>
    </row>
    <row r="3599" spans="2:12" x14ac:dyDescent="0.3">
      <c r="B3599" s="57">
        <f t="shared" si="323"/>
        <v>3596</v>
      </c>
      <c r="C3599" s="142">
        <v>46246</v>
      </c>
      <c r="D3599" s="57" t="s">
        <v>968</v>
      </c>
      <c r="E3599" s="57" t="s">
        <v>146</v>
      </c>
      <c r="F3599" s="57" t="s">
        <v>300</v>
      </c>
      <c r="G3599" s="57" t="s">
        <v>2543</v>
      </c>
      <c r="H3599" s="140" t="s">
        <v>4105</v>
      </c>
      <c r="I3599" s="57"/>
      <c r="J3599" s="165">
        <f t="shared" si="324"/>
        <v>28.30188679245283</v>
      </c>
      <c r="K3599" s="57">
        <v>106</v>
      </c>
      <c r="L3599" s="164">
        <v>3000</v>
      </c>
    </row>
    <row r="3600" spans="2:12" x14ac:dyDescent="0.3">
      <c r="B3600" s="57">
        <f t="shared" si="323"/>
        <v>3597</v>
      </c>
      <c r="C3600" s="142">
        <v>46246</v>
      </c>
      <c r="D3600" s="57" t="s">
        <v>968</v>
      </c>
      <c r="E3600" s="57" t="s">
        <v>434</v>
      </c>
      <c r="F3600" s="57" t="s">
        <v>350</v>
      </c>
      <c r="G3600" s="57" t="s">
        <v>3103</v>
      </c>
      <c r="H3600" s="140" t="s">
        <v>3719</v>
      </c>
      <c r="I3600" s="57"/>
      <c r="J3600" s="57"/>
      <c r="L3600" s="164">
        <v>690</v>
      </c>
    </row>
    <row r="3601" spans="2:12" x14ac:dyDescent="0.3">
      <c r="B3601" s="57">
        <f t="shared" si="323"/>
        <v>3598</v>
      </c>
      <c r="C3601" s="142">
        <v>46246</v>
      </c>
      <c r="D3601" s="57" t="s">
        <v>968</v>
      </c>
      <c r="E3601" s="57" t="s">
        <v>434</v>
      </c>
      <c r="F3601" s="57" t="s">
        <v>300</v>
      </c>
      <c r="G3601" s="57" t="s">
        <v>709</v>
      </c>
      <c r="H3601" s="140" t="s">
        <v>3720</v>
      </c>
      <c r="I3601" s="57"/>
      <c r="J3601" s="57"/>
      <c r="L3601" s="164">
        <v>800</v>
      </c>
    </row>
    <row r="3602" spans="2:12" x14ac:dyDescent="0.3">
      <c r="B3602" s="57">
        <f t="shared" si="323"/>
        <v>3599</v>
      </c>
      <c r="C3602" s="142">
        <v>46246</v>
      </c>
      <c r="D3602" s="57" t="s">
        <v>968</v>
      </c>
      <c r="E3602" s="57" t="s">
        <v>3722</v>
      </c>
      <c r="F3602" s="57" t="s">
        <v>446</v>
      </c>
      <c r="H3602" s="140" t="s">
        <v>3721</v>
      </c>
      <c r="I3602" s="57"/>
      <c r="J3602" s="57"/>
      <c r="L3602" s="164">
        <v>600</v>
      </c>
    </row>
    <row r="3603" spans="2:12" x14ac:dyDescent="0.3">
      <c r="B3603" s="57">
        <f t="shared" si="323"/>
        <v>3600</v>
      </c>
      <c r="C3603" s="142">
        <v>46246</v>
      </c>
      <c r="D3603" s="57" t="s">
        <v>435</v>
      </c>
      <c r="E3603" s="57" t="s">
        <v>595</v>
      </c>
      <c r="F3603" s="57" t="s">
        <v>502</v>
      </c>
      <c r="G3603" s="57" t="s">
        <v>2344</v>
      </c>
      <c r="H3603" s="140" t="s">
        <v>3723</v>
      </c>
      <c r="I3603" s="57"/>
      <c r="J3603" s="57"/>
      <c r="L3603" s="164">
        <v>6150</v>
      </c>
    </row>
    <row r="3604" spans="2:12" x14ac:dyDescent="0.3">
      <c r="B3604" s="57">
        <f t="shared" si="323"/>
        <v>3601</v>
      </c>
      <c r="C3604" s="142">
        <v>46246</v>
      </c>
      <c r="D3604" s="57" t="s">
        <v>968</v>
      </c>
      <c r="E3604" s="57" t="s">
        <v>2029</v>
      </c>
      <c r="F3604" s="57" t="s">
        <v>350</v>
      </c>
      <c r="G3604" s="57" t="s">
        <v>3433</v>
      </c>
      <c r="H3604" s="140" t="s">
        <v>3724</v>
      </c>
      <c r="I3604" s="57"/>
      <c r="J3604" s="165">
        <f t="shared" ref="J3604:J3611" si="325">L3604/K3604</f>
        <v>18.867924528301888</v>
      </c>
      <c r="K3604" s="57">
        <v>106</v>
      </c>
      <c r="L3604" s="164">
        <v>2000</v>
      </c>
    </row>
    <row r="3605" spans="2:12" x14ac:dyDescent="0.3">
      <c r="B3605" s="57">
        <f t="shared" si="323"/>
        <v>3602</v>
      </c>
      <c r="C3605" s="142">
        <v>46246</v>
      </c>
      <c r="D3605" s="57" t="s">
        <v>968</v>
      </c>
      <c r="E3605" s="57" t="s">
        <v>146</v>
      </c>
      <c r="F3605" s="57" t="s">
        <v>446</v>
      </c>
      <c r="G3605" s="57" t="s">
        <v>649</v>
      </c>
      <c r="H3605" s="140" t="s">
        <v>879</v>
      </c>
      <c r="I3605" s="57"/>
      <c r="J3605" s="165">
        <f t="shared" si="325"/>
        <v>28.30188679245283</v>
      </c>
      <c r="K3605" s="57">
        <v>106</v>
      </c>
      <c r="L3605" s="164">
        <v>3000</v>
      </c>
    </row>
    <row r="3606" spans="2:12" x14ac:dyDescent="0.3">
      <c r="B3606" s="57">
        <f t="shared" si="323"/>
        <v>3603</v>
      </c>
      <c r="C3606" s="142">
        <v>46246</v>
      </c>
      <c r="D3606" s="57" t="s">
        <v>968</v>
      </c>
      <c r="E3606" s="57" t="s">
        <v>146</v>
      </c>
      <c r="F3606" s="57" t="s">
        <v>300</v>
      </c>
      <c r="G3606" s="57" t="s">
        <v>530</v>
      </c>
      <c r="H3606" s="140" t="s">
        <v>3725</v>
      </c>
      <c r="I3606" s="57"/>
      <c r="J3606" s="165">
        <f t="shared" si="325"/>
        <v>18.867924528301888</v>
      </c>
      <c r="K3606" s="57">
        <v>106</v>
      </c>
      <c r="L3606" s="164">
        <v>2000</v>
      </c>
    </row>
    <row r="3607" spans="2:12" x14ac:dyDescent="0.3">
      <c r="B3607" s="57">
        <f t="shared" si="323"/>
        <v>3604</v>
      </c>
      <c r="C3607" s="142">
        <v>46246</v>
      </c>
      <c r="D3607" s="57" t="s">
        <v>968</v>
      </c>
      <c r="E3607" s="57" t="s">
        <v>146</v>
      </c>
      <c r="F3607" s="57" t="s">
        <v>300</v>
      </c>
      <c r="G3607" s="57" t="s">
        <v>709</v>
      </c>
      <c r="H3607" s="140" t="s">
        <v>3726</v>
      </c>
      <c r="I3607" s="57"/>
      <c r="J3607" s="165">
        <f t="shared" si="325"/>
        <v>18.867924528301888</v>
      </c>
      <c r="K3607" s="57">
        <v>106</v>
      </c>
      <c r="L3607" s="164">
        <v>2000</v>
      </c>
    </row>
    <row r="3608" spans="2:12" x14ac:dyDescent="0.3">
      <c r="B3608" s="57">
        <f t="shared" si="323"/>
        <v>3605</v>
      </c>
      <c r="C3608" s="142">
        <v>46246</v>
      </c>
      <c r="D3608" s="57" t="s">
        <v>968</v>
      </c>
      <c r="E3608" s="57" t="s">
        <v>146</v>
      </c>
      <c r="F3608" s="57" t="s">
        <v>300</v>
      </c>
      <c r="G3608" s="57" t="s">
        <v>3404</v>
      </c>
      <c r="H3608" s="140" t="s">
        <v>4095</v>
      </c>
      <c r="I3608" s="57"/>
      <c r="J3608" s="165">
        <f t="shared" si="325"/>
        <v>3.7735849056603774</v>
      </c>
      <c r="K3608" s="57">
        <v>106</v>
      </c>
      <c r="L3608" s="164">
        <v>400</v>
      </c>
    </row>
    <row r="3609" spans="2:12" x14ac:dyDescent="0.3">
      <c r="B3609" s="57">
        <f t="shared" si="323"/>
        <v>3606</v>
      </c>
      <c r="C3609" s="142">
        <v>46247</v>
      </c>
      <c r="D3609" s="57" t="s">
        <v>968</v>
      </c>
      <c r="E3609" s="57" t="s">
        <v>146</v>
      </c>
      <c r="F3609" s="57" t="s">
        <v>546</v>
      </c>
      <c r="G3609" s="57" t="s">
        <v>3514</v>
      </c>
      <c r="H3609" s="140" t="s">
        <v>4114</v>
      </c>
      <c r="I3609" s="57" t="s">
        <v>146</v>
      </c>
      <c r="J3609" s="165">
        <f t="shared" si="325"/>
        <v>18.867924528301888</v>
      </c>
      <c r="K3609" s="57">
        <v>106</v>
      </c>
      <c r="L3609" s="164">
        <v>2000</v>
      </c>
    </row>
    <row r="3610" spans="2:12" x14ac:dyDescent="0.3">
      <c r="B3610" s="57">
        <f t="shared" si="323"/>
        <v>3607</v>
      </c>
      <c r="C3610" s="142">
        <v>46247</v>
      </c>
      <c r="D3610" s="57" t="s">
        <v>968</v>
      </c>
      <c r="E3610" s="57" t="s">
        <v>146</v>
      </c>
      <c r="F3610" s="57" t="s">
        <v>2332</v>
      </c>
      <c r="G3610" s="57" t="s">
        <v>1004</v>
      </c>
      <c r="H3610" s="140" t="s">
        <v>4094</v>
      </c>
      <c r="I3610" s="57" t="s">
        <v>146</v>
      </c>
      <c r="J3610" s="165">
        <f t="shared" si="325"/>
        <v>28.30188679245283</v>
      </c>
      <c r="K3610" s="57">
        <v>106</v>
      </c>
      <c r="L3610" s="164">
        <v>3000</v>
      </c>
    </row>
    <row r="3611" spans="2:12" x14ac:dyDescent="0.3">
      <c r="B3611" s="57">
        <f t="shared" si="323"/>
        <v>3608</v>
      </c>
      <c r="C3611" s="142">
        <v>46247</v>
      </c>
      <c r="D3611" s="57" t="s">
        <v>968</v>
      </c>
      <c r="E3611" s="57" t="s">
        <v>146</v>
      </c>
      <c r="F3611" s="57" t="s">
        <v>300</v>
      </c>
      <c r="G3611" s="57" t="s">
        <v>530</v>
      </c>
      <c r="H3611" s="140" t="s">
        <v>4093</v>
      </c>
      <c r="I3611" s="57"/>
      <c r="J3611" s="165">
        <f t="shared" si="325"/>
        <v>31.018867924528301</v>
      </c>
      <c r="K3611" s="57">
        <v>106</v>
      </c>
      <c r="L3611" s="164">
        <v>3288</v>
      </c>
    </row>
    <row r="3612" spans="2:12" x14ac:dyDescent="0.3">
      <c r="B3612" s="57">
        <f t="shared" si="323"/>
        <v>3609</v>
      </c>
      <c r="C3612" s="142">
        <v>46247</v>
      </c>
      <c r="D3612" s="57" t="s">
        <v>968</v>
      </c>
      <c r="E3612" s="57" t="s">
        <v>434</v>
      </c>
      <c r="F3612" s="57" t="s">
        <v>350</v>
      </c>
      <c r="G3612" s="57" t="s">
        <v>3103</v>
      </c>
      <c r="H3612" s="140" t="s">
        <v>3727</v>
      </c>
      <c r="I3612" s="57"/>
      <c r="J3612" s="57"/>
      <c r="L3612" s="164">
        <v>750</v>
      </c>
    </row>
    <row r="3613" spans="2:12" x14ac:dyDescent="0.3">
      <c r="B3613" s="57">
        <f t="shared" si="323"/>
        <v>3610</v>
      </c>
      <c r="C3613" s="142">
        <v>46247</v>
      </c>
      <c r="D3613" s="57" t="s">
        <v>968</v>
      </c>
      <c r="E3613" s="57" t="s">
        <v>146</v>
      </c>
      <c r="F3613" s="57" t="s">
        <v>446</v>
      </c>
      <c r="G3613" s="57" t="s">
        <v>359</v>
      </c>
      <c r="H3613" s="140" t="s">
        <v>4099</v>
      </c>
      <c r="I3613" s="57"/>
      <c r="J3613" s="165">
        <f t="shared" ref="J3613:J3615" si="326">L3613/K3613</f>
        <v>17.924528301886792</v>
      </c>
      <c r="K3613" s="57">
        <v>106</v>
      </c>
      <c r="L3613" s="164">
        <v>1900</v>
      </c>
    </row>
    <row r="3614" spans="2:12" x14ac:dyDescent="0.3">
      <c r="B3614" s="57">
        <f t="shared" si="323"/>
        <v>3611</v>
      </c>
      <c r="C3614" s="142">
        <v>46247</v>
      </c>
      <c r="D3614" s="57" t="s">
        <v>968</v>
      </c>
      <c r="E3614" s="57" t="s">
        <v>146</v>
      </c>
      <c r="F3614" s="57" t="s">
        <v>446</v>
      </c>
      <c r="G3614" s="57" t="s">
        <v>990</v>
      </c>
      <c r="H3614" s="140" t="s">
        <v>885</v>
      </c>
      <c r="I3614" s="57"/>
      <c r="J3614" s="165">
        <f t="shared" si="326"/>
        <v>18.867924528301888</v>
      </c>
      <c r="K3614" s="57">
        <v>106</v>
      </c>
      <c r="L3614" s="164">
        <v>2000</v>
      </c>
    </row>
    <row r="3615" spans="2:12" x14ac:dyDescent="0.3">
      <c r="B3615" s="57">
        <f t="shared" si="323"/>
        <v>3612</v>
      </c>
      <c r="C3615" s="142">
        <v>46247</v>
      </c>
      <c r="D3615" s="57" t="s">
        <v>968</v>
      </c>
      <c r="E3615" s="57" t="s">
        <v>146</v>
      </c>
      <c r="F3615" s="57" t="s">
        <v>300</v>
      </c>
      <c r="G3615" s="57" t="s">
        <v>530</v>
      </c>
      <c r="H3615" s="140" t="s">
        <v>3718</v>
      </c>
      <c r="I3615" s="57"/>
      <c r="J3615" s="165">
        <f t="shared" si="326"/>
        <v>18.867924528301888</v>
      </c>
      <c r="K3615" s="57">
        <v>106</v>
      </c>
      <c r="L3615" s="164">
        <v>2000</v>
      </c>
    </row>
    <row r="3616" spans="2:12" x14ac:dyDescent="0.3">
      <c r="B3616" s="57">
        <f t="shared" si="323"/>
        <v>3613</v>
      </c>
      <c r="C3616" s="142">
        <v>46247</v>
      </c>
      <c r="D3616" s="57" t="s">
        <v>968</v>
      </c>
      <c r="E3616" s="57" t="s">
        <v>532</v>
      </c>
      <c r="F3616" s="57" t="s">
        <v>300</v>
      </c>
      <c r="G3616" s="57" t="s">
        <v>709</v>
      </c>
      <c r="H3616" s="140" t="s">
        <v>3728</v>
      </c>
      <c r="I3616" s="57" t="s">
        <v>532</v>
      </c>
      <c r="J3616" s="57">
        <v>3</v>
      </c>
      <c r="K3616" s="57">
        <v>280</v>
      </c>
      <c r="L3616" s="164">
        <f t="shared" ref="L3616:L3682" si="327">J3616*K3616</f>
        <v>840</v>
      </c>
    </row>
    <row r="3617" spans="2:12" x14ac:dyDescent="0.3">
      <c r="B3617" s="57">
        <f t="shared" si="323"/>
        <v>3614</v>
      </c>
      <c r="C3617" s="142">
        <v>46247</v>
      </c>
      <c r="D3617" s="57" t="s">
        <v>968</v>
      </c>
      <c r="E3617" s="57" t="s">
        <v>146</v>
      </c>
      <c r="F3617" s="57" t="s">
        <v>350</v>
      </c>
      <c r="G3617" s="57" t="s">
        <v>3103</v>
      </c>
      <c r="H3617" s="140" t="s">
        <v>4106</v>
      </c>
      <c r="I3617" s="57"/>
      <c r="J3617" s="165">
        <f>L3617/K3617</f>
        <v>18.867924528301888</v>
      </c>
      <c r="K3617" s="57">
        <v>106</v>
      </c>
      <c r="L3617" s="164">
        <v>2000</v>
      </c>
    </row>
    <row r="3618" spans="2:12" x14ac:dyDescent="0.3">
      <c r="B3618" s="57">
        <f t="shared" si="323"/>
        <v>3615</v>
      </c>
      <c r="C3618" s="142">
        <v>46247</v>
      </c>
      <c r="D3618" s="57" t="s">
        <v>968</v>
      </c>
      <c r="E3618" s="57" t="s">
        <v>434</v>
      </c>
      <c r="F3618" s="57" t="s">
        <v>350</v>
      </c>
      <c r="G3618" s="57" t="s">
        <v>3270</v>
      </c>
      <c r="H3618" s="140" t="s">
        <v>3729</v>
      </c>
      <c r="I3618" s="57"/>
      <c r="J3618" s="57"/>
      <c r="L3618" s="164">
        <v>4100</v>
      </c>
    </row>
    <row r="3619" spans="2:12" x14ac:dyDescent="0.3">
      <c r="B3619" s="57">
        <f t="shared" si="323"/>
        <v>3616</v>
      </c>
      <c r="C3619" s="142">
        <v>46247</v>
      </c>
      <c r="D3619" s="57" t="s">
        <v>968</v>
      </c>
      <c r="E3619" s="57" t="s">
        <v>146</v>
      </c>
      <c r="F3619" s="57" t="s">
        <v>300</v>
      </c>
      <c r="G3619" s="57" t="s">
        <v>498</v>
      </c>
      <c r="H3619" s="140" t="s">
        <v>3730</v>
      </c>
      <c r="I3619" s="57"/>
      <c r="J3619" s="165">
        <f>L3619/K3619</f>
        <v>18.867924528301888</v>
      </c>
      <c r="K3619" s="57">
        <v>106</v>
      </c>
      <c r="L3619" s="164">
        <v>2000</v>
      </c>
    </row>
    <row r="3620" spans="2:12" x14ac:dyDescent="0.3">
      <c r="B3620" s="57">
        <f t="shared" si="323"/>
        <v>3617</v>
      </c>
      <c r="C3620" s="142">
        <v>46247</v>
      </c>
      <c r="D3620" s="57" t="s">
        <v>968</v>
      </c>
      <c r="E3620" s="57" t="s">
        <v>574</v>
      </c>
      <c r="F3620" s="57" t="s">
        <v>350</v>
      </c>
      <c r="G3620" s="57" t="s">
        <v>3103</v>
      </c>
      <c r="H3620" s="140" t="s">
        <v>3731</v>
      </c>
      <c r="I3620" s="140" t="s">
        <v>2635</v>
      </c>
      <c r="J3620" s="57">
        <v>3.26</v>
      </c>
      <c r="K3620" s="168">
        <f>L3620/J3620</f>
        <v>650.30674846625766</v>
      </c>
      <c r="L3620" s="164">
        <v>2120</v>
      </c>
    </row>
    <row r="3621" spans="2:12" x14ac:dyDescent="0.3">
      <c r="B3621" s="57">
        <f t="shared" si="323"/>
        <v>3618</v>
      </c>
      <c r="C3621" s="142">
        <v>46247</v>
      </c>
      <c r="D3621" s="57" t="s">
        <v>968</v>
      </c>
      <c r="E3621" s="57" t="s">
        <v>4128</v>
      </c>
      <c r="F3621" s="57" t="s">
        <v>502</v>
      </c>
      <c r="G3621" s="57" t="s">
        <v>2344</v>
      </c>
      <c r="H3621" s="140" t="s">
        <v>3732</v>
      </c>
      <c r="I3621" s="57" t="s">
        <v>908</v>
      </c>
      <c r="J3621" s="57"/>
      <c r="L3621" s="164">
        <v>400</v>
      </c>
    </row>
    <row r="3622" spans="2:12" x14ac:dyDescent="0.3">
      <c r="B3622" s="57">
        <f t="shared" si="323"/>
        <v>3619</v>
      </c>
      <c r="C3622" s="142">
        <v>46247</v>
      </c>
      <c r="D3622" s="57" t="s">
        <v>968</v>
      </c>
      <c r="E3622" s="57" t="s">
        <v>434</v>
      </c>
      <c r="F3622" s="57" t="s">
        <v>502</v>
      </c>
      <c r="G3622" s="57" t="s">
        <v>2344</v>
      </c>
      <c r="H3622" s="140" t="s">
        <v>3733</v>
      </c>
      <c r="I3622" s="57"/>
      <c r="J3622" s="57"/>
      <c r="L3622" s="164">
        <v>13390</v>
      </c>
    </row>
    <row r="3623" spans="2:12" x14ac:dyDescent="0.3">
      <c r="B3623" s="57">
        <f t="shared" si="323"/>
        <v>3620</v>
      </c>
      <c r="C3623" s="142">
        <v>46247</v>
      </c>
      <c r="D3623" s="57" t="s">
        <v>968</v>
      </c>
      <c r="E3623" s="57" t="s">
        <v>434</v>
      </c>
      <c r="F3623" s="57" t="s">
        <v>300</v>
      </c>
      <c r="G3623" s="57" t="s">
        <v>709</v>
      </c>
      <c r="H3623" s="140" t="s">
        <v>3734</v>
      </c>
      <c r="I3623" s="57"/>
      <c r="J3623" s="57"/>
      <c r="L3623" s="164">
        <v>8000</v>
      </c>
    </row>
    <row r="3624" spans="2:12" x14ac:dyDescent="0.3">
      <c r="B3624" s="57">
        <f t="shared" si="323"/>
        <v>3621</v>
      </c>
      <c r="C3624" s="142">
        <v>46247</v>
      </c>
      <c r="D3624" s="57" t="s">
        <v>968</v>
      </c>
      <c r="E3624" s="57" t="s">
        <v>146</v>
      </c>
      <c r="F3624" s="57" t="s">
        <v>300</v>
      </c>
      <c r="G3624" s="57" t="s">
        <v>3404</v>
      </c>
      <c r="H3624" s="140" t="s">
        <v>4095</v>
      </c>
      <c r="I3624" s="57"/>
      <c r="J3624" s="165">
        <f>L3624/K3624</f>
        <v>18.867924528301888</v>
      </c>
      <c r="K3624" s="57">
        <v>106</v>
      </c>
      <c r="L3624" s="164">
        <v>2000</v>
      </c>
    </row>
    <row r="3625" spans="2:12" x14ac:dyDescent="0.3">
      <c r="B3625" s="57">
        <f t="shared" si="323"/>
        <v>3622</v>
      </c>
      <c r="C3625" s="142">
        <v>46247</v>
      </c>
      <c r="D3625" s="57" t="s">
        <v>968</v>
      </c>
      <c r="E3625" s="57" t="s">
        <v>532</v>
      </c>
      <c r="F3625" s="57" t="s">
        <v>446</v>
      </c>
      <c r="G3625" s="57" t="s">
        <v>649</v>
      </c>
      <c r="H3625" s="140" t="s">
        <v>3748</v>
      </c>
      <c r="I3625" s="57" t="s">
        <v>532</v>
      </c>
      <c r="J3625" s="57">
        <v>20</v>
      </c>
      <c r="K3625" s="167">
        <f>L3625/J3625</f>
        <v>265</v>
      </c>
      <c r="L3625" s="164">
        <v>5300</v>
      </c>
    </row>
    <row r="3626" spans="2:12" x14ac:dyDescent="0.3">
      <c r="B3626" s="57">
        <f t="shared" si="323"/>
        <v>3623</v>
      </c>
      <c r="C3626" s="142">
        <v>46247</v>
      </c>
      <c r="D3626" s="57" t="s">
        <v>968</v>
      </c>
      <c r="E3626" s="57" t="s">
        <v>2427</v>
      </c>
      <c r="F3626" s="57" t="s">
        <v>446</v>
      </c>
      <c r="G3626" s="57" t="s">
        <v>649</v>
      </c>
      <c r="H3626" s="140" t="s">
        <v>3747</v>
      </c>
      <c r="I3626" s="57" t="s">
        <v>2427</v>
      </c>
      <c r="J3626" s="57" t="s">
        <v>3749</v>
      </c>
      <c r="L3626" s="164">
        <v>7034</v>
      </c>
    </row>
    <row r="3627" spans="2:12" x14ac:dyDescent="0.3">
      <c r="B3627" s="57">
        <f t="shared" si="323"/>
        <v>3624</v>
      </c>
      <c r="C3627" s="142">
        <v>46247</v>
      </c>
      <c r="D3627" s="57" t="s">
        <v>968</v>
      </c>
      <c r="E3627" s="57" t="s">
        <v>532</v>
      </c>
      <c r="F3627" s="57" t="s">
        <v>300</v>
      </c>
      <c r="G3627" s="57" t="s">
        <v>3404</v>
      </c>
      <c r="H3627" s="140" t="s">
        <v>3735</v>
      </c>
      <c r="I3627" s="57" t="s">
        <v>532</v>
      </c>
      <c r="J3627" s="57">
        <v>15</v>
      </c>
      <c r="K3627" s="57">
        <v>260</v>
      </c>
      <c r="L3627" s="164">
        <f t="shared" si="327"/>
        <v>3900</v>
      </c>
    </row>
    <row r="3628" spans="2:12" x14ac:dyDescent="0.3">
      <c r="B3628" s="57">
        <f t="shared" si="323"/>
        <v>3625</v>
      </c>
      <c r="C3628" s="142">
        <v>46247</v>
      </c>
      <c r="D3628" s="57" t="s">
        <v>968</v>
      </c>
      <c r="E3628" s="57" t="s">
        <v>434</v>
      </c>
      <c r="F3628" s="57" t="s">
        <v>300</v>
      </c>
      <c r="G3628" s="57" t="s">
        <v>530</v>
      </c>
      <c r="H3628" s="140" t="s">
        <v>3736</v>
      </c>
      <c r="I3628" s="57"/>
      <c r="J3628" s="57"/>
      <c r="L3628" s="164">
        <v>4330</v>
      </c>
    </row>
    <row r="3629" spans="2:12" x14ac:dyDescent="0.3">
      <c r="B3629" s="57">
        <f t="shared" si="323"/>
        <v>3626</v>
      </c>
      <c r="C3629" s="142">
        <v>46247</v>
      </c>
      <c r="D3629" s="57" t="s">
        <v>968</v>
      </c>
      <c r="E3629" s="57" t="s">
        <v>434</v>
      </c>
      <c r="F3629" s="57" t="s">
        <v>446</v>
      </c>
      <c r="G3629" s="57" t="s">
        <v>990</v>
      </c>
      <c r="H3629" s="140" t="s">
        <v>3737</v>
      </c>
      <c r="I3629" s="57"/>
      <c r="J3629" s="57"/>
      <c r="L3629" s="164">
        <v>280</v>
      </c>
    </row>
    <row r="3630" spans="2:12" x14ac:dyDescent="0.3">
      <c r="B3630" s="57">
        <f t="shared" si="323"/>
        <v>3627</v>
      </c>
      <c r="C3630" s="142">
        <v>46247</v>
      </c>
      <c r="D3630" s="57" t="s">
        <v>968</v>
      </c>
      <c r="E3630" s="57" t="s">
        <v>146</v>
      </c>
      <c r="F3630" s="57" t="s">
        <v>350</v>
      </c>
      <c r="G3630" s="57" t="s">
        <v>675</v>
      </c>
      <c r="H3630" s="140" t="s">
        <v>3738</v>
      </c>
      <c r="I3630" s="57"/>
      <c r="J3630" s="165">
        <f>L3630/K3630</f>
        <v>18.867924528301888</v>
      </c>
      <c r="K3630" s="57">
        <v>106</v>
      </c>
      <c r="L3630" s="164">
        <v>2000</v>
      </c>
    </row>
    <row r="3631" spans="2:12" x14ac:dyDescent="0.3">
      <c r="B3631" s="57">
        <f t="shared" si="323"/>
        <v>3628</v>
      </c>
      <c r="C3631" s="142">
        <v>46247</v>
      </c>
      <c r="D3631" s="57" t="s">
        <v>968</v>
      </c>
      <c r="E3631" s="57" t="s">
        <v>522</v>
      </c>
      <c r="F3631" s="57" t="s">
        <v>350</v>
      </c>
      <c r="G3631" s="57" t="s">
        <v>3103</v>
      </c>
      <c r="H3631" s="140" t="s">
        <v>3739</v>
      </c>
      <c r="I3631" s="57"/>
      <c r="J3631" s="57"/>
      <c r="L3631" s="164">
        <v>2100</v>
      </c>
    </row>
    <row r="3632" spans="2:12" x14ac:dyDescent="0.3">
      <c r="B3632" s="57">
        <f t="shared" si="323"/>
        <v>3629</v>
      </c>
      <c r="C3632" s="142">
        <v>46247</v>
      </c>
      <c r="D3632" s="57" t="s">
        <v>968</v>
      </c>
      <c r="E3632" s="57" t="s">
        <v>3746</v>
      </c>
      <c r="F3632" s="57" t="s">
        <v>446</v>
      </c>
      <c r="H3632" s="140" t="s">
        <v>3740</v>
      </c>
      <c r="I3632" s="57"/>
      <c r="J3632" s="57"/>
      <c r="L3632" s="164">
        <v>6000</v>
      </c>
    </row>
    <row r="3633" spans="2:12" x14ac:dyDescent="0.3">
      <c r="B3633" s="57">
        <f t="shared" si="323"/>
        <v>3630</v>
      </c>
      <c r="C3633" s="142">
        <v>46247</v>
      </c>
      <c r="D3633" s="57" t="s">
        <v>968</v>
      </c>
      <c r="E3633" s="57" t="s">
        <v>146</v>
      </c>
      <c r="F3633" s="57" t="s">
        <v>300</v>
      </c>
      <c r="G3633" s="57" t="s">
        <v>530</v>
      </c>
      <c r="H3633" s="140" t="s">
        <v>4090</v>
      </c>
      <c r="I3633" s="57"/>
      <c r="J3633" s="165">
        <f>L3633/K3633</f>
        <v>18.867924528301888</v>
      </c>
      <c r="K3633" s="57">
        <v>106</v>
      </c>
      <c r="L3633" s="164">
        <v>2000</v>
      </c>
    </row>
    <row r="3634" spans="2:12" x14ac:dyDescent="0.3">
      <c r="B3634" s="57">
        <f t="shared" si="323"/>
        <v>3631</v>
      </c>
      <c r="C3634" s="142">
        <v>46247</v>
      </c>
      <c r="D3634" s="57" t="s">
        <v>968</v>
      </c>
      <c r="E3634" s="57" t="s">
        <v>532</v>
      </c>
      <c r="F3634" s="57" t="s">
        <v>300</v>
      </c>
      <c r="G3634" s="57" t="s">
        <v>616</v>
      </c>
      <c r="H3634" s="140" t="s">
        <v>3741</v>
      </c>
      <c r="I3634" s="57" t="s">
        <v>532</v>
      </c>
      <c r="J3634" s="57">
        <v>50</v>
      </c>
      <c r="K3634" s="167">
        <f>L3634/J3634</f>
        <v>260</v>
      </c>
      <c r="L3634" s="164">
        <v>13000</v>
      </c>
    </row>
    <row r="3635" spans="2:12" x14ac:dyDescent="0.3">
      <c r="B3635" s="57">
        <f t="shared" si="323"/>
        <v>3632</v>
      </c>
      <c r="C3635" s="142">
        <v>46247</v>
      </c>
      <c r="D3635" s="57" t="s">
        <v>968</v>
      </c>
      <c r="E3635" s="57" t="s">
        <v>574</v>
      </c>
      <c r="F3635" s="57" t="s">
        <v>300</v>
      </c>
      <c r="G3635" s="57" t="s">
        <v>443</v>
      </c>
      <c r="H3635" s="140" t="s">
        <v>3742</v>
      </c>
      <c r="I3635" s="140" t="s">
        <v>2635</v>
      </c>
      <c r="J3635" s="57">
        <v>4.37</v>
      </c>
      <c r="K3635" s="168">
        <f>L3635/J3635</f>
        <v>503.43249427917618</v>
      </c>
      <c r="L3635" s="164">
        <v>2200</v>
      </c>
    </row>
    <row r="3636" spans="2:12" x14ac:dyDescent="0.3">
      <c r="B3636" s="57">
        <f t="shared" si="323"/>
        <v>3633</v>
      </c>
      <c r="C3636" s="142">
        <v>46247</v>
      </c>
      <c r="D3636" s="57" t="s">
        <v>968</v>
      </c>
      <c r="E3636" s="57" t="s">
        <v>574</v>
      </c>
      <c r="F3636" s="57" t="s">
        <v>300</v>
      </c>
      <c r="G3636" s="57" t="s">
        <v>443</v>
      </c>
      <c r="H3636" s="140" t="s">
        <v>3750</v>
      </c>
      <c r="I3636" s="140" t="s">
        <v>4081</v>
      </c>
      <c r="J3636" s="57">
        <v>3.97</v>
      </c>
      <c r="K3636" s="168">
        <f>L3636/J3636</f>
        <v>503.7783375314861</v>
      </c>
      <c r="L3636" s="164">
        <v>2000</v>
      </c>
    </row>
    <row r="3637" spans="2:12" x14ac:dyDescent="0.3">
      <c r="B3637" s="57">
        <f t="shared" si="323"/>
        <v>3634</v>
      </c>
      <c r="C3637" s="142">
        <v>46247</v>
      </c>
      <c r="D3637" s="57" t="s">
        <v>968</v>
      </c>
      <c r="E3637" s="57" t="s">
        <v>146</v>
      </c>
      <c r="F3637" s="57" t="s">
        <v>350</v>
      </c>
      <c r="G3637" s="57" t="s">
        <v>3433</v>
      </c>
      <c r="H3637" s="140" t="s">
        <v>3743</v>
      </c>
      <c r="I3637" s="57"/>
      <c r="J3637" s="165">
        <f>L3637/K3637</f>
        <v>18.867924528301888</v>
      </c>
      <c r="K3637" s="57">
        <v>106</v>
      </c>
      <c r="L3637" s="164">
        <v>2000</v>
      </c>
    </row>
    <row r="3638" spans="2:12" x14ac:dyDescent="0.3">
      <c r="B3638" s="57">
        <f t="shared" si="323"/>
        <v>3635</v>
      </c>
      <c r="C3638" s="142">
        <v>46247</v>
      </c>
      <c r="D3638" s="57" t="s">
        <v>968</v>
      </c>
      <c r="E3638" s="57" t="s">
        <v>532</v>
      </c>
      <c r="F3638" s="57" t="s">
        <v>350</v>
      </c>
      <c r="G3638" s="57" t="s">
        <v>3103</v>
      </c>
      <c r="H3638" s="140" t="s">
        <v>3744</v>
      </c>
      <c r="I3638" s="57" t="s">
        <v>532</v>
      </c>
      <c r="J3638" s="57">
        <v>20</v>
      </c>
      <c r="K3638" s="57">
        <v>260</v>
      </c>
      <c r="L3638" s="164">
        <f t="shared" si="327"/>
        <v>5200</v>
      </c>
    </row>
    <row r="3639" spans="2:12" x14ac:dyDescent="0.3">
      <c r="B3639" s="57">
        <f t="shared" si="323"/>
        <v>3636</v>
      </c>
      <c r="C3639" s="142">
        <v>46247</v>
      </c>
      <c r="D3639" s="57" t="s">
        <v>968</v>
      </c>
      <c r="E3639" s="57" t="s">
        <v>532</v>
      </c>
      <c r="F3639" s="57" t="s">
        <v>350</v>
      </c>
      <c r="G3639" s="57" t="s">
        <v>3103</v>
      </c>
      <c r="H3639" s="140" t="s">
        <v>3531</v>
      </c>
      <c r="I3639" s="57" t="s">
        <v>532</v>
      </c>
      <c r="J3639" s="57">
        <v>20</v>
      </c>
      <c r="K3639" s="57">
        <v>7</v>
      </c>
      <c r="L3639" s="164">
        <f t="shared" si="327"/>
        <v>140</v>
      </c>
    </row>
    <row r="3640" spans="2:12" x14ac:dyDescent="0.3">
      <c r="B3640" s="57">
        <f t="shared" si="323"/>
        <v>3637</v>
      </c>
      <c r="C3640" s="142">
        <v>46247</v>
      </c>
      <c r="D3640" s="57" t="s">
        <v>968</v>
      </c>
      <c r="E3640" s="57" t="s">
        <v>146</v>
      </c>
      <c r="F3640" s="57" t="s">
        <v>546</v>
      </c>
      <c r="G3640" s="57" t="s">
        <v>545</v>
      </c>
      <c r="H3640" s="140" t="s">
        <v>4098</v>
      </c>
      <c r="I3640" s="57"/>
      <c r="J3640" s="165">
        <f>L3640/K3640</f>
        <v>18.867924528301888</v>
      </c>
      <c r="K3640" s="57">
        <v>106</v>
      </c>
      <c r="L3640" s="164">
        <v>2000</v>
      </c>
    </row>
    <row r="3641" spans="2:12" x14ac:dyDescent="0.3">
      <c r="B3641" s="57">
        <f t="shared" si="323"/>
        <v>3638</v>
      </c>
      <c r="C3641" s="142">
        <v>46247</v>
      </c>
      <c r="D3641" s="57" t="s">
        <v>968</v>
      </c>
      <c r="E3641" s="57" t="s">
        <v>434</v>
      </c>
      <c r="F3641" s="57" t="s">
        <v>300</v>
      </c>
      <c r="G3641" s="57" t="s">
        <v>616</v>
      </c>
      <c r="H3641" s="140" t="s">
        <v>3745</v>
      </c>
      <c r="I3641" s="57"/>
      <c r="J3641" s="57"/>
      <c r="L3641" s="164">
        <v>18000</v>
      </c>
    </row>
    <row r="3642" spans="2:12" x14ac:dyDescent="0.3">
      <c r="B3642" s="57">
        <f t="shared" si="323"/>
        <v>3639</v>
      </c>
      <c r="C3642" s="142">
        <v>46247</v>
      </c>
      <c r="D3642" s="57" t="s">
        <v>435</v>
      </c>
      <c r="E3642" s="57" t="s">
        <v>3751</v>
      </c>
      <c r="F3642" s="57" t="s">
        <v>300</v>
      </c>
      <c r="G3642" s="57" t="s">
        <v>300</v>
      </c>
      <c r="H3642" s="140" t="s">
        <v>3752</v>
      </c>
      <c r="I3642" s="57"/>
      <c r="J3642" s="57"/>
      <c r="L3642" s="164">
        <v>35000</v>
      </c>
    </row>
    <row r="3643" spans="2:12" x14ac:dyDescent="0.3">
      <c r="B3643" s="57">
        <f t="shared" si="323"/>
        <v>3640</v>
      </c>
      <c r="C3643" s="142">
        <v>46248</v>
      </c>
      <c r="D3643" s="57" t="s">
        <v>968</v>
      </c>
      <c r="E3643" s="57" t="s">
        <v>4091</v>
      </c>
      <c r="F3643" s="57" t="s">
        <v>300</v>
      </c>
      <c r="H3643" s="140" t="s">
        <v>4096</v>
      </c>
      <c r="I3643" s="57"/>
      <c r="J3643" s="57"/>
      <c r="L3643" s="164">
        <v>2000</v>
      </c>
    </row>
    <row r="3644" spans="2:12" x14ac:dyDescent="0.3">
      <c r="B3644" s="57">
        <f t="shared" si="323"/>
        <v>3641</v>
      </c>
      <c r="C3644" s="142">
        <v>46248</v>
      </c>
      <c r="D3644" s="57" t="s">
        <v>968</v>
      </c>
      <c r="E3644" s="57" t="s">
        <v>146</v>
      </c>
      <c r="F3644" s="57" t="s">
        <v>300</v>
      </c>
      <c r="G3644" s="57" t="s">
        <v>616</v>
      </c>
      <c r="H3644" s="140" t="s">
        <v>894</v>
      </c>
      <c r="I3644" s="57"/>
      <c r="J3644" s="165">
        <f>L3644/K3644</f>
        <v>18.867924528301888</v>
      </c>
      <c r="K3644" s="57">
        <v>106</v>
      </c>
      <c r="L3644" s="164">
        <v>2000</v>
      </c>
    </row>
    <row r="3645" spans="2:12" x14ac:dyDescent="0.3">
      <c r="B3645" s="57">
        <f t="shared" si="323"/>
        <v>3642</v>
      </c>
      <c r="C3645" s="142">
        <v>46248</v>
      </c>
      <c r="D3645" s="57" t="s">
        <v>968</v>
      </c>
      <c r="E3645" s="57" t="s">
        <v>574</v>
      </c>
      <c r="F3645" s="57" t="s">
        <v>350</v>
      </c>
      <c r="G3645" s="57" t="s">
        <v>3103</v>
      </c>
      <c r="H3645" s="140" t="s">
        <v>3731</v>
      </c>
      <c r="I3645" s="140" t="s">
        <v>2635</v>
      </c>
      <c r="J3645" s="57">
        <v>4.67</v>
      </c>
      <c r="K3645" s="168">
        <f>L3645/J3645</f>
        <v>648.82226980728058</v>
      </c>
      <c r="L3645" s="164">
        <v>3030</v>
      </c>
    </row>
    <row r="3646" spans="2:12" x14ac:dyDescent="0.3">
      <c r="B3646" s="57">
        <f t="shared" si="323"/>
        <v>3643</v>
      </c>
      <c r="C3646" s="142">
        <v>46248</v>
      </c>
      <c r="D3646" s="57" t="s">
        <v>968</v>
      </c>
      <c r="E3646" s="57" t="s">
        <v>434</v>
      </c>
      <c r="F3646" s="57" t="s">
        <v>300</v>
      </c>
      <c r="G3646" s="57" t="s">
        <v>530</v>
      </c>
      <c r="H3646" s="140" t="s">
        <v>3753</v>
      </c>
      <c r="I3646" s="57"/>
      <c r="J3646" s="57"/>
      <c r="L3646" s="164">
        <v>44000</v>
      </c>
    </row>
    <row r="3647" spans="2:12" x14ac:dyDescent="0.3">
      <c r="B3647" s="57">
        <f t="shared" si="323"/>
        <v>3644</v>
      </c>
      <c r="C3647" s="142">
        <v>46248</v>
      </c>
      <c r="D3647" s="57" t="s">
        <v>435</v>
      </c>
      <c r="E3647" s="57" t="s">
        <v>146</v>
      </c>
      <c r="F3647" s="57" t="s">
        <v>300</v>
      </c>
      <c r="G3647" s="57" t="s">
        <v>530</v>
      </c>
      <c r="H3647" s="140" t="s">
        <v>4092</v>
      </c>
      <c r="I3647" s="57"/>
      <c r="J3647" s="165">
        <v>134.51</v>
      </c>
      <c r="K3647" s="57">
        <v>106</v>
      </c>
      <c r="L3647" s="164">
        <v>13950</v>
      </c>
    </row>
    <row r="3648" spans="2:12" x14ac:dyDescent="0.3">
      <c r="B3648" s="57">
        <f t="shared" si="323"/>
        <v>3645</v>
      </c>
      <c r="C3648" s="142">
        <v>46248</v>
      </c>
      <c r="D3648" s="57" t="s">
        <v>968</v>
      </c>
      <c r="E3648" s="57" t="s">
        <v>434</v>
      </c>
      <c r="F3648" s="57" t="s">
        <v>300</v>
      </c>
      <c r="G3648" s="57" t="s">
        <v>530</v>
      </c>
      <c r="H3648" s="140" t="s">
        <v>3754</v>
      </c>
      <c r="I3648" s="57"/>
      <c r="J3648" s="57"/>
      <c r="L3648" s="164">
        <v>280</v>
      </c>
    </row>
    <row r="3649" spans="2:12" x14ac:dyDescent="0.3">
      <c r="B3649" s="57">
        <f t="shared" si="323"/>
        <v>3646</v>
      </c>
      <c r="C3649" s="142">
        <v>46248</v>
      </c>
      <c r="D3649" s="57" t="s">
        <v>968</v>
      </c>
      <c r="E3649" s="57" t="s">
        <v>146</v>
      </c>
      <c r="F3649" s="57" t="s">
        <v>502</v>
      </c>
      <c r="G3649" s="57" t="s">
        <v>257</v>
      </c>
      <c r="H3649" s="140" t="s">
        <v>4109</v>
      </c>
      <c r="I3649" s="57"/>
      <c r="J3649" s="165">
        <f>L3649/K3649</f>
        <v>18.867924528301888</v>
      </c>
      <c r="K3649" s="57">
        <v>106</v>
      </c>
      <c r="L3649" s="164">
        <v>2000</v>
      </c>
    </row>
    <row r="3650" spans="2:12" x14ac:dyDescent="0.3">
      <c r="B3650" s="57">
        <f t="shared" si="323"/>
        <v>3647</v>
      </c>
      <c r="C3650" s="142">
        <v>46248</v>
      </c>
      <c r="D3650" s="57" t="s">
        <v>968</v>
      </c>
      <c r="E3650" s="57" t="s">
        <v>2427</v>
      </c>
      <c r="F3650" s="57" t="s">
        <v>300</v>
      </c>
      <c r="G3650" s="57" t="s">
        <v>530</v>
      </c>
      <c r="H3650" s="140" t="s">
        <v>3755</v>
      </c>
      <c r="I3650" s="57" t="s">
        <v>2911</v>
      </c>
      <c r="J3650" s="57">
        <v>534</v>
      </c>
      <c r="K3650" s="167">
        <f>L3650/J3650</f>
        <v>54</v>
      </c>
      <c r="L3650" s="164">
        <v>28836</v>
      </c>
    </row>
    <row r="3651" spans="2:12" x14ac:dyDescent="0.3">
      <c r="B3651" s="57">
        <f t="shared" si="323"/>
        <v>3648</v>
      </c>
      <c r="C3651" s="142">
        <v>46248</v>
      </c>
      <c r="D3651" s="57" t="s">
        <v>968</v>
      </c>
      <c r="E3651" s="57" t="s">
        <v>2427</v>
      </c>
      <c r="F3651" s="57" t="s">
        <v>300</v>
      </c>
      <c r="G3651" s="57" t="s">
        <v>530</v>
      </c>
      <c r="H3651" s="140" t="s">
        <v>3755</v>
      </c>
      <c r="I3651" s="57" t="s">
        <v>2914</v>
      </c>
      <c r="J3651" s="165">
        <v>490</v>
      </c>
      <c r="K3651" s="167">
        <f>L3651/J3651</f>
        <v>56</v>
      </c>
      <c r="L3651" s="164">
        <v>27440</v>
      </c>
    </row>
    <row r="3652" spans="2:12" x14ac:dyDescent="0.3">
      <c r="B3652" s="57">
        <f t="shared" si="323"/>
        <v>3649</v>
      </c>
      <c r="C3652" s="142">
        <v>46248</v>
      </c>
      <c r="D3652" s="57" t="s">
        <v>968</v>
      </c>
      <c r="E3652" s="57" t="s">
        <v>4128</v>
      </c>
      <c r="F3652" s="57" t="s">
        <v>300</v>
      </c>
      <c r="G3652" s="57" t="s">
        <v>530</v>
      </c>
      <c r="H3652" s="140" t="s">
        <v>3531</v>
      </c>
      <c r="I3652" s="57" t="s">
        <v>2782</v>
      </c>
      <c r="J3652" s="57"/>
      <c r="L3652" s="164">
        <v>724</v>
      </c>
    </row>
    <row r="3653" spans="2:12" x14ac:dyDescent="0.3">
      <c r="B3653" s="57">
        <f t="shared" si="323"/>
        <v>3650</v>
      </c>
      <c r="C3653" s="142">
        <v>46248</v>
      </c>
      <c r="D3653" s="57" t="s">
        <v>968</v>
      </c>
      <c r="E3653" s="57" t="s">
        <v>146</v>
      </c>
      <c r="F3653" s="57" t="s">
        <v>300</v>
      </c>
      <c r="H3653" s="140" t="s">
        <v>3757</v>
      </c>
      <c r="I3653" s="57"/>
      <c r="J3653" s="165">
        <f>L3653/K3653</f>
        <v>94.339622641509436</v>
      </c>
      <c r="K3653" s="57">
        <v>106</v>
      </c>
      <c r="L3653" s="164">
        <v>10000</v>
      </c>
    </row>
    <row r="3654" spans="2:12" x14ac:dyDescent="0.3">
      <c r="B3654" s="57">
        <f t="shared" ref="B3654:B3717" si="328">+B3653+1</f>
        <v>3651</v>
      </c>
      <c r="C3654" s="142">
        <v>46248</v>
      </c>
      <c r="D3654" s="57" t="s">
        <v>968</v>
      </c>
      <c r="E3654" s="57" t="s">
        <v>434</v>
      </c>
      <c r="F3654" s="57" t="s">
        <v>446</v>
      </c>
      <c r="G3654" s="57" t="s">
        <v>990</v>
      </c>
      <c r="H3654" s="140" t="s">
        <v>3758</v>
      </c>
      <c r="I3654" s="57"/>
      <c r="J3654" s="57"/>
      <c r="L3654" s="164">
        <v>3575</v>
      </c>
    </row>
    <row r="3655" spans="2:12" x14ac:dyDescent="0.3">
      <c r="B3655" s="57">
        <f t="shared" si="328"/>
        <v>3652</v>
      </c>
      <c r="C3655" s="142">
        <v>46248</v>
      </c>
      <c r="D3655" s="57" t="s">
        <v>968</v>
      </c>
      <c r="E3655" s="57" t="s">
        <v>434</v>
      </c>
      <c r="F3655" s="57" t="s">
        <v>300</v>
      </c>
      <c r="G3655" s="57" t="s">
        <v>530</v>
      </c>
      <c r="H3655" s="140" t="s">
        <v>3759</v>
      </c>
      <c r="I3655" s="57"/>
      <c r="J3655" s="57"/>
      <c r="L3655" s="164">
        <v>18500</v>
      </c>
    </row>
    <row r="3656" spans="2:12" x14ac:dyDescent="0.3">
      <c r="B3656" s="57">
        <f t="shared" si="328"/>
        <v>3653</v>
      </c>
      <c r="C3656" s="142">
        <v>46248</v>
      </c>
      <c r="D3656" s="57" t="s">
        <v>968</v>
      </c>
      <c r="E3656" s="57" t="s">
        <v>434</v>
      </c>
      <c r="F3656" s="57" t="s">
        <v>300</v>
      </c>
      <c r="G3656" s="57" t="s">
        <v>498</v>
      </c>
      <c r="H3656" s="140" t="s">
        <v>3760</v>
      </c>
      <c r="I3656" s="57"/>
      <c r="J3656" s="57"/>
      <c r="L3656" s="164">
        <v>600</v>
      </c>
    </row>
    <row r="3657" spans="2:12" x14ac:dyDescent="0.3">
      <c r="B3657" s="57">
        <f t="shared" si="328"/>
        <v>3654</v>
      </c>
      <c r="C3657" s="142">
        <v>46248</v>
      </c>
      <c r="D3657" s="57" t="s">
        <v>968</v>
      </c>
      <c r="E3657" s="57" t="s">
        <v>146</v>
      </c>
      <c r="F3657" s="57" t="s">
        <v>446</v>
      </c>
      <c r="G3657" s="57" t="s">
        <v>990</v>
      </c>
      <c r="H3657" s="140" t="s">
        <v>879</v>
      </c>
      <c r="I3657" s="57"/>
      <c r="J3657" s="165">
        <f t="shared" ref="J3657:J3658" si="329">L3657/K3657</f>
        <v>18.867924528301888</v>
      </c>
      <c r="K3657" s="57">
        <v>106</v>
      </c>
      <c r="L3657" s="164">
        <v>2000</v>
      </c>
    </row>
    <row r="3658" spans="2:12" x14ac:dyDescent="0.3">
      <c r="B3658" s="57">
        <f t="shared" si="328"/>
        <v>3655</v>
      </c>
      <c r="C3658" s="142">
        <v>46248</v>
      </c>
      <c r="D3658" s="57" t="s">
        <v>968</v>
      </c>
      <c r="E3658" s="57" t="s">
        <v>146</v>
      </c>
      <c r="F3658" s="57" t="s">
        <v>300</v>
      </c>
      <c r="G3658" s="57" t="s">
        <v>530</v>
      </c>
      <c r="H3658" s="140" t="s">
        <v>3761</v>
      </c>
      <c r="I3658" s="57"/>
      <c r="J3658" s="165">
        <f t="shared" si="329"/>
        <v>28.30188679245283</v>
      </c>
      <c r="K3658" s="57">
        <v>106</v>
      </c>
      <c r="L3658" s="164">
        <v>3000</v>
      </c>
    </row>
    <row r="3659" spans="2:12" x14ac:dyDescent="0.3">
      <c r="B3659" s="57">
        <f t="shared" si="328"/>
        <v>3656</v>
      </c>
      <c r="C3659" s="142">
        <v>46248</v>
      </c>
      <c r="D3659" s="57" t="s">
        <v>968</v>
      </c>
      <c r="E3659" s="57" t="s">
        <v>532</v>
      </c>
      <c r="F3659" s="57" t="s">
        <v>300</v>
      </c>
      <c r="G3659" s="57" t="s">
        <v>2653</v>
      </c>
      <c r="H3659" s="140" t="s">
        <v>3762</v>
      </c>
      <c r="I3659" s="57" t="s">
        <v>532</v>
      </c>
      <c r="J3659" s="57">
        <v>3</v>
      </c>
      <c r="K3659" s="57">
        <v>265</v>
      </c>
      <c r="L3659" s="164">
        <f t="shared" si="327"/>
        <v>795</v>
      </c>
    </row>
    <row r="3660" spans="2:12" x14ac:dyDescent="0.3">
      <c r="B3660" s="57">
        <f t="shared" si="328"/>
        <v>3657</v>
      </c>
      <c r="C3660" s="142">
        <v>46248</v>
      </c>
      <c r="D3660" s="57" t="s">
        <v>968</v>
      </c>
      <c r="E3660" s="57" t="s">
        <v>146</v>
      </c>
      <c r="F3660" s="57" t="s">
        <v>300</v>
      </c>
      <c r="G3660" s="57" t="s">
        <v>2653</v>
      </c>
      <c r="H3660" s="140" t="s">
        <v>3656</v>
      </c>
      <c r="I3660" s="57"/>
      <c r="J3660" s="165">
        <f>L3660/K3660</f>
        <v>18.867924528301888</v>
      </c>
      <c r="K3660" s="57">
        <v>106</v>
      </c>
      <c r="L3660" s="164">
        <v>2000</v>
      </c>
    </row>
    <row r="3661" spans="2:12" x14ac:dyDescent="0.3">
      <c r="B3661" s="57">
        <f t="shared" si="328"/>
        <v>3658</v>
      </c>
      <c r="C3661" s="142">
        <v>46248</v>
      </c>
      <c r="D3661" s="57" t="s">
        <v>968</v>
      </c>
      <c r="E3661" s="57" t="s">
        <v>3722</v>
      </c>
      <c r="F3661" s="57" t="s">
        <v>2332</v>
      </c>
      <c r="H3661" s="140" t="s">
        <v>3763</v>
      </c>
      <c r="I3661" s="57" t="s">
        <v>3722</v>
      </c>
      <c r="J3661" s="57">
        <v>40</v>
      </c>
      <c r="K3661" s="57">
        <v>4</v>
      </c>
      <c r="L3661" s="164">
        <v>160</v>
      </c>
    </row>
    <row r="3662" spans="2:12" x14ac:dyDescent="0.3">
      <c r="B3662" s="57">
        <f t="shared" si="328"/>
        <v>3659</v>
      </c>
      <c r="C3662" s="142">
        <v>46248</v>
      </c>
      <c r="D3662" s="57" t="s">
        <v>435</v>
      </c>
      <c r="E3662" s="57" t="s">
        <v>892</v>
      </c>
      <c r="F3662" s="57" t="s">
        <v>621</v>
      </c>
      <c r="G3662" s="57" t="s">
        <v>345</v>
      </c>
      <c r="H3662" s="140" t="s">
        <v>3765</v>
      </c>
      <c r="I3662" s="57" t="s">
        <v>3764</v>
      </c>
      <c r="J3662" s="57">
        <v>9</v>
      </c>
      <c r="K3662" s="57">
        <v>6826</v>
      </c>
      <c r="L3662" s="164">
        <f t="shared" si="327"/>
        <v>61434</v>
      </c>
    </row>
    <row r="3663" spans="2:12" x14ac:dyDescent="0.3">
      <c r="B3663" s="57">
        <f t="shared" si="328"/>
        <v>3660</v>
      </c>
      <c r="C3663" s="142">
        <v>46248</v>
      </c>
      <c r="D3663" s="57" t="s">
        <v>435</v>
      </c>
      <c r="E3663" s="57" t="s">
        <v>892</v>
      </c>
      <c r="F3663" s="57" t="s">
        <v>652</v>
      </c>
      <c r="G3663" s="57" t="s">
        <v>651</v>
      </c>
      <c r="H3663" s="140" t="s">
        <v>3767</v>
      </c>
      <c r="I3663" s="57" t="s">
        <v>3764</v>
      </c>
      <c r="J3663" s="57">
        <v>14</v>
      </c>
      <c r="K3663" s="57">
        <v>6826</v>
      </c>
      <c r="L3663" s="164">
        <f t="shared" si="327"/>
        <v>95564</v>
      </c>
    </row>
    <row r="3664" spans="2:12" x14ac:dyDescent="0.3">
      <c r="B3664" s="57">
        <f t="shared" si="328"/>
        <v>3661</v>
      </c>
      <c r="C3664" s="142">
        <v>46248</v>
      </c>
      <c r="D3664" s="57" t="s">
        <v>968</v>
      </c>
      <c r="E3664" s="57" t="s">
        <v>146</v>
      </c>
      <c r="F3664" s="57" t="s">
        <v>436</v>
      </c>
      <c r="G3664" s="57" t="s">
        <v>987</v>
      </c>
      <c r="H3664" s="140" t="s">
        <v>3766</v>
      </c>
      <c r="I3664" s="57"/>
      <c r="J3664" s="165">
        <f t="shared" ref="J3664:J3669" si="330">L3664/K3664</f>
        <v>18.867924528301888</v>
      </c>
      <c r="K3664" s="57">
        <v>106</v>
      </c>
      <c r="L3664" s="164">
        <v>2000</v>
      </c>
    </row>
    <row r="3665" spans="2:12" x14ac:dyDescent="0.3">
      <c r="B3665" s="57">
        <f t="shared" si="328"/>
        <v>3662</v>
      </c>
      <c r="C3665" s="142">
        <v>46248</v>
      </c>
      <c r="D3665" s="57" t="s">
        <v>968</v>
      </c>
      <c r="E3665" s="57" t="s">
        <v>146</v>
      </c>
      <c r="F3665" s="57" t="s">
        <v>546</v>
      </c>
      <c r="G3665" s="57" t="s">
        <v>3514</v>
      </c>
      <c r="H3665" s="140" t="s">
        <v>4114</v>
      </c>
      <c r="I3665" s="57" t="s">
        <v>146</v>
      </c>
      <c r="J3665" s="165">
        <f t="shared" si="330"/>
        <v>18.867924528301888</v>
      </c>
      <c r="K3665" s="57">
        <v>106</v>
      </c>
      <c r="L3665" s="164">
        <v>2000</v>
      </c>
    </row>
    <row r="3666" spans="2:12" x14ac:dyDescent="0.3">
      <c r="B3666" s="57">
        <f t="shared" si="328"/>
        <v>3663</v>
      </c>
      <c r="C3666" s="142">
        <v>46249</v>
      </c>
      <c r="D3666" s="57" t="s">
        <v>968</v>
      </c>
      <c r="E3666" s="57" t="s">
        <v>146</v>
      </c>
      <c r="F3666" s="57" t="s">
        <v>350</v>
      </c>
      <c r="G3666" s="57" t="s">
        <v>3270</v>
      </c>
      <c r="H3666" s="140" t="s">
        <v>3768</v>
      </c>
      <c r="I3666" s="57"/>
      <c r="J3666" s="165">
        <f t="shared" si="330"/>
        <v>18.867924528301888</v>
      </c>
      <c r="K3666" s="57">
        <v>106</v>
      </c>
      <c r="L3666" s="164">
        <v>2000</v>
      </c>
    </row>
    <row r="3667" spans="2:12" x14ac:dyDescent="0.3">
      <c r="B3667" s="57">
        <f t="shared" si="328"/>
        <v>3664</v>
      </c>
      <c r="C3667" s="142">
        <v>46249</v>
      </c>
      <c r="D3667" s="57" t="s">
        <v>968</v>
      </c>
      <c r="E3667" s="57" t="s">
        <v>146</v>
      </c>
      <c r="F3667" s="57" t="s">
        <v>446</v>
      </c>
      <c r="G3667" s="57" t="s">
        <v>359</v>
      </c>
      <c r="H3667" s="140" t="s">
        <v>4099</v>
      </c>
      <c r="I3667" s="57"/>
      <c r="J3667" s="165">
        <f t="shared" si="330"/>
        <v>18.867924528301888</v>
      </c>
      <c r="K3667" s="57">
        <v>106</v>
      </c>
      <c r="L3667" s="164">
        <v>2000</v>
      </c>
    </row>
    <row r="3668" spans="2:12" x14ac:dyDescent="0.3">
      <c r="B3668" s="57">
        <f t="shared" si="328"/>
        <v>3665</v>
      </c>
      <c r="C3668" s="142">
        <v>46249</v>
      </c>
      <c r="D3668" s="57" t="s">
        <v>968</v>
      </c>
      <c r="E3668" s="57" t="s">
        <v>146</v>
      </c>
      <c r="F3668" s="57" t="s">
        <v>300</v>
      </c>
      <c r="G3668" s="57" t="s">
        <v>530</v>
      </c>
      <c r="H3668" s="140" t="s">
        <v>4105</v>
      </c>
      <c r="I3668" s="57"/>
      <c r="J3668" s="165">
        <f t="shared" si="330"/>
        <v>18.867924528301888</v>
      </c>
      <c r="K3668" s="57">
        <v>106</v>
      </c>
      <c r="L3668" s="164">
        <v>2000</v>
      </c>
    </row>
    <row r="3669" spans="2:12" x14ac:dyDescent="0.3">
      <c r="B3669" s="57">
        <f t="shared" si="328"/>
        <v>3666</v>
      </c>
      <c r="C3669" s="142">
        <v>46249</v>
      </c>
      <c r="D3669" s="57" t="s">
        <v>968</v>
      </c>
      <c r="E3669" s="57" t="s">
        <v>146</v>
      </c>
      <c r="F3669" s="57" t="s">
        <v>300</v>
      </c>
      <c r="G3669" s="57" t="s">
        <v>530</v>
      </c>
      <c r="H3669" s="140" t="s">
        <v>3769</v>
      </c>
      <c r="I3669" s="57"/>
      <c r="J3669" s="165">
        <f t="shared" si="330"/>
        <v>18.867924528301888</v>
      </c>
      <c r="K3669" s="57">
        <v>106</v>
      </c>
      <c r="L3669" s="164">
        <v>2000</v>
      </c>
    </row>
    <row r="3670" spans="2:12" x14ac:dyDescent="0.3">
      <c r="B3670" s="57">
        <f t="shared" si="328"/>
        <v>3667</v>
      </c>
      <c r="C3670" s="142">
        <v>46249</v>
      </c>
      <c r="D3670" s="57" t="s">
        <v>968</v>
      </c>
      <c r="E3670" s="57" t="s">
        <v>532</v>
      </c>
      <c r="F3670" s="57" t="s">
        <v>446</v>
      </c>
      <c r="G3670" s="57" t="s">
        <v>649</v>
      </c>
      <c r="H3670" s="140" t="s">
        <v>3748</v>
      </c>
      <c r="I3670" s="57" t="s">
        <v>532</v>
      </c>
      <c r="J3670" s="57">
        <v>20</v>
      </c>
      <c r="K3670" s="57">
        <v>260</v>
      </c>
      <c r="L3670" s="164">
        <f t="shared" si="327"/>
        <v>5200</v>
      </c>
    </row>
    <row r="3671" spans="2:12" x14ac:dyDescent="0.3">
      <c r="B3671" s="57">
        <f t="shared" si="328"/>
        <v>3668</v>
      </c>
      <c r="C3671" s="142">
        <v>46249</v>
      </c>
      <c r="D3671" s="57" t="s">
        <v>968</v>
      </c>
      <c r="E3671" s="57" t="s">
        <v>4128</v>
      </c>
      <c r="F3671" s="57" t="s">
        <v>446</v>
      </c>
      <c r="G3671" s="57" t="s">
        <v>649</v>
      </c>
      <c r="H3671" s="140" t="s">
        <v>3531</v>
      </c>
      <c r="I3671" s="57" t="s">
        <v>532</v>
      </c>
      <c r="J3671" s="57"/>
      <c r="L3671" s="164">
        <v>100</v>
      </c>
    </row>
    <row r="3672" spans="2:12" x14ac:dyDescent="0.3">
      <c r="B3672" s="57">
        <f t="shared" si="328"/>
        <v>3669</v>
      </c>
      <c r="C3672" s="142">
        <v>46249</v>
      </c>
      <c r="D3672" s="57" t="s">
        <v>968</v>
      </c>
      <c r="E3672" s="57" t="s">
        <v>2427</v>
      </c>
      <c r="F3672" s="57" t="s">
        <v>446</v>
      </c>
      <c r="G3672" s="57" t="s">
        <v>649</v>
      </c>
      <c r="H3672" s="140" t="s">
        <v>3747</v>
      </c>
      <c r="I3672" s="57" t="s">
        <v>2914</v>
      </c>
      <c r="J3672" s="165">
        <v>122</v>
      </c>
      <c r="K3672" s="57">
        <v>57</v>
      </c>
      <c r="L3672" s="164">
        <f t="shared" si="327"/>
        <v>6954</v>
      </c>
    </row>
    <row r="3673" spans="2:12" x14ac:dyDescent="0.3">
      <c r="B3673" s="57">
        <f t="shared" si="328"/>
        <v>3670</v>
      </c>
      <c r="C3673" s="142">
        <v>46249</v>
      </c>
      <c r="D3673" s="57" t="s">
        <v>968</v>
      </c>
      <c r="E3673" s="57" t="s">
        <v>4128</v>
      </c>
      <c r="F3673" s="57" t="s">
        <v>446</v>
      </c>
      <c r="G3673" s="57" t="s">
        <v>649</v>
      </c>
      <c r="H3673" s="140" t="s">
        <v>3531</v>
      </c>
      <c r="I3673" s="57" t="s">
        <v>532</v>
      </c>
      <c r="J3673" s="57"/>
      <c r="L3673" s="164">
        <v>80</v>
      </c>
    </row>
    <row r="3674" spans="2:12" x14ac:dyDescent="0.3">
      <c r="B3674" s="57">
        <f t="shared" si="328"/>
        <v>3671</v>
      </c>
      <c r="C3674" s="142">
        <v>46249</v>
      </c>
      <c r="D3674" s="57" t="s">
        <v>968</v>
      </c>
      <c r="E3674" s="57" t="s">
        <v>2027</v>
      </c>
      <c r="F3674" s="57" t="s">
        <v>300</v>
      </c>
      <c r="G3674" s="57" t="s">
        <v>530</v>
      </c>
      <c r="H3674" s="140" t="s">
        <v>3770</v>
      </c>
      <c r="I3674" s="57"/>
      <c r="J3674" s="57"/>
      <c r="L3674" s="164">
        <v>5600</v>
      </c>
    </row>
    <row r="3675" spans="2:12" x14ac:dyDescent="0.3">
      <c r="B3675" s="57">
        <f t="shared" si="328"/>
        <v>3672</v>
      </c>
      <c r="C3675" s="142">
        <v>46249</v>
      </c>
      <c r="D3675" s="57" t="s">
        <v>968</v>
      </c>
      <c r="E3675" s="57" t="s">
        <v>958</v>
      </c>
      <c r="F3675" s="57" t="s">
        <v>350</v>
      </c>
      <c r="G3675" s="57" t="s">
        <v>3103</v>
      </c>
      <c r="H3675" s="140" t="s">
        <v>3771</v>
      </c>
      <c r="I3675" s="57"/>
      <c r="J3675" s="57"/>
      <c r="L3675" s="164">
        <v>3000</v>
      </c>
    </row>
    <row r="3676" spans="2:12" x14ac:dyDescent="0.3">
      <c r="B3676" s="57">
        <f t="shared" si="328"/>
        <v>3673</v>
      </c>
      <c r="C3676" s="142">
        <v>46249</v>
      </c>
      <c r="D3676" s="57" t="s">
        <v>968</v>
      </c>
      <c r="E3676" s="57" t="s">
        <v>522</v>
      </c>
      <c r="F3676" s="57" t="s">
        <v>502</v>
      </c>
      <c r="G3676" s="57" t="s">
        <v>2344</v>
      </c>
      <c r="H3676" s="140" t="s">
        <v>3772</v>
      </c>
      <c r="I3676" s="57"/>
      <c r="J3676" s="57"/>
      <c r="L3676" s="164">
        <v>3200</v>
      </c>
    </row>
    <row r="3677" spans="2:12" x14ac:dyDescent="0.3">
      <c r="B3677" s="57">
        <f t="shared" si="328"/>
        <v>3674</v>
      </c>
      <c r="C3677" s="142">
        <v>46249</v>
      </c>
      <c r="D3677" s="57" t="s">
        <v>968</v>
      </c>
      <c r="E3677" s="57" t="s">
        <v>3145</v>
      </c>
      <c r="F3677" s="57" t="s">
        <v>446</v>
      </c>
      <c r="G3677" s="57" t="s">
        <v>313</v>
      </c>
      <c r="H3677" s="140" t="s">
        <v>3773</v>
      </c>
      <c r="I3677" s="57"/>
      <c r="J3677" s="57"/>
      <c r="L3677" s="164">
        <v>1200</v>
      </c>
    </row>
    <row r="3678" spans="2:12" x14ac:dyDescent="0.3">
      <c r="B3678" s="57">
        <f t="shared" si="328"/>
        <v>3675</v>
      </c>
      <c r="C3678" s="142">
        <v>46249</v>
      </c>
      <c r="D3678" s="57" t="s">
        <v>968</v>
      </c>
      <c r="E3678" s="57" t="s">
        <v>4128</v>
      </c>
      <c r="F3678" s="57" t="s">
        <v>300</v>
      </c>
      <c r="G3678" s="57" t="s">
        <v>530</v>
      </c>
      <c r="H3678" s="140" t="s">
        <v>3774</v>
      </c>
      <c r="I3678" s="57"/>
      <c r="J3678" s="57"/>
      <c r="L3678" s="164">
        <v>18000</v>
      </c>
    </row>
    <row r="3679" spans="2:12" x14ac:dyDescent="0.3">
      <c r="B3679" s="57">
        <f t="shared" si="328"/>
        <v>3676</v>
      </c>
      <c r="C3679" s="142">
        <v>46249</v>
      </c>
      <c r="D3679" s="57" t="s">
        <v>968</v>
      </c>
      <c r="E3679" s="57" t="s">
        <v>532</v>
      </c>
      <c r="F3679" s="57" t="s">
        <v>546</v>
      </c>
      <c r="G3679" s="57" t="s">
        <v>3514</v>
      </c>
      <c r="H3679" s="140" t="s">
        <v>3775</v>
      </c>
      <c r="I3679" s="57" t="s">
        <v>532</v>
      </c>
      <c r="J3679" s="57">
        <v>3</v>
      </c>
      <c r="K3679" s="57">
        <v>300</v>
      </c>
      <c r="L3679" s="164">
        <f t="shared" si="327"/>
        <v>900</v>
      </c>
    </row>
    <row r="3680" spans="2:12" x14ac:dyDescent="0.3">
      <c r="B3680" s="57">
        <f t="shared" si="328"/>
        <v>3677</v>
      </c>
      <c r="C3680" s="142">
        <v>46249</v>
      </c>
      <c r="D3680" s="57" t="s">
        <v>968</v>
      </c>
      <c r="E3680" s="57" t="s">
        <v>146</v>
      </c>
      <c r="F3680" s="57" t="s">
        <v>300</v>
      </c>
      <c r="G3680" s="57" t="s">
        <v>438</v>
      </c>
      <c r="H3680" s="140" t="s">
        <v>4110</v>
      </c>
      <c r="I3680" s="57"/>
      <c r="J3680" s="165">
        <f>L3680/K3680</f>
        <v>18.867924528301888</v>
      </c>
      <c r="K3680" s="57">
        <v>106</v>
      </c>
      <c r="L3680" s="164">
        <v>2000</v>
      </c>
    </row>
    <row r="3681" spans="2:12" x14ac:dyDescent="0.3">
      <c r="B3681" s="57">
        <f t="shared" si="328"/>
        <v>3678</v>
      </c>
      <c r="C3681" s="142">
        <v>46249</v>
      </c>
      <c r="D3681" s="57" t="s">
        <v>968</v>
      </c>
      <c r="E3681" s="57" t="s">
        <v>574</v>
      </c>
      <c r="F3681" s="57" t="s">
        <v>300</v>
      </c>
      <c r="G3681" s="57" t="s">
        <v>993</v>
      </c>
      <c r="H3681" s="140" t="s">
        <v>3776</v>
      </c>
      <c r="I3681" s="140" t="s">
        <v>2635</v>
      </c>
      <c r="J3681" s="57">
        <v>4</v>
      </c>
      <c r="K3681" s="167">
        <f>L3681/J3681</f>
        <v>625</v>
      </c>
      <c r="L3681" s="164">
        <v>2500</v>
      </c>
    </row>
    <row r="3682" spans="2:12" x14ac:dyDescent="0.3">
      <c r="B3682" s="57">
        <f t="shared" si="328"/>
        <v>3679</v>
      </c>
      <c r="C3682" s="142">
        <v>46249</v>
      </c>
      <c r="D3682" s="57" t="s">
        <v>968</v>
      </c>
      <c r="E3682" s="57" t="s">
        <v>532</v>
      </c>
      <c r="F3682" s="57" t="s">
        <v>300</v>
      </c>
      <c r="G3682" s="57" t="s">
        <v>530</v>
      </c>
      <c r="H3682" s="140" t="s">
        <v>3777</v>
      </c>
      <c r="I3682" s="57" t="s">
        <v>532</v>
      </c>
      <c r="J3682" s="57">
        <v>100</v>
      </c>
      <c r="K3682" s="57">
        <v>260</v>
      </c>
      <c r="L3682" s="164">
        <f t="shared" si="327"/>
        <v>26000</v>
      </c>
    </row>
    <row r="3683" spans="2:12" x14ac:dyDescent="0.3">
      <c r="B3683" s="57">
        <f t="shared" si="328"/>
        <v>3680</v>
      </c>
      <c r="C3683" s="142">
        <v>46249</v>
      </c>
      <c r="D3683" s="57" t="s">
        <v>968</v>
      </c>
      <c r="E3683" s="57" t="s">
        <v>4128</v>
      </c>
      <c r="F3683" s="57" t="s">
        <v>300</v>
      </c>
      <c r="G3683" s="57" t="s">
        <v>993</v>
      </c>
      <c r="H3683" s="140" t="s">
        <v>3778</v>
      </c>
      <c r="I3683" s="57" t="s">
        <v>3781</v>
      </c>
      <c r="J3683" s="57">
        <v>1950</v>
      </c>
      <c r="K3683" s="57">
        <v>2</v>
      </c>
      <c r="L3683" s="164">
        <v>3900</v>
      </c>
    </row>
    <row r="3684" spans="2:12" x14ac:dyDescent="0.3">
      <c r="B3684" s="57">
        <f t="shared" si="328"/>
        <v>3681</v>
      </c>
      <c r="C3684" s="142">
        <v>46249</v>
      </c>
      <c r="D3684" s="57" t="s">
        <v>968</v>
      </c>
      <c r="E3684" s="57" t="s">
        <v>574</v>
      </c>
      <c r="F3684" s="57" t="s">
        <v>300</v>
      </c>
      <c r="G3684" s="57" t="s">
        <v>993</v>
      </c>
      <c r="H3684" s="140" t="s">
        <v>3779</v>
      </c>
      <c r="I3684" s="140" t="s">
        <v>4081</v>
      </c>
      <c r="J3684" s="57">
        <v>4</v>
      </c>
      <c r="K3684" s="167">
        <f>L3684/J3684</f>
        <v>625</v>
      </c>
      <c r="L3684" s="164">
        <v>2500</v>
      </c>
    </row>
    <row r="3685" spans="2:12" x14ac:dyDescent="0.3">
      <c r="B3685" s="57">
        <f t="shared" si="328"/>
        <v>3682</v>
      </c>
      <c r="C3685" s="142">
        <v>46249</v>
      </c>
      <c r="D3685" s="57" t="s">
        <v>968</v>
      </c>
      <c r="E3685" s="57" t="s">
        <v>146</v>
      </c>
      <c r="F3685" s="57" t="s">
        <v>350</v>
      </c>
      <c r="G3685" s="57" t="s">
        <v>3103</v>
      </c>
      <c r="H3685" s="140" t="s">
        <v>4106</v>
      </c>
      <c r="I3685" s="57"/>
      <c r="J3685" s="165">
        <f>L3685/K3685</f>
        <v>18.867924528301888</v>
      </c>
      <c r="K3685" s="57">
        <v>106</v>
      </c>
      <c r="L3685" s="164">
        <v>2000</v>
      </c>
    </row>
    <row r="3686" spans="2:12" x14ac:dyDescent="0.3">
      <c r="B3686" s="57">
        <f t="shared" si="328"/>
        <v>3683</v>
      </c>
      <c r="C3686" s="142">
        <v>46249</v>
      </c>
      <c r="D3686" s="57" t="s">
        <v>968</v>
      </c>
      <c r="E3686" s="57" t="s">
        <v>434</v>
      </c>
      <c r="F3686" s="57" t="s">
        <v>300</v>
      </c>
      <c r="G3686" s="57" t="s">
        <v>2653</v>
      </c>
      <c r="H3686" s="140" t="s">
        <v>3780</v>
      </c>
      <c r="I3686" s="57"/>
      <c r="J3686" s="57"/>
      <c r="L3686" s="164">
        <v>1700</v>
      </c>
    </row>
    <row r="3687" spans="2:12" x14ac:dyDescent="0.3">
      <c r="B3687" s="57">
        <f t="shared" si="328"/>
        <v>3684</v>
      </c>
      <c r="C3687" s="142">
        <v>46249</v>
      </c>
      <c r="D3687" s="57" t="s">
        <v>968</v>
      </c>
      <c r="E3687" s="57" t="s">
        <v>574</v>
      </c>
      <c r="F3687" s="57" t="s">
        <v>350</v>
      </c>
      <c r="G3687" s="57" t="s">
        <v>3103</v>
      </c>
      <c r="H3687" s="140" t="s">
        <v>3782</v>
      </c>
      <c r="I3687" s="140" t="s">
        <v>4081</v>
      </c>
      <c r="J3687" s="57">
        <v>4.5999999999999996</v>
      </c>
      <c r="K3687" s="167">
        <f>L3687/J3687</f>
        <v>650</v>
      </c>
      <c r="L3687" s="164">
        <v>2990</v>
      </c>
    </row>
    <row r="3688" spans="2:12" x14ac:dyDescent="0.3">
      <c r="B3688" s="57">
        <f t="shared" si="328"/>
        <v>3685</v>
      </c>
      <c r="C3688" s="142">
        <v>46249</v>
      </c>
      <c r="D3688" s="57" t="s">
        <v>968</v>
      </c>
      <c r="E3688" s="57" t="s">
        <v>434</v>
      </c>
      <c r="F3688" s="57" t="s">
        <v>546</v>
      </c>
      <c r="G3688" s="57" t="s">
        <v>545</v>
      </c>
      <c r="H3688" s="140" t="s">
        <v>3783</v>
      </c>
      <c r="I3688" s="57"/>
      <c r="J3688" s="57"/>
      <c r="L3688" s="164">
        <v>3055</v>
      </c>
    </row>
    <row r="3689" spans="2:12" x14ac:dyDescent="0.3">
      <c r="B3689" s="57">
        <f t="shared" si="328"/>
        <v>3686</v>
      </c>
      <c r="C3689" s="142">
        <v>46249</v>
      </c>
      <c r="D3689" s="57" t="s">
        <v>968</v>
      </c>
      <c r="E3689" s="57" t="s">
        <v>522</v>
      </c>
      <c r="F3689" s="57" t="s">
        <v>300</v>
      </c>
      <c r="G3689" s="57" t="s">
        <v>530</v>
      </c>
      <c r="H3689" s="140" t="s">
        <v>3784</v>
      </c>
      <c r="I3689" s="57"/>
      <c r="J3689" s="57"/>
      <c r="L3689" s="164">
        <v>6000</v>
      </c>
    </row>
    <row r="3690" spans="2:12" x14ac:dyDescent="0.3">
      <c r="B3690" s="57">
        <f t="shared" si="328"/>
        <v>3687</v>
      </c>
      <c r="C3690" s="142">
        <v>46249</v>
      </c>
      <c r="D3690" s="57" t="s">
        <v>968</v>
      </c>
      <c r="E3690" s="57" t="s">
        <v>4128</v>
      </c>
      <c r="F3690" s="57" t="s">
        <v>300</v>
      </c>
      <c r="G3690" s="57" t="s">
        <v>616</v>
      </c>
      <c r="H3690" s="140" t="s">
        <v>3785</v>
      </c>
      <c r="I3690" s="57"/>
      <c r="J3690" s="57"/>
      <c r="L3690" s="164">
        <v>3300</v>
      </c>
    </row>
    <row r="3691" spans="2:12" x14ac:dyDescent="0.3">
      <c r="B3691" s="57">
        <f t="shared" si="328"/>
        <v>3688</v>
      </c>
      <c r="C3691" s="142">
        <v>46250</v>
      </c>
      <c r="D3691" s="57" t="s">
        <v>968</v>
      </c>
      <c r="E3691" s="57" t="s">
        <v>146</v>
      </c>
      <c r="F3691" s="57" t="s">
        <v>300</v>
      </c>
      <c r="G3691" s="57" t="s">
        <v>2473</v>
      </c>
      <c r="H3691" s="140" t="s">
        <v>3786</v>
      </c>
      <c r="I3691" s="57"/>
      <c r="J3691" s="165">
        <f t="shared" ref="J3691:J3694" si="331">L3691/K3691</f>
        <v>18.867924528301888</v>
      </c>
      <c r="K3691" s="57">
        <v>106</v>
      </c>
      <c r="L3691" s="164">
        <v>2000</v>
      </c>
    </row>
    <row r="3692" spans="2:12" x14ac:dyDescent="0.3">
      <c r="B3692" s="57">
        <f t="shared" si="328"/>
        <v>3689</v>
      </c>
      <c r="C3692" s="142">
        <v>46250</v>
      </c>
      <c r="D3692" s="57" t="s">
        <v>968</v>
      </c>
      <c r="E3692" s="57" t="s">
        <v>146</v>
      </c>
      <c r="F3692" s="57" t="s">
        <v>2332</v>
      </c>
      <c r="G3692" s="57" t="s">
        <v>1004</v>
      </c>
      <c r="H3692" s="140" t="s">
        <v>3787</v>
      </c>
      <c r="I3692" s="57"/>
      <c r="J3692" s="165">
        <f t="shared" si="331"/>
        <v>18.867924528301888</v>
      </c>
      <c r="K3692" s="57">
        <v>106</v>
      </c>
      <c r="L3692" s="164">
        <v>2000</v>
      </c>
    </row>
    <row r="3693" spans="2:12" x14ac:dyDescent="0.3">
      <c r="B3693" s="57">
        <f t="shared" si="328"/>
        <v>3690</v>
      </c>
      <c r="C3693" s="142">
        <v>46250</v>
      </c>
      <c r="D3693" s="57" t="s">
        <v>968</v>
      </c>
      <c r="E3693" s="57" t="s">
        <v>146</v>
      </c>
      <c r="F3693" s="57" t="s">
        <v>300</v>
      </c>
      <c r="G3693" s="57" t="s">
        <v>993</v>
      </c>
      <c r="H3693" s="140" t="s">
        <v>4109</v>
      </c>
      <c r="I3693" s="57"/>
      <c r="J3693" s="165">
        <f t="shared" si="331"/>
        <v>28.30188679245283</v>
      </c>
      <c r="K3693" s="57">
        <v>106</v>
      </c>
      <c r="L3693" s="164">
        <v>3000</v>
      </c>
    </row>
    <row r="3694" spans="2:12" x14ac:dyDescent="0.3">
      <c r="B3694" s="57">
        <f t="shared" si="328"/>
        <v>3691</v>
      </c>
      <c r="C3694" s="142">
        <v>46250</v>
      </c>
      <c r="D3694" s="57" t="s">
        <v>968</v>
      </c>
      <c r="E3694" s="57" t="s">
        <v>146</v>
      </c>
      <c r="F3694" s="57" t="s">
        <v>300</v>
      </c>
      <c r="G3694" s="57" t="s">
        <v>526</v>
      </c>
      <c r="H3694" s="140" t="s">
        <v>1051</v>
      </c>
      <c r="I3694" s="57"/>
      <c r="J3694" s="165">
        <f t="shared" si="331"/>
        <v>28.30188679245283</v>
      </c>
      <c r="K3694" s="57">
        <v>106</v>
      </c>
      <c r="L3694" s="164">
        <v>3000</v>
      </c>
    </row>
    <row r="3695" spans="2:12" x14ac:dyDescent="0.3">
      <c r="B3695" s="57">
        <f t="shared" si="328"/>
        <v>3692</v>
      </c>
      <c r="C3695" s="142">
        <v>46250</v>
      </c>
      <c r="D3695" s="57" t="s">
        <v>968</v>
      </c>
      <c r="E3695" s="57" t="s">
        <v>434</v>
      </c>
      <c r="F3695" s="57" t="s">
        <v>350</v>
      </c>
      <c r="G3695" s="57" t="s">
        <v>675</v>
      </c>
      <c r="H3695" s="140" t="s">
        <v>3788</v>
      </c>
      <c r="I3695" s="57"/>
      <c r="J3695" s="57"/>
      <c r="L3695" s="164">
        <v>4430</v>
      </c>
    </row>
    <row r="3696" spans="2:12" x14ac:dyDescent="0.3">
      <c r="B3696" s="57">
        <f t="shared" si="328"/>
        <v>3693</v>
      </c>
      <c r="C3696" s="142">
        <v>46250</v>
      </c>
      <c r="D3696" s="57" t="s">
        <v>968</v>
      </c>
      <c r="E3696" s="57" t="s">
        <v>532</v>
      </c>
      <c r="F3696" s="57" t="s">
        <v>446</v>
      </c>
      <c r="G3696" s="57" t="s">
        <v>313</v>
      </c>
      <c r="H3696" s="140" t="s">
        <v>3789</v>
      </c>
      <c r="I3696" s="57" t="s">
        <v>532</v>
      </c>
      <c r="J3696" s="57">
        <v>2</v>
      </c>
      <c r="K3696" s="57">
        <v>250</v>
      </c>
      <c r="L3696" s="164">
        <f t="shared" ref="L3696:L3751" si="332">J3696*K3696</f>
        <v>500</v>
      </c>
    </row>
    <row r="3697" spans="2:12" x14ac:dyDescent="0.3">
      <c r="B3697" s="57">
        <f t="shared" si="328"/>
        <v>3694</v>
      </c>
      <c r="C3697" s="142">
        <v>46250</v>
      </c>
      <c r="D3697" s="57" t="s">
        <v>968</v>
      </c>
      <c r="E3697" s="57" t="s">
        <v>146</v>
      </c>
      <c r="F3697" s="57" t="s">
        <v>300</v>
      </c>
      <c r="H3697" s="140" t="s">
        <v>4090</v>
      </c>
      <c r="I3697" s="57"/>
      <c r="J3697" s="165">
        <f t="shared" ref="J3697:J3701" si="333">L3697/K3697</f>
        <v>18.867924528301888</v>
      </c>
      <c r="K3697" s="57">
        <v>106</v>
      </c>
      <c r="L3697" s="164">
        <v>2000</v>
      </c>
    </row>
    <row r="3698" spans="2:12" x14ac:dyDescent="0.3">
      <c r="B3698" s="57">
        <f t="shared" si="328"/>
        <v>3695</v>
      </c>
      <c r="C3698" s="142">
        <v>46250</v>
      </c>
      <c r="D3698" s="57" t="s">
        <v>968</v>
      </c>
      <c r="E3698" s="57" t="s">
        <v>146</v>
      </c>
      <c r="F3698" s="57" t="s">
        <v>446</v>
      </c>
      <c r="G3698" s="57" t="s">
        <v>316</v>
      </c>
      <c r="H3698" s="140" t="s">
        <v>3790</v>
      </c>
      <c r="I3698" s="57"/>
      <c r="J3698" s="165">
        <f t="shared" si="333"/>
        <v>28.30188679245283</v>
      </c>
      <c r="K3698" s="57">
        <v>106</v>
      </c>
      <c r="L3698" s="164">
        <v>3000</v>
      </c>
    </row>
    <row r="3699" spans="2:12" x14ac:dyDescent="0.3">
      <c r="B3699" s="57">
        <f t="shared" si="328"/>
        <v>3696</v>
      </c>
      <c r="C3699" s="142">
        <v>46250</v>
      </c>
      <c r="D3699" s="57" t="s">
        <v>968</v>
      </c>
      <c r="E3699" s="57" t="s">
        <v>146</v>
      </c>
      <c r="F3699" s="57" t="s">
        <v>300</v>
      </c>
      <c r="G3699" s="57" t="s">
        <v>498</v>
      </c>
      <c r="H3699" s="140" t="s">
        <v>3791</v>
      </c>
      <c r="I3699" s="57"/>
      <c r="J3699" s="165">
        <f t="shared" si="333"/>
        <v>28.30188679245283</v>
      </c>
      <c r="K3699" s="57">
        <v>106</v>
      </c>
      <c r="L3699" s="164">
        <v>3000</v>
      </c>
    </row>
    <row r="3700" spans="2:12" x14ac:dyDescent="0.3">
      <c r="B3700" s="57">
        <f t="shared" si="328"/>
        <v>3697</v>
      </c>
      <c r="C3700" s="142">
        <v>46250</v>
      </c>
      <c r="D3700" s="57" t="s">
        <v>968</v>
      </c>
      <c r="E3700" s="57" t="s">
        <v>146</v>
      </c>
      <c r="F3700" s="57" t="s">
        <v>300</v>
      </c>
      <c r="G3700" s="57" t="s">
        <v>498</v>
      </c>
      <c r="H3700" s="140" t="s">
        <v>3468</v>
      </c>
      <c r="I3700" s="57"/>
      <c r="J3700" s="165">
        <f t="shared" si="333"/>
        <v>18.867924528301888</v>
      </c>
      <c r="K3700" s="57">
        <v>106</v>
      </c>
      <c r="L3700" s="164">
        <v>2000</v>
      </c>
    </row>
    <row r="3701" spans="2:12" x14ac:dyDescent="0.3">
      <c r="B3701" s="57">
        <f t="shared" si="328"/>
        <v>3698</v>
      </c>
      <c r="C3701" s="142">
        <v>46250</v>
      </c>
      <c r="D3701" s="57" t="s">
        <v>968</v>
      </c>
      <c r="E3701" s="57" t="s">
        <v>146</v>
      </c>
      <c r="F3701" s="57" t="s">
        <v>546</v>
      </c>
      <c r="G3701" s="57" t="s">
        <v>3514</v>
      </c>
      <c r="H3701" s="140" t="s">
        <v>4114</v>
      </c>
      <c r="I3701" s="57" t="s">
        <v>146</v>
      </c>
      <c r="J3701" s="165">
        <f t="shared" si="333"/>
        <v>18.867924528301888</v>
      </c>
      <c r="K3701" s="57">
        <v>106</v>
      </c>
      <c r="L3701" s="164">
        <v>2000</v>
      </c>
    </row>
    <row r="3702" spans="2:12" x14ac:dyDescent="0.3">
      <c r="B3702" s="57">
        <f t="shared" si="328"/>
        <v>3699</v>
      </c>
      <c r="C3702" s="142">
        <v>46250</v>
      </c>
      <c r="D3702" s="57" t="s">
        <v>968</v>
      </c>
      <c r="E3702" s="57" t="s">
        <v>574</v>
      </c>
      <c r="F3702" s="57" t="s">
        <v>2332</v>
      </c>
      <c r="G3702" s="57" t="s">
        <v>1004</v>
      </c>
      <c r="H3702" s="140" t="s">
        <v>3811</v>
      </c>
      <c r="I3702" s="140" t="s">
        <v>2635</v>
      </c>
      <c r="J3702" s="57">
        <v>2</v>
      </c>
      <c r="K3702" s="167">
        <f>L3702/J3702</f>
        <v>750</v>
      </c>
      <c r="L3702" s="164">
        <v>1500</v>
      </c>
    </row>
    <row r="3703" spans="2:12" x14ac:dyDescent="0.3">
      <c r="B3703" s="57">
        <f t="shared" si="328"/>
        <v>3700</v>
      </c>
      <c r="C3703" s="142">
        <v>46250</v>
      </c>
      <c r="D3703" s="57" t="s">
        <v>968</v>
      </c>
      <c r="E3703" s="57" t="s">
        <v>574</v>
      </c>
      <c r="F3703" s="57" t="s">
        <v>2332</v>
      </c>
      <c r="G3703" s="57" t="s">
        <v>1004</v>
      </c>
      <c r="H3703" s="140" t="s">
        <v>3810</v>
      </c>
      <c r="I3703" s="140" t="s">
        <v>4081</v>
      </c>
      <c r="J3703" s="57">
        <v>2</v>
      </c>
      <c r="K3703" s="167">
        <f>L3703/J3703</f>
        <v>625</v>
      </c>
      <c r="L3703" s="164">
        <v>1250</v>
      </c>
    </row>
    <row r="3704" spans="2:12" x14ac:dyDescent="0.3">
      <c r="B3704" s="57">
        <f t="shared" si="328"/>
        <v>3701</v>
      </c>
      <c r="C3704" s="142">
        <v>46250</v>
      </c>
      <c r="D3704" s="57" t="s">
        <v>968</v>
      </c>
      <c r="E3704" s="57" t="s">
        <v>4123</v>
      </c>
      <c r="F3704" s="57" t="s">
        <v>300</v>
      </c>
      <c r="G3704" s="57" t="s">
        <v>530</v>
      </c>
      <c r="H3704" s="140" t="s">
        <v>3792</v>
      </c>
      <c r="I3704" s="57"/>
      <c r="J3704" s="57"/>
      <c r="L3704" s="164">
        <v>8080</v>
      </c>
    </row>
    <row r="3705" spans="2:12" x14ac:dyDescent="0.3">
      <c r="B3705" s="57">
        <f t="shared" si="328"/>
        <v>3702</v>
      </c>
      <c r="C3705" s="142">
        <v>46250</v>
      </c>
      <c r="D3705" s="57" t="s">
        <v>968</v>
      </c>
      <c r="E3705" s="57" t="s">
        <v>3145</v>
      </c>
      <c r="F3705" s="57" t="s">
        <v>300</v>
      </c>
      <c r="G3705" s="57" t="s">
        <v>993</v>
      </c>
      <c r="H3705" s="140" t="s">
        <v>3793</v>
      </c>
      <c r="I3705" s="57"/>
      <c r="J3705" s="57"/>
      <c r="L3705" s="164">
        <v>460</v>
      </c>
    </row>
    <row r="3706" spans="2:12" x14ac:dyDescent="0.3">
      <c r="B3706" s="57">
        <f t="shared" si="328"/>
        <v>3703</v>
      </c>
      <c r="C3706" s="142">
        <v>46250</v>
      </c>
      <c r="D3706" s="57" t="s">
        <v>968</v>
      </c>
      <c r="E3706" s="57" t="s">
        <v>434</v>
      </c>
      <c r="F3706" s="57" t="s">
        <v>300</v>
      </c>
      <c r="G3706" s="57" t="s">
        <v>530</v>
      </c>
      <c r="H3706" s="140" t="s">
        <v>3794</v>
      </c>
      <c r="I3706" s="57"/>
      <c r="J3706" s="57"/>
      <c r="L3706" s="164">
        <v>448</v>
      </c>
    </row>
    <row r="3707" spans="2:12" x14ac:dyDescent="0.3">
      <c r="B3707" s="57">
        <f t="shared" si="328"/>
        <v>3704</v>
      </c>
      <c r="C3707" s="142">
        <v>46250</v>
      </c>
      <c r="D3707" s="57" t="s">
        <v>968</v>
      </c>
      <c r="E3707" s="57" t="s">
        <v>146</v>
      </c>
      <c r="F3707" s="57" t="s">
        <v>350</v>
      </c>
      <c r="G3707" s="57" t="s">
        <v>675</v>
      </c>
      <c r="H3707" s="140" t="s">
        <v>3795</v>
      </c>
      <c r="I3707" s="57"/>
      <c r="J3707" s="165">
        <f t="shared" ref="J3707:J3708" si="334">L3707/K3707</f>
        <v>18.962264150943398</v>
      </c>
      <c r="K3707" s="57">
        <v>106</v>
      </c>
      <c r="L3707" s="164">
        <v>2010</v>
      </c>
    </row>
    <row r="3708" spans="2:12" x14ac:dyDescent="0.3">
      <c r="B3708" s="57">
        <f t="shared" si="328"/>
        <v>3705</v>
      </c>
      <c r="C3708" s="142">
        <v>46250</v>
      </c>
      <c r="D3708" s="57" t="s">
        <v>968</v>
      </c>
      <c r="E3708" s="57" t="s">
        <v>146</v>
      </c>
      <c r="F3708" s="57" t="s">
        <v>350</v>
      </c>
      <c r="G3708" s="57" t="s">
        <v>3270</v>
      </c>
      <c r="H3708" s="140" t="s">
        <v>3796</v>
      </c>
      <c r="I3708" s="57"/>
      <c r="J3708" s="165">
        <f t="shared" si="334"/>
        <v>18.867924528301888</v>
      </c>
      <c r="K3708" s="57">
        <v>106</v>
      </c>
      <c r="L3708" s="164">
        <v>2000</v>
      </c>
    </row>
    <row r="3709" spans="2:12" x14ac:dyDescent="0.3">
      <c r="B3709" s="57">
        <f t="shared" si="328"/>
        <v>3706</v>
      </c>
      <c r="C3709" s="142">
        <v>46250</v>
      </c>
      <c r="D3709" s="57" t="s">
        <v>968</v>
      </c>
      <c r="E3709" s="57" t="s">
        <v>532</v>
      </c>
      <c r="F3709" s="57" t="s">
        <v>2332</v>
      </c>
      <c r="G3709" s="57" t="s">
        <v>3807</v>
      </c>
      <c r="H3709" s="140" t="s">
        <v>3797</v>
      </c>
      <c r="I3709" s="57" t="s">
        <v>532</v>
      </c>
      <c r="J3709" s="57">
        <v>16</v>
      </c>
      <c r="K3709" s="57">
        <v>280</v>
      </c>
      <c r="L3709" s="164">
        <f t="shared" si="332"/>
        <v>4480</v>
      </c>
    </row>
    <row r="3710" spans="2:12" x14ac:dyDescent="0.3">
      <c r="B3710" s="57">
        <f t="shared" si="328"/>
        <v>3707</v>
      </c>
      <c r="C3710" s="142">
        <v>46250</v>
      </c>
      <c r="D3710" s="57" t="s">
        <v>968</v>
      </c>
      <c r="E3710" s="57" t="s">
        <v>434</v>
      </c>
      <c r="F3710" s="57" t="s">
        <v>2332</v>
      </c>
      <c r="G3710" s="57" t="s">
        <v>3807</v>
      </c>
      <c r="H3710" s="140" t="s">
        <v>3798</v>
      </c>
      <c r="I3710" s="57"/>
      <c r="J3710" s="57"/>
      <c r="L3710" s="164">
        <v>1500</v>
      </c>
    </row>
    <row r="3711" spans="2:12" x14ac:dyDescent="0.3">
      <c r="B3711" s="57">
        <f t="shared" si="328"/>
        <v>3708</v>
      </c>
      <c r="C3711" s="142">
        <v>46250</v>
      </c>
      <c r="D3711" s="57" t="s">
        <v>968</v>
      </c>
      <c r="E3711" s="57" t="s">
        <v>2022</v>
      </c>
      <c r="F3711" s="57" t="s">
        <v>502</v>
      </c>
      <c r="G3711" s="57" t="s">
        <v>2344</v>
      </c>
      <c r="H3711" s="140" t="s">
        <v>3799</v>
      </c>
      <c r="I3711" s="57"/>
      <c r="J3711" s="57"/>
      <c r="L3711" s="164">
        <v>10760</v>
      </c>
    </row>
    <row r="3712" spans="2:12" x14ac:dyDescent="0.3">
      <c r="B3712" s="57">
        <f t="shared" si="328"/>
        <v>3709</v>
      </c>
      <c r="C3712" s="142">
        <v>46250</v>
      </c>
      <c r="D3712" s="57" t="s">
        <v>968</v>
      </c>
      <c r="E3712" s="57" t="s">
        <v>2027</v>
      </c>
      <c r="F3712" s="57" t="s">
        <v>300</v>
      </c>
      <c r="G3712" s="57" t="s">
        <v>2653</v>
      </c>
      <c r="H3712" s="140" t="s">
        <v>3800</v>
      </c>
      <c r="I3712" s="57" t="s">
        <v>3812</v>
      </c>
      <c r="J3712" s="57">
        <v>10</v>
      </c>
      <c r="L3712" s="164">
        <v>650</v>
      </c>
    </row>
    <row r="3713" spans="2:12" x14ac:dyDescent="0.3">
      <c r="B3713" s="57">
        <f t="shared" si="328"/>
        <v>3710</v>
      </c>
      <c r="C3713" s="142">
        <v>46250</v>
      </c>
      <c r="D3713" s="57" t="s">
        <v>968</v>
      </c>
      <c r="E3713" s="57" t="s">
        <v>2027</v>
      </c>
      <c r="F3713" s="57" t="s">
        <v>300</v>
      </c>
      <c r="G3713" s="57" t="s">
        <v>2653</v>
      </c>
      <c r="H3713" s="140" t="s">
        <v>3800</v>
      </c>
      <c r="I3713" s="57" t="s">
        <v>3813</v>
      </c>
      <c r="J3713" s="57">
        <v>20</v>
      </c>
      <c r="L3713" s="164">
        <v>300</v>
      </c>
    </row>
    <row r="3714" spans="2:12" x14ac:dyDescent="0.3">
      <c r="B3714" s="57">
        <f t="shared" si="328"/>
        <v>3711</v>
      </c>
      <c r="C3714" s="142">
        <v>46250</v>
      </c>
      <c r="D3714" s="57" t="s">
        <v>968</v>
      </c>
      <c r="E3714" s="57" t="s">
        <v>2027</v>
      </c>
      <c r="F3714" s="57" t="s">
        <v>300</v>
      </c>
      <c r="G3714" s="57" t="s">
        <v>2653</v>
      </c>
      <c r="H3714" s="140" t="s">
        <v>3800</v>
      </c>
      <c r="I3714" s="57" t="s">
        <v>3814</v>
      </c>
      <c r="J3714" s="57">
        <v>25</v>
      </c>
      <c r="L3714" s="164">
        <v>500</v>
      </c>
    </row>
    <row r="3715" spans="2:12" x14ac:dyDescent="0.3">
      <c r="B3715" s="57">
        <f t="shared" si="328"/>
        <v>3712</v>
      </c>
      <c r="C3715" s="142">
        <v>46250</v>
      </c>
      <c r="D3715" s="57" t="s">
        <v>968</v>
      </c>
      <c r="E3715" s="57" t="s">
        <v>146</v>
      </c>
      <c r="F3715" s="57" t="s">
        <v>350</v>
      </c>
      <c r="G3715" s="57" t="s">
        <v>675</v>
      </c>
      <c r="H3715" s="140" t="s">
        <v>4102</v>
      </c>
      <c r="I3715" s="57" t="s">
        <v>146</v>
      </c>
      <c r="J3715" s="165">
        <f>L3715/K3715</f>
        <v>18.867924528301888</v>
      </c>
      <c r="K3715" s="57">
        <v>106</v>
      </c>
      <c r="L3715" s="164">
        <v>2000</v>
      </c>
    </row>
    <row r="3716" spans="2:12" x14ac:dyDescent="0.3">
      <c r="B3716" s="57">
        <f t="shared" si="328"/>
        <v>3713</v>
      </c>
      <c r="C3716" s="142">
        <v>46250</v>
      </c>
      <c r="D3716" s="57" t="s">
        <v>968</v>
      </c>
      <c r="E3716" s="57" t="s">
        <v>434</v>
      </c>
      <c r="F3716" s="57" t="s">
        <v>2332</v>
      </c>
      <c r="G3716" s="57" t="s">
        <v>3807</v>
      </c>
      <c r="H3716" s="140" t="s">
        <v>3801</v>
      </c>
      <c r="I3716" s="57"/>
      <c r="J3716" s="57"/>
      <c r="L3716" s="164">
        <v>100</v>
      </c>
    </row>
    <row r="3717" spans="2:12" x14ac:dyDescent="0.3">
      <c r="B3717" s="57">
        <f t="shared" si="328"/>
        <v>3714</v>
      </c>
      <c r="C3717" s="142">
        <v>46250</v>
      </c>
      <c r="D3717" s="57" t="s">
        <v>968</v>
      </c>
      <c r="E3717" s="57" t="s">
        <v>146</v>
      </c>
      <c r="F3717" s="57" t="s">
        <v>502</v>
      </c>
      <c r="G3717" s="57" t="s">
        <v>257</v>
      </c>
      <c r="H3717" s="140" t="s">
        <v>3802</v>
      </c>
      <c r="I3717" s="57"/>
      <c r="J3717" s="165">
        <f t="shared" ref="J3717:J3719" si="335">L3717/K3717</f>
        <v>188.67924528301887</v>
      </c>
      <c r="K3717" s="57">
        <v>106</v>
      </c>
      <c r="L3717" s="164">
        <v>20000</v>
      </c>
    </row>
    <row r="3718" spans="2:12" x14ac:dyDescent="0.3">
      <c r="B3718" s="57">
        <f t="shared" ref="B3718:B3781" si="336">+B3717+1</f>
        <v>3715</v>
      </c>
      <c r="C3718" s="142">
        <v>46250</v>
      </c>
      <c r="D3718" s="57" t="s">
        <v>968</v>
      </c>
      <c r="E3718" s="57" t="s">
        <v>146</v>
      </c>
      <c r="F3718" s="57" t="s">
        <v>300</v>
      </c>
      <c r="G3718" s="57" t="s">
        <v>530</v>
      </c>
      <c r="H3718" s="140" t="s">
        <v>4115</v>
      </c>
      <c r="I3718" s="57"/>
      <c r="J3718" s="165">
        <f t="shared" si="335"/>
        <v>18.867924528301888</v>
      </c>
      <c r="K3718" s="57">
        <v>106</v>
      </c>
      <c r="L3718" s="164">
        <v>2000</v>
      </c>
    </row>
    <row r="3719" spans="2:12" x14ac:dyDescent="0.3">
      <c r="B3719" s="57">
        <f t="shared" si="336"/>
        <v>3716</v>
      </c>
      <c r="C3719" s="142">
        <v>46250</v>
      </c>
      <c r="D3719" s="57" t="s">
        <v>968</v>
      </c>
      <c r="E3719" s="57" t="s">
        <v>146</v>
      </c>
      <c r="F3719" s="57" t="s">
        <v>446</v>
      </c>
      <c r="G3719" s="57" t="s">
        <v>990</v>
      </c>
      <c r="H3719" s="140" t="s">
        <v>4089</v>
      </c>
      <c r="I3719" s="57"/>
      <c r="J3719" s="165">
        <f t="shared" si="335"/>
        <v>37.735849056603776</v>
      </c>
      <c r="K3719" s="57">
        <v>106</v>
      </c>
      <c r="L3719" s="164">
        <v>4000</v>
      </c>
    </row>
    <row r="3720" spans="2:12" x14ac:dyDescent="0.3">
      <c r="B3720" s="57">
        <f t="shared" si="336"/>
        <v>3717</v>
      </c>
      <c r="C3720" s="142">
        <v>46250</v>
      </c>
      <c r="D3720" s="57" t="s">
        <v>968</v>
      </c>
      <c r="E3720" s="57" t="s">
        <v>767</v>
      </c>
      <c r="F3720" s="57" t="s">
        <v>300</v>
      </c>
      <c r="G3720" s="57" t="s">
        <v>2653</v>
      </c>
      <c r="H3720" s="140" t="s">
        <v>3803</v>
      </c>
      <c r="I3720" s="57"/>
      <c r="J3720" s="57"/>
      <c r="L3720" s="164">
        <v>1250</v>
      </c>
    </row>
    <row r="3721" spans="2:12" x14ac:dyDescent="0.3">
      <c r="B3721" s="57">
        <f t="shared" si="336"/>
        <v>3718</v>
      </c>
      <c r="C3721" s="142">
        <v>46250</v>
      </c>
      <c r="D3721" s="57" t="s">
        <v>968</v>
      </c>
      <c r="E3721" s="57" t="s">
        <v>434</v>
      </c>
      <c r="F3721" s="57" t="s">
        <v>300</v>
      </c>
      <c r="G3721" s="57" t="s">
        <v>530</v>
      </c>
      <c r="H3721" s="140" t="s">
        <v>3804</v>
      </c>
      <c r="I3721" s="57"/>
      <c r="J3721" s="57"/>
      <c r="L3721" s="164">
        <v>1144</v>
      </c>
    </row>
    <row r="3722" spans="2:12" x14ac:dyDescent="0.3">
      <c r="B3722" s="57">
        <f t="shared" si="336"/>
        <v>3719</v>
      </c>
      <c r="C3722" s="142">
        <v>46250</v>
      </c>
      <c r="D3722" s="57" t="s">
        <v>968</v>
      </c>
      <c r="E3722" s="57" t="s">
        <v>522</v>
      </c>
      <c r="F3722" s="57" t="s">
        <v>300</v>
      </c>
      <c r="G3722" s="57" t="s">
        <v>530</v>
      </c>
      <c r="H3722" s="140" t="s">
        <v>3805</v>
      </c>
      <c r="I3722" s="57"/>
      <c r="J3722" s="57"/>
      <c r="L3722" s="164">
        <v>1810</v>
      </c>
    </row>
    <row r="3723" spans="2:12" x14ac:dyDescent="0.3">
      <c r="B3723" s="57">
        <f t="shared" si="336"/>
        <v>3720</v>
      </c>
      <c r="C3723" s="142">
        <v>46250</v>
      </c>
      <c r="D3723" s="57" t="s">
        <v>968</v>
      </c>
      <c r="E3723" s="57" t="s">
        <v>958</v>
      </c>
      <c r="F3723" s="57" t="s">
        <v>300</v>
      </c>
      <c r="G3723" s="57" t="s">
        <v>616</v>
      </c>
      <c r="H3723" s="140" t="s">
        <v>3806</v>
      </c>
      <c r="I3723" s="57"/>
      <c r="J3723" s="57"/>
      <c r="L3723" s="164">
        <v>3000</v>
      </c>
    </row>
    <row r="3724" spans="2:12" x14ac:dyDescent="0.3">
      <c r="B3724" s="57">
        <f t="shared" si="336"/>
        <v>3721</v>
      </c>
      <c r="C3724" s="142">
        <v>46250</v>
      </c>
      <c r="D3724" s="57" t="s">
        <v>435</v>
      </c>
      <c r="E3724" s="57" t="s">
        <v>146</v>
      </c>
      <c r="F3724" s="57" t="s">
        <v>300</v>
      </c>
      <c r="G3724" s="57" t="s">
        <v>530</v>
      </c>
      <c r="H3724" s="140" t="s">
        <v>4092</v>
      </c>
      <c r="I3724" s="57"/>
      <c r="J3724" s="165">
        <f>L3724/K3724</f>
        <v>138.26415094339623</v>
      </c>
      <c r="K3724" s="57">
        <v>106</v>
      </c>
      <c r="L3724" s="164">
        <v>14656</v>
      </c>
    </row>
    <row r="3725" spans="2:12" x14ac:dyDescent="0.3">
      <c r="B3725" s="57">
        <f t="shared" si="336"/>
        <v>3722</v>
      </c>
      <c r="C3725" s="142">
        <v>46250</v>
      </c>
      <c r="D3725" s="57" t="s">
        <v>435</v>
      </c>
      <c r="E3725" s="57" t="s">
        <v>4091</v>
      </c>
      <c r="F3725" s="57" t="s">
        <v>300</v>
      </c>
      <c r="G3725" s="57" t="s">
        <v>530</v>
      </c>
      <c r="H3725" s="140" t="s">
        <v>4096</v>
      </c>
      <c r="I3725" s="57"/>
      <c r="J3725" s="57"/>
      <c r="L3725" s="164">
        <v>1000</v>
      </c>
    </row>
    <row r="3726" spans="2:12" x14ac:dyDescent="0.3">
      <c r="B3726" s="57">
        <f t="shared" si="336"/>
        <v>3723</v>
      </c>
      <c r="C3726" s="142">
        <v>46250</v>
      </c>
      <c r="D3726" s="57" t="s">
        <v>4139</v>
      </c>
      <c r="E3726" s="57" t="s">
        <v>3651</v>
      </c>
      <c r="F3726" s="57" t="s">
        <v>300</v>
      </c>
      <c r="G3726" s="57" t="s">
        <v>530</v>
      </c>
      <c r="H3726" s="140" t="s">
        <v>3815</v>
      </c>
      <c r="I3726" s="57"/>
      <c r="J3726" s="57"/>
      <c r="L3726" s="164">
        <v>100000</v>
      </c>
    </row>
    <row r="3727" spans="2:12" x14ac:dyDescent="0.3">
      <c r="B3727" s="57">
        <f t="shared" si="336"/>
        <v>3724</v>
      </c>
      <c r="C3727" s="142">
        <v>46251</v>
      </c>
      <c r="D3727" s="57" t="s">
        <v>435</v>
      </c>
      <c r="E3727" s="57" t="s">
        <v>146</v>
      </c>
      <c r="F3727" s="57" t="s">
        <v>546</v>
      </c>
      <c r="G3727" s="57" t="s">
        <v>545</v>
      </c>
      <c r="H3727" s="140" t="s">
        <v>4098</v>
      </c>
      <c r="I3727" s="57"/>
      <c r="J3727" s="165">
        <f>L3727/K3727</f>
        <v>18.867924528301888</v>
      </c>
      <c r="K3727" s="57">
        <v>106</v>
      </c>
      <c r="L3727" s="164">
        <v>2000</v>
      </c>
    </row>
    <row r="3728" spans="2:12" x14ac:dyDescent="0.3">
      <c r="B3728" s="57">
        <f t="shared" si="336"/>
        <v>3725</v>
      </c>
      <c r="C3728" s="142">
        <v>46251</v>
      </c>
      <c r="D3728" s="57" t="s">
        <v>435</v>
      </c>
      <c r="E3728" s="57" t="s">
        <v>434</v>
      </c>
      <c r="F3728" s="57" t="s">
        <v>350</v>
      </c>
      <c r="G3728" s="57" t="s">
        <v>675</v>
      </c>
      <c r="H3728" s="140" t="s">
        <v>3816</v>
      </c>
      <c r="I3728" s="57"/>
      <c r="J3728" s="57"/>
      <c r="L3728" s="164">
        <v>3300</v>
      </c>
    </row>
    <row r="3729" spans="2:12" x14ac:dyDescent="0.3">
      <c r="B3729" s="57">
        <f t="shared" si="336"/>
        <v>3726</v>
      </c>
      <c r="C3729" s="142">
        <v>46251</v>
      </c>
      <c r="D3729" s="57" t="s">
        <v>435</v>
      </c>
      <c r="E3729" s="57" t="s">
        <v>146</v>
      </c>
      <c r="F3729" s="57" t="s">
        <v>300</v>
      </c>
      <c r="G3729" s="57" t="s">
        <v>530</v>
      </c>
      <c r="H3729" s="140" t="s">
        <v>3817</v>
      </c>
      <c r="I3729" s="57"/>
      <c r="J3729" s="165">
        <f t="shared" ref="J3729:J3730" si="337">L3729/K3729</f>
        <v>9.433962264150944</v>
      </c>
      <c r="K3729" s="57">
        <v>106</v>
      </c>
      <c r="L3729" s="164">
        <v>1000</v>
      </c>
    </row>
    <row r="3730" spans="2:12" x14ac:dyDescent="0.3">
      <c r="B3730" s="57">
        <f t="shared" si="336"/>
        <v>3727</v>
      </c>
      <c r="C3730" s="142">
        <v>46251</v>
      </c>
      <c r="D3730" s="57" t="s">
        <v>435</v>
      </c>
      <c r="E3730" s="57" t="s">
        <v>146</v>
      </c>
      <c r="F3730" s="57" t="s">
        <v>446</v>
      </c>
      <c r="G3730" s="57" t="s">
        <v>649</v>
      </c>
      <c r="H3730" s="140" t="s">
        <v>879</v>
      </c>
      <c r="I3730" s="57"/>
      <c r="J3730" s="165">
        <f t="shared" si="337"/>
        <v>18.867924528301888</v>
      </c>
      <c r="K3730" s="57">
        <v>106</v>
      </c>
      <c r="L3730" s="164">
        <v>2000</v>
      </c>
    </row>
    <row r="3731" spans="2:12" x14ac:dyDescent="0.3">
      <c r="B3731" s="57">
        <f t="shared" si="336"/>
        <v>3728</v>
      </c>
      <c r="C3731" s="142">
        <v>46251</v>
      </c>
      <c r="D3731" s="57" t="s">
        <v>435</v>
      </c>
      <c r="E3731" s="57" t="s">
        <v>522</v>
      </c>
      <c r="F3731" s="57" t="s">
        <v>300</v>
      </c>
      <c r="G3731" s="57" t="s">
        <v>530</v>
      </c>
      <c r="H3731" s="140" t="s">
        <v>3818</v>
      </c>
      <c r="I3731" s="57"/>
      <c r="J3731" s="57"/>
      <c r="L3731" s="164">
        <v>2700</v>
      </c>
    </row>
    <row r="3732" spans="2:12" x14ac:dyDescent="0.3">
      <c r="B3732" s="57">
        <f t="shared" si="336"/>
        <v>3729</v>
      </c>
      <c r="C3732" s="142">
        <v>46251</v>
      </c>
      <c r="D3732" s="57" t="s">
        <v>435</v>
      </c>
      <c r="E3732" s="57" t="s">
        <v>146</v>
      </c>
      <c r="F3732" s="57" t="s">
        <v>502</v>
      </c>
      <c r="G3732" s="57" t="s">
        <v>257</v>
      </c>
      <c r="H3732" s="140" t="s">
        <v>3819</v>
      </c>
      <c r="I3732" s="57"/>
      <c r="J3732" s="165">
        <f>L3732/K3732</f>
        <v>18.867924528301888</v>
      </c>
      <c r="K3732" s="57">
        <v>106</v>
      </c>
      <c r="L3732" s="164">
        <v>2000</v>
      </c>
    </row>
    <row r="3733" spans="2:12" x14ac:dyDescent="0.3">
      <c r="B3733" s="57">
        <f t="shared" si="336"/>
        <v>3730</v>
      </c>
      <c r="C3733" s="142">
        <v>46251</v>
      </c>
      <c r="D3733" s="57" t="s">
        <v>435</v>
      </c>
      <c r="E3733" s="57" t="s">
        <v>434</v>
      </c>
      <c r="F3733" s="57" t="s">
        <v>350</v>
      </c>
      <c r="G3733" s="57" t="s">
        <v>3103</v>
      </c>
      <c r="H3733" s="140" t="s">
        <v>3820</v>
      </c>
      <c r="I3733" s="57"/>
      <c r="J3733" s="57"/>
      <c r="L3733" s="164">
        <v>210</v>
      </c>
    </row>
    <row r="3734" spans="2:12" x14ac:dyDescent="0.3">
      <c r="B3734" s="57">
        <f t="shared" si="336"/>
        <v>3731</v>
      </c>
      <c r="C3734" s="142">
        <v>46251</v>
      </c>
      <c r="D3734" s="57" t="s">
        <v>435</v>
      </c>
      <c r="E3734" s="57" t="s">
        <v>146</v>
      </c>
      <c r="F3734" s="57" t="s">
        <v>300</v>
      </c>
      <c r="G3734" s="57" t="s">
        <v>443</v>
      </c>
      <c r="H3734" s="140" t="s">
        <v>4088</v>
      </c>
      <c r="I3734" s="57"/>
      <c r="J3734" s="165">
        <f t="shared" ref="J3734:J3735" si="338">L3734/K3734</f>
        <v>28.30188679245283</v>
      </c>
      <c r="K3734" s="57">
        <v>106</v>
      </c>
      <c r="L3734" s="164">
        <v>3000</v>
      </c>
    </row>
    <row r="3735" spans="2:12" x14ac:dyDescent="0.3">
      <c r="B3735" s="57">
        <f t="shared" si="336"/>
        <v>3732</v>
      </c>
      <c r="C3735" s="142">
        <v>46251</v>
      </c>
      <c r="D3735" s="57" t="s">
        <v>435</v>
      </c>
      <c r="E3735" s="57" t="s">
        <v>146</v>
      </c>
      <c r="F3735" s="57" t="s">
        <v>502</v>
      </c>
      <c r="G3735" s="57" t="s">
        <v>257</v>
      </c>
      <c r="H3735" s="140" t="s">
        <v>3821</v>
      </c>
      <c r="I3735" s="57"/>
      <c r="J3735" s="165">
        <f t="shared" si="338"/>
        <v>18.867924528301888</v>
      </c>
      <c r="K3735" s="57">
        <v>106</v>
      </c>
      <c r="L3735" s="164">
        <v>2000</v>
      </c>
    </row>
    <row r="3736" spans="2:12" x14ac:dyDescent="0.3">
      <c r="B3736" s="57">
        <f t="shared" si="336"/>
        <v>3733</v>
      </c>
      <c r="C3736" s="142">
        <v>46251</v>
      </c>
      <c r="D3736" s="57" t="s">
        <v>435</v>
      </c>
      <c r="E3736" s="57" t="s">
        <v>532</v>
      </c>
      <c r="F3736" s="57" t="s">
        <v>502</v>
      </c>
      <c r="G3736" s="57" t="s">
        <v>2344</v>
      </c>
      <c r="H3736" s="140" t="s">
        <v>3822</v>
      </c>
      <c r="I3736" s="57" t="s">
        <v>532</v>
      </c>
      <c r="J3736" s="57">
        <v>50</v>
      </c>
      <c r="K3736" s="57">
        <v>267</v>
      </c>
      <c r="L3736" s="164">
        <f t="shared" si="332"/>
        <v>13350</v>
      </c>
    </row>
    <row r="3737" spans="2:12" x14ac:dyDescent="0.3">
      <c r="B3737" s="57">
        <f t="shared" si="336"/>
        <v>3734</v>
      </c>
      <c r="C3737" s="142">
        <v>46251</v>
      </c>
      <c r="D3737" s="57" t="s">
        <v>435</v>
      </c>
      <c r="E3737" s="57" t="s">
        <v>3830</v>
      </c>
      <c r="F3737" s="57" t="s">
        <v>300</v>
      </c>
      <c r="G3737" s="57" t="s">
        <v>300</v>
      </c>
      <c r="H3737" s="140" t="s">
        <v>3823</v>
      </c>
      <c r="I3737" s="57"/>
      <c r="J3737" s="57"/>
      <c r="L3737" s="164">
        <v>240</v>
      </c>
    </row>
    <row r="3738" spans="2:12" x14ac:dyDescent="0.3">
      <c r="B3738" s="57">
        <f t="shared" si="336"/>
        <v>3735</v>
      </c>
      <c r="C3738" s="142">
        <v>46251</v>
      </c>
      <c r="D3738" s="57" t="s">
        <v>435</v>
      </c>
      <c r="E3738" s="57" t="s">
        <v>3830</v>
      </c>
      <c r="F3738" s="57" t="s">
        <v>300</v>
      </c>
      <c r="G3738" s="57" t="s">
        <v>300</v>
      </c>
      <c r="H3738" s="140" t="s">
        <v>3824</v>
      </c>
      <c r="I3738" s="57"/>
      <c r="J3738" s="57"/>
      <c r="L3738" s="164">
        <v>600</v>
      </c>
    </row>
    <row r="3739" spans="2:12" x14ac:dyDescent="0.3">
      <c r="B3739" s="57">
        <f t="shared" si="336"/>
        <v>3736</v>
      </c>
      <c r="C3739" s="142">
        <v>46251</v>
      </c>
      <c r="D3739" s="57" t="s">
        <v>435</v>
      </c>
      <c r="E3739" s="57" t="s">
        <v>146</v>
      </c>
      <c r="F3739" s="57" t="s">
        <v>300</v>
      </c>
      <c r="G3739" s="57" t="s">
        <v>2653</v>
      </c>
      <c r="H3739" s="140" t="s">
        <v>3825</v>
      </c>
      <c r="I3739" s="57"/>
      <c r="J3739" s="165">
        <f t="shared" ref="J3739:J3741" si="339">L3739/K3739</f>
        <v>18.867924528301888</v>
      </c>
      <c r="K3739" s="57">
        <v>106</v>
      </c>
      <c r="L3739" s="164">
        <v>2000</v>
      </c>
    </row>
    <row r="3740" spans="2:12" x14ac:dyDescent="0.3">
      <c r="B3740" s="57">
        <f t="shared" si="336"/>
        <v>3737</v>
      </c>
      <c r="C3740" s="142">
        <v>46251</v>
      </c>
      <c r="D3740" s="57" t="s">
        <v>435</v>
      </c>
      <c r="E3740" s="57" t="s">
        <v>146</v>
      </c>
      <c r="F3740" s="57" t="s">
        <v>546</v>
      </c>
      <c r="G3740" s="57" t="s">
        <v>992</v>
      </c>
      <c r="H3740" s="140" t="s">
        <v>4098</v>
      </c>
      <c r="I3740" s="57"/>
      <c r="J3740" s="165">
        <f t="shared" si="339"/>
        <v>28.30188679245283</v>
      </c>
      <c r="K3740" s="57">
        <v>106</v>
      </c>
      <c r="L3740" s="164">
        <v>3000</v>
      </c>
    </row>
    <row r="3741" spans="2:12" x14ac:dyDescent="0.3">
      <c r="B3741" s="57">
        <f t="shared" si="336"/>
        <v>3738</v>
      </c>
      <c r="C3741" s="142">
        <v>46251</v>
      </c>
      <c r="D3741" s="57" t="s">
        <v>435</v>
      </c>
      <c r="E3741" s="57" t="s">
        <v>146</v>
      </c>
      <c r="F3741" s="57" t="s">
        <v>546</v>
      </c>
      <c r="G3741" s="57" t="s">
        <v>992</v>
      </c>
      <c r="H3741" s="140" t="s">
        <v>4114</v>
      </c>
      <c r="I3741" s="57" t="s">
        <v>146</v>
      </c>
      <c r="J3741" s="165">
        <f t="shared" si="339"/>
        <v>28.30188679245283</v>
      </c>
      <c r="K3741" s="57">
        <v>106</v>
      </c>
      <c r="L3741" s="164">
        <v>3000</v>
      </c>
    </row>
    <row r="3742" spans="2:12" x14ac:dyDescent="0.3">
      <c r="B3742" s="57">
        <f t="shared" si="336"/>
        <v>3739</v>
      </c>
      <c r="C3742" s="142">
        <v>46251</v>
      </c>
      <c r="D3742" s="57" t="s">
        <v>435</v>
      </c>
      <c r="E3742" s="57" t="s">
        <v>434</v>
      </c>
      <c r="F3742" s="57" t="s">
        <v>300</v>
      </c>
      <c r="G3742" s="57" t="s">
        <v>530</v>
      </c>
      <c r="H3742" s="140" t="s">
        <v>3826</v>
      </c>
      <c r="I3742" s="57"/>
      <c r="J3742" s="57"/>
      <c r="L3742" s="164">
        <v>3800</v>
      </c>
    </row>
    <row r="3743" spans="2:12" x14ac:dyDescent="0.3">
      <c r="B3743" s="57">
        <f t="shared" si="336"/>
        <v>3740</v>
      </c>
      <c r="C3743" s="142">
        <v>46251</v>
      </c>
      <c r="D3743" s="57" t="s">
        <v>435</v>
      </c>
      <c r="E3743" s="57" t="s">
        <v>146</v>
      </c>
      <c r="F3743" s="57" t="s">
        <v>446</v>
      </c>
      <c r="G3743" s="57" t="s">
        <v>359</v>
      </c>
      <c r="H3743" s="140" t="s">
        <v>4099</v>
      </c>
      <c r="I3743" s="57"/>
      <c r="J3743" s="165">
        <f>L3743/K3743</f>
        <v>17.547169811320753</v>
      </c>
      <c r="K3743" s="57">
        <v>106</v>
      </c>
      <c r="L3743" s="164">
        <v>1860</v>
      </c>
    </row>
    <row r="3744" spans="2:12" x14ac:dyDescent="0.3">
      <c r="B3744" s="57">
        <f t="shared" si="336"/>
        <v>3741</v>
      </c>
      <c r="C3744" s="142">
        <v>46251</v>
      </c>
      <c r="D3744" s="57" t="s">
        <v>435</v>
      </c>
      <c r="E3744" s="57" t="s">
        <v>574</v>
      </c>
      <c r="F3744" s="57" t="s">
        <v>546</v>
      </c>
      <c r="G3744" s="57" t="s">
        <v>992</v>
      </c>
      <c r="H3744" s="140" t="s">
        <v>3827</v>
      </c>
      <c r="I3744" s="140" t="s">
        <v>4081</v>
      </c>
      <c r="J3744" s="57">
        <v>4</v>
      </c>
      <c r="K3744" s="167">
        <f>L3744/J3744</f>
        <v>625</v>
      </c>
      <c r="L3744" s="164">
        <v>2500</v>
      </c>
    </row>
    <row r="3745" spans="2:12" x14ac:dyDescent="0.3">
      <c r="B3745" s="57">
        <f t="shared" si="336"/>
        <v>3742</v>
      </c>
      <c r="C3745" s="142">
        <v>46251</v>
      </c>
      <c r="D3745" s="57" t="s">
        <v>435</v>
      </c>
      <c r="E3745" s="57" t="s">
        <v>574</v>
      </c>
      <c r="F3745" s="57" t="s">
        <v>546</v>
      </c>
      <c r="G3745" s="57" t="s">
        <v>992</v>
      </c>
      <c r="H3745" s="140" t="s">
        <v>3828</v>
      </c>
      <c r="I3745" s="140" t="s">
        <v>2635</v>
      </c>
      <c r="J3745" s="57">
        <v>4</v>
      </c>
      <c r="K3745" s="167">
        <f>L3745/J3745</f>
        <v>750</v>
      </c>
      <c r="L3745" s="164">
        <v>3000</v>
      </c>
    </row>
    <row r="3746" spans="2:12" x14ac:dyDescent="0.3">
      <c r="B3746" s="57">
        <f t="shared" si="336"/>
        <v>3743</v>
      </c>
      <c r="C3746" s="142">
        <v>46251</v>
      </c>
      <c r="D3746" s="57" t="s">
        <v>435</v>
      </c>
      <c r="E3746" s="57" t="s">
        <v>522</v>
      </c>
      <c r="F3746" s="57" t="s">
        <v>350</v>
      </c>
      <c r="H3746" s="140" t="s">
        <v>3829</v>
      </c>
      <c r="I3746" s="57"/>
      <c r="J3746" s="57"/>
      <c r="L3746" s="164">
        <v>6000</v>
      </c>
    </row>
    <row r="3747" spans="2:12" x14ac:dyDescent="0.3">
      <c r="B3747" s="57">
        <f t="shared" si="336"/>
        <v>3744</v>
      </c>
      <c r="C3747" s="142">
        <v>46251</v>
      </c>
      <c r="D3747" s="57" t="s">
        <v>435</v>
      </c>
      <c r="E3747" s="57" t="s">
        <v>146</v>
      </c>
      <c r="F3747" s="57" t="s">
        <v>300</v>
      </c>
      <c r="G3747" s="57" t="s">
        <v>530</v>
      </c>
      <c r="H3747" s="140" t="s">
        <v>3831</v>
      </c>
      <c r="I3747" s="57"/>
      <c r="J3747" s="165">
        <f t="shared" ref="J3747:J3748" si="340">L3747/K3747</f>
        <v>28.30188679245283</v>
      </c>
      <c r="K3747" s="57">
        <v>106</v>
      </c>
      <c r="L3747" s="164">
        <v>3000</v>
      </c>
    </row>
    <row r="3748" spans="2:12" x14ac:dyDescent="0.3">
      <c r="B3748" s="57">
        <f t="shared" si="336"/>
        <v>3745</v>
      </c>
      <c r="C3748" s="142">
        <v>46251</v>
      </c>
      <c r="D3748" s="57" t="s">
        <v>435</v>
      </c>
      <c r="E3748" s="57" t="s">
        <v>146</v>
      </c>
      <c r="F3748" s="57" t="s">
        <v>350</v>
      </c>
      <c r="G3748" s="57" t="s">
        <v>3103</v>
      </c>
      <c r="H3748" s="140" t="s">
        <v>4106</v>
      </c>
      <c r="I3748" s="57"/>
      <c r="J3748" s="165">
        <f t="shared" si="340"/>
        <v>18.867924528301888</v>
      </c>
      <c r="K3748" s="57">
        <v>106</v>
      </c>
      <c r="L3748" s="164">
        <v>2000</v>
      </c>
    </row>
    <row r="3749" spans="2:12" x14ac:dyDescent="0.3">
      <c r="B3749" s="57">
        <f t="shared" si="336"/>
        <v>3746</v>
      </c>
      <c r="C3749" s="142">
        <v>46251</v>
      </c>
      <c r="D3749" s="57" t="s">
        <v>435</v>
      </c>
      <c r="E3749" s="57" t="s">
        <v>522</v>
      </c>
      <c r="F3749" s="57" t="s">
        <v>502</v>
      </c>
      <c r="G3749" s="57" t="s">
        <v>257</v>
      </c>
      <c r="H3749" s="140" t="s">
        <v>3832</v>
      </c>
      <c r="I3749" s="57"/>
      <c r="J3749" s="57"/>
      <c r="L3749" s="164">
        <v>16000</v>
      </c>
    </row>
    <row r="3750" spans="2:12" x14ac:dyDescent="0.3">
      <c r="B3750" s="57">
        <f t="shared" si="336"/>
        <v>3747</v>
      </c>
      <c r="C3750" s="142">
        <v>46251</v>
      </c>
      <c r="D3750" s="57" t="s">
        <v>435</v>
      </c>
      <c r="E3750" s="57" t="s">
        <v>727</v>
      </c>
      <c r="F3750" s="57" t="s">
        <v>446</v>
      </c>
      <c r="H3750" s="140" t="s">
        <v>3833</v>
      </c>
      <c r="I3750" s="57"/>
      <c r="J3750" s="57"/>
      <c r="L3750" s="164">
        <v>3790</v>
      </c>
    </row>
    <row r="3751" spans="2:12" x14ac:dyDescent="0.3">
      <c r="B3751" s="57">
        <f t="shared" si="336"/>
        <v>3748</v>
      </c>
      <c r="C3751" s="142">
        <v>46252</v>
      </c>
      <c r="D3751" s="57" t="s">
        <v>435</v>
      </c>
      <c r="E3751" s="57" t="s">
        <v>532</v>
      </c>
      <c r="F3751" s="57" t="s">
        <v>300</v>
      </c>
      <c r="G3751" s="57" t="s">
        <v>2653</v>
      </c>
      <c r="H3751" s="140" t="s">
        <v>3834</v>
      </c>
      <c r="I3751" s="57" t="s">
        <v>532</v>
      </c>
      <c r="J3751" s="57">
        <v>3</v>
      </c>
      <c r="K3751" s="57">
        <v>300</v>
      </c>
      <c r="L3751" s="164">
        <f t="shared" si="332"/>
        <v>900</v>
      </c>
    </row>
    <row r="3752" spans="2:12" x14ac:dyDescent="0.3">
      <c r="B3752" s="57">
        <f t="shared" si="336"/>
        <v>3749</v>
      </c>
      <c r="C3752" s="142">
        <v>46252</v>
      </c>
      <c r="D3752" s="57" t="s">
        <v>435</v>
      </c>
      <c r="E3752" s="57" t="s">
        <v>767</v>
      </c>
      <c r="F3752" s="57" t="s">
        <v>300</v>
      </c>
      <c r="G3752" s="57" t="s">
        <v>2653</v>
      </c>
      <c r="H3752" s="140" t="s">
        <v>3835</v>
      </c>
      <c r="I3752" s="57"/>
      <c r="J3752" s="57"/>
      <c r="L3752" s="164">
        <v>750</v>
      </c>
    </row>
    <row r="3753" spans="2:12" x14ac:dyDescent="0.3">
      <c r="B3753" s="57">
        <f t="shared" si="336"/>
        <v>3750</v>
      </c>
      <c r="C3753" s="142">
        <v>46252</v>
      </c>
      <c r="D3753" s="57" t="s">
        <v>435</v>
      </c>
      <c r="E3753" s="57" t="s">
        <v>481</v>
      </c>
      <c r="F3753" s="57" t="s">
        <v>300</v>
      </c>
      <c r="G3753" s="57" t="s">
        <v>530</v>
      </c>
      <c r="H3753" s="140" t="s">
        <v>3836</v>
      </c>
      <c r="I3753" s="57" t="s">
        <v>3837</v>
      </c>
      <c r="J3753" s="57">
        <v>25</v>
      </c>
      <c r="L3753" s="164">
        <v>1250</v>
      </c>
    </row>
    <row r="3754" spans="2:12" x14ac:dyDescent="0.3">
      <c r="B3754" s="57">
        <f t="shared" si="336"/>
        <v>3751</v>
      </c>
      <c r="C3754" s="142">
        <v>46252</v>
      </c>
      <c r="D3754" s="57" t="s">
        <v>435</v>
      </c>
      <c r="E3754" s="57" t="s">
        <v>146</v>
      </c>
      <c r="F3754" s="57" t="s">
        <v>300</v>
      </c>
      <c r="G3754" s="57" t="s">
        <v>530</v>
      </c>
      <c r="H3754" s="140" t="s">
        <v>4115</v>
      </c>
      <c r="I3754" s="57"/>
      <c r="J3754" s="165">
        <f t="shared" ref="J3754:J3756" si="341">L3754/K3754</f>
        <v>18.867924528301888</v>
      </c>
      <c r="K3754" s="57">
        <v>106</v>
      </c>
      <c r="L3754" s="164">
        <v>2000</v>
      </c>
    </row>
    <row r="3755" spans="2:12" x14ac:dyDescent="0.3">
      <c r="B3755" s="57">
        <f t="shared" si="336"/>
        <v>3752</v>
      </c>
      <c r="C3755" s="142">
        <v>46252</v>
      </c>
      <c r="D3755" s="57" t="s">
        <v>435</v>
      </c>
      <c r="E3755" s="57" t="s">
        <v>146</v>
      </c>
      <c r="H3755" s="140" t="s">
        <v>3838</v>
      </c>
      <c r="I3755" s="57"/>
      <c r="J3755" s="165">
        <f t="shared" si="341"/>
        <v>18.867924528301888</v>
      </c>
      <c r="K3755" s="57">
        <v>106</v>
      </c>
      <c r="L3755" s="164">
        <v>2000</v>
      </c>
    </row>
    <row r="3756" spans="2:12" x14ac:dyDescent="0.3">
      <c r="B3756" s="57">
        <f t="shared" si="336"/>
        <v>3753</v>
      </c>
      <c r="C3756" s="142">
        <v>46252</v>
      </c>
      <c r="D3756" s="57" t="s">
        <v>435</v>
      </c>
      <c r="E3756" s="57" t="s">
        <v>146</v>
      </c>
      <c r="F3756" s="57" t="s">
        <v>300</v>
      </c>
      <c r="G3756" s="57" t="s">
        <v>530</v>
      </c>
      <c r="H3756" s="140" t="s">
        <v>4115</v>
      </c>
      <c r="I3756" s="57"/>
      <c r="J3756" s="165">
        <f t="shared" si="341"/>
        <v>18.867924528301888</v>
      </c>
      <c r="K3756" s="57">
        <v>106</v>
      </c>
      <c r="L3756" s="164">
        <v>2000</v>
      </c>
    </row>
    <row r="3757" spans="2:12" x14ac:dyDescent="0.3">
      <c r="B3757" s="57">
        <f t="shared" si="336"/>
        <v>3754</v>
      </c>
      <c r="C3757" s="142">
        <v>46252</v>
      </c>
      <c r="D3757" s="57" t="s">
        <v>435</v>
      </c>
      <c r="E3757" s="57" t="s">
        <v>2022</v>
      </c>
      <c r="F3757" s="57" t="s">
        <v>300</v>
      </c>
      <c r="G3757" s="57" t="s">
        <v>530</v>
      </c>
      <c r="H3757" s="140" t="s">
        <v>3839</v>
      </c>
      <c r="I3757" s="57"/>
      <c r="J3757" s="57"/>
      <c r="L3757" s="164">
        <v>3000</v>
      </c>
    </row>
    <row r="3758" spans="2:12" x14ac:dyDescent="0.3">
      <c r="B3758" s="57">
        <f t="shared" si="336"/>
        <v>3755</v>
      </c>
      <c r="C3758" s="142">
        <v>46252</v>
      </c>
      <c r="D3758" s="57" t="s">
        <v>435</v>
      </c>
      <c r="E3758" s="57" t="s">
        <v>146</v>
      </c>
      <c r="F3758" s="57" t="s">
        <v>446</v>
      </c>
      <c r="G3758" s="57" t="s">
        <v>990</v>
      </c>
      <c r="H3758" s="140" t="s">
        <v>4089</v>
      </c>
      <c r="I3758" s="57"/>
      <c r="J3758" s="165">
        <f>L3758/K3758</f>
        <v>18.867924528301888</v>
      </c>
      <c r="K3758" s="57">
        <v>106</v>
      </c>
      <c r="L3758" s="164">
        <v>2000</v>
      </c>
    </row>
    <row r="3759" spans="2:12" x14ac:dyDescent="0.3">
      <c r="B3759" s="57">
        <f t="shared" si="336"/>
        <v>3756</v>
      </c>
      <c r="C3759" s="142">
        <v>46252</v>
      </c>
      <c r="D3759" s="57" t="s">
        <v>435</v>
      </c>
      <c r="E3759" s="57" t="s">
        <v>958</v>
      </c>
      <c r="F3759" s="57" t="s">
        <v>446</v>
      </c>
      <c r="G3759" s="57" t="s">
        <v>990</v>
      </c>
      <c r="H3759" s="140" t="s">
        <v>3840</v>
      </c>
      <c r="I3759" s="57"/>
      <c r="J3759" s="57"/>
      <c r="L3759" s="164">
        <v>15000</v>
      </c>
    </row>
    <row r="3760" spans="2:12" x14ac:dyDescent="0.3">
      <c r="B3760" s="57">
        <f t="shared" si="336"/>
        <v>3757</v>
      </c>
      <c r="C3760" s="142">
        <v>46252</v>
      </c>
      <c r="D3760" s="57" t="s">
        <v>435</v>
      </c>
      <c r="E3760" s="57" t="s">
        <v>2029</v>
      </c>
      <c r="F3760" s="57" t="s">
        <v>446</v>
      </c>
      <c r="G3760" s="57" t="s">
        <v>649</v>
      </c>
      <c r="H3760" s="140" t="s">
        <v>3841</v>
      </c>
      <c r="I3760" s="57"/>
      <c r="J3760" s="165">
        <f>L3760/K3760</f>
        <v>28.30188679245283</v>
      </c>
      <c r="K3760" s="57">
        <v>106</v>
      </c>
      <c r="L3760" s="164">
        <v>3000</v>
      </c>
    </row>
    <row r="3761" spans="2:12" x14ac:dyDescent="0.3">
      <c r="B3761" s="57">
        <f t="shared" si="336"/>
        <v>3758</v>
      </c>
      <c r="C3761" s="142">
        <v>46252</v>
      </c>
      <c r="D3761" s="57" t="s">
        <v>435</v>
      </c>
      <c r="E3761" s="57" t="s">
        <v>460</v>
      </c>
      <c r="F3761" s="57" t="s">
        <v>300</v>
      </c>
      <c r="G3761" s="57" t="s">
        <v>530</v>
      </c>
      <c r="H3761" s="140" t="s">
        <v>3842</v>
      </c>
      <c r="I3761" s="57" t="s">
        <v>3846</v>
      </c>
      <c r="J3761" s="57" t="s">
        <v>3045</v>
      </c>
      <c r="L3761" s="164">
        <v>850</v>
      </c>
    </row>
    <row r="3762" spans="2:12" x14ac:dyDescent="0.3">
      <c r="B3762" s="57">
        <f t="shared" si="336"/>
        <v>3759</v>
      </c>
      <c r="C3762" s="142">
        <v>46252</v>
      </c>
      <c r="D3762" s="57" t="s">
        <v>435</v>
      </c>
      <c r="E3762" s="57" t="s">
        <v>146</v>
      </c>
      <c r="F3762" s="57" t="s">
        <v>300</v>
      </c>
      <c r="G3762" s="57" t="s">
        <v>438</v>
      </c>
      <c r="H3762" s="140" t="s">
        <v>4110</v>
      </c>
      <c r="I3762" s="57"/>
      <c r="J3762" s="165">
        <f>L3762/K3762</f>
        <v>18.867924528301888</v>
      </c>
      <c r="K3762" s="57">
        <v>106</v>
      </c>
      <c r="L3762" s="164">
        <v>2000</v>
      </c>
    </row>
    <row r="3763" spans="2:12" x14ac:dyDescent="0.3">
      <c r="B3763" s="57">
        <f t="shared" si="336"/>
        <v>3760</v>
      </c>
      <c r="C3763" s="142">
        <v>46252</v>
      </c>
      <c r="D3763" s="57" t="s">
        <v>435</v>
      </c>
      <c r="E3763" s="57" t="s">
        <v>434</v>
      </c>
      <c r="F3763" s="57" t="s">
        <v>300</v>
      </c>
      <c r="G3763" s="57" t="s">
        <v>530</v>
      </c>
      <c r="H3763" s="140" t="s">
        <v>3843</v>
      </c>
      <c r="I3763" s="57"/>
      <c r="J3763" s="57"/>
      <c r="L3763" s="164">
        <v>13500</v>
      </c>
    </row>
    <row r="3764" spans="2:12" x14ac:dyDescent="0.3">
      <c r="B3764" s="57">
        <f t="shared" si="336"/>
        <v>3761</v>
      </c>
      <c r="C3764" s="142">
        <v>46252</v>
      </c>
      <c r="D3764" s="57" t="s">
        <v>435</v>
      </c>
      <c r="E3764" s="57" t="s">
        <v>434</v>
      </c>
      <c r="F3764" s="57" t="s">
        <v>300</v>
      </c>
      <c r="G3764" s="57" t="s">
        <v>530</v>
      </c>
      <c r="H3764" s="140" t="s">
        <v>3844</v>
      </c>
      <c r="I3764" s="57"/>
      <c r="J3764" s="57"/>
      <c r="L3764" s="164">
        <v>40000</v>
      </c>
    </row>
    <row r="3765" spans="2:12" x14ac:dyDescent="0.3">
      <c r="B3765" s="57">
        <f t="shared" si="336"/>
        <v>3762</v>
      </c>
      <c r="C3765" s="142">
        <v>46252</v>
      </c>
      <c r="D3765" s="57" t="s">
        <v>435</v>
      </c>
      <c r="E3765" s="57" t="s">
        <v>146</v>
      </c>
      <c r="F3765" s="57" t="s">
        <v>2332</v>
      </c>
      <c r="G3765" s="57" t="s">
        <v>1004</v>
      </c>
      <c r="H3765" s="140" t="s">
        <v>4094</v>
      </c>
      <c r="I3765" s="57" t="s">
        <v>146</v>
      </c>
      <c r="J3765" s="165">
        <f>L3765/K3765</f>
        <v>18.867924528301888</v>
      </c>
      <c r="K3765" s="57">
        <v>106</v>
      </c>
      <c r="L3765" s="164">
        <v>2000</v>
      </c>
    </row>
    <row r="3766" spans="2:12" x14ac:dyDescent="0.3">
      <c r="B3766" s="57">
        <f t="shared" si="336"/>
        <v>3763</v>
      </c>
      <c r="C3766" s="142">
        <v>46252</v>
      </c>
      <c r="D3766" s="57" t="s">
        <v>435</v>
      </c>
      <c r="E3766" s="57" t="s">
        <v>532</v>
      </c>
      <c r="F3766" s="57" t="s">
        <v>446</v>
      </c>
      <c r="G3766" s="57" t="s">
        <v>359</v>
      </c>
      <c r="H3766" s="140" t="s">
        <v>3845</v>
      </c>
      <c r="I3766" s="57" t="s">
        <v>532</v>
      </c>
      <c r="J3766" s="57">
        <v>10</v>
      </c>
      <c r="K3766" s="57">
        <v>265</v>
      </c>
      <c r="L3766" s="164">
        <f t="shared" ref="L3766:L3820" si="342">J3766*K3766</f>
        <v>2650</v>
      </c>
    </row>
    <row r="3767" spans="2:12" x14ac:dyDescent="0.3">
      <c r="B3767" s="57">
        <f t="shared" si="336"/>
        <v>3764</v>
      </c>
      <c r="C3767" s="142">
        <v>46253</v>
      </c>
      <c r="D3767" s="57" t="s">
        <v>435</v>
      </c>
      <c r="E3767" s="57" t="s">
        <v>532</v>
      </c>
      <c r="F3767" s="57" t="s">
        <v>546</v>
      </c>
      <c r="G3767" s="57" t="s">
        <v>992</v>
      </c>
      <c r="H3767" s="140" t="s">
        <v>3847</v>
      </c>
      <c r="I3767" s="57" t="s">
        <v>532</v>
      </c>
      <c r="J3767" s="57">
        <v>20</v>
      </c>
      <c r="K3767" s="57">
        <v>280</v>
      </c>
      <c r="L3767" s="164">
        <f t="shared" si="342"/>
        <v>5600</v>
      </c>
    </row>
    <row r="3768" spans="2:12" x14ac:dyDescent="0.3">
      <c r="B3768" s="57">
        <f t="shared" si="336"/>
        <v>3765</v>
      </c>
      <c r="C3768" s="142">
        <v>46253</v>
      </c>
      <c r="D3768" s="57" t="s">
        <v>435</v>
      </c>
      <c r="E3768" s="57" t="s">
        <v>434</v>
      </c>
      <c r="F3768" s="57" t="s">
        <v>300</v>
      </c>
      <c r="G3768" s="57" t="s">
        <v>2653</v>
      </c>
      <c r="H3768" s="140" t="s">
        <v>3848</v>
      </c>
      <c r="I3768" s="57"/>
      <c r="J3768" s="57"/>
      <c r="L3768" s="164">
        <v>4250</v>
      </c>
    </row>
    <row r="3769" spans="2:12" x14ac:dyDescent="0.3">
      <c r="B3769" s="57">
        <f t="shared" si="336"/>
        <v>3766</v>
      </c>
      <c r="C3769" s="142">
        <v>46253</v>
      </c>
      <c r="D3769" s="57" t="s">
        <v>435</v>
      </c>
      <c r="E3769" s="57" t="s">
        <v>4008</v>
      </c>
      <c r="F3769" s="57" t="s">
        <v>300</v>
      </c>
      <c r="G3769" s="57" t="s">
        <v>2653</v>
      </c>
      <c r="H3769" s="140" t="s">
        <v>3849</v>
      </c>
      <c r="I3769" s="57"/>
      <c r="J3769" s="57"/>
      <c r="L3769" s="164">
        <v>4500</v>
      </c>
    </row>
    <row r="3770" spans="2:12" x14ac:dyDescent="0.3">
      <c r="B3770" s="57">
        <f t="shared" si="336"/>
        <v>3767</v>
      </c>
      <c r="C3770" s="142">
        <v>46253</v>
      </c>
      <c r="D3770" s="57" t="s">
        <v>435</v>
      </c>
      <c r="E3770" s="57" t="s">
        <v>3853</v>
      </c>
      <c r="F3770" s="57" t="s">
        <v>300</v>
      </c>
      <c r="H3770" s="140" t="s">
        <v>3850</v>
      </c>
      <c r="I3770" s="57"/>
      <c r="J3770" s="57"/>
      <c r="L3770" s="164">
        <v>5400</v>
      </c>
    </row>
    <row r="3771" spans="2:12" x14ac:dyDescent="0.3">
      <c r="B3771" s="57">
        <f t="shared" si="336"/>
        <v>3768</v>
      </c>
      <c r="C3771" s="142">
        <v>46253</v>
      </c>
      <c r="D3771" s="57" t="s">
        <v>435</v>
      </c>
      <c r="E3771" s="57" t="s">
        <v>595</v>
      </c>
      <c r="F3771" s="57" t="s">
        <v>300</v>
      </c>
      <c r="G3771" s="57" t="s">
        <v>530</v>
      </c>
      <c r="H3771" s="140" t="s">
        <v>4095</v>
      </c>
      <c r="I3771" s="57"/>
      <c r="J3771" s="57"/>
      <c r="L3771" s="164">
        <v>2000</v>
      </c>
    </row>
    <row r="3772" spans="2:12" x14ac:dyDescent="0.3">
      <c r="B3772" s="57">
        <f t="shared" si="336"/>
        <v>3769</v>
      </c>
      <c r="C3772" s="142">
        <v>46253</v>
      </c>
      <c r="D3772" s="57" t="s">
        <v>435</v>
      </c>
      <c r="E3772" s="57" t="s">
        <v>434</v>
      </c>
      <c r="F3772" s="57" t="s">
        <v>300</v>
      </c>
      <c r="H3772" s="140" t="s">
        <v>3851</v>
      </c>
      <c r="I3772" s="57"/>
      <c r="J3772" s="57"/>
      <c r="L3772" s="164">
        <v>450</v>
      </c>
    </row>
    <row r="3773" spans="2:12" x14ac:dyDescent="0.3">
      <c r="B3773" s="57">
        <f t="shared" si="336"/>
        <v>3770</v>
      </c>
      <c r="C3773" s="142">
        <v>46253</v>
      </c>
      <c r="D3773" s="57" t="s">
        <v>435</v>
      </c>
      <c r="E3773" s="57" t="s">
        <v>146</v>
      </c>
      <c r="F3773" s="57" t="s">
        <v>300</v>
      </c>
      <c r="G3773" s="57" t="s">
        <v>530</v>
      </c>
      <c r="H3773" s="140" t="s">
        <v>4090</v>
      </c>
      <c r="I3773" s="57"/>
      <c r="J3773" s="165">
        <f t="shared" ref="J3773:J3774" si="343">L3773/K3773</f>
        <v>18.867924528301888</v>
      </c>
      <c r="K3773" s="57">
        <v>106</v>
      </c>
      <c r="L3773" s="164">
        <v>2000</v>
      </c>
    </row>
    <row r="3774" spans="2:12" x14ac:dyDescent="0.3">
      <c r="B3774" s="57">
        <f t="shared" si="336"/>
        <v>3771</v>
      </c>
      <c r="C3774" s="142">
        <v>46253</v>
      </c>
      <c r="D3774" s="57" t="s">
        <v>435</v>
      </c>
      <c r="E3774" s="57" t="s">
        <v>146</v>
      </c>
      <c r="F3774" s="57" t="s">
        <v>300</v>
      </c>
      <c r="G3774" s="57" t="s">
        <v>616</v>
      </c>
      <c r="H3774" s="140" t="s">
        <v>4112</v>
      </c>
      <c r="I3774" s="57" t="s">
        <v>146</v>
      </c>
      <c r="J3774" s="165">
        <f t="shared" si="343"/>
        <v>18.867924528301888</v>
      </c>
      <c r="K3774" s="57">
        <v>106</v>
      </c>
      <c r="L3774" s="164">
        <v>2000</v>
      </c>
    </row>
    <row r="3775" spans="2:12" x14ac:dyDescent="0.3">
      <c r="B3775" s="57">
        <f t="shared" si="336"/>
        <v>3772</v>
      </c>
      <c r="C3775" s="142">
        <v>46253</v>
      </c>
      <c r="D3775" s="57" t="s">
        <v>435</v>
      </c>
      <c r="E3775" s="57" t="s">
        <v>434</v>
      </c>
      <c r="F3775" s="57" t="s">
        <v>502</v>
      </c>
      <c r="G3775" s="57" t="s">
        <v>2344</v>
      </c>
      <c r="H3775" s="140" t="s">
        <v>3880</v>
      </c>
      <c r="I3775" s="57"/>
      <c r="J3775" s="57"/>
      <c r="L3775" s="164">
        <v>11620</v>
      </c>
    </row>
    <row r="3776" spans="2:12" x14ac:dyDescent="0.3">
      <c r="B3776" s="57">
        <f t="shared" si="336"/>
        <v>3773</v>
      </c>
      <c r="C3776" s="142">
        <v>46253</v>
      </c>
      <c r="D3776" s="57" t="s">
        <v>435</v>
      </c>
      <c r="E3776" s="57" t="s">
        <v>146</v>
      </c>
      <c r="F3776" s="57" t="s">
        <v>300</v>
      </c>
      <c r="G3776" s="57" t="s">
        <v>530</v>
      </c>
      <c r="H3776" s="140" t="s">
        <v>4105</v>
      </c>
      <c r="I3776" s="57"/>
      <c r="J3776" s="165">
        <f>L3776/K3776</f>
        <v>18.858490566037737</v>
      </c>
      <c r="K3776" s="57">
        <v>106</v>
      </c>
      <c r="L3776" s="164">
        <v>1999</v>
      </c>
    </row>
    <row r="3777" spans="2:12" x14ac:dyDescent="0.3">
      <c r="B3777" s="57">
        <f t="shared" si="336"/>
        <v>3774</v>
      </c>
      <c r="C3777" s="142">
        <v>46253</v>
      </c>
      <c r="D3777" s="57" t="s">
        <v>435</v>
      </c>
      <c r="E3777" s="57" t="s">
        <v>434</v>
      </c>
      <c r="F3777" s="57" t="s">
        <v>300</v>
      </c>
      <c r="G3777" s="57" t="s">
        <v>443</v>
      </c>
      <c r="H3777" s="140" t="s">
        <v>3852</v>
      </c>
      <c r="I3777" s="57"/>
      <c r="J3777" s="57"/>
      <c r="L3777" s="164">
        <v>250</v>
      </c>
    </row>
    <row r="3778" spans="2:12" x14ac:dyDescent="0.3">
      <c r="B3778" s="57">
        <f t="shared" si="336"/>
        <v>3775</v>
      </c>
      <c r="C3778" s="142">
        <v>46253</v>
      </c>
      <c r="D3778" s="57" t="s">
        <v>435</v>
      </c>
      <c r="E3778" s="57" t="s">
        <v>146</v>
      </c>
      <c r="F3778" s="57" t="s">
        <v>300</v>
      </c>
      <c r="G3778" s="57" t="s">
        <v>303</v>
      </c>
      <c r="H3778" s="140" t="s">
        <v>4116</v>
      </c>
      <c r="I3778" s="57"/>
      <c r="J3778" s="165">
        <f t="shared" ref="J3778:J3779" si="344">L3778/K3778</f>
        <v>41.820754716981135</v>
      </c>
      <c r="K3778" s="57">
        <v>106</v>
      </c>
      <c r="L3778" s="164">
        <v>4433</v>
      </c>
    </row>
    <row r="3779" spans="2:12" x14ac:dyDescent="0.3">
      <c r="B3779" s="57">
        <f t="shared" si="336"/>
        <v>3776</v>
      </c>
      <c r="C3779" s="142">
        <v>46253</v>
      </c>
      <c r="D3779" s="57" t="s">
        <v>435</v>
      </c>
      <c r="E3779" s="57" t="s">
        <v>146</v>
      </c>
      <c r="F3779" s="57" t="s">
        <v>300</v>
      </c>
      <c r="G3779" s="57" t="s">
        <v>530</v>
      </c>
      <c r="H3779" s="140" t="s">
        <v>3854</v>
      </c>
      <c r="I3779" s="57"/>
      <c r="J3779" s="165">
        <f t="shared" si="344"/>
        <v>18.867924528301888</v>
      </c>
      <c r="K3779" s="57">
        <v>106</v>
      </c>
      <c r="L3779" s="164">
        <v>2000</v>
      </c>
    </row>
    <row r="3780" spans="2:12" x14ac:dyDescent="0.3">
      <c r="B3780" s="57">
        <f t="shared" si="336"/>
        <v>3777</v>
      </c>
      <c r="C3780" s="142">
        <v>46253</v>
      </c>
      <c r="D3780" s="57" t="s">
        <v>435</v>
      </c>
      <c r="E3780" s="57" t="s">
        <v>434</v>
      </c>
      <c r="F3780" s="57" t="s">
        <v>300</v>
      </c>
      <c r="G3780" s="57" t="s">
        <v>530</v>
      </c>
      <c r="H3780" s="140" t="s">
        <v>3855</v>
      </c>
      <c r="I3780" s="57"/>
      <c r="J3780" s="57"/>
      <c r="L3780" s="164">
        <v>220</v>
      </c>
    </row>
    <row r="3781" spans="2:12" x14ac:dyDescent="0.3">
      <c r="B3781" s="57">
        <f t="shared" si="336"/>
        <v>3778</v>
      </c>
      <c r="C3781" s="142">
        <v>46253</v>
      </c>
      <c r="D3781" s="57" t="s">
        <v>435</v>
      </c>
      <c r="E3781" s="57" t="s">
        <v>574</v>
      </c>
      <c r="F3781" s="57" t="s">
        <v>300</v>
      </c>
      <c r="G3781" s="57" t="s">
        <v>2653</v>
      </c>
      <c r="H3781" s="140" t="s">
        <v>3856</v>
      </c>
      <c r="I3781" s="140" t="s">
        <v>2635</v>
      </c>
      <c r="J3781" s="57">
        <v>2.9</v>
      </c>
      <c r="K3781" s="167">
        <f>L3781/J3781</f>
        <v>750</v>
      </c>
      <c r="L3781" s="164">
        <v>2175</v>
      </c>
    </row>
    <row r="3782" spans="2:12" x14ac:dyDescent="0.3">
      <c r="B3782" s="57">
        <f t="shared" ref="B3782:B3845" si="345">+B3781+1</f>
        <v>3779</v>
      </c>
      <c r="C3782" s="142">
        <v>46253</v>
      </c>
      <c r="D3782" s="57" t="s">
        <v>435</v>
      </c>
      <c r="E3782" s="57" t="s">
        <v>986</v>
      </c>
      <c r="F3782" s="57" t="s">
        <v>446</v>
      </c>
      <c r="G3782" s="57" t="s">
        <v>649</v>
      </c>
      <c r="H3782" s="140" t="s">
        <v>3857</v>
      </c>
      <c r="I3782" s="57" t="s">
        <v>986</v>
      </c>
      <c r="J3782" s="57">
        <v>50</v>
      </c>
      <c r="L3782" s="164">
        <v>3900</v>
      </c>
    </row>
    <row r="3783" spans="2:12" x14ac:dyDescent="0.3">
      <c r="B3783" s="57">
        <f t="shared" si="345"/>
        <v>3780</v>
      </c>
      <c r="C3783" s="142">
        <v>46253</v>
      </c>
      <c r="D3783" s="57" t="s">
        <v>435</v>
      </c>
      <c r="E3783" s="57" t="s">
        <v>146</v>
      </c>
      <c r="F3783" s="57" t="s">
        <v>546</v>
      </c>
      <c r="G3783" s="57" t="s">
        <v>992</v>
      </c>
      <c r="H3783" s="140" t="s">
        <v>4098</v>
      </c>
      <c r="I3783" s="57"/>
      <c r="J3783" s="165">
        <f t="shared" ref="J3783:J3784" si="346">L3783/K3783</f>
        <v>28.30188679245283</v>
      </c>
      <c r="K3783" s="57">
        <v>106</v>
      </c>
      <c r="L3783" s="164">
        <v>3000</v>
      </c>
    </row>
    <row r="3784" spans="2:12" x14ac:dyDescent="0.3">
      <c r="B3784" s="57">
        <f t="shared" si="345"/>
        <v>3781</v>
      </c>
      <c r="C3784" s="142">
        <v>46253</v>
      </c>
      <c r="D3784" s="57" t="s">
        <v>435</v>
      </c>
      <c r="E3784" s="57" t="s">
        <v>146</v>
      </c>
      <c r="F3784" s="57" t="s">
        <v>546</v>
      </c>
      <c r="G3784" s="57" t="s">
        <v>992</v>
      </c>
      <c r="H3784" s="140" t="s">
        <v>4114</v>
      </c>
      <c r="I3784" s="57" t="s">
        <v>146</v>
      </c>
      <c r="J3784" s="165">
        <f t="shared" si="346"/>
        <v>28.30188679245283</v>
      </c>
      <c r="K3784" s="57">
        <v>106</v>
      </c>
      <c r="L3784" s="164">
        <v>3000</v>
      </c>
    </row>
    <row r="3785" spans="2:12" x14ac:dyDescent="0.3">
      <c r="B3785" s="57">
        <f t="shared" si="345"/>
        <v>3782</v>
      </c>
      <c r="C3785" s="142">
        <v>46253</v>
      </c>
      <c r="D3785" s="57" t="s">
        <v>435</v>
      </c>
      <c r="E3785" s="57" t="s">
        <v>532</v>
      </c>
      <c r="F3785" s="57" t="s">
        <v>300</v>
      </c>
      <c r="G3785" s="57" t="s">
        <v>993</v>
      </c>
      <c r="H3785" s="140" t="s">
        <v>3859</v>
      </c>
      <c r="I3785" s="57" t="s">
        <v>532</v>
      </c>
      <c r="J3785" s="57">
        <v>60</v>
      </c>
      <c r="K3785" s="57">
        <v>270</v>
      </c>
      <c r="L3785" s="164">
        <f t="shared" si="342"/>
        <v>16200</v>
      </c>
    </row>
    <row r="3786" spans="2:12" x14ac:dyDescent="0.3">
      <c r="B3786" s="57">
        <f t="shared" si="345"/>
        <v>3783</v>
      </c>
      <c r="C3786" s="142">
        <v>46253</v>
      </c>
      <c r="D3786" s="57" t="s">
        <v>435</v>
      </c>
      <c r="E3786" s="57" t="s">
        <v>2427</v>
      </c>
      <c r="F3786" s="57" t="s">
        <v>300</v>
      </c>
      <c r="G3786" s="57" t="s">
        <v>993</v>
      </c>
      <c r="H3786" s="140" t="s">
        <v>3858</v>
      </c>
      <c r="I3786" s="57" t="s">
        <v>2914</v>
      </c>
      <c r="J3786" s="165">
        <v>500</v>
      </c>
      <c r="K3786" s="57">
        <v>55.2</v>
      </c>
      <c r="L3786" s="164">
        <f t="shared" si="342"/>
        <v>27600</v>
      </c>
    </row>
    <row r="3787" spans="2:12" x14ac:dyDescent="0.3">
      <c r="B3787" s="57">
        <f t="shared" si="345"/>
        <v>3784</v>
      </c>
      <c r="C3787" s="142">
        <v>46253</v>
      </c>
      <c r="D3787" s="57" t="s">
        <v>435</v>
      </c>
      <c r="E3787" s="57" t="s">
        <v>146</v>
      </c>
      <c r="F3787" s="57" t="s">
        <v>2332</v>
      </c>
      <c r="H3787" s="140" t="s">
        <v>3860</v>
      </c>
      <c r="I3787" s="57"/>
      <c r="J3787" s="165">
        <f>L3787/K3787</f>
        <v>28.30188679245283</v>
      </c>
      <c r="K3787" s="57">
        <v>106</v>
      </c>
      <c r="L3787" s="164">
        <v>3000</v>
      </c>
    </row>
    <row r="3788" spans="2:12" x14ac:dyDescent="0.3">
      <c r="B3788" s="57">
        <f t="shared" si="345"/>
        <v>3785</v>
      </c>
      <c r="C3788" s="142">
        <v>46253</v>
      </c>
      <c r="D3788" s="57" t="s">
        <v>435</v>
      </c>
      <c r="E3788" s="57" t="s">
        <v>574</v>
      </c>
      <c r="F3788" s="57" t="s">
        <v>300</v>
      </c>
      <c r="G3788" s="57" t="s">
        <v>993</v>
      </c>
      <c r="H3788" s="140" t="s">
        <v>3865</v>
      </c>
      <c r="I3788" s="140" t="s">
        <v>2635</v>
      </c>
      <c r="J3788" s="57">
        <v>4.28</v>
      </c>
      <c r="K3788" s="168">
        <f>L3788/J3788</f>
        <v>584.11214953271019</v>
      </c>
      <c r="L3788" s="164">
        <v>2500</v>
      </c>
    </row>
    <row r="3789" spans="2:12" x14ac:dyDescent="0.3">
      <c r="B3789" s="57">
        <f t="shared" si="345"/>
        <v>3786</v>
      </c>
      <c r="C3789" s="142">
        <v>46253</v>
      </c>
      <c r="D3789" s="57" t="s">
        <v>435</v>
      </c>
      <c r="E3789" s="57" t="s">
        <v>3746</v>
      </c>
      <c r="F3789" s="57" t="s">
        <v>446</v>
      </c>
      <c r="H3789" s="140" t="s">
        <v>3866</v>
      </c>
      <c r="I3789" s="57"/>
      <c r="J3789" s="57"/>
      <c r="L3789" s="164">
        <v>3060</v>
      </c>
    </row>
    <row r="3790" spans="2:12" x14ac:dyDescent="0.3">
      <c r="B3790" s="57">
        <f t="shared" si="345"/>
        <v>3787</v>
      </c>
      <c r="C3790" s="142">
        <v>46253</v>
      </c>
      <c r="D3790" s="57" t="s">
        <v>435</v>
      </c>
      <c r="E3790" s="57" t="s">
        <v>532</v>
      </c>
      <c r="F3790" s="57" t="s">
        <v>300</v>
      </c>
      <c r="G3790" s="57" t="s">
        <v>530</v>
      </c>
      <c r="H3790" s="140" t="s">
        <v>3861</v>
      </c>
      <c r="I3790" s="57" t="s">
        <v>532</v>
      </c>
      <c r="J3790" s="57">
        <v>200</v>
      </c>
      <c r="K3790" s="57">
        <v>260</v>
      </c>
      <c r="L3790" s="164">
        <f t="shared" si="342"/>
        <v>52000</v>
      </c>
    </row>
    <row r="3791" spans="2:12" x14ac:dyDescent="0.3">
      <c r="B3791" s="57">
        <f t="shared" si="345"/>
        <v>3788</v>
      </c>
      <c r="C3791" s="142">
        <v>46253</v>
      </c>
      <c r="D3791" s="57" t="s">
        <v>435</v>
      </c>
      <c r="E3791" s="57" t="s">
        <v>2427</v>
      </c>
      <c r="F3791" s="57" t="s">
        <v>300</v>
      </c>
      <c r="G3791" s="57" t="s">
        <v>530</v>
      </c>
      <c r="H3791" s="140" t="s">
        <v>3862</v>
      </c>
      <c r="I3791" s="57" t="s">
        <v>2911</v>
      </c>
      <c r="J3791" s="57">
        <v>535</v>
      </c>
      <c r="K3791" s="57">
        <v>53</v>
      </c>
      <c r="L3791" s="164">
        <f t="shared" si="342"/>
        <v>28355</v>
      </c>
    </row>
    <row r="3792" spans="2:12" x14ac:dyDescent="0.3">
      <c r="B3792" s="57">
        <f t="shared" si="345"/>
        <v>3789</v>
      </c>
      <c r="C3792" s="142">
        <v>46253</v>
      </c>
      <c r="D3792" s="57" t="s">
        <v>435</v>
      </c>
      <c r="E3792" s="57" t="s">
        <v>2427</v>
      </c>
      <c r="F3792" s="57" t="s">
        <v>300</v>
      </c>
      <c r="G3792" s="57" t="s">
        <v>530</v>
      </c>
      <c r="H3792" s="140" t="s">
        <v>3863</v>
      </c>
      <c r="I3792" s="57" t="s">
        <v>2914</v>
      </c>
      <c r="J3792" s="165">
        <v>1514</v>
      </c>
      <c r="K3792" s="57">
        <v>55</v>
      </c>
      <c r="L3792" s="164">
        <f t="shared" si="342"/>
        <v>83270</v>
      </c>
    </row>
    <row r="3793" spans="2:12" x14ac:dyDescent="0.3">
      <c r="B3793" s="57">
        <f t="shared" si="345"/>
        <v>3790</v>
      </c>
      <c r="C3793" s="142">
        <v>46253</v>
      </c>
      <c r="D3793" s="57" t="s">
        <v>435</v>
      </c>
      <c r="E3793" s="57" t="s">
        <v>986</v>
      </c>
      <c r="F3793" s="57" t="s">
        <v>300</v>
      </c>
      <c r="G3793" s="57" t="s">
        <v>530</v>
      </c>
      <c r="H3793" s="140" t="s">
        <v>3864</v>
      </c>
      <c r="I3793" s="57" t="s">
        <v>986</v>
      </c>
      <c r="J3793" s="57">
        <v>50</v>
      </c>
      <c r="K3793" s="57">
        <v>80</v>
      </c>
      <c r="L3793" s="164">
        <f t="shared" si="342"/>
        <v>4000</v>
      </c>
    </row>
    <row r="3794" spans="2:12" x14ac:dyDescent="0.3">
      <c r="B3794" s="57">
        <f t="shared" si="345"/>
        <v>3791</v>
      </c>
      <c r="C3794" s="142">
        <v>46253</v>
      </c>
      <c r="D3794" s="57" t="s">
        <v>435</v>
      </c>
      <c r="E3794" s="57" t="s">
        <v>4128</v>
      </c>
      <c r="F3794" s="57" t="s">
        <v>300</v>
      </c>
      <c r="G3794" s="57" t="s">
        <v>530</v>
      </c>
      <c r="H3794" s="140" t="s">
        <v>3531</v>
      </c>
      <c r="I3794" s="57" t="s">
        <v>2782</v>
      </c>
      <c r="J3794" s="57"/>
      <c r="L3794" s="164">
        <v>1375</v>
      </c>
    </row>
    <row r="3795" spans="2:12" x14ac:dyDescent="0.3">
      <c r="B3795" s="57">
        <f t="shared" si="345"/>
        <v>3792</v>
      </c>
      <c r="C3795" s="142">
        <v>46253</v>
      </c>
      <c r="D3795" s="57" t="s">
        <v>4139</v>
      </c>
      <c r="E3795" s="57" t="s">
        <v>3867</v>
      </c>
      <c r="F3795" s="57" t="s">
        <v>300</v>
      </c>
      <c r="G3795" s="57" t="s">
        <v>300</v>
      </c>
      <c r="H3795" s="140" t="s">
        <v>3870</v>
      </c>
      <c r="I3795" s="57"/>
      <c r="J3795" s="57"/>
      <c r="L3795" s="164">
        <v>500000</v>
      </c>
    </row>
    <row r="3796" spans="2:12" x14ac:dyDescent="0.3">
      <c r="B3796" s="57">
        <f t="shared" si="345"/>
        <v>3793</v>
      </c>
      <c r="C3796" s="142">
        <v>46253</v>
      </c>
      <c r="D3796" s="57" t="s">
        <v>4139</v>
      </c>
      <c r="E3796" s="57" t="s">
        <v>3867</v>
      </c>
      <c r="F3796" s="57" t="s">
        <v>300</v>
      </c>
      <c r="G3796" s="57" t="s">
        <v>300</v>
      </c>
      <c r="H3796" s="140" t="s">
        <v>3868</v>
      </c>
      <c r="I3796" s="57"/>
      <c r="J3796" s="57"/>
      <c r="L3796" s="164">
        <v>400000</v>
      </c>
    </row>
    <row r="3797" spans="2:12" x14ac:dyDescent="0.3">
      <c r="B3797" s="57">
        <f t="shared" si="345"/>
        <v>3794</v>
      </c>
      <c r="C3797" s="142">
        <v>46253</v>
      </c>
      <c r="D3797" s="57" t="s">
        <v>4139</v>
      </c>
      <c r="E3797" s="57" t="s">
        <v>3867</v>
      </c>
      <c r="F3797" s="57" t="s">
        <v>300</v>
      </c>
      <c r="G3797" s="57" t="s">
        <v>300</v>
      </c>
      <c r="H3797" s="140" t="s">
        <v>3869</v>
      </c>
      <c r="I3797" s="57"/>
      <c r="J3797" s="57"/>
      <c r="L3797" s="164">
        <v>172961</v>
      </c>
    </row>
    <row r="3798" spans="2:12" x14ac:dyDescent="0.3">
      <c r="B3798" s="57">
        <f t="shared" si="345"/>
        <v>3795</v>
      </c>
      <c r="C3798" s="142">
        <v>46254</v>
      </c>
      <c r="D3798" s="57" t="s">
        <v>435</v>
      </c>
      <c r="E3798" s="57" t="s">
        <v>146</v>
      </c>
      <c r="F3798" s="57" t="s">
        <v>350</v>
      </c>
      <c r="G3798" s="57" t="s">
        <v>3270</v>
      </c>
      <c r="H3798" s="140" t="s">
        <v>3871</v>
      </c>
      <c r="I3798" s="57"/>
      <c r="J3798" s="165">
        <f t="shared" ref="J3798:J3800" si="347">L3798/K3798</f>
        <v>28.30188679245283</v>
      </c>
      <c r="K3798" s="57">
        <v>106</v>
      </c>
      <c r="L3798" s="164">
        <v>3000</v>
      </c>
    </row>
    <row r="3799" spans="2:12" x14ac:dyDescent="0.3">
      <c r="B3799" s="57">
        <f t="shared" si="345"/>
        <v>3796</v>
      </c>
      <c r="C3799" s="142">
        <v>46254</v>
      </c>
      <c r="D3799" s="57" t="s">
        <v>435</v>
      </c>
      <c r="E3799" s="57" t="s">
        <v>146</v>
      </c>
      <c r="F3799" s="57" t="s">
        <v>652</v>
      </c>
      <c r="G3799" s="57" t="s">
        <v>2584</v>
      </c>
      <c r="H3799" s="140" t="s">
        <v>3872</v>
      </c>
      <c r="I3799" s="57"/>
      <c r="J3799" s="165">
        <f t="shared" si="347"/>
        <v>37.735849056603776</v>
      </c>
      <c r="K3799" s="57">
        <v>106</v>
      </c>
      <c r="L3799" s="164">
        <v>4000</v>
      </c>
    </row>
    <row r="3800" spans="2:12" x14ac:dyDescent="0.3">
      <c r="B3800" s="57">
        <f t="shared" si="345"/>
        <v>3797</v>
      </c>
      <c r="C3800" s="142">
        <v>46254</v>
      </c>
      <c r="D3800" s="57" t="s">
        <v>435</v>
      </c>
      <c r="E3800" s="57" t="s">
        <v>146</v>
      </c>
      <c r="F3800" s="57" t="s">
        <v>350</v>
      </c>
      <c r="G3800" s="57" t="s">
        <v>675</v>
      </c>
      <c r="H3800" s="140" t="s">
        <v>3873</v>
      </c>
      <c r="I3800" s="57"/>
      <c r="J3800" s="165">
        <f t="shared" si="347"/>
        <v>18.867924528301888</v>
      </c>
      <c r="K3800" s="57">
        <v>106</v>
      </c>
      <c r="L3800" s="164">
        <v>2000</v>
      </c>
    </row>
    <row r="3801" spans="2:12" x14ac:dyDescent="0.3">
      <c r="B3801" s="57">
        <f t="shared" si="345"/>
        <v>3798</v>
      </c>
      <c r="C3801" s="142">
        <v>46254</v>
      </c>
      <c r="D3801" s="57" t="s">
        <v>435</v>
      </c>
      <c r="E3801" s="57" t="s">
        <v>574</v>
      </c>
      <c r="F3801" s="57" t="s">
        <v>300</v>
      </c>
      <c r="G3801" s="57" t="s">
        <v>2653</v>
      </c>
      <c r="H3801" s="140" t="s">
        <v>3874</v>
      </c>
      <c r="I3801" s="140" t="s">
        <v>4118</v>
      </c>
      <c r="J3801" s="57">
        <v>5.2649999999999997</v>
      </c>
      <c r="K3801" s="168">
        <f>L3801/J3801</f>
        <v>749.85754985754988</v>
      </c>
      <c r="L3801" s="164">
        <v>3948</v>
      </c>
    </row>
    <row r="3802" spans="2:12" x14ac:dyDescent="0.3">
      <c r="B3802" s="57">
        <f t="shared" si="345"/>
        <v>3799</v>
      </c>
      <c r="C3802" s="142">
        <v>46254</v>
      </c>
      <c r="D3802" s="57" t="s">
        <v>435</v>
      </c>
      <c r="E3802" s="57" t="s">
        <v>574</v>
      </c>
      <c r="F3802" s="57" t="s">
        <v>300</v>
      </c>
      <c r="G3802" s="57" t="s">
        <v>2653</v>
      </c>
      <c r="H3802" s="140" t="s">
        <v>3875</v>
      </c>
      <c r="I3802" s="140" t="s">
        <v>4118</v>
      </c>
      <c r="J3802" s="57">
        <v>5.2249999999999996</v>
      </c>
      <c r="K3802" s="168">
        <f>L3802/J3802</f>
        <v>749.85645933014359</v>
      </c>
      <c r="L3802" s="164">
        <v>3918</v>
      </c>
    </row>
    <row r="3803" spans="2:12" x14ac:dyDescent="0.3">
      <c r="B3803" s="57">
        <f t="shared" si="345"/>
        <v>3800</v>
      </c>
      <c r="C3803" s="142">
        <v>46254</v>
      </c>
      <c r="D3803" s="57" t="s">
        <v>435</v>
      </c>
      <c r="E3803" s="57" t="s">
        <v>986</v>
      </c>
      <c r="F3803" s="57" t="s">
        <v>446</v>
      </c>
      <c r="G3803" s="57" t="s">
        <v>3877</v>
      </c>
      <c r="H3803" s="140" t="s">
        <v>3876</v>
      </c>
      <c r="I3803" s="57" t="s">
        <v>986</v>
      </c>
      <c r="J3803" s="57">
        <v>50</v>
      </c>
      <c r="K3803" s="167">
        <f>L3803/J3803</f>
        <v>82</v>
      </c>
      <c r="L3803" s="164">
        <v>4100</v>
      </c>
    </row>
    <row r="3804" spans="2:12" x14ac:dyDescent="0.3">
      <c r="B3804" s="57">
        <f t="shared" si="345"/>
        <v>3801</v>
      </c>
      <c r="C3804" s="142">
        <v>46254</v>
      </c>
      <c r="D3804" s="57" t="s">
        <v>435</v>
      </c>
      <c r="E3804" s="57" t="s">
        <v>4091</v>
      </c>
      <c r="F3804" s="57" t="s">
        <v>300</v>
      </c>
      <c r="G3804" s="57" t="s">
        <v>530</v>
      </c>
      <c r="H3804" s="140" t="s">
        <v>4096</v>
      </c>
      <c r="I3804" s="57"/>
      <c r="J3804" s="57"/>
      <c r="L3804" s="164">
        <v>1003</v>
      </c>
    </row>
    <row r="3805" spans="2:12" x14ac:dyDescent="0.3">
      <c r="B3805" s="57">
        <f t="shared" si="345"/>
        <v>3802</v>
      </c>
      <c r="C3805" s="142">
        <v>46254</v>
      </c>
      <c r="D3805" s="57" t="s">
        <v>435</v>
      </c>
      <c r="E3805" s="57" t="s">
        <v>532</v>
      </c>
      <c r="F3805" s="57" t="s">
        <v>446</v>
      </c>
      <c r="G3805" s="57" t="s">
        <v>359</v>
      </c>
      <c r="H3805" s="140" t="s">
        <v>3878</v>
      </c>
      <c r="I3805" s="57" t="s">
        <v>532</v>
      </c>
      <c r="J3805" s="57">
        <v>10</v>
      </c>
      <c r="K3805" s="57">
        <v>265</v>
      </c>
      <c r="L3805" s="164">
        <f t="shared" si="342"/>
        <v>2650</v>
      </c>
    </row>
    <row r="3806" spans="2:12" x14ac:dyDescent="0.3">
      <c r="B3806" s="57">
        <f t="shared" si="345"/>
        <v>3803</v>
      </c>
      <c r="C3806" s="142">
        <v>46254</v>
      </c>
      <c r="D3806" s="57" t="s">
        <v>435</v>
      </c>
      <c r="E3806" s="57" t="s">
        <v>146</v>
      </c>
      <c r="F3806" s="57" t="s">
        <v>446</v>
      </c>
      <c r="G3806" s="57" t="s">
        <v>359</v>
      </c>
      <c r="H3806" s="140" t="s">
        <v>4089</v>
      </c>
      <c r="I3806" s="57"/>
      <c r="J3806" s="165">
        <f>L3806/K3806</f>
        <v>18.867924528301888</v>
      </c>
      <c r="K3806" s="57">
        <v>106</v>
      </c>
      <c r="L3806" s="164">
        <v>2000</v>
      </c>
    </row>
    <row r="3807" spans="2:12" x14ac:dyDescent="0.3">
      <c r="B3807" s="57">
        <f t="shared" si="345"/>
        <v>3804</v>
      </c>
      <c r="C3807" s="142">
        <v>46254</v>
      </c>
      <c r="D3807" s="57" t="s">
        <v>435</v>
      </c>
      <c r="E3807" s="57" t="s">
        <v>574</v>
      </c>
      <c r="F3807" s="57" t="s">
        <v>300</v>
      </c>
      <c r="G3807" s="57" t="s">
        <v>2653</v>
      </c>
      <c r="H3807" s="140" t="s">
        <v>3879</v>
      </c>
      <c r="I3807" s="140" t="s">
        <v>4118</v>
      </c>
      <c r="J3807" s="57">
        <v>5.4950000000000001</v>
      </c>
      <c r="K3807" s="57">
        <v>750</v>
      </c>
      <c r="L3807" s="164">
        <f t="shared" si="342"/>
        <v>4121.25</v>
      </c>
    </row>
    <row r="3808" spans="2:12" x14ac:dyDescent="0.3">
      <c r="B3808" s="57">
        <f t="shared" si="345"/>
        <v>3805</v>
      </c>
      <c r="C3808" s="142">
        <v>46255</v>
      </c>
      <c r="D3808" s="57" t="s">
        <v>435</v>
      </c>
      <c r="E3808" s="57" t="s">
        <v>434</v>
      </c>
      <c r="F3808" s="57" t="s">
        <v>300</v>
      </c>
      <c r="H3808" s="140" t="s">
        <v>3881</v>
      </c>
      <c r="I3808" s="57"/>
      <c r="J3808" s="57"/>
      <c r="L3808" s="164">
        <v>5620</v>
      </c>
    </row>
    <row r="3809" spans="2:12" x14ac:dyDescent="0.3">
      <c r="B3809" s="57">
        <f t="shared" si="345"/>
        <v>3806</v>
      </c>
      <c r="C3809" s="142">
        <v>46255</v>
      </c>
      <c r="D3809" s="57" t="s">
        <v>968</v>
      </c>
      <c r="E3809" s="57" t="s">
        <v>146</v>
      </c>
      <c r="F3809" s="57" t="s">
        <v>300</v>
      </c>
      <c r="G3809" s="57" t="s">
        <v>2653</v>
      </c>
      <c r="H3809" s="140" t="s">
        <v>3656</v>
      </c>
      <c r="I3809" s="57"/>
      <c r="J3809" s="165">
        <f>L3809/K3809</f>
        <v>18.867924528301888</v>
      </c>
      <c r="K3809" s="57">
        <v>106</v>
      </c>
      <c r="L3809" s="164">
        <v>2000</v>
      </c>
    </row>
    <row r="3810" spans="2:12" x14ac:dyDescent="0.3">
      <c r="B3810" s="57">
        <f t="shared" si="345"/>
        <v>3807</v>
      </c>
      <c r="C3810" s="142">
        <v>46255</v>
      </c>
      <c r="D3810" s="57" t="s">
        <v>968</v>
      </c>
      <c r="E3810" s="57" t="s">
        <v>434</v>
      </c>
      <c r="F3810" s="57" t="s">
        <v>350</v>
      </c>
      <c r="G3810" s="57" t="s">
        <v>3270</v>
      </c>
      <c r="H3810" s="140" t="s">
        <v>3882</v>
      </c>
      <c r="I3810" s="57"/>
      <c r="J3810" s="57"/>
      <c r="L3810" s="164">
        <v>3300</v>
      </c>
    </row>
    <row r="3811" spans="2:12" x14ac:dyDescent="0.3">
      <c r="B3811" s="57">
        <f t="shared" si="345"/>
        <v>3808</v>
      </c>
      <c r="C3811" s="142">
        <v>46255</v>
      </c>
      <c r="D3811" s="57" t="s">
        <v>968</v>
      </c>
      <c r="E3811" s="57" t="s">
        <v>146</v>
      </c>
      <c r="F3811" s="57" t="s">
        <v>2332</v>
      </c>
      <c r="G3811" s="57" t="s">
        <v>3891</v>
      </c>
      <c r="H3811" s="140" t="s">
        <v>4094</v>
      </c>
      <c r="I3811" s="57" t="s">
        <v>146</v>
      </c>
      <c r="J3811" s="165">
        <f>L3811/K3811</f>
        <v>28.30188679245283</v>
      </c>
      <c r="K3811" s="57">
        <v>106</v>
      </c>
      <c r="L3811" s="164">
        <v>3000</v>
      </c>
    </row>
    <row r="3812" spans="2:12" x14ac:dyDescent="0.3">
      <c r="B3812" s="57">
        <f t="shared" si="345"/>
        <v>3809</v>
      </c>
      <c r="C3812" s="142">
        <v>46255</v>
      </c>
      <c r="D3812" s="57" t="s">
        <v>968</v>
      </c>
      <c r="E3812" s="57" t="s">
        <v>986</v>
      </c>
      <c r="F3812" s="57" t="s">
        <v>350</v>
      </c>
      <c r="G3812" s="57" t="s">
        <v>3270</v>
      </c>
      <c r="H3812" s="140" t="s">
        <v>3883</v>
      </c>
      <c r="I3812" s="57" t="s">
        <v>986</v>
      </c>
      <c r="J3812" s="57">
        <v>25</v>
      </c>
      <c r="L3812" s="164">
        <v>1900</v>
      </c>
    </row>
    <row r="3813" spans="2:12" x14ac:dyDescent="0.3">
      <c r="B3813" s="57">
        <f t="shared" si="345"/>
        <v>3810</v>
      </c>
      <c r="C3813" s="142">
        <v>46255</v>
      </c>
      <c r="D3813" s="57" t="s">
        <v>968</v>
      </c>
      <c r="E3813" s="57" t="s">
        <v>146</v>
      </c>
      <c r="F3813" s="57" t="s">
        <v>2332</v>
      </c>
      <c r="G3813" s="57" t="s">
        <v>3891</v>
      </c>
      <c r="H3813" s="140" t="s">
        <v>4094</v>
      </c>
      <c r="I3813" s="57" t="s">
        <v>146</v>
      </c>
      <c r="J3813" s="165">
        <f t="shared" ref="J3813:J3814" si="348">L3813/K3813</f>
        <v>1.9811320754716981</v>
      </c>
      <c r="K3813" s="57">
        <v>106</v>
      </c>
      <c r="L3813" s="164">
        <v>210</v>
      </c>
    </row>
    <row r="3814" spans="2:12" x14ac:dyDescent="0.3">
      <c r="B3814" s="57">
        <f t="shared" si="345"/>
        <v>3811</v>
      </c>
      <c r="C3814" s="142">
        <v>46255</v>
      </c>
      <c r="D3814" s="57" t="s">
        <v>968</v>
      </c>
      <c r="E3814" s="57" t="s">
        <v>146</v>
      </c>
      <c r="F3814" s="57" t="s">
        <v>300</v>
      </c>
      <c r="G3814" s="57" t="s">
        <v>530</v>
      </c>
      <c r="H3814" s="140" t="s">
        <v>4115</v>
      </c>
      <c r="I3814" s="57"/>
      <c r="J3814" s="165">
        <f t="shared" si="348"/>
        <v>18.867924528301888</v>
      </c>
      <c r="K3814" s="57">
        <v>106</v>
      </c>
      <c r="L3814" s="164">
        <v>2000</v>
      </c>
    </row>
    <row r="3815" spans="2:12" x14ac:dyDescent="0.3">
      <c r="B3815" s="57">
        <f t="shared" si="345"/>
        <v>3812</v>
      </c>
      <c r="C3815" s="142">
        <v>46255</v>
      </c>
      <c r="D3815" s="57" t="s">
        <v>968</v>
      </c>
      <c r="E3815" s="57" t="s">
        <v>434</v>
      </c>
      <c r="F3815" s="57" t="s">
        <v>446</v>
      </c>
      <c r="G3815" s="57" t="s">
        <v>649</v>
      </c>
      <c r="H3815" s="140" t="s">
        <v>3884</v>
      </c>
      <c r="I3815" s="57"/>
      <c r="J3815" s="57"/>
      <c r="L3815" s="164">
        <v>1230</v>
      </c>
    </row>
    <row r="3816" spans="2:12" x14ac:dyDescent="0.3">
      <c r="B3816" s="57">
        <f t="shared" si="345"/>
        <v>3813</v>
      </c>
      <c r="C3816" s="142">
        <v>46255</v>
      </c>
      <c r="D3816" s="57" t="s">
        <v>968</v>
      </c>
      <c r="E3816" s="57" t="s">
        <v>146</v>
      </c>
      <c r="F3816" s="57" t="s">
        <v>446</v>
      </c>
      <c r="G3816" s="57" t="s">
        <v>649</v>
      </c>
      <c r="H3816" s="140" t="s">
        <v>879</v>
      </c>
      <c r="I3816" s="57"/>
      <c r="J3816" s="165">
        <f>L3816/K3816</f>
        <v>18.867924528301888</v>
      </c>
      <c r="K3816" s="57">
        <v>106</v>
      </c>
      <c r="L3816" s="164">
        <v>2000</v>
      </c>
    </row>
    <row r="3817" spans="2:12" x14ac:dyDescent="0.3">
      <c r="B3817" s="57">
        <f t="shared" si="345"/>
        <v>3814</v>
      </c>
      <c r="C3817" s="142">
        <v>46255</v>
      </c>
      <c r="D3817" s="57" t="s">
        <v>968</v>
      </c>
      <c r="E3817" s="57" t="s">
        <v>532</v>
      </c>
      <c r="F3817" s="57" t="s">
        <v>446</v>
      </c>
      <c r="G3817" s="57" t="s">
        <v>990</v>
      </c>
      <c r="H3817" s="140" t="s">
        <v>3885</v>
      </c>
      <c r="I3817" s="57" t="s">
        <v>532</v>
      </c>
      <c r="J3817" s="57">
        <v>10</v>
      </c>
      <c r="K3817" s="57">
        <v>260</v>
      </c>
      <c r="L3817" s="164">
        <f t="shared" si="342"/>
        <v>2600</v>
      </c>
    </row>
    <row r="3818" spans="2:12" x14ac:dyDescent="0.3">
      <c r="B3818" s="57">
        <f t="shared" si="345"/>
        <v>3815</v>
      </c>
      <c r="C3818" s="142">
        <v>46255</v>
      </c>
      <c r="D3818" s="57" t="s">
        <v>968</v>
      </c>
      <c r="E3818" s="57" t="s">
        <v>146</v>
      </c>
      <c r="F3818" s="57" t="s">
        <v>502</v>
      </c>
      <c r="G3818" s="57" t="s">
        <v>2344</v>
      </c>
      <c r="H3818" s="140" t="s">
        <v>1826</v>
      </c>
      <c r="I3818" s="57"/>
      <c r="J3818" s="165">
        <f>L3818/K3818</f>
        <v>18.867924528301888</v>
      </c>
      <c r="K3818" s="57">
        <v>106</v>
      </c>
      <c r="L3818" s="164">
        <v>2000</v>
      </c>
    </row>
    <row r="3819" spans="2:12" x14ac:dyDescent="0.3">
      <c r="B3819" s="57">
        <f t="shared" si="345"/>
        <v>3816</v>
      </c>
      <c r="C3819" s="142">
        <v>46255</v>
      </c>
      <c r="D3819" s="57" t="s">
        <v>968</v>
      </c>
      <c r="E3819" s="57" t="s">
        <v>4128</v>
      </c>
      <c r="F3819" s="57" t="s">
        <v>300</v>
      </c>
      <c r="G3819" s="57" t="s">
        <v>993</v>
      </c>
      <c r="H3819" s="140" t="s">
        <v>3886</v>
      </c>
      <c r="I3819" s="57"/>
      <c r="J3819" s="57"/>
      <c r="L3819" s="164">
        <v>7350</v>
      </c>
    </row>
    <row r="3820" spans="2:12" x14ac:dyDescent="0.3">
      <c r="B3820" s="57">
        <f t="shared" si="345"/>
        <v>3817</v>
      </c>
      <c r="C3820" s="142">
        <v>46255</v>
      </c>
      <c r="D3820" s="57" t="s">
        <v>968</v>
      </c>
      <c r="E3820" s="57" t="s">
        <v>532</v>
      </c>
      <c r="F3820" s="57" t="s">
        <v>502</v>
      </c>
      <c r="G3820" s="57" t="s">
        <v>2344</v>
      </c>
      <c r="H3820" s="140" t="s">
        <v>3887</v>
      </c>
      <c r="I3820" s="57" t="s">
        <v>532</v>
      </c>
      <c r="J3820" s="57">
        <v>30</v>
      </c>
      <c r="K3820" s="57">
        <v>265</v>
      </c>
      <c r="L3820" s="164">
        <f t="shared" si="342"/>
        <v>7950</v>
      </c>
    </row>
    <row r="3821" spans="2:12" x14ac:dyDescent="0.3">
      <c r="B3821" s="57">
        <f t="shared" si="345"/>
        <v>3818</v>
      </c>
      <c r="C3821" s="142">
        <v>46255</v>
      </c>
      <c r="D3821" s="57" t="s">
        <v>968</v>
      </c>
      <c r="E3821" s="57" t="s">
        <v>3145</v>
      </c>
      <c r="F3821" s="57" t="s">
        <v>446</v>
      </c>
      <c r="G3821" s="57" t="s">
        <v>649</v>
      </c>
      <c r="H3821" s="140" t="s">
        <v>3888</v>
      </c>
      <c r="I3821" s="57"/>
      <c r="J3821" s="57"/>
      <c r="L3821" s="164">
        <v>1240</v>
      </c>
    </row>
    <row r="3822" spans="2:12" x14ac:dyDescent="0.3">
      <c r="B3822" s="57">
        <f t="shared" si="345"/>
        <v>3819</v>
      </c>
      <c r="C3822" s="142">
        <v>46255</v>
      </c>
      <c r="D3822" s="57" t="s">
        <v>968</v>
      </c>
      <c r="E3822" s="57" t="s">
        <v>146</v>
      </c>
      <c r="F3822" s="57" t="s">
        <v>300</v>
      </c>
      <c r="G3822" s="57" t="s">
        <v>530</v>
      </c>
      <c r="H3822" s="140" t="s">
        <v>4095</v>
      </c>
      <c r="I3822" s="57"/>
      <c r="J3822" s="165">
        <f t="shared" ref="J3822:J3824" si="349">L3822/K3822</f>
        <v>18.867924528301888</v>
      </c>
      <c r="K3822" s="57">
        <v>106</v>
      </c>
      <c r="L3822" s="164">
        <v>2000</v>
      </c>
    </row>
    <row r="3823" spans="2:12" x14ac:dyDescent="0.3">
      <c r="B3823" s="57">
        <f t="shared" si="345"/>
        <v>3820</v>
      </c>
      <c r="C3823" s="142">
        <v>46255</v>
      </c>
      <c r="D3823" s="57" t="s">
        <v>968</v>
      </c>
      <c r="E3823" s="57" t="s">
        <v>146</v>
      </c>
      <c r="F3823" s="57" t="s">
        <v>446</v>
      </c>
      <c r="H3823" s="140" t="s">
        <v>4092</v>
      </c>
      <c r="I3823" s="57"/>
      <c r="J3823" s="165">
        <f t="shared" si="349"/>
        <v>143.29245283018867</v>
      </c>
      <c r="K3823" s="57">
        <v>106</v>
      </c>
      <c r="L3823" s="164">
        <v>15189</v>
      </c>
    </row>
    <row r="3824" spans="2:12" x14ac:dyDescent="0.3">
      <c r="B3824" s="57">
        <f t="shared" si="345"/>
        <v>3821</v>
      </c>
      <c r="C3824" s="142">
        <v>46255</v>
      </c>
      <c r="D3824" s="57" t="s">
        <v>968</v>
      </c>
      <c r="E3824" s="57" t="s">
        <v>146</v>
      </c>
      <c r="F3824" s="57" t="s">
        <v>350</v>
      </c>
      <c r="G3824" s="57" t="s">
        <v>3433</v>
      </c>
      <c r="H3824" s="140" t="s">
        <v>3889</v>
      </c>
      <c r="I3824" s="57"/>
      <c r="J3824" s="165">
        <f t="shared" si="349"/>
        <v>18.867924528301888</v>
      </c>
      <c r="K3824" s="57">
        <v>106</v>
      </c>
      <c r="L3824" s="164">
        <v>2000</v>
      </c>
    </row>
    <row r="3825" spans="2:13" x14ac:dyDescent="0.3">
      <c r="B3825" s="57">
        <f t="shared" si="345"/>
        <v>3822</v>
      </c>
      <c r="C3825" s="142">
        <v>46255</v>
      </c>
      <c r="D3825" s="57" t="s">
        <v>435</v>
      </c>
      <c r="E3825" s="57" t="s">
        <v>2427</v>
      </c>
      <c r="F3825" s="57" t="s">
        <v>300</v>
      </c>
      <c r="G3825" s="57" t="s">
        <v>530</v>
      </c>
      <c r="H3825" s="140" t="s">
        <v>3717</v>
      </c>
      <c r="I3825" s="57" t="s">
        <v>2914</v>
      </c>
      <c r="J3825" s="165">
        <v>2981</v>
      </c>
      <c r="K3825" s="57">
        <v>55.5</v>
      </c>
      <c r="L3825" s="164">
        <f t="shared" ref="L3825:L3893" si="350">J3825*K3825</f>
        <v>165445.5</v>
      </c>
    </row>
    <row r="3826" spans="2:13" x14ac:dyDescent="0.3">
      <c r="B3826" s="57">
        <f t="shared" si="345"/>
        <v>3823</v>
      </c>
      <c r="C3826" s="142">
        <v>46255</v>
      </c>
      <c r="D3826" s="57" t="s">
        <v>435</v>
      </c>
      <c r="E3826" s="57" t="s">
        <v>4128</v>
      </c>
      <c r="F3826" s="57" t="s">
        <v>300</v>
      </c>
      <c r="G3826" s="57" t="s">
        <v>530</v>
      </c>
      <c r="H3826" s="140" t="s">
        <v>3531</v>
      </c>
      <c r="I3826" s="57" t="s">
        <v>2782</v>
      </c>
      <c r="J3826" s="57"/>
      <c r="L3826" s="164">
        <v>2165</v>
      </c>
    </row>
    <row r="3827" spans="2:13" x14ac:dyDescent="0.3">
      <c r="B3827" s="57">
        <f t="shared" si="345"/>
        <v>3824</v>
      </c>
      <c r="C3827" s="142">
        <v>46255</v>
      </c>
      <c r="D3827" s="57" t="s">
        <v>435</v>
      </c>
      <c r="E3827" s="57" t="s">
        <v>2427</v>
      </c>
      <c r="F3827" s="57" t="s">
        <v>300</v>
      </c>
      <c r="G3827" s="57" t="s">
        <v>530</v>
      </c>
      <c r="H3827" s="140" t="s">
        <v>3717</v>
      </c>
      <c r="I3827" s="57" t="s">
        <v>2914</v>
      </c>
      <c r="J3827" s="165">
        <v>2240</v>
      </c>
      <c r="K3827" s="57">
        <v>55.5</v>
      </c>
      <c r="L3827" s="164">
        <f t="shared" si="350"/>
        <v>124320</v>
      </c>
    </row>
    <row r="3828" spans="2:13" x14ac:dyDescent="0.3">
      <c r="B3828" s="57">
        <f t="shared" si="345"/>
        <v>3825</v>
      </c>
      <c r="C3828" s="142">
        <v>46255</v>
      </c>
      <c r="D3828" s="57" t="s">
        <v>435</v>
      </c>
      <c r="E3828" s="57" t="s">
        <v>4128</v>
      </c>
      <c r="F3828" s="57" t="s">
        <v>300</v>
      </c>
      <c r="G3828" s="57" t="s">
        <v>530</v>
      </c>
      <c r="H3828" s="140" t="s">
        <v>3531</v>
      </c>
      <c r="I3828" s="57" t="s">
        <v>2782</v>
      </c>
      <c r="J3828" s="57"/>
      <c r="L3828" s="164">
        <v>1530</v>
      </c>
    </row>
    <row r="3829" spans="2:13" x14ac:dyDescent="0.3">
      <c r="B3829" s="57">
        <f t="shared" si="345"/>
        <v>3826</v>
      </c>
      <c r="C3829" s="142">
        <v>46255</v>
      </c>
      <c r="D3829" s="57" t="s">
        <v>968</v>
      </c>
      <c r="E3829" s="57" t="s">
        <v>434</v>
      </c>
      <c r="F3829" s="57" t="s">
        <v>546</v>
      </c>
      <c r="G3829" s="57" t="s">
        <v>545</v>
      </c>
      <c r="H3829" s="140" t="s">
        <v>3890</v>
      </c>
      <c r="I3829" s="57"/>
      <c r="J3829" s="57"/>
      <c r="L3829" s="164">
        <v>8770</v>
      </c>
    </row>
    <row r="3830" spans="2:13" x14ac:dyDescent="0.3">
      <c r="B3830" s="57">
        <f t="shared" si="345"/>
        <v>3827</v>
      </c>
      <c r="C3830" s="142">
        <v>46255</v>
      </c>
      <c r="D3830" s="57" t="s">
        <v>968</v>
      </c>
      <c r="E3830" s="57" t="s">
        <v>958</v>
      </c>
      <c r="F3830" s="57" t="s">
        <v>502</v>
      </c>
      <c r="G3830" s="57" t="s">
        <v>257</v>
      </c>
      <c r="H3830" s="140" t="s">
        <v>3895</v>
      </c>
      <c r="I3830" s="57"/>
      <c r="J3830" s="57"/>
      <c r="L3830" s="164">
        <v>5000</v>
      </c>
    </row>
    <row r="3831" spans="2:13" x14ac:dyDescent="0.3">
      <c r="B3831" s="57">
        <f t="shared" si="345"/>
        <v>3828</v>
      </c>
      <c r="C3831" s="142">
        <v>46255</v>
      </c>
      <c r="D3831" s="57" t="s">
        <v>968</v>
      </c>
      <c r="E3831" s="57" t="s">
        <v>3145</v>
      </c>
      <c r="F3831" s="57" t="s">
        <v>502</v>
      </c>
      <c r="G3831" s="57" t="s">
        <v>257</v>
      </c>
      <c r="H3831" s="140" t="s">
        <v>3896</v>
      </c>
      <c r="I3831" s="57"/>
      <c r="J3831" s="57"/>
      <c r="L3831" s="164">
        <v>1620</v>
      </c>
    </row>
    <row r="3832" spans="2:13" x14ac:dyDescent="0.3">
      <c r="B3832" s="57">
        <f t="shared" si="345"/>
        <v>3829</v>
      </c>
      <c r="C3832" s="142">
        <v>46255</v>
      </c>
      <c r="D3832" s="57" t="s">
        <v>968</v>
      </c>
      <c r="E3832" s="57" t="s">
        <v>4091</v>
      </c>
      <c r="F3832" s="57" t="s">
        <v>300</v>
      </c>
      <c r="G3832" s="57" t="s">
        <v>530</v>
      </c>
      <c r="H3832" s="140" t="s">
        <v>4096</v>
      </c>
      <c r="I3832" s="57"/>
      <c r="J3832" s="57"/>
      <c r="L3832" s="164">
        <v>2000</v>
      </c>
    </row>
    <row r="3833" spans="2:13" x14ac:dyDescent="0.3">
      <c r="B3833" s="57">
        <f t="shared" si="345"/>
        <v>3830</v>
      </c>
      <c r="C3833" s="142">
        <v>46255</v>
      </c>
      <c r="D3833" s="57" t="s">
        <v>968</v>
      </c>
      <c r="E3833" s="57" t="s">
        <v>146</v>
      </c>
      <c r="F3833" s="57" t="s">
        <v>300</v>
      </c>
      <c r="G3833" s="57" t="s">
        <v>443</v>
      </c>
      <c r="H3833" s="140" t="s">
        <v>4088</v>
      </c>
      <c r="I3833" s="57"/>
      <c r="J3833" s="165">
        <f>L3833/K3833</f>
        <v>18.867924528301888</v>
      </c>
      <c r="K3833" s="57">
        <v>106</v>
      </c>
      <c r="L3833" s="164">
        <v>2000</v>
      </c>
    </row>
    <row r="3834" spans="2:13" x14ac:dyDescent="0.3">
      <c r="B3834" s="57">
        <f t="shared" si="345"/>
        <v>3831</v>
      </c>
      <c r="C3834" s="142">
        <v>46255</v>
      </c>
      <c r="D3834" s="57" t="s">
        <v>968</v>
      </c>
      <c r="E3834" s="57" t="s">
        <v>958</v>
      </c>
      <c r="F3834" s="57" t="s">
        <v>300</v>
      </c>
      <c r="H3834" s="140" t="s">
        <v>3897</v>
      </c>
      <c r="I3834" s="57"/>
      <c r="J3834" s="57"/>
      <c r="L3834" s="164">
        <v>3000</v>
      </c>
    </row>
    <row r="3835" spans="2:13" x14ac:dyDescent="0.3">
      <c r="B3835" s="57">
        <f t="shared" si="345"/>
        <v>3832</v>
      </c>
      <c r="C3835" s="142">
        <v>46255</v>
      </c>
      <c r="D3835" s="57" t="s">
        <v>968</v>
      </c>
      <c r="E3835" s="57" t="s">
        <v>892</v>
      </c>
      <c r="F3835" s="57" t="s">
        <v>300</v>
      </c>
      <c r="G3835" s="57" t="s">
        <v>313</v>
      </c>
      <c r="H3835" s="140" t="s">
        <v>3898</v>
      </c>
      <c r="I3835" s="57"/>
      <c r="J3835" s="57">
        <v>3</v>
      </c>
      <c r="K3835" s="57">
        <v>1700</v>
      </c>
      <c r="L3835" s="164">
        <v>5100</v>
      </c>
      <c r="M3835" s="57" t="s">
        <v>3905</v>
      </c>
    </row>
    <row r="3836" spans="2:13" x14ac:dyDescent="0.3">
      <c r="B3836" s="57">
        <f t="shared" si="345"/>
        <v>3833</v>
      </c>
      <c r="C3836" s="142">
        <v>46255</v>
      </c>
      <c r="D3836" s="57" t="s">
        <v>968</v>
      </c>
      <c r="E3836" s="57" t="s">
        <v>532</v>
      </c>
      <c r="F3836" s="57" t="s">
        <v>300</v>
      </c>
      <c r="G3836" s="57" t="s">
        <v>313</v>
      </c>
      <c r="H3836" s="140" t="s">
        <v>3899</v>
      </c>
      <c r="I3836" s="57" t="s">
        <v>532</v>
      </c>
      <c r="J3836" s="57">
        <v>5</v>
      </c>
      <c r="K3836" s="167">
        <f>L3836/J3836</f>
        <v>310</v>
      </c>
      <c r="L3836" s="164">
        <v>1550</v>
      </c>
    </row>
    <row r="3837" spans="2:13" x14ac:dyDescent="0.3">
      <c r="B3837" s="57">
        <f t="shared" si="345"/>
        <v>3834</v>
      </c>
      <c r="C3837" s="142">
        <v>46255</v>
      </c>
      <c r="D3837" s="57" t="s">
        <v>968</v>
      </c>
      <c r="E3837" s="57" t="s">
        <v>3651</v>
      </c>
      <c r="F3837" s="57" t="s">
        <v>300</v>
      </c>
      <c r="G3837" s="57" t="s">
        <v>313</v>
      </c>
      <c r="H3837" s="140" t="s">
        <v>3900</v>
      </c>
      <c r="I3837" s="57"/>
      <c r="J3837" s="57"/>
      <c r="L3837" s="164">
        <v>5500</v>
      </c>
    </row>
    <row r="3838" spans="2:13" x14ac:dyDescent="0.3">
      <c r="B3838" s="57">
        <f t="shared" si="345"/>
        <v>3835</v>
      </c>
      <c r="C3838" s="142">
        <v>46255</v>
      </c>
      <c r="D3838" s="57" t="s">
        <v>968</v>
      </c>
      <c r="E3838" s="57" t="s">
        <v>460</v>
      </c>
      <c r="F3838" s="57" t="s">
        <v>350</v>
      </c>
      <c r="G3838" s="57" t="s">
        <v>675</v>
      </c>
      <c r="H3838" s="140" t="s">
        <v>3901</v>
      </c>
      <c r="I3838" s="57" t="s">
        <v>460</v>
      </c>
      <c r="J3838" s="57"/>
      <c r="L3838" s="164">
        <v>1560</v>
      </c>
    </row>
    <row r="3839" spans="2:13" x14ac:dyDescent="0.3">
      <c r="B3839" s="57">
        <f t="shared" si="345"/>
        <v>3836</v>
      </c>
      <c r="C3839" s="142">
        <v>46255</v>
      </c>
      <c r="D3839" s="57" t="s">
        <v>968</v>
      </c>
      <c r="E3839" s="57" t="s">
        <v>434</v>
      </c>
      <c r="F3839" s="57" t="s">
        <v>350</v>
      </c>
      <c r="G3839" s="57" t="s">
        <v>675</v>
      </c>
      <c r="H3839" s="140" t="s">
        <v>3902</v>
      </c>
      <c r="I3839" s="57"/>
      <c r="J3839" s="57"/>
      <c r="L3839" s="164">
        <v>2200</v>
      </c>
    </row>
    <row r="3840" spans="2:13" x14ac:dyDescent="0.3">
      <c r="B3840" s="57">
        <f t="shared" si="345"/>
        <v>3837</v>
      </c>
      <c r="C3840" s="142">
        <v>46255</v>
      </c>
      <c r="D3840" s="57" t="s">
        <v>968</v>
      </c>
      <c r="E3840" s="57" t="s">
        <v>146</v>
      </c>
      <c r="F3840" s="57" t="s">
        <v>300</v>
      </c>
      <c r="H3840" s="140" t="s">
        <v>3903</v>
      </c>
      <c r="I3840" s="57"/>
      <c r="J3840" s="165">
        <f>L3840/K3840</f>
        <v>42.452830188679243</v>
      </c>
      <c r="K3840" s="57">
        <v>106</v>
      </c>
      <c r="L3840" s="164">
        <v>4500</v>
      </c>
    </row>
    <row r="3841" spans="2:12" x14ac:dyDescent="0.3">
      <c r="B3841" s="57">
        <f t="shared" si="345"/>
        <v>3838</v>
      </c>
      <c r="C3841" s="142">
        <v>46255</v>
      </c>
      <c r="D3841" s="57" t="s">
        <v>968</v>
      </c>
      <c r="E3841" s="57" t="s">
        <v>958</v>
      </c>
      <c r="F3841" s="57" t="s">
        <v>350</v>
      </c>
      <c r="G3841" s="57" t="s">
        <v>2350</v>
      </c>
      <c r="H3841" s="140" t="s">
        <v>3904</v>
      </c>
      <c r="I3841" s="57"/>
      <c r="J3841" s="57"/>
      <c r="L3841" s="164">
        <v>3500</v>
      </c>
    </row>
    <row r="3842" spans="2:12" x14ac:dyDescent="0.3">
      <c r="B3842" s="57">
        <f t="shared" si="345"/>
        <v>3839</v>
      </c>
      <c r="C3842" s="142">
        <v>46255</v>
      </c>
      <c r="D3842" s="57" t="s">
        <v>968</v>
      </c>
      <c r="E3842" s="57" t="s">
        <v>146</v>
      </c>
      <c r="F3842" s="57" t="s">
        <v>446</v>
      </c>
      <c r="G3842" s="57" t="s">
        <v>1003</v>
      </c>
      <c r="H3842" s="140" t="s">
        <v>879</v>
      </c>
      <c r="I3842" s="57"/>
      <c r="J3842" s="165">
        <f>L3842/K3842</f>
        <v>18.867924528301888</v>
      </c>
      <c r="K3842" s="57">
        <v>106</v>
      </c>
      <c r="L3842" s="164">
        <v>2000</v>
      </c>
    </row>
    <row r="3843" spans="2:12" x14ac:dyDescent="0.3">
      <c r="B3843" s="57">
        <f t="shared" si="345"/>
        <v>3840</v>
      </c>
      <c r="C3843" s="142">
        <v>46255</v>
      </c>
      <c r="D3843" s="57" t="s">
        <v>968</v>
      </c>
      <c r="E3843" s="57" t="s">
        <v>958</v>
      </c>
      <c r="F3843" s="57" t="s">
        <v>350</v>
      </c>
      <c r="G3843" s="57" t="s">
        <v>675</v>
      </c>
      <c r="H3843" s="140" t="s">
        <v>3906</v>
      </c>
      <c r="I3843" s="57"/>
      <c r="J3843" s="57"/>
      <c r="L3843" s="164">
        <v>11200</v>
      </c>
    </row>
    <row r="3844" spans="2:12" x14ac:dyDescent="0.3">
      <c r="B3844" s="57">
        <f t="shared" si="345"/>
        <v>3841</v>
      </c>
      <c r="C3844" s="142">
        <v>46255</v>
      </c>
      <c r="D3844" s="57" t="s">
        <v>968</v>
      </c>
      <c r="E3844" s="57" t="s">
        <v>146</v>
      </c>
      <c r="F3844" s="57" t="s">
        <v>300</v>
      </c>
      <c r="G3844" s="57" t="s">
        <v>443</v>
      </c>
      <c r="H3844" s="140" t="s">
        <v>3907</v>
      </c>
      <c r="I3844" s="57"/>
      <c r="J3844" s="165">
        <f>L3844/K3844</f>
        <v>18.867924528301888</v>
      </c>
      <c r="K3844" s="57">
        <v>106</v>
      </c>
      <c r="L3844" s="164">
        <v>2000</v>
      </c>
    </row>
    <row r="3845" spans="2:12" x14ac:dyDescent="0.3">
      <c r="B3845" s="57">
        <f t="shared" si="345"/>
        <v>3842</v>
      </c>
      <c r="C3845" s="142">
        <v>46255</v>
      </c>
      <c r="D3845" s="57" t="s">
        <v>968</v>
      </c>
      <c r="E3845" s="57" t="s">
        <v>767</v>
      </c>
      <c r="F3845" s="57" t="s">
        <v>350</v>
      </c>
      <c r="G3845" s="57" t="s">
        <v>675</v>
      </c>
      <c r="H3845" s="140" t="s">
        <v>3908</v>
      </c>
      <c r="I3845" s="57"/>
      <c r="J3845" s="57"/>
      <c r="L3845" s="164">
        <v>2250</v>
      </c>
    </row>
    <row r="3846" spans="2:12" x14ac:dyDescent="0.3">
      <c r="B3846" s="57">
        <f t="shared" ref="B3846:B3909" si="351">+B3845+1</f>
        <v>3843</v>
      </c>
      <c r="C3846" s="142">
        <v>46256</v>
      </c>
      <c r="D3846" s="57" t="s">
        <v>968</v>
      </c>
      <c r="E3846" s="57" t="s">
        <v>146</v>
      </c>
      <c r="F3846" s="57" t="s">
        <v>300</v>
      </c>
      <c r="G3846" s="57" t="s">
        <v>530</v>
      </c>
      <c r="H3846" s="140" t="s">
        <v>3909</v>
      </c>
      <c r="I3846" s="57"/>
      <c r="J3846" s="165">
        <f t="shared" ref="J3846:J3849" si="352">L3846/K3846</f>
        <v>18.867924528301888</v>
      </c>
      <c r="K3846" s="57">
        <v>106</v>
      </c>
      <c r="L3846" s="164">
        <v>2000</v>
      </c>
    </row>
    <row r="3847" spans="2:12" x14ac:dyDescent="0.3">
      <c r="B3847" s="57">
        <f t="shared" si="351"/>
        <v>3844</v>
      </c>
      <c r="C3847" s="142">
        <v>46256</v>
      </c>
      <c r="D3847" s="57" t="s">
        <v>968</v>
      </c>
      <c r="E3847" s="57" t="s">
        <v>146</v>
      </c>
      <c r="F3847" s="57" t="s">
        <v>300</v>
      </c>
      <c r="G3847" s="57" t="s">
        <v>303</v>
      </c>
      <c r="H3847" s="140" t="s">
        <v>4116</v>
      </c>
      <c r="I3847" s="57"/>
      <c r="J3847" s="165">
        <f t="shared" si="352"/>
        <v>38.905660377358494</v>
      </c>
      <c r="K3847" s="57">
        <v>106</v>
      </c>
      <c r="L3847" s="164">
        <v>4124</v>
      </c>
    </row>
    <row r="3848" spans="2:12" x14ac:dyDescent="0.3">
      <c r="B3848" s="57">
        <f t="shared" si="351"/>
        <v>3845</v>
      </c>
      <c r="C3848" s="142">
        <v>46256</v>
      </c>
      <c r="D3848" s="57" t="s">
        <v>968</v>
      </c>
      <c r="E3848" s="57" t="s">
        <v>146</v>
      </c>
      <c r="F3848" s="57" t="s">
        <v>300</v>
      </c>
      <c r="G3848" s="57" t="s">
        <v>530</v>
      </c>
      <c r="H3848" s="140" t="s">
        <v>3910</v>
      </c>
      <c r="I3848" s="57"/>
      <c r="J3848" s="165">
        <f t="shared" si="352"/>
        <v>18.867924528301888</v>
      </c>
      <c r="K3848" s="57">
        <v>106</v>
      </c>
      <c r="L3848" s="164">
        <v>2000</v>
      </c>
    </row>
    <row r="3849" spans="2:12" x14ac:dyDescent="0.3">
      <c r="B3849" s="57">
        <f t="shared" si="351"/>
        <v>3846</v>
      </c>
      <c r="C3849" s="142">
        <v>46256</v>
      </c>
      <c r="D3849" s="57" t="s">
        <v>968</v>
      </c>
      <c r="E3849" s="57" t="s">
        <v>146</v>
      </c>
      <c r="F3849" s="57" t="s">
        <v>2332</v>
      </c>
      <c r="G3849" s="57" t="s">
        <v>1004</v>
      </c>
      <c r="H3849" s="140" t="s">
        <v>3911</v>
      </c>
      <c r="I3849" s="57"/>
      <c r="J3849" s="165">
        <f t="shared" si="352"/>
        <v>4.9433962264150946</v>
      </c>
      <c r="K3849" s="57">
        <v>106</v>
      </c>
      <c r="L3849" s="164">
        <v>524</v>
      </c>
    </row>
    <row r="3850" spans="2:12" x14ac:dyDescent="0.3">
      <c r="B3850" s="57">
        <f t="shared" si="351"/>
        <v>3847</v>
      </c>
      <c r="C3850" s="142">
        <v>46256</v>
      </c>
      <c r="D3850" s="57" t="s">
        <v>968</v>
      </c>
      <c r="E3850" s="57" t="s">
        <v>958</v>
      </c>
      <c r="F3850" s="57" t="s">
        <v>300</v>
      </c>
      <c r="G3850" s="57" t="s">
        <v>443</v>
      </c>
      <c r="H3850" s="140" t="s">
        <v>3912</v>
      </c>
      <c r="I3850" s="57"/>
      <c r="J3850" s="57"/>
      <c r="L3850" s="164">
        <v>1500</v>
      </c>
    </row>
    <row r="3851" spans="2:12" x14ac:dyDescent="0.3">
      <c r="B3851" s="57">
        <f t="shared" si="351"/>
        <v>3848</v>
      </c>
      <c r="C3851" s="142">
        <v>46256</v>
      </c>
      <c r="D3851" s="57" t="s">
        <v>968</v>
      </c>
      <c r="E3851" s="57" t="s">
        <v>2027</v>
      </c>
      <c r="F3851" s="57" t="s">
        <v>300</v>
      </c>
      <c r="G3851" s="57" t="s">
        <v>3918</v>
      </c>
      <c r="H3851" s="140" t="s">
        <v>3913</v>
      </c>
      <c r="I3851" s="57"/>
      <c r="J3851" s="57"/>
      <c r="L3851" s="164">
        <v>5000</v>
      </c>
    </row>
    <row r="3852" spans="2:12" x14ac:dyDescent="0.3">
      <c r="B3852" s="57">
        <f t="shared" si="351"/>
        <v>3849</v>
      </c>
      <c r="C3852" s="142">
        <v>46256</v>
      </c>
      <c r="D3852" s="57" t="s">
        <v>968</v>
      </c>
      <c r="E3852" s="57" t="s">
        <v>146</v>
      </c>
      <c r="F3852" s="57" t="s">
        <v>300</v>
      </c>
      <c r="H3852" s="140" t="s">
        <v>4090</v>
      </c>
      <c r="I3852" s="57"/>
      <c r="J3852" s="165">
        <f>L3852/K3852</f>
        <v>18.867924528301888</v>
      </c>
      <c r="K3852" s="57">
        <v>106</v>
      </c>
      <c r="L3852" s="164">
        <v>2000</v>
      </c>
    </row>
    <row r="3853" spans="2:12" x14ac:dyDescent="0.3">
      <c r="B3853" s="57">
        <f t="shared" si="351"/>
        <v>3850</v>
      </c>
      <c r="C3853" s="142">
        <v>46256</v>
      </c>
      <c r="D3853" s="57" t="s">
        <v>968</v>
      </c>
      <c r="E3853" s="57" t="s">
        <v>986</v>
      </c>
      <c r="F3853" s="57" t="s">
        <v>300</v>
      </c>
      <c r="H3853" s="140" t="s">
        <v>3914</v>
      </c>
      <c r="I3853" s="57" t="s">
        <v>986</v>
      </c>
      <c r="J3853" s="57">
        <v>20</v>
      </c>
      <c r="L3853" s="164">
        <v>1600</v>
      </c>
    </row>
    <row r="3854" spans="2:12" x14ac:dyDescent="0.3">
      <c r="B3854" s="57">
        <f t="shared" si="351"/>
        <v>3851</v>
      </c>
      <c r="C3854" s="142">
        <v>46256</v>
      </c>
      <c r="D3854" s="57" t="s">
        <v>968</v>
      </c>
      <c r="E3854" s="57" t="s">
        <v>958</v>
      </c>
      <c r="F3854" s="57" t="s">
        <v>446</v>
      </c>
      <c r="G3854" s="57" t="s">
        <v>3919</v>
      </c>
      <c r="H3854" s="140" t="s">
        <v>3915</v>
      </c>
      <c r="I3854" s="57"/>
      <c r="J3854" s="57"/>
      <c r="L3854" s="164">
        <v>3500</v>
      </c>
    </row>
    <row r="3855" spans="2:12" x14ac:dyDescent="0.3">
      <c r="B3855" s="57">
        <f t="shared" si="351"/>
        <v>3852</v>
      </c>
      <c r="C3855" s="142">
        <v>46256</v>
      </c>
      <c r="D3855" s="57" t="s">
        <v>968</v>
      </c>
      <c r="E3855" s="57" t="s">
        <v>532</v>
      </c>
      <c r="F3855" s="57" t="s">
        <v>546</v>
      </c>
      <c r="G3855" s="57" t="s">
        <v>992</v>
      </c>
      <c r="H3855" s="140" t="s">
        <v>3920</v>
      </c>
      <c r="I3855" s="57" t="s">
        <v>532</v>
      </c>
      <c r="J3855" s="57">
        <v>30</v>
      </c>
      <c r="K3855" s="57">
        <v>280</v>
      </c>
      <c r="L3855" s="164">
        <f t="shared" si="350"/>
        <v>8400</v>
      </c>
    </row>
    <row r="3856" spans="2:12" x14ac:dyDescent="0.3">
      <c r="B3856" s="57">
        <f t="shared" si="351"/>
        <v>3853</v>
      </c>
      <c r="C3856" s="142">
        <v>46256</v>
      </c>
      <c r="D3856" s="57" t="s">
        <v>968</v>
      </c>
      <c r="E3856" s="57" t="s">
        <v>434</v>
      </c>
      <c r="F3856" s="57" t="s">
        <v>300</v>
      </c>
      <c r="G3856" s="57" t="s">
        <v>443</v>
      </c>
      <c r="H3856" s="140" t="s">
        <v>3916</v>
      </c>
      <c r="I3856" s="57"/>
      <c r="J3856" s="57"/>
      <c r="L3856" s="164">
        <v>1650</v>
      </c>
    </row>
    <row r="3857" spans="2:13" x14ac:dyDescent="0.3">
      <c r="B3857" s="57">
        <f t="shared" si="351"/>
        <v>3854</v>
      </c>
      <c r="C3857" s="142">
        <v>46256</v>
      </c>
      <c r="D3857" s="57" t="s">
        <v>968</v>
      </c>
      <c r="E3857" s="57" t="s">
        <v>4128</v>
      </c>
      <c r="F3857" s="57" t="s">
        <v>502</v>
      </c>
      <c r="G3857" s="57" t="s">
        <v>2344</v>
      </c>
      <c r="H3857" s="140" t="s">
        <v>3917</v>
      </c>
      <c r="I3857" s="57"/>
      <c r="J3857" s="57"/>
      <c r="L3857" s="164">
        <v>1700</v>
      </c>
    </row>
    <row r="3858" spans="2:13" x14ac:dyDescent="0.3">
      <c r="B3858" s="57">
        <f t="shared" si="351"/>
        <v>3855</v>
      </c>
      <c r="C3858" s="142">
        <v>46256</v>
      </c>
      <c r="D3858" s="57" t="s">
        <v>968</v>
      </c>
      <c r="E3858" s="57" t="s">
        <v>146</v>
      </c>
      <c r="F3858" s="57" t="s">
        <v>446</v>
      </c>
      <c r="G3858" s="57" t="s">
        <v>990</v>
      </c>
      <c r="H3858" s="140" t="s">
        <v>4089</v>
      </c>
      <c r="I3858" s="57"/>
      <c r="J3858" s="165">
        <f t="shared" ref="J3858:J3859" si="353">L3858/K3858</f>
        <v>18.867924528301888</v>
      </c>
      <c r="K3858" s="57">
        <v>106</v>
      </c>
      <c r="L3858" s="164">
        <v>2000</v>
      </c>
    </row>
    <row r="3859" spans="2:13" x14ac:dyDescent="0.3">
      <c r="B3859" s="57">
        <f t="shared" si="351"/>
        <v>3856</v>
      </c>
      <c r="C3859" s="142">
        <v>46256</v>
      </c>
      <c r="D3859" s="57" t="s">
        <v>968</v>
      </c>
      <c r="E3859" s="57" t="s">
        <v>146</v>
      </c>
      <c r="F3859" s="57" t="s">
        <v>300</v>
      </c>
      <c r="G3859" s="57" t="s">
        <v>3404</v>
      </c>
      <c r="H3859" s="140" t="s">
        <v>3921</v>
      </c>
      <c r="I3859" s="57"/>
      <c r="J3859" s="165">
        <f t="shared" si="353"/>
        <v>18.867924528301888</v>
      </c>
      <c r="K3859" s="57">
        <v>106</v>
      </c>
      <c r="L3859" s="164">
        <v>2000</v>
      </c>
    </row>
    <row r="3860" spans="2:13" x14ac:dyDescent="0.3">
      <c r="B3860" s="57">
        <f t="shared" si="351"/>
        <v>3857</v>
      </c>
      <c r="C3860" s="142">
        <v>46256</v>
      </c>
      <c r="D3860" s="57" t="s">
        <v>968</v>
      </c>
      <c r="E3860" s="57" t="s">
        <v>958</v>
      </c>
      <c r="F3860" s="57" t="s">
        <v>446</v>
      </c>
      <c r="G3860" s="57" t="s">
        <v>359</v>
      </c>
      <c r="H3860" s="140" t="s">
        <v>3922</v>
      </c>
      <c r="I3860" s="57"/>
      <c r="J3860" s="57"/>
      <c r="L3860" s="164">
        <v>3000</v>
      </c>
    </row>
    <row r="3861" spans="2:13" x14ac:dyDescent="0.3">
      <c r="B3861" s="57">
        <f t="shared" si="351"/>
        <v>3858</v>
      </c>
      <c r="C3861" s="142">
        <v>46256</v>
      </c>
      <c r="D3861" s="57" t="s">
        <v>968</v>
      </c>
      <c r="E3861" s="57" t="s">
        <v>959</v>
      </c>
      <c r="F3861" s="57" t="s">
        <v>300</v>
      </c>
      <c r="G3861" s="57" t="s">
        <v>616</v>
      </c>
      <c r="H3861" s="140" t="s">
        <v>3923</v>
      </c>
      <c r="I3861" s="57"/>
      <c r="J3861" s="57"/>
      <c r="L3861" s="164">
        <v>1600</v>
      </c>
    </row>
    <row r="3862" spans="2:13" x14ac:dyDescent="0.3">
      <c r="B3862" s="57">
        <f t="shared" si="351"/>
        <v>3859</v>
      </c>
      <c r="C3862" s="142">
        <v>46256</v>
      </c>
      <c r="D3862" s="57" t="s">
        <v>968</v>
      </c>
      <c r="E3862" s="57" t="s">
        <v>4128</v>
      </c>
      <c r="F3862" s="57" t="s">
        <v>300</v>
      </c>
      <c r="H3862" s="140" t="s">
        <v>3924</v>
      </c>
      <c r="I3862" s="57"/>
      <c r="J3862" s="57"/>
      <c r="L3862" s="164">
        <v>5700</v>
      </c>
    </row>
    <row r="3863" spans="2:13" x14ac:dyDescent="0.3">
      <c r="B3863" s="57">
        <f t="shared" si="351"/>
        <v>3860</v>
      </c>
      <c r="C3863" s="142">
        <v>46256</v>
      </c>
      <c r="D3863" s="57" t="s">
        <v>968</v>
      </c>
      <c r="E3863" s="57" t="s">
        <v>434</v>
      </c>
      <c r="F3863" s="57" t="s">
        <v>446</v>
      </c>
      <c r="G3863" s="57" t="s">
        <v>3877</v>
      </c>
      <c r="H3863" s="140" t="s">
        <v>3925</v>
      </c>
      <c r="I3863" s="57"/>
      <c r="J3863" s="57"/>
      <c r="L3863" s="164">
        <v>1300</v>
      </c>
    </row>
    <row r="3864" spans="2:13" x14ac:dyDescent="0.3">
      <c r="B3864" s="57">
        <f t="shared" si="351"/>
        <v>3861</v>
      </c>
      <c r="C3864" s="142">
        <v>46256</v>
      </c>
      <c r="D3864" s="57" t="s">
        <v>968</v>
      </c>
      <c r="E3864" s="57" t="s">
        <v>532</v>
      </c>
      <c r="F3864" s="57" t="s">
        <v>300</v>
      </c>
      <c r="G3864" s="57" t="s">
        <v>313</v>
      </c>
      <c r="H3864" s="140" t="s">
        <v>3926</v>
      </c>
      <c r="I3864" s="57" t="s">
        <v>532</v>
      </c>
      <c r="J3864" s="57">
        <v>5</v>
      </c>
      <c r="K3864" s="57">
        <v>256</v>
      </c>
      <c r="L3864" s="164">
        <f t="shared" si="350"/>
        <v>1280</v>
      </c>
    </row>
    <row r="3865" spans="2:13" x14ac:dyDescent="0.3">
      <c r="B3865" s="57">
        <f t="shared" si="351"/>
        <v>3862</v>
      </c>
      <c r="C3865" s="142">
        <v>46256</v>
      </c>
      <c r="D3865" s="57" t="s">
        <v>968</v>
      </c>
      <c r="E3865" s="57" t="s">
        <v>3651</v>
      </c>
      <c r="F3865" s="57" t="s">
        <v>502</v>
      </c>
      <c r="G3865" s="57" t="s">
        <v>2344</v>
      </c>
      <c r="H3865" s="140" t="s">
        <v>3927</v>
      </c>
      <c r="I3865" s="57"/>
      <c r="J3865" s="57">
        <v>6</v>
      </c>
      <c r="K3865" s="57">
        <v>3834</v>
      </c>
      <c r="L3865" s="164">
        <f t="shared" si="350"/>
        <v>23004</v>
      </c>
      <c r="M3865" s="57" t="s">
        <v>3930</v>
      </c>
    </row>
    <row r="3866" spans="2:13" x14ac:dyDescent="0.3">
      <c r="B3866" s="57">
        <f t="shared" si="351"/>
        <v>3863</v>
      </c>
      <c r="C3866" s="142">
        <v>46256</v>
      </c>
      <c r="D3866" s="57" t="s">
        <v>968</v>
      </c>
      <c r="E3866" s="57" t="s">
        <v>574</v>
      </c>
      <c r="F3866" s="57" t="s">
        <v>546</v>
      </c>
      <c r="G3866" s="57" t="s">
        <v>992</v>
      </c>
      <c r="H3866" s="140" t="s">
        <v>3928</v>
      </c>
      <c r="I3866" s="140" t="s">
        <v>2635</v>
      </c>
      <c r="J3866" s="57">
        <v>4</v>
      </c>
      <c r="K3866" s="167">
        <f>L3866/J3866</f>
        <v>750</v>
      </c>
      <c r="L3866" s="164">
        <v>3000</v>
      </c>
    </row>
    <row r="3867" spans="2:13" x14ac:dyDescent="0.3">
      <c r="B3867" s="57">
        <f t="shared" si="351"/>
        <v>3864</v>
      </c>
      <c r="C3867" s="142">
        <v>46256</v>
      </c>
      <c r="D3867" s="57" t="s">
        <v>968</v>
      </c>
      <c r="E3867" s="57" t="s">
        <v>532</v>
      </c>
      <c r="F3867" s="57" t="s">
        <v>350</v>
      </c>
      <c r="G3867" s="57" t="s">
        <v>3103</v>
      </c>
      <c r="H3867" s="140" t="s">
        <v>3929</v>
      </c>
      <c r="I3867" s="57" t="s">
        <v>532</v>
      </c>
      <c r="J3867" s="57">
        <v>10</v>
      </c>
      <c r="K3867" s="57">
        <v>266</v>
      </c>
      <c r="L3867" s="164">
        <f t="shared" si="350"/>
        <v>2660</v>
      </c>
    </row>
    <row r="3868" spans="2:13" x14ac:dyDescent="0.3">
      <c r="B3868" s="57">
        <f t="shared" si="351"/>
        <v>3865</v>
      </c>
      <c r="C3868" s="142">
        <v>46256</v>
      </c>
      <c r="D3868" s="57" t="s">
        <v>968</v>
      </c>
      <c r="E3868" s="57" t="s">
        <v>146</v>
      </c>
      <c r="F3868" s="57" t="s">
        <v>300</v>
      </c>
      <c r="G3868" s="57" t="s">
        <v>993</v>
      </c>
      <c r="H3868" s="140" t="s">
        <v>4109</v>
      </c>
      <c r="I3868" s="57"/>
      <c r="J3868" s="165">
        <f>L3868/K3868</f>
        <v>18.867924528301888</v>
      </c>
      <c r="K3868" s="57">
        <v>106</v>
      </c>
      <c r="L3868" s="164">
        <v>2000</v>
      </c>
    </row>
    <row r="3869" spans="2:13" x14ac:dyDescent="0.3">
      <c r="B3869" s="57">
        <f t="shared" si="351"/>
        <v>3866</v>
      </c>
      <c r="C3869" s="142">
        <v>46256</v>
      </c>
      <c r="D3869" s="57" t="s">
        <v>435</v>
      </c>
      <c r="E3869" s="57" t="s">
        <v>574</v>
      </c>
      <c r="F3869" s="57" t="s">
        <v>652</v>
      </c>
      <c r="G3869" s="57" t="s">
        <v>2584</v>
      </c>
      <c r="H3869" s="140" t="s">
        <v>3933</v>
      </c>
      <c r="I3869" s="140" t="s">
        <v>4117</v>
      </c>
      <c r="J3869" s="57">
        <v>25.14</v>
      </c>
      <c r="K3869" s="57">
        <v>600</v>
      </c>
      <c r="L3869" s="164">
        <f t="shared" si="350"/>
        <v>15084</v>
      </c>
    </row>
    <row r="3870" spans="2:13" x14ac:dyDescent="0.3">
      <c r="B3870" s="57">
        <f t="shared" si="351"/>
        <v>3867</v>
      </c>
      <c r="C3870" s="142">
        <v>46256</v>
      </c>
      <c r="D3870" s="57" t="s">
        <v>435</v>
      </c>
      <c r="E3870" s="57" t="s">
        <v>522</v>
      </c>
      <c r="F3870" s="57" t="s">
        <v>652</v>
      </c>
      <c r="G3870" s="57" t="s">
        <v>2584</v>
      </c>
      <c r="H3870" s="140" t="s">
        <v>3934</v>
      </c>
      <c r="I3870" s="57" t="s">
        <v>3935</v>
      </c>
      <c r="J3870" s="57">
        <v>28</v>
      </c>
      <c r="K3870" s="57">
        <v>150</v>
      </c>
      <c r="L3870" s="164">
        <f t="shared" si="350"/>
        <v>4200</v>
      </c>
    </row>
    <row r="3871" spans="2:13" x14ac:dyDescent="0.3">
      <c r="B3871" s="57">
        <f t="shared" si="351"/>
        <v>3868</v>
      </c>
      <c r="C3871" s="142">
        <v>46256</v>
      </c>
      <c r="D3871" s="57" t="s">
        <v>968</v>
      </c>
      <c r="E3871" s="57" t="s">
        <v>434</v>
      </c>
      <c r="F3871" s="57" t="s">
        <v>300</v>
      </c>
      <c r="H3871" s="140" t="s">
        <v>3931</v>
      </c>
      <c r="I3871" s="57"/>
      <c r="J3871" s="57"/>
      <c r="L3871" s="164">
        <v>360</v>
      </c>
    </row>
    <row r="3872" spans="2:13" x14ac:dyDescent="0.3">
      <c r="B3872" s="57">
        <f t="shared" si="351"/>
        <v>3869</v>
      </c>
      <c r="C3872" s="142">
        <v>46256</v>
      </c>
      <c r="D3872" s="57" t="s">
        <v>968</v>
      </c>
      <c r="E3872" s="57" t="s">
        <v>434</v>
      </c>
      <c r="F3872" s="57" t="s">
        <v>350</v>
      </c>
      <c r="G3872" s="57" t="s">
        <v>3103</v>
      </c>
      <c r="H3872" s="140" t="s">
        <v>3932</v>
      </c>
      <c r="I3872" s="57"/>
      <c r="J3872" s="57"/>
      <c r="L3872" s="164">
        <v>520</v>
      </c>
    </row>
    <row r="3873" spans="2:12" x14ac:dyDescent="0.3">
      <c r="B3873" s="57">
        <f t="shared" si="351"/>
        <v>3870</v>
      </c>
      <c r="C3873" s="142">
        <v>46256</v>
      </c>
      <c r="D3873" s="57" t="s">
        <v>968</v>
      </c>
      <c r="E3873" s="57" t="s">
        <v>146</v>
      </c>
      <c r="F3873" s="57" t="s">
        <v>300</v>
      </c>
      <c r="G3873" s="57" t="s">
        <v>3214</v>
      </c>
      <c r="H3873" s="140" t="s">
        <v>1051</v>
      </c>
      <c r="I3873" s="57"/>
      <c r="J3873" s="165">
        <f t="shared" ref="J3873:J3875" si="354">L3873/K3873</f>
        <v>18.867924528301888</v>
      </c>
      <c r="K3873" s="57">
        <v>106</v>
      </c>
      <c r="L3873" s="164">
        <v>2000</v>
      </c>
    </row>
    <row r="3874" spans="2:12" x14ac:dyDescent="0.3">
      <c r="B3874" s="57">
        <f t="shared" si="351"/>
        <v>3871</v>
      </c>
      <c r="C3874" s="142">
        <v>46256</v>
      </c>
      <c r="D3874" s="57" t="s">
        <v>968</v>
      </c>
      <c r="E3874" s="57" t="s">
        <v>146</v>
      </c>
      <c r="F3874" s="57" t="s">
        <v>546</v>
      </c>
      <c r="G3874" s="57" t="s">
        <v>545</v>
      </c>
      <c r="H3874" s="140" t="s">
        <v>4098</v>
      </c>
      <c r="I3874" s="57"/>
      <c r="J3874" s="165">
        <f t="shared" si="354"/>
        <v>18.867924528301888</v>
      </c>
      <c r="K3874" s="57">
        <v>106</v>
      </c>
      <c r="L3874" s="164">
        <v>2000</v>
      </c>
    </row>
    <row r="3875" spans="2:12" x14ac:dyDescent="0.3">
      <c r="B3875" s="57">
        <f t="shared" si="351"/>
        <v>3872</v>
      </c>
      <c r="C3875" s="142">
        <v>46256</v>
      </c>
      <c r="D3875" s="57" t="s">
        <v>968</v>
      </c>
      <c r="E3875" s="57" t="s">
        <v>146</v>
      </c>
      <c r="F3875" s="57" t="s">
        <v>300</v>
      </c>
      <c r="G3875" s="57" t="s">
        <v>3214</v>
      </c>
      <c r="H3875" s="140" t="s">
        <v>1051</v>
      </c>
      <c r="I3875" s="57"/>
      <c r="J3875" s="165">
        <f t="shared" si="354"/>
        <v>18.867924528301888</v>
      </c>
      <c r="K3875" s="57">
        <v>106</v>
      </c>
      <c r="L3875" s="164">
        <v>2000</v>
      </c>
    </row>
    <row r="3876" spans="2:12" x14ac:dyDescent="0.3">
      <c r="B3876" s="57">
        <f t="shared" si="351"/>
        <v>3873</v>
      </c>
      <c r="C3876" s="142">
        <v>46256</v>
      </c>
      <c r="D3876" s="57" t="s">
        <v>968</v>
      </c>
      <c r="E3876" s="57" t="s">
        <v>4128</v>
      </c>
      <c r="F3876" s="57" t="s">
        <v>446</v>
      </c>
      <c r="G3876" s="57" t="s">
        <v>316</v>
      </c>
      <c r="H3876" s="140" t="s">
        <v>3936</v>
      </c>
      <c r="I3876" s="57"/>
      <c r="J3876" s="57"/>
      <c r="L3876" s="164">
        <v>2700</v>
      </c>
    </row>
    <row r="3877" spans="2:12" x14ac:dyDescent="0.3">
      <c r="B3877" s="57">
        <f t="shared" si="351"/>
        <v>3874</v>
      </c>
      <c r="C3877" s="142">
        <v>46256</v>
      </c>
      <c r="D3877" s="57" t="s">
        <v>968</v>
      </c>
      <c r="E3877" s="57" t="s">
        <v>574</v>
      </c>
      <c r="F3877" s="57" t="s">
        <v>300</v>
      </c>
      <c r="G3877" s="57" t="s">
        <v>993</v>
      </c>
      <c r="H3877" s="140" t="s">
        <v>3937</v>
      </c>
      <c r="I3877" s="140" t="s">
        <v>3949</v>
      </c>
      <c r="J3877" s="57">
        <v>4</v>
      </c>
      <c r="K3877" s="167">
        <f>L3877/J3877</f>
        <v>625</v>
      </c>
      <c r="L3877" s="164">
        <v>2500</v>
      </c>
    </row>
    <row r="3878" spans="2:12" x14ac:dyDescent="0.3">
      <c r="B3878" s="57">
        <f t="shared" si="351"/>
        <v>3875</v>
      </c>
      <c r="C3878" s="142">
        <v>46256</v>
      </c>
      <c r="D3878" s="57" t="s">
        <v>968</v>
      </c>
      <c r="E3878" s="57" t="s">
        <v>767</v>
      </c>
      <c r="F3878" s="57" t="s">
        <v>300</v>
      </c>
      <c r="H3878" s="140" t="s">
        <v>3938</v>
      </c>
      <c r="I3878" s="57"/>
      <c r="J3878" s="57"/>
      <c r="L3878" s="164">
        <v>1500</v>
      </c>
    </row>
    <row r="3879" spans="2:12" x14ac:dyDescent="0.3">
      <c r="B3879" s="57">
        <f t="shared" si="351"/>
        <v>3876</v>
      </c>
      <c r="C3879" s="142">
        <v>46256</v>
      </c>
      <c r="D3879" s="57" t="s">
        <v>968</v>
      </c>
      <c r="E3879" s="57" t="s">
        <v>767</v>
      </c>
      <c r="F3879" s="57" t="s">
        <v>300</v>
      </c>
      <c r="H3879" s="140" t="s">
        <v>3939</v>
      </c>
      <c r="I3879" s="57"/>
      <c r="J3879" s="57"/>
      <c r="L3879" s="164">
        <v>1000</v>
      </c>
    </row>
    <row r="3880" spans="2:12" x14ac:dyDescent="0.3">
      <c r="B3880" s="57">
        <f t="shared" si="351"/>
        <v>3877</v>
      </c>
      <c r="C3880" s="142">
        <v>46256</v>
      </c>
      <c r="D3880" s="57" t="s">
        <v>968</v>
      </c>
      <c r="E3880" s="57" t="s">
        <v>434</v>
      </c>
      <c r="F3880" s="57" t="s">
        <v>502</v>
      </c>
      <c r="G3880" s="57" t="s">
        <v>2344</v>
      </c>
      <c r="H3880" s="140" t="s">
        <v>3940</v>
      </c>
      <c r="I3880" s="57"/>
      <c r="J3880" s="57"/>
      <c r="L3880" s="164">
        <v>8750</v>
      </c>
    </row>
    <row r="3881" spans="2:12" x14ac:dyDescent="0.3">
      <c r="B3881" s="57">
        <f t="shared" si="351"/>
        <v>3878</v>
      </c>
      <c r="C3881" s="142">
        <v>46256</v>
      </c>
      <c r="D3881" s="57" t="s">
        <v>968</v>
      </c>
      <c r="E3881" s="57" t="s">
        <v>4008</v>
      </c>
      <c r="F3881" s="57" t="s">
        <v>546</v>
      </c>
      <c r="G3881" s="57" t="s">
        <v>3514</v>
      </c>
      <c r="H3881" s="140" t="s">
        <v>3950</v>
      </c>
      <c r="I3881" s="57"/>
      <c r="J3881" s="57"/>
      <c r="L3881" s="164">
        <v>5000</v>
      </c>
    </row>
    <row r="3882" spans="2:12" x14ac:dyDescent="0.3">
      <c r="B3882" s="57">
        <f t="shared" si="351"/>
        <v>3879</v>
      </c>
      <c r="C3882" s="142">
        <v>46256</v>
      </c>
      <c r="D3882" s="57" t="s">
        <v>435</v>
      </c>
      <c r="E3882" s="57" t="s">
        <v>2427</v>
      </c>
      <c r="F3882" s="57" t="s">
        <v>2332</v>
      </c>
      <c r="H3882" s="140" t="s">
        <v>3941</v>
      </c>
      <c r="I3882" s="57" t="s">
        <v>2911</v>
      </c>
      <c r="J3882" s="57">
        <v>999.7</v>
      </c>
      <c r="K3882" s="57">
        <v>53.5</v>
      </c>
      <c r="L3882" s="164">
        <v>53484</v>
      </c>
    </row>
    <row r="3883" spans="2:12" x14ac:dyDescent="0.3">
      <c r="B3883" s="57">
        <f t="shared" si="351"/>
        <v>3880</v>
      </c>
      <c r="C3883" s="142">
        <v>46256</v>
      </c>
      <c r="D3883" s="57" t="s">
        <v>435</v>
      </c>
      <c r="E3883" s="57" t="s">
        <v>2427</v>
      </c>
      <c r="F3883" s="57" t="s">
        <v>2332</v>
      </c>
      <c r="H3883" s="140" t="s">
        <v>3942</v>
      </c>
      <c r="I3883" s="57" t="s">
        <v>3943</v>
      </c>
      <c r="J3883" s="57" t="s">
        <v>3944</v>
      </c>
      <c r="L3883" s="164">
        <v>52098</v>
      </c>
    </row>
    <row r="3884" spans="2:12" x14ac:dyDescent="0.3">
      <c r="B3884" s="57">
        <f t="shared" si="351"/>
        <v>3881</v>
      </c>
      <c r="C3884" s="142">
        <v>46256</v>
      </c>
      <c r="D3884" s="57" t="s">
        <v>435</v>
      </c>
      <c r="E3884" s="57" t="s">
        <v>460</v>
      </c>
      <c r="F3884" s="57" t="s">
        <v>2332</v>
      </c>
      <c r="H3884" s="140" t="s">
        <v>3945</v>
      </c>
      <c r="I3884" s="57" t="s">
        <v>3846</v>
      </c>
      <c r="J3884" s="57" t="s">
        <v>3946</v>
      </c>
      <c r="L3884" s="164">
        <v>800</v>
      </c>
    </row>
    <row r="3885" spans="2:12" x14ac:dyDescent="0.3">
      <c r="B3885" s="57">
        <f t="shared" si="351"/>
        <v>3882</v>
      </c>
      <c r="C3885" s="142">
        <v>46256</v>
      </c>
      <c r="D3885" s="57" t="s">
        <v>435</v>
      </c>
      <c r="E3885" s="57" t="s">
        <v>460</v>
      </c>
      <c r="F3885" s="57" t="s">
        <v>2332</v>
      </c>
      <c r="H3885" s="140" t="s">
        <v>3947</v>
      </c>
      <c r="I3885" s="57" t="s">
        <v>3948</v>
      </c>
      <c r="J3885" s="57" t="s">
        <v>3946</v>
      </c>
      <c r="L3885" s="164">
        <v>800</v>
      </c>
    </row>
    <row r="3886" spans="2:12" x14ac:dyDescent="0.3">
      <c r="B3886" s="57">
        <f t="shared" si="351"/>
        <v>3883</v>
      </c>
      <c r="C3886" s="142">
        <v>46256</v>
      </c>
      <c r="D3886" s="57" t="s">
        <v>435</v>
      </c>
      <c r="E3886" s="57" t="s">
        <v>4128</v>
      </c>
      <c r="F3886" s="57" t="s">
        <v>2332</v>
      </c>
      <c r="H3886" s="140" t="s">
        <v>3531</v>
      </c>
      <c r="I3886" s="57" t="s">
        <v>2782</v>
      </c>
      <c r="J3886" s="57"/>
      <c r="L3886" s="164">
        <v>1190</v>
      </c>
    </row>
    <row r="3887" spans="2:12" x14ac:dyDescent="0.3">
      <c r="B3887" s="57">
        <f t="shared" si="351"/>
        <v>3884</v>
      </c>
      <c r="C3887" s="142">
        <v>46256</v>
      </c>
      <c r="D3887" s="57" t="s">
        <v>435</v>
      </c>
      <c r="E3887" s="57" t="s">
        <v>522</v>
      </c>
      <c r="F3887" s="57" t="s">
        <v>546</v>
      </c>
      <c r="G3887" s="57" t="s">
        <v>3514</v>
      </c>
      <c r="H3887" s="140" t="s">
        <v>3951</v>
      </c>
      <c r="I3887" s="57" t="s">
        <v>2427</v>
      </c>
      <c r="J3887" s="57"/>
      <c r="L3887" s="164">
        <v>5000</v>
      </c>
    </row>
    <row r="3888" spans="2:12" x14ac:dyDescent="0.3">
      <c r="B3888" s="57">
        <f t="shared" si="351"/>
        <v>3885</v>
      </c>
      <c r="C3888" s="142">
        <v>46257</v>
      </c>
      <c r="D3888" s="57" t="s">
        <v>968</v>
      </c>
      <c r="E3888" s="57" t="s">
        <v>146</v>
      </c>
      <c r="F3888" s="57" t="s">
        <v>446</v>
      </c>
      <c r="G3888" s="57" t="s">
        <v>3877</v>
      </c>
      <c r="H3888" s="140" t="s">
        <v>3952</v>
      </c>
      <c r="I3888" s="57"/>
      <c r="J3888" s="165">
        <f>L3888/K3888</f>
        <v>18.867924528301888</v>
      </c>
      <c r="K3888" s="57">
        <v>106</v>
      </c>
      <c r="L3888" s="164">
        <v>2000</v>
      </c>
    </row>
    <row r="3889" spans="2:12" x14ac:dyDescent="0.3">
      <c r="B3889" s="57">
        <f t="shared" si="351"/>
        <v>3886</v>
      </c>
      <c r="C3889" s="142">
        <v>46257</v>
      </c>
      <c r="D3889" s="57" t="s">
        <v>968</v>
      </c>
      <c r="E3889" s="57" t="s">
        <v>2027</v>
      </c>
      <c r="F3889" s="57" t="s">
        <v>300</v>
      </c>
      <c r="G3889" s="57" t="s">
        <v>530</v>
      </c>
      <c r="H3889" s="140" t="s">
        <v>3958</v>
      </c>
      <c r="I3889" s="57" t="s">
        <v>2027</v>
      </c>
      <c r="J3889" s="57"/>
      <c r="L3889" s="164">
        <v>1060</v>
      </c>
    </row>
    <row r="3890" spans="2:12" x14ac:dyDescent="0.3">
      <c r="B3890" s="57">
        <f t="shared" si="351"/>
        <v>3887</v>
      </c>
      <c r="C3890" s="142">
        <v>46257</v>
      </c>
      <c r="D3890" s="57" t="s">
        <v>968</v>
      </c>
      <c r="E3890" s="57" t="s">
        <v>146</v>
      </c>
      <c r="F3890" s="57" t="s">
        <v>300</v>
      </c>
      <c r="H3890" s="140" t="s">
        <v>3511</v>
      </c>
      <c r="I3890" s="57"/>
      <c r="J3890" s="165">
        <f>L3890/K3890</f>
        <v>18.867924528301888</v>
      </c>
      <c r="K3890" s="57">
        <v>106</v>
      </c>
      <c r="L3890" s="164">
        <v>2000</v>
      </c>
    </row>
    <row r="3891" spans="2:12" x14ac:dyDescent="0.3">
      <c r="B3891" s="57">
        <f t="shared" si="351"/>
        <v>3888</v>
      </c>
      <c r="C3891" s="142">
        <v>46257</v>
      </c>
      <c r="D3891" s="57" t="s">
        <v>968</v>
      </c>
      <c r="E3891" s="57" t="s">
        <v>4128</v>
      </c>
      <c r="F3891" s="57" t="s">
        <v>446</v>
      </c>
      <c r="G3891" s="57" t="s">
        <v>3514</v>
      </c>
      <c r="H3891" s="140" t="s">
        <v>3953</v>
      </c>
      <c r="I3891" s="57"/>
      <c r="J3891" s="57"/>
      <c r="L3891" s="164">
        <v>3500</v>
      </c>
    </row>
    <row r="3892" spans="2:12" x14ac:dyDescent="0.3">
      <c r="B3892" s="57">
        <f t="shared" si="351"/>
        <v>3889</v>
      </c>
      <c r="C3892" s="142">
        <v>46257</v>
      </c>
      <c r="D3892" s="57" t="s">
        <v>968</v>
      </c>
      <c r="E3892" s="57" t="s">
        <v>2027</v>
      </c>
      <c r="F3892" s="57" t="s">
        <v>350</v>
      </c>
      <c r="G3892" s="57" t="s">
        <v>3270</v>
      </c>
      <c r="H3892" s="140" t="s">
        <v>3954</v>
      </c>
      <c r="I3892" s="57" t="s">
        <v>2027</v>
      </c>
      <c r="J3892" s="57"/>
      <c r="L3892" s="164">
        <v>10000</v>
      </c>
    </row>
    <row r="3893" spans="2:12" x14ac:dyDescent="0.3">
      <c r="B3893" s="57">
        <f t="shared" si="351"/>
        <v>3890</v>
      </c>
      <c r="C3893" s="142">
        <v>46257</v>
      </c>
      <c r="D3893" s="57" t="s">
        <v>968</v>
      </c>
      <c r="E3893" s="57" t="s">
        <v>532</v>
      </c>
      <c r="F3893" s="57" t="s">
        <v>446</v>
      </c>
      <c r="G3893" s="57" t="s">
        <v>359</v>
      </c>
      <c r="H3893" s="140" t="s">
        <v>3955</v>
      </c>
      <c r="I3893" s="57" t="s">
        <v>532</v>
      </c>
      <c r="J3893" s="57">
        <v>3</v>
      </c>
      <c r="K3893" s="57">
        <v>270</v>
      </c>
      <c r="L3893" s="164">
        <f t="shared" si="350"/>
        <v>810</v>
      </c>
    </row>
    <row r="3894" spans="2:12" x14ac:dyDescent="0.3">
      <c r="B3894" s="57">
        <f t="shared" si="351"/>
        <v>3891</v>
      </c>
      <c r="C3894" s="142">
        <v>46257</v>
      </c>
      <c r="D3894" s="57" t="s">
        <v>4139</v>
      </c>
      <c r="E3894" s="57" t="s">
        <v>2427</v>
      </c>
      <c r="F3894" s="57" t="s">
        <v>446</v>
      </c>
      <c r="H3894" s="140" t="s">
        <v>3956</v>
      </c>
      <c r="I3894" s="57" t="s">
        <v>2914</v>
      </c>
      <c r="J3894" s="165">
        <v>2000</v>
      </c>
      <c r="K3894" s="57">
        <v>58000</v>
      </c>
      <c r="L3894" s="164">
        <v>116000</v>
      </c>
    </row>
    <row r="3895" spans="2:12" x14ac:dyDescent="0.3">
      <c r="B3895" s="57">
        <f t="shared" si="351"/>
        <v>3892</v>
      </c>
      <c r="C3895" s="142">
        <v>46257</v>
      </c>
      <c r="D3895" s="57" t="s">
        <v>4139</v>
      </c>
      <c r="E3895" s="57" t="s">
        <v>522</v>
      </c>
      <c r="F3895" s="57" t="s">
        <v>446</v>
      </c>
      <c r="H3895" s="140" t="s">
        <v>3961</v>
      </c>
      <c r="I3895" s="57"/>
      <c r="J3895" s="57"/>
      <c r="L3895" s="164">
        <v>2500</v>
      </c>
    </row>
    <row r="3896" spans="2:12" x14ac:dyDescent="0.3">
      <c r="B3896" s="57">
        <f t="shared" si="351"/>
        <v>3893</v>
      </c>
      <c r="C3896" s="142">
        <v>46257</v>
      </c>
      <c r="D3896" s="57" t="s">
        <v>968</v>
      </c>
      <c r="E3896" s="57" t="s">
        <v>146</v>
      </c>
      <c r="F3896" s="57" t="s">
        <v>446</v>
      </c>
      <c r="G3896" s="57" t="s">
        <v>649</v>
      </c>
      <c r="H3896" s="140" t="s">
        <v>879</v>
      </c>
      <c r="I3896" s="57"/>
      <c r="J3896" s="165">
        <f t="shared" ref="J3896:J3897" si="355">L3896/K3896</f>
        <v>18.867924528301888</v>
      </c>
      <c r="K3896" s="57">
        <v>106</v>
      </c>
      <c r="L3896" s="164">
        <v>2000</v>
      </c>
    </row>
    <row r="3897" spans="2:12" x14ac:dyDescent="0.3">
      <c r="B3897" s="57">
        <f t="shared" si="351"/>
        <v>3894</v>
      </c>
      <c r="C3897" s="142">
        <v>46257</v>
      </c>
      <c r="D3897" s="57" t="s">
        <v>968</v>
      </c>
      <c r="E3897" s="57" t="s">
        <v>146</v>
      </c>
      <c r="F3897" s="57" t="s">
        <v>446</v>
      </c>
      <c r="G3897" s="57" t="s">
        <v>990</v>
      </c>
      <c r="H3897" s="140" t="s">
        <v>4092</v>
      </c>
      <c r="I3897" s="57"/>
      <c r="J3897" s="165">
        <f t="shared" si="355"/>
        <v>75.566037735849051</v>
      </c>
      <c r="K3897" s="57">
        <v>106</v>
      </c>
      <c r="L3897" s="164">
        <v>8010</v>
      </c>
    </row>
    <row r="3898" spans="2:12" x14ac:dyDescent="0.3">
      <c r="B3898" s="57">
        <f t="shared" si="351"/>
        <v>3895</v>
      </c>
      <c r="C3898" s="142">
        <v>46257</v>
      </c>
      <c r="D3898" s="57" t="s">
        <v>968</v>
      </c>
      <c r="E3898" s="57" t="s">
        <v>892</v>
      </c>
      <c r="F3898" s="57" t="s">
        <v>300</v>
      </c>
      <c r="G3898" s="57" t="s">
        <v>313</v>
      </c>
      <c r="H3898" s="140" t="s">
        <v>3957</v>
      </c>
      <c r="I3898" s="57"/>
      <c r="J3898" s="57"/>
      <c r="L3898" s="164">
        <v>6800</v>
      </c>
    </row>
    <row r="3899" spans="2:12" x14ac:dyDescent="0.3">
      <c r="B3899" s="57">
        <f t="shared" si="351"/>
        <v>3896</v>
      </c>
      <c r="C3899" s="142">
        <v>46257</v>
      </c>
      <c r="D3899" s="57" t="s">
        <v>435</v>
      </c>
      <c r="E3899" s="57" t="s">
        <v>2427</v>
      </c>
      <c r="F3899" s="57" t="s">
        <v>546</v>
      </c>
      <c r="H3899" s="140" t="s">
        <v>3959</v>
      </c>
      <c r="I3899" s="57" t="s">
        <v>2914</v>
      </c>
      <c r="J3899" s="165">
        <v>2000</v>
      </c>
      <c r="K3899" s="57">
        <v>59</v>
      </c>
      <c r="L3899" s="164">
        <f t="shared" ref="L3899:L3942" si="356">J3899*K3899</f>
        <v>118000</v>
      </c>
    </row>
    <row r="3900" spans="2:12" x14ac:dyDescent="0.3">
      <c r="B3900" s="57">
        <f t="shared" si="351"/>
        <v>3897</v>
      </c>
      <c r="C3900" s="142">
        <v>46257</v>
      </c>
      <c r="D3900" s="57" t="s">
        <v>435</v>
      </c>
      <c r="E3900" s="57" t="s">
        <v>522</v>
      </c>
      <c r="F3900" s="57" t="s">
        <v>546</v>
      </c>
      <c r="H3900" s="140" t="s">
        <v>3960</v>
      </c>
      <c r="I3900" s="57"/>
      <c r="J3900" s="57"/>
      <c r="L3900" s="164">
        <v>1000</v>
      </c>
    </row>
    <row r="3901" spans="2:12" x14ac:dyDescent="0.3">
      <c r="B3901" s="57">
        <f t="shared" si="351"/>
        <v>3898</v>
      </c>
      <c r="C3901" s="142">
        <v>46257</v>
      </c>
      <c r="D3901" s="57" t="s">
        <v>968</v>
      </c>
      <c r="E3901" s="57" t="s">
        <v>958</v>
      </c>
      <c r="F3901" s="57" t="s">
        <v>546</v>
      </c>
      <c r="G3901" s="57" t="s">
        <v>3514</v>
      </c>
      <c r="H3901" s="140" t="s">
        <v>3962</v>
      </c>
      <c r="I3901" s="57"/>
      <c r="J3901" s="57"/>
      <c r="L3901" s="164">
        <v>6000</v>
      </c>
    </row>
    <row r="3902" spans="2:12" x14ac:dyDescent="0.3">
      <c r="B3902" s="57">
        <f t="shared" si="351"/>
        <v>3899</v>
      </c>
      <c r="C3902" s="142">
        <v>46257</v>
      </c>
      <c r="D3902" s="57" t="s">
        <v>968</v>
      </c>
      <c r="E3902" s="57" t="s">
        <v>958</v>
      </c>
      <c r="F3902" s="57" t="s">
        <v>546</v>
      </c>
      <c r="G3902" s="57" t="s">
        <v>545</v>
      </c>
      <c r="H3902" s="140" t="s">
        <v>3963</v>
      </c>
      <c r="I3902" s="57"/>
      <c r="J3902" s="57"/>
      <c r="L3902" s="164">
        <v>600</v>
      </c>
    </row>
    <row r="3903" spans="2:12" x14ac:dyDescent="0.3">
      <c r="B3903" s="57">
        <f t="shared" si="351"/>
        <v>3900</v>
      </c>
      <c r="C3903" s="142">
        <v>46257</v>
      </c>
      <c r="D3903" s="57" t="s">
        <v>968</v>
      </c>
      <c r="E3903" s="57" t="s">
        <v>958</v>
      </c>
      <c r="F3903" s="57" t="s">
        <v>546</v>
      </c>
      <c r="G3903" s="57" t="s">
        <v>545</v>
      </c>
      <c r="H3903" s="140" t="s">
        <v>3964</v>
      </c>
      <c r="I3903" s="57"/>
      <c r="J3903" s="57"/>
      <c r="L3903" s="164">
        <v>4400</v>
      </c>
    </row>
    <row r="3904" spans="2:12" x14ac:dyDescent="0.3">
      <c r="B3904" s="57">
        <f t="shared" si="351"/>
        <v>3901</v>
      </c>
      <c r="C3904" s="142">
        <v>46257</v>
      </c>
      <c r="D3904" s="57" t="s">
        <v>968</v>
      </c>
      <c r="E3904" s="57" t="s">
        <v>958</v>
      </c>
      <c r="F3904" s="57" t="s">
        <v>621</v>
      </c>
      <c r="G3904" s="57" t="s">
        <v>345</v>
      </c>
      <c r="H3904" s="140" t="s">
        <v>3965</v>
      </c>
      <c r="I3904" s="57"/>
      <c r="J3904" s="57"/>
      <c r="L3904" s="164">
        <v>2000</v>
      </c>
    </row>
    <row r="3905" spans="2:12" x14ac:dyDescent="0.3">
      <c r="B3905" s="57">
        <f t="shared" si="351"/>
        <v>3902</v>
      </c>
      <c r="C3905" s="142">
        <v>46257</v>
      </c>
      <c r="D3905" s="57" t="s">
        <v>435</v>
      </c>
      <c r="E3905" s="57" t="s">
        <v>908</v>
      </c>
      <c r="F3905" s="57" t="s">
        <v>621</v>
      </c>
      <c r="G3905" s="57" t="s">
        <v>345</v>
      </c>
      <c r="H3905" s="140" t="s">
        <v>3966</v>
      </c>
      <c r="I3905" s="57"/>
      <c r="J3905" s="57" t="s">
        <v>3967</v>
      </c>
      <c r="K3905" s="57">
        <v>1350</v>
      </c>
      <c r="L3905" s="164">
        <v>32764</v>
      </c>
    </row>
    <row r="3906" spans="2:12" x14ac:dyDescent="0.3">
      <c r="B3906" s="57">
        <f t="shared" si="351"/>
        <v>3903</v>
      </c>
      <c r="C3906" s="142">
        <v>46257</v>
      </c>
      <c r="D3906" s="57" t="s">
        <v>968</v>
      </c>
      <c r="E3906" s="57" t="s">
        <v>4008</v>
      </c>
      <c r="F3906" s="57" t="s">
        <v>300</v>
      </c>
      <c r="G3906" s="57" t="s">
        <v>530</v>
      </c>
      <c r="H3906" s="140" t="s">
        <v>3968</v>
      </c>
      <c r="I3906" s="57"/>
      <c r="J3906" s="57"/>
      <c r="L3906" s="164">
        <v>4000</v>
      </c>
    </row>
    <row r="3907" spans="2:12" x14ac:dyDescent="0.3">
      <c r="B3907" s="57">
        <f t="shared" si="351"/>
        <v>3904</v>
      </c>
      <c r="C3907" s="142">
        <v>46258</v>
      </c>
      <c r="D3907" s="57" t="s">
        <v>968</v>
      </c>
      <c r="E3907" s="57" t="s">
        <v>146</v>
      </c>
      <c r="F3907" s="57" t="s">
        <v>300</v>
      </c>
      <c r="G3907" s="57" t="s">
        <v>530</v>
      </c>
      <c r="H3907" s="140" t="s">
        <v>3969</v>
      </c>
      <c r="I3907" s="57"/>
      <c r="J3907" s="165">
        <f t="shared" ref="J3907:J3910" si="357">L3907/K3907</f>
        <v>18.867924528301888</v>
      </c>
      <c r="K3907" s="57">
        <v>106</v>
      </c>
      <c r="L3907" s="164">
        <v>2000</v>
      </c>
    </row>
    <row r="3908" spans="2:12" x14ac:dyDescent="0.3">
      <c r="B3908" s="57">
        <f t="shared" si="351"/>
        <v>3905</v>
      </c>
      <c r="C3908" s="142">
        <v>46258</v>
      </c>
      <c r="D3908" s="57" t="s">
        <v>968</v>
      </c>
      <c r="E3908" s="57" t="s">
        <v>146</v>
      </c>
      <c r="F3908" s="57" t="s">
        <v>300</v>
      </c>
      <c r="G3908" s="57" t="s">
        <v>530</v>
      </c>
      <c r="H3908" s="140" t="s">
        <v>3970</v>
      </c>
      <c r="I3908" s="57"/>
      <c r="J3908" s="165">
        <f t="shared" si="357"/>
        <v>28.30188679245283</v>
      </c>
      <c r="K3908" s="57">
        <v>106</v>
      </c>
      <c r="L3908" s="164">
        <v>3000</v>
      </c>
    </row>
    <row r="3909" spans="2:12" x14ac:dyDescent="0.3">
      <c r="B3909" s="57">
        <f t="shared" si="351"/>
        <v>3906</v>
      </c>
      <c r="C3909" s="142">
        <v>46258</v>
      </c>
      <c r="D3909" s="57" t="s">
        <v>968</v>
      </c>
      <c r="E3909" s="57" t="s">
        <v>146</v>
      </c>
      <c r="F3909" s="57" t="s">
        <v>300</v>
      </c>
      <c r="G3909" s="57" t="s">
        <v>530</v>
      </c>
      <c r="H3909" s="140" t="s">
        <v>4090</v>
      </c>
      <c r="I3909" s="57"/>
      <c r="J3909" s="165">
        <f t="shared" si="357"/>
        <v>18.867924528301888</v>
      </c>
      <c r="K3909" s="57">
        <v>106</v>
      </c>
      <c r="L3909" s="164">
        <v>2000</v>
      </c>
    </row>
    <row r="3910" spans="2:12" x14ac:dyDescent="0.3">
      <c r="B3910" s="57">
        <f t="shared" ref="B3910:B3973" si="358">+B3909+1</f>
        <v>3907</v>
      </c>
      <c r="C3910" s="142">
        <v>46258</v>
      </c>
      <c r="D3910" s="57" t="s">
        <v>968</v>
      </c>
      <c r="E3910" s="57" t="s">
        <v>146</v>
      </c>
      <c r="F3910" s="57" t="s">
        <v>300</v>
      </c>
      <c r="G3910" s="57" t="s">
        <v>530</v>
      </c>
      <c r="H3910" s="140" t="s">
        <v>3971</v>
      </c>
      <c r="I3910" s="57"/>
      <c r="J3910" s="165">
        <f t="shared" si="357"/>
        <v>18.867924528301888</v>
      </c>
      <c r="K3910" s="57">
        <v>106</v>
      </c>
      <c r="L3910" s="164">
        <v>2000</v>
      </c>
    </row>
    <row r="3911" spans="2:12" x14ac:dyDescent="0.3">
      <c r="B3911" s="57">
        <f t="shared" si="358"/>
        <v>3908</v>
      </c>
      <c r="C3911" s="142">
        <v>46258</v>
      </c>
      <c r="D3911" s="57" t="s">
        <v>968</v>
      </c>
      <c r="E3911" s="57" t="s">
        <v>460</v>
      </c>
      <c r="F3911" s="57" t="s">
        <v>300</v>
      </c>
      <c r="H3911" s="140" t="s">
        <v>3972</v>
      </c>
      <c r="I3911" s="57"/>
      <c r="J3911" s="57"/>
      <c r="L3911" s="164">
        <v>800</v>
      </c>
    </row>
    <row r="3912" spans="2:12" x14ac:dyDescent="0.3">
      <c r="B3912" s="57">
        <f t="shared" si="358"/>
        <v>3909</v>
      </c>
      <c r="C3912" s="142">
        <v>46258</v>
      </c>
      <c r="D3912" s="57" t="s">
        <v>968</v>
      </c>
      <c r="E3912" s="57" t="s">
        <v>4128</v>
      </c>
      <c r="F3912" s="57" t="s">
        <v>446</v>
      </c>
      <c r="G3912" s="57" t="s">
        <v>649</v>
      </c>
      <c r="H3912" s="140" t="s">
        <v>3973</v>
      </c>
      <c r="I3912" s="57"/>
      <c r="J3912" s="57"/>
      <c r="L3912" s="164">
        <v>7500</v>
      </c>
    </row>
    <row r="3913" spans="2:12" x14ac:dyDescent="0.3">
      <c r="B3913" s="57">
        <f t="shared" si="358"/>
        <v>3910</v>
      </c>
      <c r="C3913" s="142">
        <v>46258</v>
      </c>
      <c r="D3913" s="57" t="s">
        <v>968</v>
      </c>
      <c r="E3913" s="57" t="s">
        <v>146</v>
      </c>
      <c r="F3913" s="57" t="s">
        <v>300</v>
      </c>
      <c r="H3913" s="140" t="s">
        <v>3974</v>
      </c>
      <c r="I3913" s="57"/>
      <c r="J3913" s="165">
        <f t="shared" ref="J3913:J3914" si="359">L3913/K3913</f>
        <v>18.867924528301888</v>
      </c>
      <c r="K3913" s="57">
        <v>106</v>
      </c>
      <c r="L3913" s="164">
        <v>2000</v>
      </c>
    </row>
    <row r="3914" spans="2:12" x14ac:dyDescent="0.3">
      <c r="B3914" s="57">
        <f t="shared" si="358"/>
        <v>3911</v>
      </c>
      <c r="C3914" s="142">
        <v>46258</v>
      </c>
      <c r="D3914" s="57" t="s">
        <v>968</v>
      </c>
      <c r="E3914" s="57" t="s">
        <v>146</v>
      </c>
      <c r="F3914" s="57" t="s">
        <v>446</v>
      </c>
      <c r="G3914" s="57" t="s">
        <v>990</v>
      </c>
      <c r="H3914" s="140" t="s">
        <v>4089</v>
      </c>
      <c r="I3914" s="57"/>
      <c r="J3914" s="165">
        <f t="shared" si="359"/>
        <v>16.981132075471699</v>
      </c>
      <c r="K3914" s="57">
        <v>106</v>
      </c>
      <c r="L3914" s="164">
        <v>1800</v>
      </c>
    </row>
    <row r="3915" spans="2:12" x14ac:dyDescent="0.3">
      <c r="B3915" s="57">
        <f t="shared" si="358"/>
        <v>3912</v>
      </c>
      <c r="C3915" s="142">
        <v>46258</v>
      </c>
      <c r="D3915" s="57" t="s">
        <v>435</v>
      </c>
      <c r="E3915" s="57" t="s">
        <v>3145</v>
      </c>
      <c r="F3915" s="57" t="s">
        <v>300</v>
      </c>
      <c r="G3915" s="57" t="s">
        <v>530</v>
      </c>
      <c r="H3915" s="140" t="s">
        <v>3975</v>
      </c>
      <c r="I3915" s="57"/>
      <c r="J3915" s="57"/>
      <c r="L3915" s="164">
        <v>660</v>
      </c>
    </row>
    <row r="3916" spans="2:12" x14ac:dyDescent="0.3">
      <c r="B3916" s="57">
        <f t="shared" si="358"/>
        <v>3913</v>
      </c>
      <c r="C3916" s="142">
        <v>46259</v>
      </c>
      <c r="D3916" s="57" t="s">
        <v>968</v>
      </c>
      <c r="E3916" s="57" t="s">
        <v>532</v>
      </c>
      <c r="F3916" s="57" t="s">
        <v>300</v>
      </c>
      <c r="G3916" s="57" t="s">
        <v>530</v>
      </c>
      <c r="H3916" s="140" t="s">
        <v>3976</v>
      </c>
      <c r="I3916" s="57" t="s">
        <v>532</v>
      </c>
      <c r="J3916" s="57">
        <v>100</v>
      </c>
      <c r="K3916" s="57">
        <v>260</v>
      </c>
      <c r="L3916" s="164">
        <f t="shared" si="356"/>
        <v>26000</v>
      </c>
    </row>
    <row r="3917" spans="2:12" x14ac:dyDescent="0.3">
      <c r="B3917" s="57">
        <f t="shared" si="358"/>
        <v>3914</v>
      </c>
      <c r="C3917" s="142">
        <v>46259</v>
      </c>
      <c r="D3917" s="57" t="s">
        <v>968</v>
      </c>
      <c r="E3917" s="57" t="s">
        <v>146</v>
      </c>
      <c r="F3917" s="57" t="s">
        <v>350</v>
      </c>
      <c r="G3917" s="57" t="s">
        <v>3103</v>
      </c>
      <c r="H3917" s="140" t="s">
        <v>4106</v>
      </c>
      <c r="I3917" s="57"/>
      <c r="J3917" s="165">
        <f t="shared" ref="J3917:J3919" si="360">L3917/K3917</f>
        <v>18.867924528301888</v>
      </c>
      <c r="K3917" s="57">
        <v>106</v>
      </c>
      <c r="L3917" s="164">
        <v>2000</v>
      </c>
    </row>
    <row r="3918" spans="2:12" x14ac:dyDescent="0.3">
      <c r="B3918" s="57">
        <f t="shared" si="358"/>
        <v>3915</v>
      </c>
      <c r="C3918" s="142">
        <v>46259</v>
      </c>
      <c r="D3918" s="57" t="s">
        <v>968</v>
      </c>
      <c r="E3918" s="57" t="s">
        <v>146</v>
      </c>
      <c r="F3918" s="57" t="s">
        <v>300</v>
      </c>
      <c r="G3918" s="57" t="s">
        <v>530</v>
      </c>
      <c r="H3918" s="140" t="s">
        <v>3909</v>
      </c>
      <c r="I3918" s="57"/>
      <c r="J3918" s="165">
        <f t="shared" si="360"/>
        <v>18.867924528301888</v>
      </c>
      <c r="K3918" s="57">
        <v>106</v>
      </c>
      <c r="L3918" s="164">
        <v>2000</v>
      </c>
    </row>
    <row r="3919" spans="2:12" x14ac:dyDescent="0.3">
      <c r="B3919" s="57">
        <f t="shared" si="358"/>
        <v>3916</v>
      </c>
      <c r="C3919" s="142">
        <v>46259</v>
      </c>
      <c r="D3919" s="57" t="s">
        <v>968</v>
      </c>
      <c r="E3919" s="57" t="s">
        <v>146</v>
      </c>
      <c r="F3919" s="57" t="s">
        <v>350</v>
      </c>
      <c r="G3919" s="57" t="s">
        <v>675</v>
      </c>
      <c r="H3919" s="140" t="s">
        <v>3977</v>
      </c>
      <c r="I3919" s="57"/>
      <c r="J3919" s="165">
        <f t="shared" si="360"/>
        <v>18.867924528301888</v>
      </c>
      <c r="K3919" s="57">
        <v>106</v>
      </c>
      <c r="L3919" s="164">
        <v>2000</v>
      </c>
    </row>
    <row r="3920" spans="2:12" x14ac:dyDescent="0.3">
      <c r="B3920" s="57">
        <f t="shared" si="358"/>
        <v>3917</v>
      </c>
      <c r="C3920" s="142">
        <v>46259</v>
      </c>
      <c r="D3920" s="57" t="s">
        <v>435</v>
      </c>
      <c r="E3920" s="57" t="s">
        <v>3980</v>
      </c>
      <c r="F3920" s="57" t="s">
        <v>446</v>
      </c>
      <c r="G3920" s="57" t="s">
        <v>3919</v>
      </c>
      <c r="H3920" s="140" t="s">
        <v>3981</v>
      </c>
      <c r="I3920" s="57"/>
      <c r="J3920" s="57"/>
      <c r="L3920" s="164">
        <v>29030</v>
      </c>
    </row>
    <row r="3921" spans="2:12" x14ac:dyDescent="0.3">
      <c r="B3921" s="57">
        <f t="shared" si="358"/>
        <v>3918</v>
      </c>
      <c r="C3921" s="142">
        <v>46259</v>
      </c>
      <c r="D3921" s="57" t="s">
        <v>968</v>
      </c>
      <c r="E3921" s="57" t="s">
        <v>3145</v>
      </c>
      <c r="F3921" s="57" t="s">
        <v>446</v>
      </c>
      <c r="G3921" s="57" t="s">
        <v>313</v>
      </c>
      <c r="H3921" s="140" t="s">
        <v>3978</v>
      </c>
      <c r="I3921" s="57"/>
      <c r="J3921" s="57"/>
      <c r="L3921" s="164">
        <v>1100</v>
      </c>
    </row>
    <row r="3922" spans="2:12" x14ac:dyDescent="0.3">
      <c r="B3922" s="57">
        <f t="shared" si="358"/>
        <v>3919</v>
      </c>
      <c r="C3922" s="142">
        <v>46259</v>
      </c>
      <c r="D3922" s="57" t="s">
        <v>968</v>
      </c>
      <c r="E3922" s="57" t="s">
        <v>146</v>
      </c>
      <c r="F3922" s="57" t="s">
        <v>446</v>
      </c>
      <c r="G3922" s="57" t="s">
        <v>359</v>
      </c>
      <c r="H3922" s="140" t="s">
        <v>4089</v>
      </c>
      <c r="I3922" s="57"/>
      <c r="J3922" s="165">
        <f t="shared" ref="J3922:J3924" si="361">L3922/K3922</f>
        <v>18.867924528301888</v>
      </c>
      <c r="K3922" s="57">
        <v>106</v>
      </c>
      <c r="L3922" s="164">
        <v>2000</v>
      </c>
    </row>
    <row r="3923" spans="2:12" x14ac:dyDescent="0.3">
      <c r="B3923" s="57">
        <f t="shared" si="358"/>
        <v>3920</v>
      </c>
      <c r="C3923" s="142">
        <v>46259</v>
      </c>
      <c r="D3923" s="57" t="s">
        <v>968</v>
      </c>
      <c r="E3923" s="57" t="s">
        <v>146</v>
      </c>
      <c r="F3923" s="57" t="s">
        <v>300</v>
      </c>
      <c r="G3923" s="57" t="s">
        <v>530</v>
      </c>
      <c r="H3923" s="140" t="s">
        <v>3979</v>
      </c>
      <c r="I3923" s="57"/>
      <c r="J3923" s="165">
        <f t="shared" si="361"/>
        <v>28.30188679245283</v>
      </c>
      <c r="K3923" s="57">
        <v>106</v>
      </c>
      <c r="L3923" s="164">
        <v>3000</v>
      </c>
    </row>
    <row r="3924" spans="2:12" x14ac:dyDescent="0.3">
      <c r="B3924" s="57">
        <f t="shared" si="358"/>
        <v>3921</v>
      </c>
      <c r="C3924" s="142">
        <v>46259</v>
      </c>
      <c r="D3924" s="57" t="s">
        <v>968</v>
      </c>
      <c r="E3924" s="57" t="s">
        <v>146</v>
      </c>
      <c r="F3924" s="57" t="s">
        <v>300</v>
      </c>
      <c r="G3924" s="57" t="s">
        <v>438</v>
      </c>
      <c r="H3924" s="140" t="s">
        <v>4110</v>
      </c>
      <c r="I3924" s="57"/>
      <c r="J3924" s="165">
        <f t="shared" si="361"/>
        <v>18.867924528301888</v>
      </c>
      <c r="K3924" s="57">
        <v>106</v>
      </c>
      <c r="L3924" s="164">
        <v>2000</v>
      </c>
    </row>
    <row r="3925" spans="2:12" x14ac:dyDescent="0.3">
      <c r="B3925" s="57">
        <f t="shared" si="358"/>
        <v>3922</v>
      </c>
      <c r="C3925" s="142">
        <v>46259</v>
      </c>
      <c r="D3925" s="57" t="s">
        <v>968</v>
      </c>
      <c r="E3925" s="57" t="s">
        <v>434</v>
      </c>
      <c r="F3925" s="57" t="s">
        <v>300</v>
      </c>
      <c r="G3925" s="57" t="s">
        <v>530</v>
      </c>
      <c r="H3925" s="140" t="s">
        <v>3982</v>
      </c>
      <c r="I3925" s="57"/>
      <c r="J3925" s="57"/>
      <c r="L3925" s="164">
        <v>6000</v>
      </c>
    </row>
    <row r="3926" spans="2:12" x14ac:dyDescent="0.3">
      <c r="B3926" s="57">
        <f t="shared" si="358"/>
        <v>3923</v>
      </c>
      <c r="C3926" s="142">
        <v>46259</v>
      </c>
      <c r="D3926" s="57" t="s">
        <v>968</v>
      </c>
      <c r="E3926" s="57" t="s">
        <v>146</v>
      </c>
      <c r="F3926" s="57" t="s">
        <v>2332</v>
      </c>
      <c r="G3926" s="57" t="s">
        <v>3389</v>
      </c>
      <c r="H3926" s="140" t="s">
        <v>4094</v>
      </c>
      <c r="I3926" s="57" t="s">
        <v>146</v>
      </c>
      <c r="J3926" s="165">
        <f t="shared" ref="J3926:J3927" si="362">L3926/K3926</f>
        <v>18.867924528301888</v>
      </c>
      <c r="K3926" s="57">
        <v>106</v>
      </c>
      <c r="L3926" s="164">
        <v>2000</v>
      </c>
    </row>
    <row r="3927" spans="2:12" x14ac:dyDescent="0.3">
      <c r="B3927" s="57">
        <f t="shared" si="358"/>
        <v>3924</v>
      </c>
      <c r="C3927" s="142">
        <v>46259</v>
      </c>
      <c r="D3927" s="57" t="s">
        <v>968</v>
      </c>
      <c r="E3927" s="57" t="s">
        <v>146</v>
      </c>
      <c r="F3927" s="57" t="s">
        <v>300</v>
      </c>
      <c r="G3927" s="57" t="s">
        <v>530</v>
      </c>
      <c r="H3927" s="140" t="s">
        <v>3983</v>
      </c>
      <c r="I3927" s="57"/>
      <c r="J3927" s="165">
        <f t="shared" si="362"/>
        <v>18.89622641509434</v>
      </c>
      <c r="K3927" s="57">
        <v>106</v>
      </c>
      <c r="L3927" s="164">
        <v>2003</v>
      </c>
    </row>
    <row r="3928" spans="2:12" x14ac:dyDescent="0.3">
      <c r="B3928" s="57">
        <f t="shared" si="358"/>
        <v>3925</v>
      </c>
      <c r="C3928" s="142">
        <v>46259</v>
      </c>
      <c r="D3928" s="57" t="s">
        <v>968</v>
      </c>
      <c r="E3928" s="57" t="s">
        <v>3994</v>
      </c>
      <c r="F3928" s="57" t="s">
        <v>300</v>
      </c>
      <c r="G3928" s="57" t="s">
        <v>530</v>
      </c>
      <c r="H3928" s="140" t="s">
        <v>3984</v>
      </c>
      <c r="I3928" s="57" t="s">
        <v>3995</v>
      </c>
      <c r="J3928" s="57">
        <v>100</v>
      </c>
      <c r="K3928" s="57">
        <v>25</v>
      </c>
      <c r="L3928" s="164">
        <f t="shared" si="356"/>
        <v>2500</v>
      </c>
    </row>
    <row r="3929" spans="2:12" x14ac:dyDescent="0.3">
      <c r="B3929" s="57">
        <f t="shared" si="358"/>
        <v>3926</v>
      </c>
      <c r="C3929" s="142">
        <v>46259</v>
      </c>
      <c r="D3929" s="57" t="s">
        <v>968</v>
      </c>
      <c r="E3929" s="57" t="s">
        <v>434</v>
      </c>
      <c r="F3929" s="57" t="s">
        <v>300</v>
      </c>
      <c r="G3929" s="57" t="s">
        <v>530</v>
      </c>
      <c r="H3929" s="140" t="s">
        <v>3985</v>
      </c>
      <c r="I3929" s="57"/>
      <c r="J3929" s="57"/>
      <c r="L3929" s="164">
        <v>10100</v>
      </c>
    </row>
    <row r="3930" spans="2:12" x14ac:dyDescent="0.3">
      <c r="B3930" s="57">
        <f t="shared" si="358"/>
        <v>3927</v>
      </c>
      <c r="C3930" s="142">
        <v>46259</v>
      </c>
      <c r="D3930" s="57" t="s">
        <v>968</v>
      </c>
      <c r="E3930" s="57" t="s">
        <v>532</v>
      </c>
      <c r="F3930" s="57" t="s">
        <v>446</v>
      </c>
      <c r="G3930" s="57" t="s">
        <v>313</v>
      </c>
      <c r="H3930" s="140" t="s">
        <v>3986</v>
      </c>
      <c r="I3930" s="57" t="s">
        <v>532</v>
      </c>
      <c r="J3930" s="57">
        <v>10</v>
      </c>
      <c r="K3930" s="57">
        <v>250</v>
      </c>
      <c r="L3930" s="164">
        <f t="shared" si="356"/>
        <v>2500</v>
      </c>
    </row>
    <row r="3931" spans="2:12" x14ac:dyDescent="0.3">
      <c r="B3931" s="57">
        <f t="shared" si="358"/>
        <v>3928</v>
      </c>
      <c r="C3931" s="142">
        <v>46259</v>
      </c>
      <c r="D3931" s="57" t="s">
        <v>968</v>
      </c>
      <c r="E3931" s="57" t="s">
        <v>460</v>
      </c>
      <c r="F3931" s="57" t="s">
        <v>446</v>
      </c>
      <c r="G3931" s="57" t="s">
        <v>3877</v>
      </c>
      <c r="H3931" s="140" t="s">
        <v>3996</v>
      </c>
      <c r="I3931" s="57" t="s">
        <v>460</v>
      </c>
      <c r="J3931" s="57" t="s">
        <v>3998</v>
      </c>
      <c r="L3931" s="164">
        <v>570</v>
      </c>
    </row>
    <row r="3932" spans="2:12" x14ac:dyDescent="0.3">
      <c r="B3932" s="57">
        <f t="shared" si="358"/>
        <v>3929</v>
      </c>
      <c r="C3932" s="142">
        <v>46259</v>
      </c>
      <c r="D3932" s="57" t="s">
        <v>968</v>
      </c>
      <c r="E3932" s="57" t="s">
        <v>460</v>
      </c>
      <c r="F3932" s="57" t="s">
        <v>446</v>
      </c>
      <c r="G3932" s="57" t="s">
        <v>3877</v>
      </c>
      <c r="H3932" s="140" t="s">
        <v>3997</v>
      </c>
      <c r="I3932" s="57" t="s">
        <v>460</v>
      </c>
      <c r="J3932" s="57" t="s">
        <v>2680</v>
      </c>
      <c r="L3932" s="164">
        <v>380</v>
      </c>
    </row>
    <row r="3933" spans="2:12" x14ac:dyDescent="0.3">
      <c r="B3933" s="57">
        <f t="shared" si="358"/>
        <v>3930</v>
      </c>
      <c r="C3933" s="142">
        <v>46259</v>
      </c>
      <c r="D3933" s="57" t="s">
        <v>968</v>
      </c>
      <c r="E3933" s="57" t="s">
        <v>481</v>
      </c>
      <c r="F3933" s="57" t="s">
        <v>300</v>
      </c>
      <c r="G3933" s="57" t="s">
        <v>530</v>
      </c>
      <c r="H3933" s="140" t="s">
        <v>3987</v>
      </c>
      <c r="I3933" s="57" t="s">
        <v>481</v>
      </c>
      <c r="J3933" s="57"/>
      <c r="L3933" s="164">
        <v>1000</v>
      </c>
    </row>
    <row r="3934" spans="2:12" x14ac:dyDescent="0.3">
      <c r="B3934" s="57">
        <f t="shared" si="358"/>
        <v>3931</v>
      </c>
      <c r="C3934" s="142">
        <v>46259</v>
      </c>
      <c r="D3934" s="57" t="s">
        <v>968</v>
      </c>
      <c r="E3934" s="57" t="s">
        <v>574</v>
      </c>
      <c r="F3934" s="57" t="s">
        <v>446</v>
      </c>
      <c r="G3934" s="57" t="s">
        <v>990</v>
      </c>
      <c r="H3934" s="140" t="s">
        <v>2847</v>
      </c>
      <c r="I3934" s="140" t="s">
        <v>2635</v>
      </c>
      <c r="J3934" s="57">
        <v>4</v>
      </c>
      <c r="K3934" s="167">
        <f>L3934/J3934</f>
        <v>750</v>
      </c>
      <c r="L3934" s="164">
        <v>3000</v>
      </c>
    </row>
    <row r="3935" spans="2:12" x14ac:dyDescent="0.3">
      <c r="B3935" s="57">
        <f t="shared" si="358"/>
        <v>3932</v>
      </c>
      <c r="C3935" s="142">
        <v>46259</v>
      </c>
      <c r="D3935" s="57" t="s">
        <v>968</v>
      </c>
      <c r="E3935" s="57" t="s">
        <v>146</v>
      </c>
      <c r="F3935" s="57" t="s">
        <v>300</v>
      </c>
      <c r="G3935" s="57" t="s">
        <v>530</v>
      </c>
      <c r="H3935" s="140" t="s">
        <v>4115</v>
      </c>
      <c r="I3935" s="57"/>
      <c r="J3935" s="165">
        <f t="shared" ref="J3935:J3936" si="363">L3935/K3935</f>
        <v>18.867924528301888</v>
      </c>
      <c r="K3935" s="57">
        <v>106</v>
      </c>
      <c r="L3935" s="164">
        <v>2000</v>
      </c>
    </row>
    <row r="3936" spans="2:12" x14ac:dyDescent="0.3">
      <c r="B3936" s="57">
        <f t="shared" si="358"/>
        <v>3933</v>
      </c>
      <c r="C3936" s="142">
        <v>46259</v>
      </c>
      <c r="D3936" s="57" t="s">
        <v>968</v>
      </c>
      <c r="E3936" s="57" t="s">
        <v>146</v>
      </c>
      <c r="F3936" s="57" t="s">
        <v>300</v>
      </c>
      <c r="G3936" s="57" t="s">
        <v>993</v>
      </c>
      <c r="H3936" s="140" t="s">
        <v>3988</v>
      </c>
      <c r="I3936" s="57"/>
      <c r="J3936" s="165">
        <f t="shared" si="363"/>
        <v>38.20754716981132</v>
      </c>
      <c r="K3936" s="57">
        <v>106</v>
      </c>
      <c r="L3936" s="164">
        <v>4050</v>
      </c>
    </row>
    <row r="3937" spans="2:12" x14ac:dyDescent="0.3">
      <c r="B3937" s="57">
        <f t="shared" si="358"/>
        <v>3934</v>
      </c>
      <c r="C3937" s="142">
        <v>46259</v>
      </c>
      <c r="D3937" s="57" t="s">
        <v>968</v>
      </c>
      <c r="E3937" s="57" t="s">
        <v>3651</v>
      </c>
      <c r="F3937" s="57" t="s">
        <v>300</v>
      </c>
      <c r="G3937" s="57" t="s">
        <v>993</v>
      </c>
      <c r="H3937" s="140" t="s">
        <v>3989</v>
      </c>
      <c r="I3937" s="57"/>
      <c r="J3937" s="57"/>
      <c r="L3937" s="164">
        <v>3000</v>
      </c>
    </row>
    <row r="3938" spans="2:12" x14ac:dyDescent="0.3">
      <c r="B3938" s="57">
        <f t="shared" si="358"/>
        <v>3935</v>
      </c>
      <c r="C3938" s="142">
        <v>46259</v>
      </c>
      <c r="D3938" s="57" t="s">
        <v>968</v>
      </c>
      <c r="E3938" s="57" t="s">
        <v>146</v>
      </c>
      <c r="F3938" s="57" t="s">
        <v>446</v>
      </c>
      <c r="G3938" s="57" t="s">
        <v>990</v>
      </c>
      <c r="H3938" s="140" t="s">
        <v>3990</v>
      </c>
      <c r="I3938" s="57"/>
      <c r="J3938" s="165">
        <f t="shared" ref="J3938:J3939" si="364">L3938/K3938</f>
        <v>18.867924528301888</v>
      </c>
      <c r="K3938" s="57">
        <v>106</v>
      </c>
      <c r="L3938" s="164">
        <v>2000</v>
      </c>
    </row>
    <row r="3939" spans="2:12" x14ac:dyDescent="0.3">
      <c r="B3939" s="57">
        <f t="shared" si="358"/>
        <v>3936</v>
      </c>
      <c r="C3939" s="142">
        <v>46259</v>
      </c>
      <c r="D3939" s="57" t="s">
        <v>968</v>
      </c>
      <c r="E3939" s="57" t="s">
        <v>146</v>
      </c>
      <c r="F3939" s="57" t="s">
        <v>446</v>
      </c>
      <c r="G3939" s="57" t="s">
        <v>3877</v>
      </c>
      <c r="H3939" s="140" t="s">
        <v>3991</v>
      </c>
      <c r="I3939" s="57"/>
      <c r="J3939" s="165">
        <f t="shared" si="364"/>
        <v>18.867924528301888</v>
      </c>
      <c r="K3939" s="57">
        <v>106</v>
      </c>
      <c r="L3939" s="164">
        <v>2000</v>
      </c>
    </row>
    <row r="3940" spans="2:12" x14ac:dyDescent="0.3">
      <c r="B3940" s="57">
        <f t="shared" si="358"/>
        <v>3937</v>
      </c>
      <c r="C3940" s="142">
        <v>46259</v>
      </c>
      <c r="D3940" s="57" t="s">
        <v>968</v>
      </c>
      <c r="E3940" s="57" t="s">
        <v>4128</v>
      </c>
      <c r="F3940" s="57" t="s">
        <v>300</v>
      </c>
      <c r="G3940" s="57" t="s">
        <v>530</v>
      </c>
      <c r="H3940" s="140" t="s">
        <v>3992</v>
      </c>
      <c r="I3940" s="57"/>
      <c r="J3940" s="57"/>
      <c r="L3940" s="164">
        <v>10000</v>
      </c>
    </row>
    <row r="3941" spans="2:12" x14ac:dyDescent="0.3">
      <c r="B3941" s="57">
        <f t="shared" si="358"/>
        <v>3938</v>
      </c>
      <c r="C3941" s="142">
        <v>46259</v>
      </c>
      <c r="D3941" s="57" t="s">
        <v>968</v>
      </c>
      <c r="E3941" s="57" t="s">
        <v>3651</v>
      </c>
      <c r="F3941" s="57" t="s">
        <v>300</v>
      </c>
      <c r="H3941" s="140" t="s">
        <v>3993</v>
      </c>
      <c r="I3941" s="57"/>
      <c r="J3941" s="57"/>
      <c r="L3941" s="164">
        <v>8000</v>
      </c>
    </row>
    <row r="3942" spans="2:12" x14ac:dyDescent="0.3">
      <c r="B3942" s="57">
        <f t="shared" si="358"/>
        <v>3939</v>
      </c>
      <c r="C3942" s="142">
        <v>46259</v>
      </c>
      <c r="D3942" s="57" t="s">
        <v>968</v>
      </c>
      <c r="E3942" s="57" t="s">
        <v>532</v>
      </c>
      <c r="F3942" s="57" t="s">
        <v>350</v>
      </c>
      <c r="G3942" s="57" t="s">
        <v>3103</v>
      </c>
      <c r="H3942" s="140" t="s">
        <v>3999</v>
      </c>
      <c r="I3942" s="57" t="s">
        <v>532</v>
      </c>
      <c r="J3942" s="57">
        <v>10</v>
      </c>
      <c r="K3942" s="57">
        <v>287</v>
      </c>
      <c r="L3942" s="164">
        <f t="shared" si="356"/>
        <v>2870</v>
      </c>
    </row>
    <row r="3943" spans="2:12" x14ac:dyDescent="0.3">
      <c r="B3943" s="57">
        <f t="shared" si="358"/>
        <v>3940</v>
      </c>
      <c r="C3943" s="142">
        <v>46259</v>
      </c>
      <c r="D3943" s="57" t="s">
        <v>968</v>
      </c>
      <c r="E3943" s="57" t="s">
        <v>958</v>
      </c>
      <c r="F3943" s="57" t="s">
        <v>436</v>
      </c>
      <c r="G3943" s="57" t="s">
        <v>987</v>
      </c>
      <c r="H3943" s="140" t="s">
        <v>4000</v>
      </c>
      <c r="I3943" s="57"/>
      <c r="J3943" s="57"/>
      <c r="L3943" s="164">
        <v>1000</v>
      </c>
    </row>
    <row r="3944" spans="2:12" x14ac:dyDescent="0.3">
      <c r="B3944" s="57">
        <f t="shared" si="358"/>
        <v>3941</v>
      </c>
      <c r="C3944" s="142">
        <v>46259</v>
      </c>
      <c r="D3944" s="57" t="s">
        <v>968</v>
      </c>
      <c r="E3944" s="57" t="s">
        <v>146</v>
      </c>
      <c r="F3944" s="57" t="s">
        <v>300</v>
      </c>
      <c r="G3944" s="57" t="s">
        <v>530</v>
      </c>
      <c r="H3944" s="140" t="s">
        <v>4001</v>
      </c>
      <c r="I3944" s="57"/>
      <c r="J3944" s="165">
        <f>L3944/K3944</f>
        <v>18.867924528301888</v>
      </c>
      <c r="K3944" s="57">
        <v>106</v>
      </c>
      <c r="L3944" s="164">
        <v>2000</v>
      </c>
    </row>
    <row r="3945" spans="2:12" x14ac:dyDescent="0.3">
      <c r="B3945" s="57">
        <f t="shared" si="358"/>
        <v>3942</v>
      </c>
      <c r="C3945" s="142">
        <v>46259</v>
      </c>
      <c r="D3945" s="57" t="s">
        <v>968</v>
      </c>
      <c r="E3945" s="57" t="s">
        <v>4128</v>
      </c>
      <c r="F3945" s="57" t="s">
        <v>300</v>
      </c>
      <c r="G3945" s="57" t="s">
        <v>530</v>
      </c>
      <c r="H3945" s="140" t="s">
        <v>4002</v>
      </c>
      <c r="I3945" s="57"/>
      <c r="J3945" s="57"/>
      <c r="L3945" s="164">
        <v>6000</v>
      </c>
    </row>
    <row r="3946" spans="2:12" x14ac:dyDescent="0.3">
      <c r="B3946" s="57">
        <f t="shared" si="358"/>
        <v>3943</v>
      </c>
      <c r="C3946" s="142">
        <v>46259</v>
      </c>
      <c r="D3946" s="57" t="s">
        <v>968</v>
      </c>
      <c r="E3946" s="57" t="s">
        <v>4128</v>
      </c>
      <c r="F3946" s="57" t="s">
        <v>300</v>
      </c>
      <c r="G3946" s="57" t="s">
        <v>993</v>
      </c>
      <c r="H3946" s="140" t="s">
        <v>4003</v>
      </c>
      <c r="I3946" s="57"/>
      <c r="J3946" s="57"/>
      <c r="L3946" s="164">
        <v>850</v>
      </c>
    </row>
    <row r="3947" spans="2:12" x14ac:dyDescent="0.3">
      <c r="B3947" s="57">
        <f t="shared" si="358"/>
        <v>3944</v>
      </c>
      <c r="C3947" s="142">
        <v>46259</v>
      </c>
      <c r="D3947" s="57" t="s">
        <v>968</v>
      </c>
      <c r="E3947" s="57" t="s">
        <v>434</v>
      </c>
      <c r="F3947" s="57" t="s">
        <v>436</v>
      </c>
      <c r="G3947" s="57" t="s">
        <v>987</v>
      </c>
      <c r="H3947" s="140" t="s">
        <v>4004</v>
      </c>
      <c r="I3947" s="57"/>
      <c r="J3947" s="57"/>
      <c r="L3947" s="164">
        <v>350</v>
      </c>
    </row>
    <row r="3948" spans="2:12" x14ac:dyDescent="0.3">
      <c r="B3948" s="57">
        <f t="shared" si="358"/>
        <v>3945</v>
      </c>
      <c r="C3948" s="142">
        <v>46259</v>
      </c>
      <c r="D3948" s="57" t="s">
        <v>968</v>
      </c>
      <c r="E3948" s="57" t="s">
        <v>434</v>
      </c>
      <c r="F3948" s="57" t="s">
        <v>546</v>
      </c>
      <c r="G3948" s="57" t="s">
        <v>545</v>
      </c>
      <c r="H3948" s="140" t="s">
        <v>4005</v>
      </c>
      <c r="I3948" s="57"/>
      <c r="J3948" s="57"/>
      <c r="L3948" s="164">
        <v>8400</v>
      </c>
    </row>
    <row r="3949" spans="2:12" x14ac:dyDescent="0.3">
      <c r="B3949" s="57">
        <f t="shared" si="358"/>
        <v>3946</v>
      </c>
      <c r="C3949" s="142">
        <v>46259</v>
      </c>
      <c r="D3949" s="57" t="s">
        <v>968</v>
      </c>
      <c r="E3949" s="57" t="s">
        <v>146</v>
      </c>
      <c r="F3949" s="57" t="s">
        <v>621</v>
      </c>
      <c r="G3949" s="57" t="s">
        <v>345</v>
      </c>
      <c r="H3949" s="140" t="s">
        <v>4006</v>
      </c>
      <c r="I3949" s="57"/>
      <c r="J3949" s="165">
        <f>L3949/K3949</f>
        <v>37.735849056603776</v>
      </c>
      <c r="K3949" s="57">
        <v>106</v>
      </c>
      <c r="L3949" s="164">
        <v>4000</v>
      </c>
    </row>
    <row r="3950" spans="2:12" x14ac:dyDescent="0.3">
      <c r="B3950" s="57">
        <f t="shared" si="358"/>
        <v>3947</v>
      </c>
      <c r="C3950" s="142">
        <v>46259</v>
      </c>
      <c r="D3950" s="57" t="s">
        <v>968</v>
      </c>
      <c r="E3950" s="57" t="s">
        <v>4008</v>
      </c>
      <c r="F3950" s="57" t="s">
        <v>446</v>
      </c>
      <c r="G3950" s="57" t="s">
        <v>316</v>
      </c>
      <c r="H3950" s="140" t="s">
        <v>4007</v>
      </c>
      <c r="I3950" s="57"/>
      <c r="J3950" s="57"/>
      <c r="L3950" s="164">
        <v>4000</v>
      </c>
    </row>
    <row r="3951" spans="2:12" x14ac:dyDescent="0.3">
      <c r="B3951" s="57">
        <f t="shared" si="358"/>
        <v>3948</v>
      </c>
      <c r="C3951" s="142">
        <v>46259</v>
      </c>
      <c r="D3951" s="57" t="s">
        <v>968</v>
      </c>
      <c r="E3951" s="57" t="s">
        <v>146</v>
      </c>
      <c r="F3951" s="57" t="s">
        <v>350</v>
      </c>
      <c r="H3951" s="140" t="s">
        <v>4092</v>
      </c>
      <c r="I3951" s="57"/>
      <c r="J3951" s="165">
        <f>L3951/K3951</f>
        <v>148.02830188679246</v>
      </c>
      <c r="K3951" s="57">
        <v>106</v>
      </c>
      <c r="L3951" s="164">
        <v>15691</v>
      </c>
    </row>
    <row r="3952" spans="2:12" x14ac:dyDescent="0.3">
      <c r="B3952" s="57">
        <f t="shared" si="358"/>
        <v>3949</v>
      </c>
      <c r="C3952" s="143">
        <v>46255</v>
      </c>
      <c r="D3952" s="57" t="s">
        <v>435</v>
      </c>
      <c r="E3952" s="57" t="s">
        <v>4008</v>
      </c>
      <c r="F3952" s="57" t="s">
        <v>300</v>
      </c>
      <c r="G3952" s="57" t="s">
        <v>530</v>
      </c>
      <c r="H3952" s="140" t="s">
        <v>4010</v>
      </c>
      <c r="I3952" s="57"/>
      <c r="J3952" s="57"/>
      <c r="L3952" s="164">
        <v>1009500</v>
      </c>
    </row>
    <row r="3953" spans="2:12" x14ac:dyDescent="0.3">
      <c r="B3953" s="57">
        <f t="shared" si="358"/>
        <v>3950</v>
      </c>
      <c r="C3953" s="143">
        <v>46246</v>
      </c>
      <c r="D3953" s="57" t="s">
        <v>435</v>
      </c>
      <c r="E3953" s="57" t="s">
        <v>782</v>
      </c>
      <c r="F3953" s="57" t="s">
        <v>300</v>
      </c>
      <c r="G3953" s="57" t="s">
        <v>530</v>
      </c>
      <c r="H3953" s="140" t="s">
        <v>4011</v>
      </c>
      <c r="I3953" s="57"/>
      <c r="J3953" s="57">
        <v>44</v>
      </c>
      <c r="L3953" s="164">
        <v>450000</v>
      </c>
    </row>
    <row r="3954" spans="2:12" x14ac:dyDescent="0.3">
      <c r="B3954" s="57">
        <f t="shared" si="358"/>
        <v>3951</v>
      </c>
      <c r="C3954" s="143">
        <v>46241</v>
      </c>
      <c r="D3954" s="57" t="s">
        <v>435</v>
      </c>
      <c r="E3954" s="57" t="s">
        <v>4128</v>
      </c>
      <c r="F3954" s="57" t="s">
        <v>300</v>
      </c>
      <c r="G3954" s="57" t="s">
        <v>530</v>
      </c>
      <c r="H3954" s="140" t="s">
        <v>4012</v>
      </c>
      <c r="I3954" s="57"/>
      <c r="J3954" s="57"/>
      <c r="L3954" s="164">
        <v>30000</v>
      </c>
    </row>
    <row r="3955" spans="2:12" x14ac:dyDescent="0.3">
      <c r="B3955" s="57">
        <f t="shared" si="358"/>
        <v>3952</v>
      </c>
      <c r="C3955" s="143">
        <v>46241</v>
      </c>
      <c r="D3955" s="57" t="s">
        <v>435</v>
      </c>
      <c r="E3955" s="57" t="s">
        <v>522</v>
      </c>
      <c r="F3955" s="57" t="s">
        <v>300</v>
      </c>
      <c r="G3955" s="57" t="s">
        <v>530</v>
      </c>
      <c r="H3955" s="140" t="s">
        <v>4013</v>
      </c>
      <c r="I3955" s="57"/>
      <c r="J3955" s="57"/>
      <c r="L3955" s="164">
        <v>4000</v>
      </c>
    </row>
    <row r="3956" spans="2:12" x14ac:dyDescent="0.3">
      <c r="B3956" s="57">
        <f t="shared" si="358"/>
        <v>3953</v>
      </c>
      <c r="C3956" s="143">
        <v>46241</v>
      </c>
      <c r="D3956" s="57" t="s">
        <v>435</v>
      </c>
      <c r="E3956" s="57" t="s">
        <v>4128</v>
      </c>
      <c r="F3956" s="57" t="s">
        <v>300</v>
      </c>
      <c r="G3956" s="57" t="s">
        <v>530</v>
      </c>
      <c r="H3956" s="140" t="s">
        <v>4014</v>
      </c>
      <c r="I3956" s="57"/>
      <c r="J3956" s="57"/>
      <c r="L3956" s="164">
        <v>1600</v>
      </c>
    </row>
    <row r="3957" spans="2:12" x14ac:dyDescent="0.3">
      <c r="B3957" s="57">
        <f t="shared" si="358"/>
        <v>3954</v>
      </c>
      <c r="C3957" s="143">
        <v>46241</v>
      </c>
      <c r="D3957" s="57" t="s">
        <v>435</v>
      </c>
      <c r="E3957" s="57" t="s">
        <v>3145</v>
      </c>
      <c r="F3957" s="57" t="s">
        <v>300</v>
      </c>
      <c r="G3957" s="57" t="s">
        <v>530</v>
      </c>
      <c r="H3957" s="140" t="s">
        <v>4015</v>
      </c>
      <c r="I3957" s="57"/>
      <c r="J3957" s="57"/>
      <c r="L3957" s="164">
        <v>1600</v>
      </c>
    </row>
    <row r="3958" spans="2:12" x14ac:dyDescent="0.3">
      <c r="B3958" s="57">
        <f t="shared" si="358"/>
        <v>3955</v>
      </c>
      <c r="C3958" s="143">
        <v>46241</v>
      </c>
      <c r="D3958" s="57" t="s">
        <v>435</v>
      </c>
      <c r="E3958" s="57" t="s">
        <v>3145</v>
      </c>
      <c r="F3958" s="57" t="s">
        <v>300</v>
      </c>
      <c r="G3958" s="57" t="s">
        <v>530</v>
      </c>
      <c r="H3958" s="140" t="s">
        <v>4016</v>
      </c>
      <c r="I3958" s="57"/>
      <c r="J3958" s="57"/>
      <c r="L3958" s="164">
        <v>4200</v>
      </c>
    </row>
    <row r="3959" spans="2:12" x14ac:dyDescent="0.3">
      <c r="B3959" s="57">
        <f t="shared" si="358"/>
        <v>3956</v>
      </c>
      <c r="C3959" s="143">
        <v>46241</v>
      </c>
      <c r="D3959" s="57" t="s">
        <v>435</v>
      </c>
      <c r="E3959" s="57" t="s">
        <v>4008</v>
      </c>
      <c r="F3959" s="57" t="s">
        <v>300</v>
      </c>
      <c r="G3959" s="57" t="s">
        <v>530</v>
      </c>
      <c r="H3959" s="140" t="s">
        <v>4017</v>
      </c>
      <c r="I3959" s="57"/>
      <c r="J3959" s="57"/>
      <c r="L3959" s="164">
        <v>5000</v>
      </c>
    </row>
    <row r="3960" spans="2:12" x14ac:dyDescent="0.3">
      <c r="B3960" s="57">
        <f t="shared" si="358"/>
        <v>3957</v>
      </c>
      <c r="C3960" s="143">
        <v>46241</v>
      </c>
      <c r="D3960" s="57" t="s">
        <v>435</v>
      </c>
      <c r="E3960" s="57" t="s">
        <v>522</v>
      </c>
      <c r="F3960" s="57" t="s">
        <v>300</v>
      </c>
      <c r="G3960" s="57" t="s">
        <v>530</v>
      </c>
      <c r="H3960" s="140" t="s">
        <v>4018</v>
      </c>
      <c r="I3960" s="57"/>
      <c r="J3960" s="57"/>
      <c r="L3960" s="164">
        <v>33750</v>
      </c>
    </row>
    <row r="3961" spans="2:12" x14ac:dyDescent="0.3">
      <c r="B3961" s="57">
        <f t="shared" si="358"/>
        <v>3958</v>
      </c>
      <c r="C3961" s="143">
        <v>46241</v>
      </c>
      <c r="D3961" s="57" t="s">
        <v>435</v>
      </c>
      <c r="E3961" s="57" t="s">
        <v>522</v>
      </c>
      <c r="F3961" s="57" t="s">
        <v>300</v>
      </c>
      <c r="G3961" s="57" t="s">
        <v>530</v>
      </c>
      <c r="H3961" s="140" t="s">
        <v>4019</v>
      </c>
      <c r="I3961" s="57"/>
      <c r="J3961" s="57"/>
      <c r="L3961" s="164">
        <v>26000</v>
      </c>
    </row>
    <row r="3962" spans="2:12" x14ac:dyDescent="0.3">
      <c r="B3962" s="57">
        <f t="shared" si="358"/>
        <v>3959</v>
      </c>
      <c r="C3962" s="142">
        <v>46260</v>
      </c>
      <c r="D3962" s="57" t="s">
        <v>968</v>
      </c>
      <c r="E3962" s="57" t="s">
        <v>146</v>
      </c>
      <c r="F3962" s="57" t="s">
        <v>446</v>
      </c>
      <c r="G3962" s="57" t="s">
        <v>359</v>
      </c>
      <c r="H3962" s="140" t="s">
        <v>4099</v>
      </c>
      <c r="I3962" s="57"/>
      <c r="J3962" s="165">
        <f>L3962/K3962</f>
        <v>18.867924528301888</v>
      </c>
      <c r="K3962" s="57">
        <v>106</v>
      </c>
      <c r="L3962" s="164">
        <v>2000</v>
      </c>
    </row>
    <row r="3963" spans="2:12" x14ac:dyDescent="0.3">
      <c r="B3963" s="57">
        <f t="shared" si="358"/>
        <v>3960</v>
      </c>
      <c r="C3963" s="142">
        <v>46260</v>
      </c>
      <c r="D3963" s="57" t="s">
        <v>968</v>
      </c>
      <c r="E3963" s="57" t="s">
        <v>2022</v>
      </c>
      <c r="F3963" s="57" t="s">
        <v>546</v>
      </c>
      <c r="G3963" s="57" t="s">
        <v>545</v>
      </c>
      <c r="H3963" s="140" t="s">
        <v>4020</v>
      </c>
      <c r="I3963" s="57"/>
      <c r="J3963" s="57"/>
      <c r="L3963" s="164">
        <v>800</v>
      </c>
    </row>
    <row r="3964" spans="2:12" x14ac:dyDescent="0.3">
      <c r="B3964" s="57">
        <f t="shared" si="358"/>
        <v>3961</v>
      </c>
      <c r="C3964" s="142">
        <v>46260</v>
      </c>
      <c r="D3964" s="57" t="s">
        <v>968</v>
      </c>
      <c r="E3964" s="57" t="s">
        <v>146</v>
      </c>
      <c r="F3964" s="57" t="s">
        <v>546</v>
      </c>
      <c r="G3964" s="57" t="s">
        <v>992</v>
      </c>
      <c r="H3964" s="140" t="s">
        <v>4114</v>
      </c>
      <c r="I3964" s="57" t="s">
        <v>146</v>
      </c>
      <c r="J3964" s="165">
        <f>L3964/K3964</f>
        <v>28.30188679245283</v>
      </c>
      <c r="K3964" s="57">
        <v>106</v>
      </c>
      <c r="L3964" s="164">
        <v>3000</v>
      </c>
    </row>
    <row r="3965" spans="2:12" x14ac:dyDescent="0.3">
      <c r="B3965" s="57">
        <f t="shared" si="358"/>
        <v>3962</v>
      </c>
      <c r="C3965" s="142">
        <v>46260</v>
      </c>
      <c r="D3965" s="57" t="s">
        <v>968</v>
      </c>
      <c r="E3965" s="57" t="s">
        <v>434</v>
      </c>
      <c r="F3965" s="57" t="s">
        <v>300</v>
      </c>
      <c r="G3965" s="57" t="s">
        <v>530</v>
      </c>
      <c r="H3965" s="140" t="s">
        <v>4021</v>
      </c>
      <c r="I3965" s="57"/>
      <c r="J3965" s="57"/>
      <c r="L3965" s="164">
        <v>650</v>
      </c>
    </row>
    <row r="3966" spans="2:12" x14ac:dyDescent="0.3">
      <c r="B3966" s="57">
        <f t="shared" si="358"/>
        <v>3963</v>
      </c>
      <c r="C3966" s="142">
        <v>46260</v>
      </c>
      <c r="D3966" s="57" t="s">
        <v>968</v>
      </c>
      <c r="E3966" s="57" t="s">
        <v>2027</v>
      </c>
      <c r="F3966" s="57" t="s">
        <v>446</v>
      </c>
      <c r="G3966" s="57" t="s">
        <v>649</v>
      </c>
      <c r="H3966" s="140" t="s">
        <v>4022</v>
      </c>
      <c r="I3966" s="57"/>
      <c r="J3966" s="57"/>
      <c r="L3966" s="164">
        <v>4560</v>
      </c>
    </row>
    <row r="3967" spans="2:12" x14ac:dyDescent="0.3">
      <c r="B3967" s="57">
        <f t="shared" si="358"/>
        <v>3964</v>
      </c>
      <c r="C3967" s="142">
        <v>46260</v>
      </c>
      <c r="D3967" s="57" t="s">
        <v>968</v>
      </c>
      <c r="E3967" s="57" t="s">
        <v>434</v>
      </c>
      <c r="F3967" s="57" t="s">
        <v>350</v>
      </c>
      <c r="G3967" s="57" t="s">
        <v>3103</v>
      </c>
      <c r="H3967" s="140" t="s">
        <v>4023</v>
      </c>
      <c r="I3967" s="57" t="s">
        <v>2869</v>
      </c>
      <c r="J3967" s="57">
        <v>4</v>
      </c>
      <c r="K3967" s="57">
        <v>190</v>
      </c>
      <c r="L3967" s="164">
        <f t="shared" ref="L3967:L3968" si="365">J3967*K3967</f>
        <v>760</v>
      </c>
    </row>
    <row r="3968" spans="2:12" x14ac:dyDescent="0.3">
      <c r="B3968" s="57">
        <f t="shared" si="358"/>
        <v>3965</v>
      </c>
      <c r="C3968" s="142">
        <v>46260</v>
      </c>
      <c r="D3968" s="57" t="s">
        <v>968</v>
      </c>
      <c r="E3968" s="57" t="s">
        <v>532</v>
      </c>
      <c r="F3968" s="57" t="s">
        <v>446</v>
      </c>
      <c r="G3968" s="57" t="s">
        <v>990</v>
      </c>
      <c r="H3968" s="140" t="s">
        <v>4024</v>
      </c>
      <c r="I3968" s="57" t="s">
        <v>532</v>
      </c>
      <c r="J3968" s="57">
        <v>8</v>
      </c>
      <c r="K3968" s="57">
        <v>260</v>
      </c>
      <c r="L3968" s="164">
        <f t="shared" si="365"/>
        <v>2080</v>
      </c>
    </row>
    <row r="3969" spans="2:12" x14ac:dyDescent="0.3">
      <c r="B3969" s="57">
        <f t="shared" si="358"/>
        <v>3966</v>
      </c>
      <c r="C3969" s="142">
        <v>46260</v>
      </c>
      <c r="D3969" s="57" t="s">
        <v>968</v>
      </c>
      <c r="E3969" s="57" t="s">
        <v>460</v>
      </c>
      <c r="F3969" s="57" t="s">
        <v>546</v>
      </c>
      <c r="G3969" s="57" t="s">
        <v>545</v>
      </c>
      <c r="H3969" s="140" t="s">
        <v>4025</v>
      </c>
      <c r="I3969" s="57" t="s">
        <v>460</v>
      </c>
      <c r="J3969" s="57" t="s">
        <v>4026</v>
      </c>
      <c r="K3969" s="57">
        <v>90</v>
      </c>
      <c r="L3969" s="164">
        <v>3600</v>
      </c>
    </row>
    <row r="3970" spans="2:12" x14ac:dyDescent="0.3">
      <c r="B3970" s="57">
        <f t="shared" si="358"/>
        <v>3967</v>
      </c>
      <c r="C3970" s="142">
        <v>46260</v>
      </c>
      <c r="D3970" s="57" t="s">
        <v>968</v>
      </c>
      <c r="E3970" s="57" t="s">
        <v>986</v>
      </c>
      <c r="F3970" s="57" t="s">
        <v>546</v>
      </c>
      <c r="G3970" s="57" t="s">
        <v>545</v>
      </c>
      <c r="H3970" s="140" t="s">
        <v>4027</v>
      </c>
      <c r="I3970" s="57" t="s">
        <v>986</v>
      </c>
      <c r="J3970" s="57">
        <v>20</v>
      </c>
      <c r="K3970" s="57">
        <v>100</v>
      </c>
      <c r="L3970" s="164">
        <v>2500</v>
      </c>
    </row>
    <row r="3971" spans="2:12" x14ac:dyDescent="0.3">
      <c r="B3971" s="57">
        <f t="shared" si="358"/>
        <v>3968</v>
      </c>
      <c r="C3971" s="142">
        <v>46260</v>
      </c>
      <c r="D3971" s="57" t="s">
        <v>968</v>
      </c>
      <c r="E3971" s="57" t="s">
        <v>522</v>
      </c>
      <c r="F3971" s="57" t="s">
        <v>446</v>
      </c>
      <c r="G3971" s="57" t="s">
        <v>316</v>
      </c>
      <c r="H3971" s="140" t="s">
        <v>4028</v>
      </c>
      <c r="I3971" s="57"/>
      <c r="J3971" s="57"/>
      <c r="L3971" s="164">
        <v>900</v>
      </c>
    </row>
    <row r="3972" spans="2:12" x14ac:dyDescent="0.3">
      <c r="B3972" s="57">
        <f t="shared" si="358"/>
        <v>3969</v>
      </c>
      <c r="C3972" s="142">
        <v>46260</v>
      </c>
      <c r="D3972" s="57" t="s">
        <v>968</v>
      </c>
      <c r="E3972" s="57" t="s">
        <v>532</v>
      </c>
      <c r="F3972" s="57" t="s">
        <v>502</v>
      </c>
      <c r="G3972" s="57" t="s">
        <v>2344</v>
      </c>
      <c r="H3972" s="140" t="s">
        <v>4029</v>
      </c>
      <c r="I3972" s="57" t="s">
        <v>532</v>
      </c>
      <c r="J3972" s="57">
        <v>30</v>
      </c>
      <c r="K3972" s="57">
        <v>266</v>
      </c>
      <c r="L3972" s="164">
        <f t="shared" ref="L3972:L4029" si="366">J3972*K3972</f>
        <v>7980</v>
      </c>
    </row>
    <row r="3973" spans="2:12" x14ac:dyDescent="0.3">
      <c r="B3973" s="57">
        <f t="shared" si="358"/>
        <v>3970</v>
      </c>
      <c r="C3973" s="142">
        <v>46260</v>
      </c>
      <c r="D3973" s="57" t="s">
        <v>968</v>
      </c>
      <c r="E3973" s="57" t="s">
        <v>574</v>
      </c>
      <c r="F3973" s="57" t="s">
        <v>546</v>
      </c>
      <c r="G3973" s="57" t="s">
        <v>992</v>
      </c>
      <c r="H3973" s="140" t="s">
        <v>4030</v>
      </c>
      <c r="I3973" s="140" t="s">
        <v>2635</v>
      </c>
      <c r="J3973" s="57">
        <v>4</v>
      </c>
      <c r="K3973" s="167">
        <f>L3973/J3973</f>
        <v>750</v>
      </c>
      <c r="L3973" s="164">
        <v>3000</v>
      </c>
    </row>
    <row r="3974" spans="2:12" x14ac:dyDescent="0.3">
      <c r="B3974" s="57">
        <f t="shared" ref="B3974:B4080" si="367">+B3973+1</f>
        <v>3971</v>
      </c>
      <c r="C3974" s="142">
        <v>46260</v>
      </c>
      <c r="D3974" s="57" t="s">
        <v>968</v>
      </c>
      <c r="E3974" s="57" t="s">
        <v>532</v>
      </c>
      <c r="F3974" s="57" t="s">
        <v>300</v>
      </c>
      <c r="G3974" s="57" t="s">
        <v>313</v>
      </c>
      <c r="H3974" s="140" t="s">
        <v>4031</v>
      </c>
      <c r="I3974" s="57" t="s">
        <v>532</v>
      </c>
      <c r="J3974" s="57">
        <v>5</v>
      </c>
      <c r="K3974" s="57">
        <v>256</v>
      </c>
      <c r="L3974" s="164">
        <f t="shared" si="366"/>
        <v>1280</v>
      </c>
    </row>
    <row r="3975" spans="2:12" x14ac:dyDescent="0.3">
      <c r="B3975" s="57">
        <f t="shared" si="367"/>
        <v>3972</v>
      </c>
      <c r="C3975" s="142">
        <v>46260</v>
      </c>
      <c r="D3975" s="57" t="s">
        <v>968</v>
      </c>
      <c r="E3975" s="57" t="s">
        <v>892</v>
      </c>
      <c r="F3975" s="57" t="s">
        <v>300</v>
      </c>
      <c r="G3975" s="57" t="s">
        <v>313</v>
      </c>
      <c r="H3975" s="140" t="s">
        <v>4032</v>
      </c>
      <c r="I3975" s="57"/>
      <c r="J3975" s="57"/>
      <c r="L3975" s="164">
        <v>3400</v>
      </c>
    </row>
    <row r="3976" spans="2:12" x14ac:dyDescent="0.3">
      <c r="B3976" s="57">
        <f t="shared" si="367"/>
        <v>3973</v>
      </c>
      <c r="C3976" s="142">
        <v>46260</v>
      </c>
      <c r="D3976" s="57" t="s">
        <v>968</v>
      </c>
      <c r="E3976" s="57" t="s">
        <v>4128</v>
      </c>
      <c r="F3976" s="57" t="s">
        <v>652</v>
      </c>
      <c r="G3976" s="57" t="s">
        <v>2584</v>
      </c>
      <c r="H3976" s="140" t="s">
        <v>4033</v>
      </c>
      <c r="I3976" s="57"/>
      <c r="J3976" s="57"/>
      <c r="L3976" s="164">
        <v>5400</v>
      </c>
    </row>
    <row r="3977" spans="2:12" x14ac:dyDescent="0.3">
      <c r="B3977" s="57">
        <f t="shared" si="367"/>
        <v>3974</v>
      </c>
      <c r="C3977" s="142">
        <v>46260</v>
      </c>
      <c r="D3977" s="57" t="s">
        <v>968</v>
      </c>
      <c r="E3977" s="57" t="s">
        <v>3651</v>
      </c>
      <c r="F3977" s="57" t="s">
        <v>300</v>
      </c>
      <c r="G3977" s="57" t="s">
        <v>443</v>
      </c>
      <c r="H3977" s="140" t="s">
        <v>4034</v>
      </c>
      <c r="I3977" s="57"/>
      <c r="J3977" s="57"/>
      <c r="L3977" s="164">
        <v>22000</v>
      </c>
    </row>
    <row r="3978" spans="2:12" x14ac:dyDescent="0.3">
      <c r="B3978" s="57">
        <f t="shared" si="367"/>
        <v>3975</v>
      </c>
      <c r="C3978" s="142">
        <v>46260</v>
      </c>
      <c r="D3978" s="57" t="s">
        <v>968</v>
      </c>
      <c r="E3978" s="57" t="s">
        <v>767</v>
      </c>
      <c r="F3978" s="57" t="s">
        <v>446</v>
      </c>
      <c r="G3978" s="57" t="s">
        <v>990</v>
      </c>
      <c r="H3978" s="140" t="s">
        <v>4035</v>
      </c>
      <c r="I3978" s="57"/>
      <c r="J3978" s="57"/>
      <c r="L3978" s="164">
        <v>2655</v>
      </c>
    </row>
    <row r="3979" spans="2:12" x14ac:dyDescent="0.3">
      <c r="B3979" s="57">
        <f t="shared" si="367"/>
        <v>3976</v>
      </c>
      <c r="C3979" s="142">
        <v>46260</v>
      </c>
      <c r="D3979" s="57" t="s">
        <v>968</v>
      </c>
      <c r="E3979" s="57" t="s">
        <v>146</v>
      </c>
      <c r="F3979" s="57" t="s">
        <v>446</v>
      </c>
      <c r="G3979" s="57" t="s">
        <v>990</v>
      </c>
      <c r="H3979" s="140" t="s">
        <v>4036</v>
      </c>
      <c r="I3979" s="57"/>
      <c r="J3979" s="165">
        <f>L3979/K3979</f>
        <v>14.160377358490566</v>
      </c>
      <c r="K3979" s="57">
        <v>106</v>
      </c>
      <c r="L3979" s="164">
        <v>1501</v>
      </c>
    </row>
    <row r="3980" spans="2:12" x14ac:dyDescent="0.3">
      <c r="B3980" s="57">
        <f t="shared" si="367"/>
        <v>3977</v>
      </c>
      <c r="C3980" s="142">
        <v>46260</v>
      </c>
      <c r="D3980" s="57" t="s">
        <v>968</v>
      </c>
      <c r="E3980" s="57" t="s">
        <v>574</v>
      </c>
      <c r="F3980" s="57" t="s">
        <v>546</v>
      </c>
      <c r="G3980" s="57" t="s">
        <v>992</v>
      </c>
      <c r="H3980" s="140" t="s">
        <v>4030</v>
      </c>
      <c r="I3980" s="140" t="s">
        <v>2635</v>
      </c>
      <c r="J3980" s="57">
        <v>4</v>
      </c>
      <c r="K3980" s="167">
        <f>L3980*J3980</f>
        <v>12000</v>
      </c>
      <c r="L3980" s="164">
        <v>3000</v>
      </c>
    </row>
    <row r="3981" spans="2:12" x14ac:dyDescent="0.3">
      <c r="B3981" s="57">
        <f t="shared" si="367"/>
        <v>3978</v>
      </c>
      <c r="C3981" s="142">
        <v>46261</v>
      </c>
      <c r="D3981" s="57" t="s">
        <v>968</v>
      </c>
      <c r="E3981" s="57" t="s">
        <v>4091</v>
      </c>
      <c r="F3981" s="57" t="s">
        <v>300</v>
      </c>
      <c r="G3981" s="57" t="s">
        <v>530</v>
      </c>
      <c r="H3981" s="140" t="s">
        <v>4096</v>
      </c>
      <c r="I3981" s="57"/>
      <c r="J3981" s="165">
        <f t="shared" ref="J3981:J3987" si="368">L3981/K3981</f>
        <v>18.867924528301888</v>
      </c>
      <c r="K3981" s="57">
        <v>106</v>
      </c>
      <c r="L3981" s="164">
        <v>2000</v>
      </c>
    </row>
    <row r="3982" spans="2:12" x14ac:dyDescent="0.3">
      <c r="B3982" s="57">
        <f t="shared" si="367"/>
        <v>3979</v>
      </c>
      <c r="C3982" s="142">
        <v>46261</v>
      </c>
      <c r="D3982" s="57" t="s">
        <v>968</v>
      </c>
      <c r="E3982" s="57" t="s">
        <v>146</v>
      </c>
      <c r="F3982" s="57" t="s">
        <v>300</v>
      </c>
      <c r="G3982" s="57" t="s">
        <v>530</v>
      </c>
      <c r="H3982" s="140" t="s">
        <v>4105</v>
      </c>
      <c r="I3982" s="57"/>
      <c r="J3982" s="165">
        <f t="shared" si="368"/>
        <v>18.867924528301888</v>
      </c>
      <c r="K3982" s="57">
        <v>106</v>
      </c>
      <c r="L3982" s="164">
        <v>2000</v>
      </c>
    </row>
    <row r="3983" spans="2:12" x14ac:dyDescent="0.3">
      <c r="B3983" s="57">
        <f t="shared" si="367"/>
        <v>3980</v>
      </c>
      <c r="C3983" s="142">
        <v>46261</v>
      </c>
      <c r="D3983" s="57" t="s">
        <v>968</v>
      </c>
      <c r="E3983" s="57" t="s">
        <v>146</v>
      </c>
      <c r="F3983" s="57" t="s">
        <v>300</v>
      </c>
      <c r="G3983" s="57" t="s">
        <v>530</v>
      </c>
      <c r="H3983" s="140" t="s">
        <v>894</v>
      </c>
      <c r="I3983" s="57"/>
      <c r="J3983" s="165">
        <f t="shared" si="368"/>
        <v>18.867924528301888</v>
      </c>
      <c r="K3983" s="57">
        <v>106</v>
      </c>
      <c r="L3983" s="164">
        <v>2000</v>
      </c>
    </row>
    <row r="3984" spans="2:12" x14ac:dyDescent="0.3">
      <c r="B3984" s="57">
        <f t="shared" si="367"/>
        <v>3981</v>
      </c>
      <c r="C3984" s="142">
        <v>46261</v>
      </c>
      <c r="D3984" s="57" t="s">
        <v>968</v>
      </c>
      <c r="E3984" s="57" t="s">
        <v>146</v>
      </c>
      <c r="F3984" s="57" t="s">
        <v>300</v>
      </c>
      <c r="G3984" s="57" t="s">
        <v>530</v>
      </c>
      <c r="H3984" s="140" t="s">
        <v>3769</v>
      </c>
      <c r="I3984" s="57"/>
      <c r="J3984" s="165">
        <f t="shared" si="368"/>
        <v>18.867924528301888</v>
      </c>
      <c r="K3984" s="57">
        <v>106</v>
      </c>
      <c r="L3984" s="164">
        <v>2000</v>
      </c>
    </row>
    <row r="3985" spans="2:12" x14ac:dyDescent="0.3">
      <c r="B3985" s="57">
        <f t="shared" si="367"/>
        <v>3982</v>
      </c>
      <c r="C3985" s="142">
        <v>46261</v>
      </c>
      <c r="D3985" s="57" t="s">
        <v>968</v>
      </c>
      <c r="E3985" s="57" t="s">
        <v>146</v>
      </c>
      <c r="F3985" s="57" t="s">
        <v>300</v>
      </c>
      <c r="G3985" s="57" t="s">
        <v>530</v>
      </c>
      <c r="H3985" s="140" t="s">
        <v>4037</v>
      </c>
      <c r="I3985" s="57"/>
      <c r="J3985" s="165">
        <f t="shared" si="368"/>
        <v>18.867924528301888</v>
      </c>
      <c r="K3985" s="57">
        <v>106</v>
      </c>
      <c r="L3985" s="164">
        <v>2000</v>
      </c>
    </row>
    <row r="3986" spans="2:12" x14ac:dyDescent="0.3">
      <c r="B3986" s="57">
        <f t="shared" si="367"/>
        <v>3983</v>
      </c>
      <c r="C3986" s="142">
        <v>46261</v>
      </c>
      <c r="D3986" s="57" t="s">
        <v>968</v>
      </c>
      <c r="E3986" s="57" t="s">
        <v>146</v>
      </c>
      <c r="F3986" s="57" t="s">
        <v>300</v>
      </c>
      <c r="G3986" s="57" t="s">
        <v>530</v>
      </c>
      <c r="H3986" s="140" t="s">
        <v>4093</v>
      </c>
      <c r="I3986" s="57"/>
      <c r="J3986" s="165">
        <f t="shared" si="368"/>
        <v>44.254716981132077</v>
      </c>
      <c r="K3986" s="57">
        <v>106</v>
      </c>
      <c r="L3986" s="164">
        <v>4691</v>
      </c>
    </row>
    <row r="3987" spans="2:12" x14ac:dyDescent="0.3">
      <c r="B3987" s="57">
        <f t="shared" si="367"/>
        <v>3984</v>
      </c>
      <c r="C3987" s="142">
        <v>46261</v>
      </c>
      <c r="D3987" s="57" t="s">
        <v>968</v>
      </c>
      <c r="E3987" s="57" t="s">
        <v>146</v>
      </c>
      <c r="F3987" s="57" t="s">
        <v>300</v>
      </c>
      <c r="G3987" s="57" t="s">
        <v>530</v>
      </c>
      <c r="H3987" s="140" t="s">
        <v>4088</v>
      </c>
      <c r="I3987" s="57"/>
      <c r="J3987" s="165">
        <f t="shared" si="368"/>
        <v>18.867924528301888</v>
      </c>
      <c r="K3987" s="57">
        <v>106</v>
      </c>
      <c r="L3987" s="164">
        <v>2000</v>
      </c>
    </row>
    <row r="3988" spans="2:12" x14ac:dyDescent="0.3">
      <c r="B3988" s="57">
        <f t="shared" si="367"/>
        <v>3985</v>
      </c>
      <c r="C3988" s="142">
        <v>46261</v>
      </c>
      <c r="D3988" s="57" t="s">
        <v>968</v>
      </c>
      <c r="E3988" s="57" t="s">
        <v>2427</v>
      </c>
      <c r="F3988" s="57" t="s">
        <v>300</v>
      </c>
      <c r="G3988" s="57" t="s">
        <v>530</v>
      </c>
      <c r="H3988" s="140" t="s">
        <v>4038</v>
      </c>
      <c r="I3988" s="57" t="s">
        <v>2911</v>
      </c>
      <c r="J3988" s="57">
        <v>526</v>
      </c>
      <c r="K3988" s="57">
        <v>53.5</v>
      </c>
      <c r="L3988" s="164">
        <f t="shared" si="366"/>
        <v>28141</v>
      </c>
    </row>
    <row r="3989" spans="2:12" x14ac:dyDescent="0.3">
      <c r="B3989" s="57">
        <f t="shared" si="367"/>
        <v>3986</v>
      </c>
      <c r="C3989" s="142">
        <v>46261</v>
      </c>
      <c r="D3989" s="57" t="s">
        <v>968</v>
      </c>
      <c r="E3989" s="57" t="s">
        <v>2427</v>
      </c>
      <c r="F3989" s="57" t="s">
        <v>300</v>
      </c>
      <c r="G3989" s="57" t="s">
        <v>530</v>
      </c>
      <c r="H3989" s="140" t="s">
        <v>4039</v>
      </c>
      <c r="I3989" s="57" t="s">
        <v>2914</v>
      </c>
      <c r="J3989" s="165">
        <v>1469</v>
      </c>
      <c r="K3989" s="57">
        <v>56</v>
      </c>
      <c r="L3989" s="164">
        <f t="shared" si="366"/>
        <v>82264</v>
      </c>
    </row>
    <row r="3990" spans="2:12" x14ac:dyDescent="0.3">
      <c r="B3990" s="57">
        <f t="shared" si="367"/>
        <v>3987</v>
      </c>
      <c r="C3990" s="142">
        <v>46261</v>
      </c>
      <c r="D3990" s="57" t="s">
        <v>968</v>
      </c>
      <c r="E3990" s="57" t="s">
        <v>4128</v>
      </c>
      <c r="F3990" s="57" t="s">
        <v>300</v>
      </c>
      <c r="G3990" s="57" t="s">
        <v>530</v>
      </c>
      <c r="H3990" s="140" t="s">
        <v>3531</v>
      </c>
      <c r="I3990" s="57"/>
      <c r="J3990" s="57"/>
      <c r="L3990" s="164">
        <v>1300</v>
      </c>
    </row>
    <row r="3991" spans="2:12" x14ac:dyDescent="0.3">
      <c r="B3991" s="57">
        <f t="shared" si="367"/>
        <v>3988</v>
      </c>
      <c r="C3991" s="142">
        <v>46261</v>
      </c>
      <c r="D3991" s="57" t="s">
        <v>968</v>
      </c>
      <c r="E3991" s="57" t="s">
        <v>2027</v>
      </c>
      <c r="F3991" s="57" t="s">
        <v>300</v>
      </c>
      <c r="G3991" s="57" t="s">
        <v>530</v>
      </c>
      <c r="H3991" s="140" t="s">
        <v>4040</v>
      </c>
      <c r="I3991" s="57"/>
      <c r="J3991" s="57"/>
      <c r="L3991" s="164">
        <v>3200</v>
      </c>
    </row>
    <row r="3992" spans="2:12" x14ac:dyDescent="0.3">
      <c r="B3992" s="57">
        <f t="shared" si="367"/>
        <v>3989</v>
      </c>
      <c r="C3992" s="142">
        <v>46261</v>
      </c>
      <c r="D3992" s="57" t="s">
        <v>968</v>
      </c>
      <c r="E3992" s="57" t="s">
        <v>146</v>
      </c>
      <c r="F3992" s="57" t="s">
        <v>300</v>
      </c>
      <c r="G3992" s="57" t="s">
        <v>438</v>
      </c>
      <c r="H3992" s="140" t="s">
        <v>4110</v>
      </c>
      <c r="I3992" s="57"/>
      <c r="J3992" s="165">
        <f>L3992/K3992</f>
        <v>18.867924528301888</v>
      </c>
      <c r="K3992" s="57">
        <v>106</v>
      </c>
      <c r="L3992" s="164">
        <v>2000</v>
      </c>
    </row>
    <row r="3993" spans="2:12" x14ac:dyDescent="0.3">
      <c r="B3993" s="57">
        <f t="shared" si="367"/>
        <v>3990</v>
      </c>
      <c r="C3993" s="142">
        <v>46261</v>
      </c>
      <c r="D3993" s="57" t="s">
        <v>968</v>
      </c>
      <c r="E3993" s="57" t="s">
        <v>434</v>
      </c>
      <c r="F3993" s="57" t="s">
        <v>446</v>
      </c>
      <c r="G3993" s="57" t="s">
        <v>990</v>
      </c>
      <c r="H3993" s="140" t="s">
        <v>4041</v>
      </c>
      <c r="I3993" s="57"/>
      <c r="J3993" s="57"/>
      <c r="L3993" s="164">
        <v>940</v>
      </c>
    </row>
    <row r="3994" spans="2:12" x14ac:dyDescent="0.3">
      <c r="B3994" s="57">
        <f t="shared" si="367"/>
        <v>3991</v>
      </c>
      <c r="C3994" s="142">
        <v>46261</v>
      </c>
      <c r="D3994" s="57" t="s">
        <v>968</v>
      </c>
      <c r="E3994" s="57" t="s">
        <v>434</v>
      </c>
      <c r="F3994" s="57" t="s">
        <v>300</v>
      </c>
      <c r="G3994" s="57" t="s">
        <v>530</v>
      </c>
      <c r="H3994" s="182" t="s">
        <v>4042</v>
      </c>
      <c r="I3994" s="57"/>
      <c r="J3994" s="57"/>
      <c r="L3994" s="164">
        <v>15000</v>
      </c>
    </row>
    <row r="3995" spans="2:12" x14ac:dyDescent="0.3">
      <c r="B3995" s="57">
        <f t="shared" si="367"/>
        <v>3992</v>
      </c>
      <c r="C3995" s="142">
        <v>46261</v>
      </c>
      <c r="D3995" s="57" t="s">
        <v>968</v>
      </c>
      <c r="E3995" s="57" t="s">
        <v>146</v>
      </c>
      <c r="F3995" s="57" t="s">
        <v>446</v>
      </c>
      <c r="H3995" s="140" t="s">
        <v>4043</v>
      </c>
      <c r="I3995" s="57"/>
      <c r="J3995" s="165">
        <f>L3995/K3995</f>
        <v>18.867924528301888</v>
      </c>
      <c r="K3995" s="57">
        <v>106</v>
      </c>
      <c r="L3995" s="164">
        <v>2000</v>
      </c>
    </row>
    <row r="3996" spans="2:12" x14ac:dyDescent="0.3">
      <c r="B3996" s="57">
        <f t="shared" si="367"/>
        <v>3993</v>
      </c>
      <c r="C3996" s="142">
        <v>46261</v>
      </c>
      <c r="D3996" s="57" t="s">
        <v>968</v>
      </c>
      <c r="E3996" s="57" t="s">
        <v>434</v>
      </c>
      <c r="F3996" s="57" t="s">
        <v>546</v>
      </c>
      <c r="G3996" s="57" t="s">
        <v>545</v>
      </c>
      <c r="H3996" s="140" t="s">
        <v>4044</v>
      </c>
      <c r="I3996" s="57"/>
      <c r="J3996" s="57"/>
      <c r="L3996" s="164">
        <v>600</v>
      </c>
    </row>
    <row r="3997" spans="2:12" x14ac:dyDescent="0.3">
      <c r="B3997" s="57">
        <f t="shared" si="367"/>
        <v>3994</v>
      </c>
      <c r="C3997" s="142">
        <v>46261</v>
      </c>
      <c r="D3997" s="57" t="s">
        <v>968</v>
      </c>
      <c r="E3997" s="57" t="s">
        <v>908</v>
      </c>
      <c r="F3997" s="57" t="s">
        <v>300</v>
      </c>
      <c r="G3997" s="57" t="s">
        <v>530</v>
      </c>
      <c r="H3997" s="140" t="s">
        <v>4045</v>
      </c>
      <c r="I3997" s="57" t="s">
        <v>908</v>
      </c>
      <c r="J3997" s="57">
        <v>34.1</v>
      </c>
      <c r="K3997" s="57">
        <v>1346</v>
      </c>
      <c r="L3997" s="164">
        <f t="shared" si="366"/>
        <v>45898.6</v>
      </c>
    </row>
    <row r="3998" spans="2:12" x14ac:dyDescent="0.3">
      <c r="B3998" s="57">
        <f t="shared" si="367"/>
        <v>3995</v>
      </c>
      <c r="C3998" s="142">
        <v>46261</v>
      </c>
      <c r="D3998" s="57" t="s">
        <v>968</v>
      </c>
      <c r="E3998" s="57" t="s">
        <v>434</v>
      </c>
      <c r="F3998" s="57" t="s">
        <v>300</v>
      </c>
      <c r="G3998" s="57" t="s">
        <v>626</v>
      </c>
      <c r="H3998" s="140" t="s">
        <v>4046</v>
      </c>
      <c r="I3998" s="57"/>
      <c r="J3998" s="57"/>
      <c r="L3998" s="164">
        <v>400</v>
      </c>
    </row>
    <row r="3999" spans="2:12" x14ac:dyDescent="0.3">
      <c r="B3999" s="57">
        <f t="shared" si="367"/>
        <v>3996</v>
      </c>
      <c r="C3999" s="142">
        <v>46261</v>
      </c>
      <c r="D3999" s="57" t="s">
        <v>968</v>
      </c>
      <c r="E3999" s="57" t="s">
        <v>146</v>
      </c>
      <c r="F3999" s="57" t="s">
        <v>300</v>
      </c>
      <c r="G3999" s="57" t="s">
        <v>303</v>
      </c>
      <c r="H3999" s="140" t="s">
        <v>4116</v>
      </c>
      <c r="I3999" s="57"/>
      <c r="J3999" s="165">
        <f>L3999/K3999</f>
        <v>18.867924528301888</v>
      </c>
      <c r="K3999" s="57">
        <v>106</v>
      </c>
      <c r="L3999" s="164">
        <v>2000</v>
      </c>
    </row>
    <row r="4000" spans="2:12" x14ac:dyDescent="0.3">
      <c r="B4000" s="57">
        <f t="shared" si="367"/>
        <v>3997</v>
      </c>
      <c r="C4000" s="142">
        <v>46261</v>
      </c>
      <c r="D4000" s="57" t="s">
        <v>968</v>
      </c>
      <c r="E4000" s="57" t="s">
        <v>574</v>
      </c>
      <c r="F4000" s="57" t="s">
        <v>436</v>
      </c>
      <c r="G4000" s="57" t="s">
        <v>987</v>
      </c>
      <c r="H4000" s="140" t="s">
        <v>4047</v>
      </c>
      <c r="I4000" s="140" t="s">
        <v>4081</v>
      </c>
      <c r="J4000" s="57">
        <v>3.73</v>
      </c>
      <c r="K4000" s="168">
        <f>L4000/J4000</f>
        <v>420.91152815013407</v>
      </c>
      <c r="L4000" s="164">
        <v>1570</v>
      </c>
    </row>
    <row r="4001" spans="2:12" x14ac:dyDescent="0.3">
      <c r="B4001" s="57">
        <f t="shared" si="367"/>
        <v>3998</v>
      </c>
      <c r="C4001" s="142">
        <v>46261</v>
      </c>
      <c r="D4001" s="57" t="s">
        <v>968</v>
      </c>
      <c r="E4001" s="57" t="s">
        <v>3145</v>
      </c>
      <c r="F4001" s="57" t="s">
        <v>446</v>
      </c>
      <c r="G4001" s="57" t="s">
        <v>316</v>
      </c>
      <c r="H4001" s="140" t="s">
        <v>4048</v>
      </c>
      <c r="I4001" s="57"/>
      <c r="J4001" s="57"/>
      <c r="L4001" s="164">
        <v>894</v>
      </c>
    </row>
    <row r="4002" spans="2:12" x14ac:dyDescent="0.3">
      <c r="B4002" s="57">
        <f t="shared" si="367"/>
        <v>3999</v>
      </c>
      <c r="C4002" s="142">
        <v>46261</v>
      </c>
      <c r="D4002" s="57" t="s">
        <v>968</v>
      </c>
      <c r="E4002" s="57" t="s">
        <v>146</v>
      </c>
      <c r="F4002" s="57" t="s">
        <v>300</v>
      </c>
      <c r="G4002" s="57" t="s">
        <v>993</v>
      </c>
      <c r="H4002" s="140" t="s">
        <v>4109</v>
      </c>
      <c r="I4002" s="57"/>
      <c r="J4002" s="165">
        <f>L4002/K4002</f>
        <v>18.867924528301888</v>
      </c>
      <c r="K4002" s="57">
        <v>106</v>
      </c>
      <c r="L4002" s="164">
        <v>2000</v>
      </c>
    </row>
    <row r="4003" spans="2:12" x14ac:dyDescent="0.3">
      <c r="B4003" s="57">
        <f t="shared" si="367"/>
        <v>4000</v>
      </c>
      <c r="C4003" s="142">
        <v>46261</v>
      </c>
      <c r="D4003" s="57" t="s">
        <v>968</v>
      </c>
      <c r="E4003" s="57" t="s">
        <v>481</v>
      </c>
      <c r="F4003" s="57" t="s">
        <v>546</v>
      </c>
      <c r="G4003" s="57" t="s">
        <v>545</v>
      </c>
      <c r="H4003" s="140" t="s">
        <v>4049</v>
      </c>
      <c r="I4003" s="57" t="s">
        <v>481</v>
      </c>
      <c r="J4003" s="57">
        <v>6</v>
      </c>
      <c r="K4003" s="57">
        <v>50</v>
      </c>
      <c r="L4003" s="164">
        <f t="shared" si="366"/>
        <v>300</v>
      </c>
    </row>
    <row r="4004" spans="2:12" x14ac:dyDescent="0.3">
      <c r="B4004" s="57">
        <f t="shared" si="367"/>
        <v>4001</v>
      </c>
      <c r="C4004" s="142">
        <v>46261</v>
      </c>
      <c r="D4004" s="57" t="s">
        <v>435</v>
      </c>
      <c r="E4004" s="57" t="s">
        <v>908</v>
      </c>
      <c r="F4004" s="57" t="s">
        <v>502</v>
      </c>
      <c r="G4004" s="57" t="s">
        <v>2344</v>
      </c>
      <c r="H4004" s="140" t="s">
        <v>4050</v>
      </c>
      <c r="I4004" s="57" t="s">
        <v>908</v>
      </c>
      <c r="J4004" s="57">
        <v>34.700000000000003</v>
      </c>
      <c r="K4004" s="57">
        <v>1800</v>
      </c>
      <c r="L4004" s="164">
        <f t="shared" si="366"/>
        <v>62460.000000000007</v>
      </c>
    </row>
    <row r="4005" spans="2:12" x14ac:dyDescent="0.3">
      <c r="B4005" s="57">
        <f t="shared" si="367"/>
        <v>4002</v>
      </c>
      <c r="C4005" s="142">
        <v>46261</v>
      </c>
      <c r="D4005" s="57" t="s">
        <v>968</v>
      </c>
      <c r="E4005" s="57" t="s">
        <v>146</v>
      </c>
      <c r="F4005" s="57" t="s">
        <v>621</v>
      </c>
      <c r="G4005" s="57" t="s">
        <v>345</v>
      </c>
      <c r="H4005" s="140" t="s">
        <v>2805</v>
      </c>
      <c r="I4005" s="57"/>
      <c r="J4005" s="165">
        <f>L4005/K4005</f>
        <v>37.735849056603776</v>
      </c>
      <c r="K4005" s="57">
        <v>106</v>
      </c>
      <c r="L4005" s="164">
        <v>4000</v>
      </c>
    </row>
    <row r="4006" spans="2:12" x14ac:dyDescent="0.3">
      <c r="B4006" s="57">
        <f t="shared" si="367"/>
        <v>4003</v>
      </c>
      <c r="C4006" s="142">
        <v>46261</v>
      </c>
      <c r="D4006" s="57" t="s">
        <v>968</v>
      </c>
      <c r="E4006" s="57" t="s">
        <v>767</v>
      </c>
      <c r="F4006" s="57" t="s">
        <v>446</v>
      </c>
      <c r="G4006" s="57" t="s">
        <v>649</v>
      </c>
      <c r="H4006" s="140" t="s">
        <v>4051</v>
      </c>
      <c r="I4006" s="57"/>
      <c r="J4006" s="57"/>
      <c r="L4006" s="164">
        <v>19200</v>
      </c>
    </row>
    <row r="4007" spans="2:12" x14ac:dyDescent="0.3">
      <c r="B4007" s="57">
        <f t="shared" si="367"/>
        <v>4004</v>
      </c>
      <c r="C4007" s="142">
        <v>46261</v>
      </c>
      <c r="D4007" s="57" t="s">
        <v>968</v>
      </c>
      <c r="E4007" s="57" t="s">
        <v>767</v>
      </c>
      <c r="F4007" s="57" t="s">
        <v>350</v>
      </c>
      <c r="G4007" s="57" t="s">
        <v>675</v>
      </c>
      <c r="H4007" s="140" t="s">
        <v>4052</v>
      </c>
      <c r="I4007" s="57"/>
      <c r="J4007" s="57"/>
      <c r="L4007" s="164">
        <v>1150</v>
      </c>
    </row>
    <row r="4008" spans="2:12" x14ac:dyDescent="0.3">
      <c r="B4008" s="57">
        <f t="shared" si="367"/>
        <v>4005</v>
      </c>
      <c r="C4008" s="142">
        <v>46262</v>
      </c>
      <c r="D4008" s="57" t="s">
        <v>968</v>
      </c>
      <c r="E4008" s="57" t="s">
        <v>532</v>
      </c>
      <c r="F4008" s="57" t="s">
        <v>546</v>
      </c>
      <c r="G4008" s="57" t="s">
        <v>545</v>
      </c>
      <c r="H4008" s="140" t="s">
        <v>4053</v>
      </c>
      <c r="I4008" s="57" t="s">
        <v>532</v>
      </c>
      <c r="J4008" s="57">
        <v>6</v>
      </c>
      <c r="K4008" s="57">
        <v>267</v>
      </c>
      <c r="L4008" s="164">
        <f t="shared" si="366"/>
        <v>1602</v>
      </c>
    </row>
    <row r="4009" spans="2:12" x14ac:dyDescent="0.3">
      <c r="B4009" s="57">
        <f t="shared" si="367"/>
        <v>4006</v>
      </c>
      <c r="C4009" s="142">
        <v>46262</v>
      </c>
      <c r="D4009" s="57" t="s">
        <v>435</v>
      </c>
      <c r="E4009" s="57" t="s">
        <v>2427</v>
      </c>
      <c r="F4009" s="57" t="s">
        <v>300</v>
      </c>
      <c r="G4009" s="57" t="s">
        <v>530</v>
      </c>
      <c r="H4009" s="140" t="s">
        <v>4038</v>
      </c>
      <c r="I4009" s="57" t="s">
        <v>2911</v>
      </c>
      <c r="J4009" s="57">
        <v>526</v>
      </c>
      <c r="K4009" s="57">
        <v>53.5</v>
      </c>
      <c r="L4009" s="164">
        <f t="shared" si="366"/>
        <v>28141</v>
      </c>
    </row>
    <row r="4010" spans="2:12" x14ac:dyDescent="0.3">
      <c r="B4010" s="57">
        <f t="shared" si="367"/>
        <v>4007</v>
      </c>
      <c r="C4010" s="142">
        <v>46262</v>
      </c>
      <c r="D4010" s="57" t="s">
        <v>435</v>
      </c>
      <c r="E4010" s="57" t="s">
        <v>2427</v>
      </c>
      <c r="F4010" s="57" t="s">
        <v>300</v>
      </c>
      <c r="G4010" s="57" t="s">
        <v>530</v>
      </c>
      <c r="H4010" s="140" t="s">
        <v>4039</v>
      </c>
      <c r="I4010" s="57" t="s">
        <v>2914</v>
      </c>
      <c r="J4010" s="165">
        <v>1469</v>
      </c>
      <c r="K4010" s="57">
        <v>56</v>
      </c>
      <c r="L4010" s="164">
        <f t="shared" si="366"/>
        <v>82264</v>
      </c>
    </row>
    <row r="4011" spans="2:12" x14ac:dyDescent="0.3">
      <c r="B4011" s="57">
        <f t="shared" si="367"/>
        <v>4008</v>
      </c>
      <c r="C4011" s="142">
        <v>46262</v>
      </c>
      <c r="D4011" s="57" t="s">
        <v>435</v>
      </c>
      <c r="E4011" s="57" t="s">
        <v>4128</v>
      </c>
      <c r="F4011" s="57" t="s">
        <v>300</v>
      </c>
      <c r="G4011" s="57" t="s">
        <v>530</v>
      </c>
      <c r="H4011" s="140" t="s">
        <v>3531</v>
      </c>
      <c r="I4011" s="57"/>
      <c r="J4011" s="57"/>
      <c r="L4011" s="164">
        <v>1300</v>
      </c>
    </row>
    <row r="4012" spans="2:12" x14ac:dyDescent="0.3">
      <c r="B4012" s="57">
        <f t="shared" si="367"/>
        <v>4009</v>
      </c>
      <c r="C4012" s="142">
        <v>46262</v>
      </c>
      <c r="D4012" s="57" t="s">
        <v>968</v>
      </c>
      <c r="E4012" s="57" t="s">
        <v>146</v>
      </c>
      <c r="F4012" s="57" t="s">
        <v>3808</v>
      </c>
      <c r="G4012" s="57" t="s">
        <v>3389</v>
      </c>
      <c r="H4012" s="140" t="s">
        <v>4094</v>
      </c>
      <c r="I4012" s="57" t="s">
        <v>146</v>
      </c>
      <c r="J4012" s="165">
        <f>L4012/K4012</f>
        <v>18.867924528301888</v>
      </c>
      <c r="K4012" s="57">
        <v>106</v>
      </c>
      <c r="L4012" s="164">
        <v>2000</v>
      </c>
    </row>
    <row r="4013" spans="2:12" x14ac:dyDescent="0.3">
      <c r="B4013" s="57">
        <f t="shared" si="367"/>
        <v>4010</v>
      </c>
      <c r="C4013" s="142">
        <v>46262</v>
      </c>
      <c r="D4013" s="57" t="s">
        <v>968</v>
      </c>
      <c r="E4013" s="57" t="s">
        <v>434</v>
      </c>
      <c r="F4013" s="57" t="s">
        <v>546</v>
      </c>
      <c r="G4013" s="57" t="s">
        <v>545</v>
      </c>
      <c r="H4013" s="140" t="s">
        <v>4054</v>
      </c>
      <c r="I4013" s="57"/>
      <c r="J4013" s="57"/>
      <c r="L4013" s="164">
        <v>5200</v>
      </c>
    </row>
    <row r="4014" spans="2:12" x14ac:dyDescent="0.3">
      <c r="B4014" s="57">
        <f t="shared" si="367"/>
        <v>4011</v>
      </c>
      <c r="C4014" s="142">
        <v>46262</v>
      </c>
      <c r="D4014" s="57" t="s">
        <v>968</v>
      </c>
      <c r="E4014" s="57" t="s">
        <v>4055</v>
      </c>
      <c r="F4014" s="57" t="s">
        <v>300</v>
      </c>
      <c r="H4014" s="140" t="s">
        <v>4056</v>
      </c>
      <c r="I4014" s="57"/>
      <c r="J4014" s="57"/>
      <c r="L4014" s="164">
        <v>1200</v>
      </c>
    </row>
    <row r="4015" spans="2:12" x14ac:dyDescent="0.3">
      <c r="B4015" s="57">
        <f t="shared" si="367"/>
        <v>4012</v>
      </c>
      <c r="C4015" s="142">
        <v>46262</v>
      </c>
      <c r="D4015" s="57" t="s">
        <v>968</v>
      </c>
      <c r="E4015" s="57" t="s">
        <v>4057</v>
      </c>
      <c r="F4015" s="57" t="s">
        <v>446</v>
      </c>
      <c r="G4015" s="57" t="s">
        <v>359</v>
      </c>
      <c r="H4015" s="140" t="s">
        <v>4058</v>
      </c>
      <c r="I4015" s="57"/>
      <c r="J4015" s="57"/>
      <c r="L4015" s="164">
        <v>15000</v>
      </c>
    </row>
    <row r="4016" spans="2:12" x14ac:dyDescent="0.3">
      <c r="B4016" s="57">
        <f t="shared" si="367"/>
        <v>4013</v>
      </c>
      <c r="C4016" s="142">
        <v>46262</v>
      </c>
      <c r="D4016" s="57" t="s">
        <v>968</v>
      </c>
      <c r="E4016" s="57" t="s">
        <v>958</v>
      </c>
      <c r="F4016" s="57" t="s">
        <v>3808</v>
      </c>
      <c r="G4016" s="57" t="s">
        <v>1004</v>
      </c>
      <c r="H4016" s="140" t="s">
        <v>4059</v>
      </c>
      <c r="I4016" s="57"/>
      <c r="J4016" s="57"/>
      <c r="L4016" s="164">
        <v>7000</v>
      </c>
    </row>
    <row r="4017" spans="2:13" x14ac:dyDescent="0.3">
      <c r="B4017" s="57">
        <f t="shared" si="367"/>
        <v>4014</v>
      </c>
      <c r="C4017" s="142">
        <v>46262</v>
      </c>
      <c r="D4017" s="57" t="s">
        <v>968</v>
      </c>
      <c r="E4017" s="57" t="s">
        <v>532</v>
      </c>
      <c r="F4017" s="57" t="s">
        <v>300</v>
      </c>
      <c r="G4017" s="57" t="s">
        <v>626</v>
      </c>
      <c r="H4017" s="140" t="s">
        <v>4060</v>
      </c>
      <c r="I4017" s="57" t="s">
        <v>532</v>
      </c>
      <c r="J4017" s="57">
        <v>10</v>
      </c>
      <c r="K4017" s="57">
        <v>265</v>
      </c>
      <c r="L4017" s="164">
        <f t="shared" si="366"/>
        <v>2650</v>
      </c>
    </row>
    <row r="4018" spans="2:13" x14ac:dyDescent="0.3">
      <c r="B4018" s="57">
        <f t="shared" si="367"/>
        <v>4015</v>
      </c>
      <c r="C4018" s="142">
        <v>46262</v>
      </c>
      <c r="D4018" s="57" t="s">
        <v>968</v>
      </c>
      <c r="E4018" s="57" t="s">
        <v>146</v>
      </c>
      <c r="F4018" s="57" t="s">
        <v>446</v>
      </c>
      <c r="G4018" s="57" t="s">
        <v>990</v>
      </c>
      <c r="H4018" s="140" t="s">
        <v>3990</v>
      </c>
      <c r="I4018" s="57"/>
      <c r="J4018" s="165">
        <f>L4018/K4018</f>
        <v>14.150943396226415</v>
      </c>
      <c r="K4018" s="57">
        <v>106</v>
      </c>
      <c r="L4018" s="164">
        <v>1500</v>
      </c>
    </row>
    <row r="4019" spans="2:13" x14ac:dyDescent="0.3">
      <c r="B4019" s="57">
        <f t="shared" si="367"/>
        <v>4016</v>
      </c>
      <c r="C4019" s="142">
        <v>46262</v>
      </c>
      <c r="D4019" s="57" t="s">
        <v>968</v>
      </c>
      <c r="E4019" s="57" t="s">
        <v>4061</v>
      </c>
      <c r="F4019" s="57" t="s">
        <v>300</v>
      </c>
      <c r="G4019" s="57" t="s">
        <v>300</v>
      </c>
      <c r="H4019" s="140" t="s">
        <v>4062</v>
      </c>
      <c r="I4019" s="57"/>
      <c r="J4019" s="57"/>
      <c r="L4019" s="164">
        <v>2000</v>
      </c>
    </row>
    <row r="4020" spans="2:13" x14ac:dyDescent="0.3">
      <c r="B4020" s="57">
        <f t="shared" si="367"/>
        <v>4017</v>
      </c>
      <c r="C4020" s="142">
        <v>46262</v>
      </c>
      <c r="D4020" s="57" t="s">
        <v>968</v>
      </c>
      <c r="E4020" s="57" t="s">
        <v>767</v>
      </c>
      <c r="F4020" s="57" t="s">
        <v>300</v>
      </c>
      <c r="G4020" s="57" t="s">
        <v>2509</v>
      </c>
      <c r="H4020" s="140" t="s">
        <v>4063</v>
      </c>
      <c r="I4020" s="57"/>
      <c r="J4020" s="57"/>
      <c r="L4020" s="164">
        <v>1750</v>
      </c>
    </row>
    <row r="4021" spans="2:13" x14ac:dyDescent="0.3">
      <c r="B4021" s="57">
        <f t="shared" si="367"/>
        <v>4018</v>
      </c>
      <c r="C4021" s="142">
        <v>46262</v>
      </c>
      <c r="D4021" s="57" t="s">
        <v>968</v>
      </c>
      <c r="E4021" s="57" t="s">
        <v>146</v>
      </c>
      <c r="F4021" s="57" t="s">
        <v>446</v>
      </c>
      <c r="G4021" s="57" t="s">
        <v>649</v>
      </c>
      <c r="H4021" s="140" t="s">
        <v>4064</v>
      </c>
      <c r="I4021" s="57"/>
      <c r="J4021" s="165">
        <f>L4021/K4021</f>
        <v>18.867924528301888</v>
      </c>
      <c r="K4021" s="57">
        <v>106</v>
      </c>
      <c r="L4021" s="164">
        <v>2000</v>
      </c>
    </row>
    <row r="4022" spans="2:13" x14ac:dyDescent="0.3">
      <c r="B4022" s="57">
        <f t="shared" si="367"/>
        <v>4019</v>
      </c>
      <c r="C4022" s="142">
        <v>46262</v>
      </c>
      <c r="D4022" s="57" t="s">
        <v>968</v>
      </c>
      <c r="E4022" s="57" t="s">
        <v>4008</v>
      </c>
      <c r="F4022" s="57" t="s">
        <v>446</v>
      </c>
      <c r="G4022" s="57" t="s">
        <v>990</v>
      </c>
      <c r="H4022" s="140" t="s">
        <v>4065</v>
      </c>
      <c r="I4022" s="57"/>
      <c r="J4022" s="57"/>
      <c r="L4022" s="164">
        <v>20000</v>
      </c>
    </row>
    <row r="4023" spans="2:13" x14ac:dyDescent="0.3">
      <c r="B4023" s="57">
        <f t="shared" si="367"/>
        <v>4020</v>
      </c>
      <c r="C4023" s="142">
        <v>46262</v>
      </c>
      <c r="D4023" s="57" t="s">
        <v>968</v>
      </c>
      <c r="E4023" s="57" t="s">
        <v>767</v>
      </c>
      <c r="F4023" s="57" t="s">
        <v>300</v>
      </c>
      <c r="G4023" s="57" t="s">
        <v>2653</v>
      </c>
      <c r="H4023" s="140" t="s">
        <v>4066</v>
      </c>
      <c r="I4023" s="57"/>
      <c r="J4023" s="57"/>
      <c r="L4023" s="164">
        <v>750</v>
      </c>
    </row>
    <row r="4024" spans="2:13" x14ac:dyDescent="0.3">
      <c r="B4024" s="57">
        <f t="shared" si="367"/>
        <v>4021</v>
      </c>
      <c r="C4024" s="142">
        <v>46262</v>
      </c>
      <c r="D4024" s="57" t="s">
        <v>968</v>
      </c>
      <c r="E4024" s="57" t="s">
        <v>767</v>
      </c>
      <c r="F4024" s="57" t="s">
        <v>300</v>
      </c>
      <c r="G4024" s="57" t="s">
        <v>2653</v>
      </c>
      <c r="H4024" s="140" t="s">
        <v>4066</v>
      </c>
      <c r="I4024" s="57"/>
      <c r="J4024" s="57"/>
      <c r="L4024" s="164">
        <v>750</v>
      </c>
    </row>
    <row r="4025" spans="2:13" x14ac:dyDescent="0.3">
      <c r="B4025" s="57">
        <f t="shared" si="367"/>
        <v>4022</v>
      </c>
      <c r="C4025" s="142">
        <v>46262</v>
      </c>
      <c r="D4025" s="57" t="s">
        <v>968</v>
      </c>
      <c r="E4025" s="57" t="s">
        <v>397</v>
      </c>
      <c r="F4025" s="57" t="s">
        <v>446</v>
      </c>
      <c r="G4025" s="57" t="s">
        <v>316</v>
      </c>
      <c r="H4025" s="140" t="s">
        <v>4067</v>
      </c>
      <c r="I4025" s="57"/>
      <c r="J4025" s="57"/>
      <c r="L4025" s="164">
        <v>600</v>
      </c>
    </row>
    <row r="4026" spans="2:13" x14ac:dyDescent="0.3">
      <c r="B4026" s="57">
        <f t="shared" si="367"/>
        <v>4023</v>
      </c>
      <c r="C4026" s="142">
        <v>46262</v>
      </c>
      <c r="D4026" s="57" t="s">
        <v>968</v>
      </c>
      <c r="E4026" s="57" t="s">
        <v>3145</v>
      </c>
      <c r="F4026" s="57" t="s">
        <v>446</v>
      </c>
      <c r="G4026" s="57" t="s">
        <v>316</v>
      </c>
      <c r="H4026" s="140" t="s">
        <v>4068</v>
      </c>
      <c r="I4026" s="57"/>
      <c r="J4026" s="57"/>
      <c r="L4026" s="164">
        <v>340</v>
      </c>
    </row>
    <row r="4027" spans="2:13" x14ac:dyDescent="0.3">
      <c r="B4027" s="57">
        <f t="shared" si="367"/>
        <v>4024</v>
      </c>
      <c r="C4027" s="142">
        <v>46262</v>
      </c>
      <c r="D4027" s="57" t="s">
        <v>968</v>
      </c>
      <c r="E4027" s="57" t="s">
        <v>146</v>
      </c>
      <c r="F4027" s="57" t="s">
        <v>446</v>
      </c>
      <c r="G4027" s="57" t="s">
        <v>990</v>
      </c>
      <c r="H4027" s="140" t="s">
        <v>4102</v>
      </c>
      <c r="I4027" s="57" t="s">
        <v>146</v>
      </c>
      <c r="J4027" s="165">
        <f>L4027/K4027</f>
        <v>18.867924528301888</v>
      </c>
      <c r="K4027" s="57">
        <v>106</v>
      </c>
      <c r="L4027" s="164">
        <v>2000</v>
      </c>
    </row>
    <row r="4028" spans="2:13" x14ac:dyDescent="0.3">
      <c r="B4028" s="57">
        <f t="shared" si="367"/>
        <v>4025</v>
      </c>
      <c r="C4028" s="142">
        <v>46262</v>
      </c>
      <c r="D4028" s="57" t="s">
        <v>968</v>
      </c>
      <c r="E4028" s="57" t="s">
        <v>767</v>
      </c>
      <c r="F4028" s="57" t="s">
        <v>621</v>
      </c>
      <c r="G4028" s="57" t="s">
        <v>345</v>
      </c>
      <c r="H4028" s="140" t="s">
        <v>4069</v>
      </c>
      <c r="I4028" s="57"/>
      <c r="J4028" s="57"/>
      <c r="L4028" s="164">
        <v>1400</v>
      </c>
    </row>
    <row r="4029" spans="2:13" x14ac:dyDescent="0.3">
      <c r="B4029" s="57">
        <f t="shared" si="367"/>
        <v>4026</v>
      </c>
      <c r="C4029" s="142">
        <v>46262</v>
      </c>
      <c r="D4029" s="57" t="s">
        <v>968</v>
      </c>
      <c r="E4029" s="57" t="s">
        <v>767</v>
      </c>
      <c r="F4029" s="57" t="s">
        <v>546</v>
      </c>
      <c r="G4029" s="57" t="s">
        <v>545</v>
      </c>
      <c r="H4029" s="140" t="s">
        <v>4070</v>
      </c>
      <c r="I4029" s="57"/>
      <c r="J4029" s="57">
        <v>5</v>
      </c>
      <c r="K4029" s="57">
        <v>250</v>
      </c>
      <c r="L4029" s="164">
        <f t="shared" si="366"/>
        <v>1250</v>
      </c>
      <c r="M4029" s="57" t="s">
        <v>4071</v>
      </c>
    </row>
    <row r="4030" spans="2:13" x14ac:dyDescent="0.3">
      <c r="B4030" s="57">
        <f t="shared" si="367"/>
        <v>4027</v>
      </c>
      <c r="C4030" s="142">
        <v>46262</v>
      </c>
      <c r="D4030" s="57" t="s">
        <v>968</v>
      </c>
      <c r="E4030" s="57" t="s">
        <v>4128</v>
      </c>
      <c r="F4030" s="57" t="s">
        <v>546</v>
      </c>
      <c r="G4030" s="57" t="s">
        <v>545</v>
      </c>
      <c r="H4030" s="140" t="s">
        <v>4072</v>
      </c>
      <c r="I4030" s="57"/>
      <c r="J4030" s="57"/>
      <c r="L4030" s="164">
        <v>2000</v>
      </c>
    </row>
    <row r="4031" spans="2:13" x14ac:dyDescent="0.3">
      <c r="B4031" s="57">
        <f t="shared" si="367"/>
        <v>4028</v>
      </c>
      <c r="C4031" s="142">
        <v>46262</v>
      </c>
      <c r="D4031" s="57" t="s">
        <v>968</v>
      </c>
      <c r="E4031" s="57" t="s">
        <v>4073</v>
      </c>
      <c r="F4031" s="57" t="s">
        <v>546</v>
      </c>
      <c r="G4031" s="57" t="s">
        <v>545</v>
      </c>
      <c r="H4031" s="140" t="s">
        <v>4074</v>
      </c>
      <c r="I4031" s="57"/>
      <c r="J4031" s="57"/>
      <c r="L4031" s="164">
        <v>100</v>
      </c>
    </row>
    <row r="4032" spans="2:13" x14ac:dyDescent="0.3">
      <c r="B4032" s="57">
        <f t="shared" si="367"/>
        <v>4029</v>
      </c>
      <c r="C4032" s="142">
        <v>46262</v>
      </c>
      <c r="D4032" s="57" t="s">
        <v>968</v>
      </c>
      <c r="E4032" s="57" t="s">
        <v>892</v>
      </c>
      <c r="F4032" s="57" t="s">
        <v>300</v>
      </c>
      <c r="G4032" s="57" t="s">
        <v>313</v>
      </c>
      <c r="H4032" s="140" t="s">
        <v>4075</v>
      </c>
      <c r="I4032" s="57"/>
      <c r="J4032" s="57"/>
      <c r="L4032" s="164">
        <v>15300</v>
      </c>
    </row>
    <row r="4033" spans="2:12" x14ac:dyDescent="0.3">
      <c r="B4033" s="57">
        <f t="shared" si="367"/>
        <v>4030</v>
      </c>
      <c r="C4033" s="142">
        <v>46262</v>
      </c>
      <c r="D4033" s="57" t="s">
        <v>968</v>
      </c>
      <c r="E4033" s="57" t="s">
        <v>958</v>
      </c>
      <c r="F4033" s="57" t="s">
        <v>446</v>
      </c>
      <c r="G4033" s="57" t="s">
        <v>649</v>
      </c>
      <c r="H4033" s="140" t="s">
        <v>4076</v>
      </c>
      <c r="I4033" s="57"/>
      <c r="J4033" s="57"/>
      <c r="L4033" s="164">
        <v>2500</v>
      </c>
    </row>
    <row r="4034" spans="2:12" x14ac:dyDescent="0.3">
      <c r="B4034" s="57">
        <f t="shared" si="367"/>
        <v>4031</v>
      </c>
      <c r="C4034" s="142">
        <v>46262</v>
      </c>
      <c r="D4034" s="57" t="s">
        <v>968</v>
      </c>
      <c r="E4034" s="57" t="s">
        <v>958</v>
      </c>
      <c r="F4034" s="57" t="s">
        <v>446</v>
      </c>
      <c r="G4034" s="57" t="s">
        <v>649</v>
      </c>
      <c r="H4034" s="140" t="s">
        <v>4077</v>
      </c>
      <c r="I4034" s="57"/>
      <c r="J4034" s="57"/>
      <c r="L4034" s="164">
        <v>2000</v>
      </c>
    </row>
    <row r="4035" spans="2:12" x14ac:dyDescent="0.3">
      <c r="B4035" s="57">
        <f t="shared" si="367"/>
        <v>4032</v>
      </c>
      <c r="C4035" s="143">
        <v>46249</v>
      </c>
      <c r="D4035" s="57" t="s">
        <v>435</v>
      </c>
      <c r="E4035" s="57" t="s">
        <v>3349</v>
      </c>
      <c r="F4035" s="57" t="s">
        <v>300</v>
      </c>
      <c r="G4035" s="57" t="s">
        <v>300</v>
      </c>
      <c r="H4035" s="140" t="s">
        <v>4130</v>
      </c>
      <c r="I4035" s="57"/>
      <c r="L4035" s="164">
        <v>610</v>
      </c>
    </row>
    <row r="4036" spans="2:12" x14ac:dyDescent="0.3">
      <c r="B4036" s="57">
        <f t="shared" si="367"/>
        <v>4033</v>
      </c>
      <c r="C4036" s="143">
        <v>46171</v>
      </c>
      <c r="E4036" s="57" t="s">
        <v>4145</v>
      </c>
      <c r="F4036" s="57" t="s">
        <v>300</v>
      </c>
      <c r="G4036" s="57" t="s">
        <v>530</v>
      </c>
      <c r="H4036" s="140" t="s">
        <v>2634</v>
      </c>
      <c r="I4036" s="140" t="s">
        <v>4081</v>
      </c>
      <c r="J4036" s="165">
        <v>20.95</v>
      </c>
      <c r="K4036" s="168">
        <f t="shared" ref="K4036:K4048" si="369">L4036/J4036</f>
        <v>836.3723150357996</v>
      </c>
      <c r="L4036" s="164">
        <v>17522</v>
      </c>
    </row>
    <row r="4037" spans="2:12" x14ac:dyDescent="0.3">
      <c r="B4037" s="57">
        <f t="shared" si="367"/>
        <v>4034</v>
      </c>
      <c r="C4037" s="143">
        <v>46171</v>
      </c>
      <c r="E4037" s="57" t="s">
        <v>4145</v>
      </c>
      <c r="F4037" s="57" t="s">
        <v>300</v>
      </c>
      <c r="G4037" s="57" t="s">
        <v>530</v>
      </c>
      <c r="H4037" s="140" t="s">
        <v>2634</v>
      </c>
      <c r="I4037" s="140" t="s">
        <v>4081</v>
      </c>
      <c r="J4037" s="165">
        <v>21.265000000000001</v>
      </c>
      <c r="K4037" s="57">
        <f t="shared" si="369"/>
        <v>832.15612508817298</v>
      </c>
      <c r="L4037" s="164">
        <v>17695.8</v>
      </c>
    </row>
    <row r="4038" spans="2:12" x14ac:dyDescent="0.3">
      <c r="B4038" s="57">
        <f t="shared" si="367"/>
        <v>4035</v>
      </c>
      <c r="C4038" s="143">
        <v>46192</v>
      </c>
      <c r="E4038" s="57" t="s">
        <v>4145</v>
      </c>
      <c r="F4038" s="57" t="s">
        <v>300</v>
      </c>
      <c r="G4038" s="57" t="s">
        <v>530</v>
      </c>
      <c r="H4038" s="140" t="s">
        <v>2634</v>
      </c>
      <c r="I4038" s="140" t="s">
        <v>4081</v>
      </c>
      <c r="J4038" s="165">
        <v>22.315000000000001</v>
      </c>
      <c r="K4038" s="57">
        <f t="shared" si="369"/>
        <v>818.87967734707593</v>
      </c>
      <c r="L4038" s="164">
        <v>18273.3</v>
      </c>
    </row>
    <row r="4039" spans="2:12" x14ac:dyDescent="0.3">
      <c r="B4039" s="57">
        <f t="shared" si="367"/>
        <v>4036</v>
      </c>
      <c r="C4039" s="143">
        <v>46192</v>
      </c>
      <c r="E4039" s="57" t="s">
        <v>4145</v>
      </c>
      <c r="F4039" s="57" t="s">
        <v>300</v>
      </c>
      <c r="G4039" s="57" t="s">
        <v>530</v>
      </c>
      <c r="H4039" s="140" t="s">
        <v>2634</v>
      </c>
      <c r="I4039" s="140" t="s">
        <v>4081</v>
      </c>
      <c r="J4039" s="165">
        <v>20.88</v>
      </c>
      <c r="K4039" s="57">
        <f t="shared" si="369"/>
        <v>837.35632183908046</v>
      </c>
      <c r="L4039" s="164">
        <v>17484</v>
      </c>
    </row>
    <row r="4040" spans="2:12" x14ac:dyDescent="0.3">
      <c r="B4040" s="57">
        <f t="shared" si="367"/>
        <v>4037</v>
      </c>
      <c r="C4040" s="143">
        <v>46193</v>
      </c>
      <c r="E4040" s="57" t="s">
        <v>4145</v>
      </c>
      <c r="F4040" s="57" t="s">
        <v>436</v>
      </c>
      <c r="G4040" s="57" t="s">
        <v>4143</v>
      </c>
      <c r="H4040" s="140" t="s">
        <v>2634</v>
      </c>
      <c r="I4040" s="140" t="s">
        <v>4081</v>
      </c>
      <c r="J4040" s="165">
        <v>20.8</v>
      </c>
      <c r="K4040" s="57">
        <f t="shared" si="369"/>
        <v>910.57692307692309</v>
      </c>
      <c r="L4040" s="164">
        <v>18940</v>
      </c>
    </row>
    <row r="4041" spans="2:12" x14ac:dyDescent="0.3">
      <c r="B4041" s="57">
        <f t="shared" si="367"/>
        <v>4038</v>
      </c>
      <c r="C4041" s="143">
        <v>46194</v>
      </c>
      <c r="E4041" s="57" t="s">
        <v>4145</v>
      </c>
      <c r="F4041" s="57" t="s">
        <v>436</v>
      </c>
      <c r="G4041" s="57" t="s">
        <v>4143</v>
      </c>
      <c r="H4041" s="140" t="s">
        <v>2635</v>
      </c>
      <c r="I4041" s="140" t="s">
        <v>2635</v>
      </c>
      <c r="J4041" s="165">
        <v>20.805</v>
      </c>
      <c r="K4041" s="57">
        <f t="shared" si="369"/>
        <v>1010.478250420572</v>
      </c>
      <c r="L4041" s="164">
        <v>21023</v>
      </c>
    </row>
    <row r="4042" spans="2:12" x14ac:dyDescent="0.3">
      <c r="B4042" s="57">
        <f t="shared" si="367"/>
        <v>4039</v>
      </c>
      <c r="C4042" s="143">
        <v>46200</v>
      </c>
      <c r="E4042" s="57" t="s">
        <v>4145</v>
      </c>
      <c r="F4042" s="57" t="s">
        <v>300</v>
      </c>
      <c r="G4042" s="57" t="s">
        <v>530</v>
      </c>
      <c r="H4042" s="140" t="s">
        <v>2635</v>
      </c>
      <c r="I4042" s="140" t="s">
        <v>2635</v>
      </c>
      <c r="J4042" s="165">
        <v>17.125</v>
      </c>
      <c r="K4042" s="57">
        <f t="shared" si="369"/>
        <v>1000.3503649635037</v>
      </c>
      <c r="L4042" s="164">
        <v>17131</v>
      </c>
    </row>
    <row r="4043" spans="2:12" x14ac:dyDescent="0.3">
      <c r="B4043" s="57">
        <f t="shared" si="367"/>
        <v>4040</v>
      </c>
      <c r="C4043" s="143">
        <v>46200</v>
      </c>
      <c r="E4043" s="57" t="s">
        <v>4145</v>
      </c>
      <c r="F4043" s="57" t="s">
        <v>300</v>
      </c>
      <c r="G4043" s="57" t="s">
        <v>530</v>
      </c>
      <c r="H4043" s="140" t="s">
        <v>2635</v>
      </c>
      <c r="I4043" s="140" t="s">
        <v>2635</v>
      </c>
      <c r="J4043" s="165">
        <v>17.649999999999999</v>
      </c>
      <c r="K4043" s="57">
        <f t="shared" si="369"/>
        <v>989.94334277620408</v>
      </c>
      <c r="L4043" s="164">
        <v>17472.5</v>
      </c>
    </row>
    <row r="4044" spans="2:12" x14ac:dyDescent="0.3">
      <c r="B4044" s="57">
        <f t="shared" si="367"/>
        <v>4041</v>
      </c>
      <c r="C4044" s="143">
        <v>46209</v>
      </c>
      <c r="E4044" s="57" t="s">
        <v>4145</v>
      </c>
      <c r="F4044" s="57" t="s">
        <v>300</v>
      </c>
      <c r="G4044" s="57" t="s">
        <v>530</v>
      </c>
      <c r="H4044" s="140" t="s">
        <v>2635</v>
      </c>
      <c r="I4044" s="140" t="s">
        <v>2635</v>
      </c>
      <c r="J4044" s="165">
        <v>17.11</v>
      </c>
      <c r="K4044" s="57">
        <f t="shared" si="369"/>
        <v>1000.6721215663355</v>
      </c>
      <c r="L4044" s="164">
        <v>17121.5</v>
      </c>
    </row>
    <row r="4045" spans="2:12" x14ac:dyDescent="0.3">
      <c r="B4045" s="57">
        <f t="shared" si="367"/>
        <v>4042</v>
      </c>
      <c r="C4045" s="143">
        <v>46209</v>
      </c>
      <c r="E4045" s="57" t="s">
        <v>4145</v>
      </c>
      <c r="F4045" s="57" t="s">
        <v>300</v>
      </c>
      <c r="G4045" s="57" t="s">
        <v>530</v>
      </c>
      <c r="H4045" s="140" t="s">
        <v>2635</v>
      </c>
      <c r="I4045" s="140" t="s">
        <v>2635</v>
      </c>
      <c r="J4045" s="165">
        <v>17.614999999999998</v>
      </c>
      <c r="K4045" s="57">
        <f t="shared" si="369"/>
        <v>990.62162929321607</v>
      </c>
      <c r="L4045" s="164">
        <v>17449.8</v>
      </c>
    </row>
    <row r="4046" spans="2:12" x14ac:dyDescent="0.3">
      <c r="B4046" s="57">
        <f t="shared" si="367"/>
        <v>4043</v>
      </c>
      <c r="C4046" s="143">
        <v>46213</v>
      </c>
      <c r="E4046" s="57" t="s">
        <v>4145</v>
      </c>
      <c r="F4046" s="57" t="s">
        <v>300</v>
      </c>
      <c r="G4046" s="57" t="s">
        <v>530</v>
      </c>
      <c r="H4046" s="140" t="s">
        <v>2635</v>
      </c>
      <c r="I4046" s="140" t="s">
        <v>2635</v>
      </c>
      <c r="J4046" s="165">
        <v>17.055</v>
      </c>
      <c r="K4046" s="57">
        <f t="shared" si="369"/>
        <v>1001.8059220170038</v>
      </c>
      <c r="L4046" s="164">
        <v>17085.8</v>
      </c>
    </row>
    <row r="4047" spans="2:12" x14ac:dyDescent="0.3">
      <c r="B4047" s="57">
        <f t="shared" si="367"/>
        <v>4044</v>
      </c>
      <c r="C4047" s="143">
        <v>46214</v>
      </c>
      <c r="E4047" s="57" t="s">
        <v>4145</v>
      </c>
      <c r="F4047" s="57" t="s">
        <v>300</v>
      </c>
      <c r="G4047" s="57" t="s">
        <v>530</v>
      </c>
      <c r="H4047" s="140" t="s">
        <v>2635</v>
      </c>
      <c r="I4047" s="140" t="s">
        <v>2635</v>
      </c>
      <c r="J4047" s="165">
        <v>20.27</v>
      </c>
      <c r="K4047" s="57">
        <f t="shared" si="369"/>
        <v>1020.004933399112</v>
      </c>
      <c r="L4047" s="164">
        <v>20675.5</v>
      </c>
    </row>
    <row r="4048" spans="2:12" x14ac:dyDescent="0.3">
      <c r="B4048" s="57">
        <f t="shared" si="367"/>
        <v>4045</v>
      </c>
      <c r="C4048" s="143">
        <v>46214</v>
      </c>
      <c r="E4048" s="57" t="s">
        <v>4145</v>
      </c>
      <c r="F4048" s="57" t="s">
        <v>300</v>
      </c>
      <c r="G4048" s="57" t="s">
        <v>530</v>
      </c>
      <c r="H4048" s="140" t="s">
        <v>2395</v>
      </c>
      <c r="I4048" s="140" t="s">
        <v>4081</v>
      </c>
      <c r="J4048" s="165">
        <v>21.89</v>
      </c>
      <c r="K4048" s="57">
        <f t="shared" si="369"/>
        <v>892.62220191868425</v>
      </c>
      <c r="L4048" s="164">
        <v>19539.5</v>
      </c>
    </row>
    <row r="4049" spans="2:12" x14ac:dyDescent="0.3">
      <c r="B4049" s="57">
        <f t="shared" si="367"/>
        <v>4046</v>
      </c>
      <c r="C4049" s="143">
        <v>46217</v>
      </c>
      <c r="E4049" s="57" t="s">
        <v>4145</v>
      </c>
      <c r="F4049" s="57" t="s">
        <v>436</v>
      </c>
      <c r="G4049" s="57" t="s">
        <v>4143</v>
      </c>
      <c r="H4049" s="140" t="s">
        <v>2635</v>
      </c>
      <c r="I4049" s="140" t="s">
        <v>2635</v>
      </c>
      <c r="J4049" s="165">
        <v>4.375</v>
      </c>
      <c r="K4049" s="57">
        <v>650</v>
      </c>
      <c r="L4049" s="164">
        <f>J4049*K4049</f>
        <v>2843.75</v>
      </c>
    </row>
    <row r="4050" spans="2:12" x14ac:dyDescent="0.3">
      <c r="B4050" s="57">
        <f t="shared" si="367"/>
        <v>4047</v>
      </c>
      <c r="C4050" s="143">
        <v>46226</v>
      </c>
      <c r="E4050" s="57" t="s">
        <v>4145</v>
      </c>
      <c r="F4050" s="57" t="s">
        <v>300</v>
      </c>
      <c r="G4050" s="57" t="s">
        <v>530</v>
      </c>
      <c r="H4050" s="140" t="s">
        <v>2395</v>
      </c>
      <c r="I4050" s="140" t="s">
        <v>4081</v>
      </c>
      <c r="J4050" s="165">
        <v>20.68</v>
      </c>
      <c r="K4050" s="168">
        <f t="shared" ref="K4050:K4067" si="370">L4050/J4050</f>
        <v>840.13539651837527</v>
      </c>
      <c r="L4050" s="164">
        <v>17374</v>
      </c>
    </row>
    <row r="4051" spans="2:12" x14ac:dyDescent="0.3">
      <c r="B4051" s="57">
        <f t="shared" si="367"/>
        <v>4048</v>
      </c>
      <c r="C4051" s="143">
        <v>46226</v>
      </c>
      <c r="E4051" s="57" t="s">
        <v>4145</v>
      </c>
      <c r="F4051" s="57" t="s">
        <v>300</v>
      </c>
      <c r="G4051" s="57" t="s">
        <v>530</v>
      </c>
      <c r="H4051" s="140" t="s">
        <v>2635</v>
      </c>
      <c r="I4051" s="140" t="s">
        <v>2635</v>
      </c>
      <c r="J4051" s="165">
        <v>20.100000000000001</v>
      </c>
      <c r="K4051" s="57">
        <f t="shared" si="370"/>
        <v>948.50746268656712</v>
      </c>
      <c r="L4051" s="164">
        <v>19065</v>
      </c>
    </row>
    <row r="4052" spans="2:12" x14ac:dyDescent="0.3">
      <c r="B4052" s="57">
        <f t="shared" si="367"/>
        <v>4049</v>
      </c>
      <c r="C4052" s="143">
        <v>46226</v>
      </c>
      <c r="E4052" s="57" t="s">
        <v>4145</v>
      </c>
      <c r="F4052" s="57" t="s">
        <v>300</v>
      </c>
      <c r="G4052" s="57" t="s">
        <v>530</v>
      </c>
      <c r="H4052" s="140" t="s">
        <v>2634</v>
      </c>
      <c r="I4052" s="140" t="s">
        <v>4081</v>
      </c>
      <c r="J4052" s="165">
        <v>19.465</v>
      </c>
      <c r="K4052" s="57">
        <f t="shared" si="370"/>
        <v>858.24813768302079</v>
      </c>
      <c r="L4052" s="164">
        <v>16705.8</v>
      </c>
    </row>
    <row r="4053" spans="2:12" x14ac:dyDescent="0.3">
      <c r="B4053" s="57">
        <f t="shared" si="367"/>
        <v>4050</v>
      </c>
      <c r="C4053" s="143">
        <v>46226</v>
      </c>
      <c r="E4053" s="57" t="s">
        <v>4145</v>
      </c>
      <c r="F4053" s="57" t="s">
        <v>300</v>
      </c>
      <c r="G4053" s="57" t="s">
        <v>530</v>
      </c>
      <c r="H4053" s="140" t="s">
        <v>2635</v>
      </c>
      <c r="I4053" s="140" t="s">
        <v>2635</v>
      </c>
      <c r="J4053" s="165">
        <v>25.395</v>
      </c>
      <c r="K4053" s="57">
        <f t="shared" si="370"/>
        <v>886.268950580823</v>
      </c>
      <c r="L4053" s="164">
        <v>22506.799999999999</v>
      </c>
    </row>
    <row r="4054" spans="2:12" x14ac:dyDescent="0.3">
      <c r="B4054" s="57">
        <f t="shared" si="367"/>
        <v>4051</v>
      </c>
      <c r="C4054" s="143">
        <v>46227</v>
      </c>
      <c r="E4054" s="57" t="s">
        <v>4145</v>
      </c>
      <c r="F4054" s="57" t="s">
        <v>300</v>
      </c>
      <c r="G4054" s="57" t="s">
        <v>530</v>
      </c>
      <c r="H4054" s="140" t="s">
        <v>2635</v>
      </c>
      <c r="I4054" s="140" t="s">
        <v>2635</v>
      </c>
      <c r="J4054" s="165">
        <v>15.965</v>
      </c>
      <c r="K4054" s="57">
        <f t="shared" si="370"/>
        <v>1025.8252427184466</v>
      </c>
      <c r="L4054" s="164">
        <v>16377.3</v>
      </c>
    </row>
    <row r="4055" spans="2:12" x14ac:dyDescent="0.3">
      <c r="B4055" s="57">
        <f t="shared" si="367"/>
        <v>4052</v>
      </c>
      <c r="C4055" s="143">
        <v>46227</v>
      </c>
      <c r="E4055" s="57" t="s">
        <v>4145</v>
      </c>
      <c r="F4055" s="57" t="s">
        <v>300</v>
      </c>
      <c r="G4055" s="57" t="s">
        <v>530</v>
      </c>
      <c r="H4055" s="140" t="s">
        <v>2634</v>
      </c>
      <c r="I4055" s="140" t="s">
        <v>4081</v>
      </c>
      <c r="J4055" s="165">
        <v>17.88</v>
      </c>
      <c r="K4055" s="57">
        <f t="shared" si="370"/>
        <v>885.57046979865777</v>
      </c>
      <c r="L4055" s="164">
        <v>15834</v>
      </c>
    </row>
    <row r="4056" spans="2:12" x14ac:dyDescent="0.3">
      <c r="B4056" s="57">
        <f t="shared" si="367"/>
        <v>4053</v>
      </c>
      <c r="C4056" s="143">
        <v>46229</v>
      </c>
      <c r="E4056" s="57" t="s">
        <v>4145</v>
      </c>
      <c r="F4056" s="57" t="s">
        <v>436</v>
      </c>
      <c r="G4056" s="57" t="s">
        <v>4143</v>
      </c>
      <c r="H4056" s="140" t="s">
        <v>2635</v>
      </c>
      <c r="I4056" s="140" t="s">
        <v>2635</v>
      </c>
      <c r="J4056" s="165">
        <v>4.55</v>
      </c>
      <c r="K4056" s="57">
        <f t="shared" si="370"/>
        <v>650</v>
      </c>
      <c r="L4056" s="164">
        <v>2957.5</v>
      </c>
    </row>
    <row r="4057" spans="2:12" x14ac:dyDescent="0.3">
      <c r="B4057" s="57">
        <f t="shared" si="367"/>
        <v>4054</v>
      </c>
      <c r="C4057" s="143">
        <v>46243</v>
      </c>
      <c r="E4057" s="57" t="s">
        <v>4145</v>
      </c>
      <c r="F4057" s="57" t="s">
        <v>300</v>
      </c>
      <c r="G4057" s="57" t="s">
        <v>530</v>
      </c>
      <c r="H4057" s="140" t="s">
        <v>4144</v>
      </c>
      <c r="I4057" s="140" t="s">
        <v>4118</v>
      </c>
      <c r="J4057" s="165">
        <v>20.295000000000002</v>
      </c>
      <c r="K4057" s="57">
        <f t="shared" si="370"/>
        <v>1069.5491500369549</v>
      </c>
      <c r="L4057" s="164">
        <v>21706.5</v>
      </c>
    </row>
    <row r="4058" spans="2:12" x14ac:dyDescent="0.3">
      <c r="B4058" s="57">
        <f t="shared" si="367"/>
        <v>4055</v>
      </c>
      <c r="C4058" s="143">
        <v>46243</v>
      </c>
      <c r="E4058" s="57" t="s">
        <v>4145</v>
      </c>
      <c r="F4058" s="57" t="s">
        <v>300</v>
      </c>
      <c r="G4058" s="57" t="s">
        <v>530</v>
      </c>
      <c r="H4058" s="140" t="s">
        <v>4144</v>
      </c>
      <c r="I4058" s="140" t="s">
        <v>4118</v>
      </c>
      <c r="J4058" s="165">
        <v>17.2</v>
      </c>
      <c r="K4058" s="57">
        <f t="shared" si="370"/>
        <v>1048.8372093023256</v>
      </c>
      <c r="L4058" s="164">
        <v>18040</v>
      </c>
    </row>
    <row r="4059" spans="2:12" x14ac:dyDescent="0.3">
      <c r="B4059" s="57">
        <f t="shared" si="367"/>
        <v>4056</v>
      </c>
      <c r="C4059" s="143">
        <v>46243</v>
      </c>
      <c r="E4059" s="57" t="s">
        <v>4145</v>
      </c>
      <c r="F4059" s="57" t="s">
        <v>300</v>
      </c>
      <c r="G4059" s="57" t="s">
        <v>530</v>
      </c>
      <c r="H4059" s="140" t="s">
        <v>4144</v>
      </c>
      <c r="I4059" s="140" t="s">
        <v>4118</v>
      </c>
      <c r="J4059" s="165">
        <v>20.57</v>
      </c>
      <c r="K4059" s="57">
        <f t="shared" si="370"/>
        <v>1064.6086533787068</v>
      </c>
      <c r="L4059" s="164">
        <v>21899</v>
      </c>
    </row>
    <row r="4060" spans="2:12" x14ac:dyDescent="0.3">
      <c r="B4060" s="57">
        <f t="shared" si="367"/>
        <v>4057</v>
      </c>
      <c r="C4060" s="143">
        <v>46243</v>
      </c>
      <c r="E4060" s="57" t="s">
        <v>4145</v>
      </c>
      <c r="F4060" s="57" t="s">
        <v>300</v>
      </c>
      <c r="G4060" s="57" t="s">
        <v>530</v>
      </c>
      <c r="H4060" s="140" t="s">
        <v>4144</v>
      </c>
      <c r="I4060" s="140" t="s">
        <v>4118</v>
      </c>
      <c r="J4060" s="165">
        <v>20.11</v>
      </c>
      <c r="K4060" s="57">
        <f t="shared" si="370"/>
        <v>1072.9487817006466</v>
      </c>
      <c r="L4060" s="164">
        <v>21577</v>
      </c>
    </row>
    <row r="4061" spans="2:12" x14ac:dyDescent="0.3">
      <c r="B4061" s="57">
        <f t="shared" si="367"/>
        <v>4058</v>
      </c>
      <c r="C4061" s="143">
        <v>46243</v>
      </c>
      <c r="E4061" s="57" t="s">
        <v>4145</v>
      </c>
      <c r="F4061" s="57" t="s">
        <v>300</v>
      </c>
      <c r="G4061" s="57" t="s">
        <v>530</v>
      </c>
      <c r="H4061" s="140" t="s">
        <v>4144</v>
      </c>
      <c r="I4061" s="140" t="s">
        <v>4118</v>
      </c>
      <c r="J4061" s="165">
        <v>17.745000000000001</v>
      </c>
      <c r="K4061" s="57">
        <f t="shared" si="370"/>
        <v>1038.1234150464918</v>
      </c>
      <c r="L4061" s="164">
        <v>18421.5</v>
      </c>
    </row>
    <row r="4062" spans="2:12" x14ac:dyDescent="0.3">
      <c r="B4062" s="57">
        <f t="shared" si="367"/>
        <v>4059</v>
      </c>
      <c r="C4062" s="143">
        <v>46117</v>
      </c>
      <c r="E4062" s="57" t="s">
        <v>4145</v>
      </c>
      <c r="F4062" s="57" t="s">
        <v>300</v>
      </c>
      <c r="G4062" s="57" t="s">
        <v>530</v>
      </c>
      <c r="H4062" s="140" t="s">
        <v>2635</v>
      </c>
      <c r="I4062" s="140" t="s">
        <v>2635</v>
      </c>
      <c r="J4062" s="165">
        <v>27.39</v>
      </c>
      <c r="K4062" s="57">
        <f t="shared" si="370"/>
        <v>869.05805038335154</v>
      </c>
      <c r="L4062" s="164">
        <v>23803.5</v>
      </c>
    </row>
    <row r="4063" spans="2:12" x14ac:dyDescent="0.3">
      <c r="B4063" s="57">
        <f t="shared" si="367"/>
        <v>4060</v>
      </c>
      <c r="C4063" s="143">
        <v>46117</v>
      </c>
      <c r="E4063" s="57" t="s">
        <v>4145</v>
      </c>
      <c r="F4063" s="57" t="s">
        <v>300</v>
      </c>
      <c r="G4063" s="57" t="s">
        <v>530</v>
      </c>
      <c r="H4063" s="140" t="s">
        <v>2635</v>
      </c>
      <c r="I4063" s="140" t="s">
        <v>2635</v>
      </c>
      <c r="J4063" s="165">
        <v>24.274999999999999</v>
      </c>
      <c r="K4063" s="57">
        <f t="shared" si="370"/>
        <v>897.16786817713705</v>
      </c>
      <c r="L4063" s="164">
        <v>21778.75</v>
      </c>
    </row>
    <row r="4064" spans="2:12" x14ac:dyDescent="0.3">
      <c r="B4064" s="57">
        <f t="shared" si="367"/>
        <v>4061</v>
      </c>
      <c r="C4064" s="143">
        <v>46162</v>
      </c>
      <c r="E4064" s="57" t="s">
        <v>4145</v>
      </c>
      <c r="F4064" s="57" t="s">
        <v>436</v>
      </c>
      <c r="G4064" s="57" t="s">
        <v>4143</v>
      </c>
      <c r="H4064" s="140" t="s">
        <v>2635</v>
      </c>
      <c r="I4064" s="140" t="s">
        <v>2635</v>
      </c>
      <c r="J4064" s="165">
        <v>13.41</v>
      </c>
      <c r="K4064" s="57">
        <f t="shared" si="370"/>
        <v>948.28486204325134</v>
      </c>
      <c r="L4064" s="164">
        <v>12716.5</v>
      </c>
    </row>
    <row r="4065" spans="2:12" x14ac:dyDescent="0.3">
      <c r="B4065" s="57">
        <f t="shared" si="367"/>
        <v>4062</v>
      </c>
      <c r="C4065" s="143">
        <v>46163</v>
      </c>
      <c r="E4065" s="57" t="s">
        <v>4145</v>
      </c>
      <c r="F4065" s="57" t="s">
        <v>436</v>
      </c>
      <c r="G4065" s="57" t="s">
        <v>4143</v>
      </c>
      <c r="H4065" s="140" t="s">
        <v>2634</v>
      </c>
      <c r="I4065" s="140" t="s">
        <v>4081</v>
      </c>
      <c r="J4065" s="165">
        <v>19.984999999999999</v>
      </c>
      <c r="K4065" s="57">
        <f t="shared" si="370"/>
        <v>850.22516887665756</v>
      </c>
      <c r="L4065" s="164">
        <v>16991.75</v>
      </c>
    </row>
    <row r="4066" spans="2:12" x14ac:dyDescent="0.3">
      <c r="B4066" s="57">
        <f t="shared" si="367"/>
        <v>4063</v>
      </c>
      <c r="C4066" s="143">
        <v>46168</v>
      </c>
      <c r="E4066" s="57" t="s">
        <v>4145</v>
      </c>
      <c r="F4066" s="57" t="s">
        <v>436</v>
      </c>
      <c r="G4066" s="57" t="s">
        <v>4143</v>
      </c>
      <c r="H4066" s="140" t="s">
        <v>2635</v>
      </c>
      <c r="I4066" s="140" t="s">
        <v>2635</v>
      </c>
      <c r="J4066" s="165">
        <v>24.004999999999999</v>
      </c>
      <c r="K4066" s="57">
        <f t="shared" si="370"/>
        <v>899.94792751510101</v>
      </c>
      <c r="L4066" s="164">
        <v>21603.25</v>
      </c>
    </row>
    <row r="4067" spans="2:12" x14ac:dyDescent="0.3">
      <c r="B4067" s="57">
        <f t="shared" si="367"/>
        <v>4064</v>
      </c>
      <c r="C4067" s="143">
        <v>46169</v>
      </c>
      <c r="E4067" s="57" t="s">
        <v>4145</v>
      </c>
      <c r="F4067" s="57" t="s">
        <v>436</v>
      </c>
      <c r="G4067" s="57" t="s">
        <v>4143</v>
      </c>
      <c r="H4067" s="140" t="s">
        <v>2634</v>
      </c>
      <c r="I4067" s="140" t="s">
        <v>4081</v>
      </c>
      <c r="J4067" s="165">
        <v>20.645</v>
      </c>
      <c r="K4067" s="57">
        <f t="shared" si="370"/>
        <v>840.62727052555101</v>
      </c>
      <c r="L4067" s="164">
        <v>17354.75</v>
      </c>
    </row>
    <row r="4068" spans="2:12" x14ac:dyDescent="0.3">
      <c r="B4068" s="57">
        <f t="shared" si="367"/>
        <v>4065</v>
      </c>
      <c r="C4068" s="143">
        <v>46147</v>
      </c>
      <c r="E4068" s="57" t="s">
        <v>4146</v>
      </c>
      <c r="F4068" s="57" t="s">
        <v>300</v>
      </c>
      <c r="G4068" s="57" t="s">
        <v>530</v>
      </c>
      <c r="H4068" s="140" t="s">
        <v>4147</v>
      </c>
      <c r="I4068" s="140" t="s">
        <v>2635</v>
      </c>
      <c r="J4068" s="165">
        <v>28.89</v>
      </c>
      <c r="K4068" s="57">
        <v>850</v>
      </c>
      <c r="L4068" s="164">
        <f t="shared" ref="L4068:L4075" si="371">J4068*K4068</f>
        <v>24556.5</v>
      </c>
    </row>
    <row r="4069" spans="2:12" x14ac:dyDescent="0.3">
      <c r="B4069" s="57">
        <f t="shared" si="367"/>
        <v>4066</v>
      </c>
      <c r="C4069" s="143">
        <v>46146</v>
      </c>
      <c r="E4069" s="57" t="s">
        <v>4146</v>
      </c>
      <c r="F4069" s="57" t="s">
        <v>300</v>
      </c>
      <c r="G4069" s="57" t="s">
        <v>530</v>
      </c>
      <c r="H4069" s="140" t="s">
        <v>2634</v>
      </c>
      <c r="I4069" s="140" t="s">
        <v>4081</v>
      </c>
      <c r="J4069" s="165">
        <v>25</v>
      </c>
      <c r="K4069" s="57">
        <v>680</v>
      </c>
      <c r="L4069" s="164">
        <f t="shared" si="371"/>
        <v>17000</v>
      </c>
    </row>
    <row r="4070" spans="2:12" x14ac:dyDescent="0.3">
      <c r="B4070" s="57">
        <f t="shared" si="367"/>
        <v>4067</v>
      </c>
      <c r="C4070" s="143">
        <v>46119</v>
      </c>
      <c r="E4070" s="57" t="s">
        <v>4146</v>
      </c>
      <c r="F4070" s="57" t="s">
        <v>300</v>
      </c>
      <c r="G4070" s="57" t="s">
        <v>530</v>
      </c>
      <c r="H4070" s="140" t="s">
        <v>2566</v>
      </c>
      <c r="I4070" s="140" t="s">
        <v>4118</v>
      </c>
      <c r="J4070" s="165">
        <v>30.09</v>
      </c>
      <c r="K4070" s="57">
        <v>650</v>
      </c>
      <c r="L4070" s="164">
        <f t="shared" si="371"/>
        <v>19558.5</v>
      </c>
    </row>
    <row r="4071" spans="2:12" x14ac:dyDescent="0.3">
      <c r="B4071" s="57">
        <f t="shared" si="367"/>
        <v>4068</v>
      </c>
      <c r="C4071" s="143">
        <v>46118</v>
      </c>
      <c r="E4071" s="57" t="s">
        <v>4146</v>
      </c>
      <c r="F4071" s="57" t="s">
        <v>300</v>
      </c>
      <c r="G4071" s="57" t="s">
        <v>530</v>
      </c>
      <c r="H4071" s="140" t="s">
        <v>2566</v>
      </c>
      <c r="I4071" s="140" t="s">
        <v>4118</v>
      </c>
      <c r="J4071" s="165">
        <v>27.64</v>
      </c>
      <c r="K4071" s="57">
        <v>650</v>
      </c>
      <c r="L4071" s="164">
        <f t="shared" si="371"/>
        <v>17966</v>
      </c>
    </row>
    <row r="4072" spans="2:12" x14ac:dyDescent="0.3">
      <c r="B4072" s="57">
        <f t="shared" si="367"/>
        <v>4069</v>
      </c>
      <c r="C4072" s="143">
        <v>46118</v>
      </c>
      <c r="E4072" s="57" t="s">
        <v>4146</v>
      </c>
      <c r="F4072" s="57" t="s">
        <v>300</v>
      </c>
      <c r="G4072" s="57" t="s">
        <v>530</v>
      </c>
      <c r="H4072" s="140" t="s">
        <v>2635</v>
      </c>
      <c r="I4072" s="140" t="s">
        <v>2635</v>
      </c>
      <c r="J4072" s="165">
        <v>29.31</v>
      </c>
      <c r="K4072" s="57">
        <v>850</v>
      </c>
      <c r="L4072" s="164">
        <f t="shared" si="371"/>
        <v>24913.5</v>
      </c>
    </row>
    <row r="4073" spans="2:12" x14ac:dyDescent="0.3">
      <c r="B4073" s="57">
        <f t="shared" si="367"/>
        <v>4070</v>
      </c>
      <c r="C4073" s="143">
        <v>46118</v>
      </c>
      <c r="E4073" s="57" t="s">
        <v>4146</v>
      </c>
      <c r="F4073" s="57" t="s">
        <v>300</v>
      </c>
      <c r="G4073" s="57" t="s">
        <v>530</v>
      </c>
      <c r="H4073" s="140" t="s">
        <v>2634</v>
      </c>
      <c r="I4073" s="140" t="s">
        <v>4081</v>
      </c>
      <c r="J4073" s="165">
        <v>25.39</v>
      </c>
      <c r="K4073" s="57">
        <v>680</v>
      </c>
      <c r="L4073" s="164">
        <f t="shared" si="371"/>
        <v>17265.2</v>
      </c>
    </row>
    <row r="4074" spans="2:12" x14ac:dyDescent="0.3">
      <c r="B4074" s="57">
        <f t="shared" si="367"/>
        <v>4071</v>
      </c>
      <c r="C4074" s="143">
        <v>46117</v>
      </c>
      <c r="E4074" s="57" t="s">
        <v>4146</v>
      </c>
      <c r="F4074" s="57" t="s">
        <v>300</v>
      </c>
      <c r="G4074" s="57" t="s">
        <v>530</v>
      </c>
      <c r="H4074" s="140" t="s">
        <v>2634</v>
      </c>
      <c r="I4074" s="140" t="s">
        <v>4081</v>
      </c>
      <c r="J4074" s="165">
        <v>25.89</v>
      </c>
      <c r="K4074" s="57">
        <v>680</v>
      </c>
      <c r="L4074" s="164">
        <f t="shared" si="371"/>
        <v>17605.2</v>
      </c>
    </row>
    <row r="4075" spans="2:12" x14ac:dyDescent="0.3">
      <c r="B4075" s="57">
        <f t="shared" si="367"/>
        <v>4072</v>
      </c>
      <c r="C4075" s="143">
        <v>46116</v>
      </c>
      <c r="E4075" s="57" t="s">
        <v>4146</v>
      </c>
      <c r="F4075" s="57" t="s">
        <v>300</v>
      </c>
      <c r="G4075" s="57" t="s">
        <v>530</v>
      </c>
      <c r="H4075" s="140" t="s">
        <v>2634</v>
      </c>
      <c r="I4075" s="140" t="s">
        <v>4081</v>
      </c>
      <c r="J4075" s="165">
        <v>25.29</v>
      </c>
      <c r="K4075" s="57">
        <v>680</v>
      </c>
      <c r="L4075" s="164">
        <f t="shared" si="371"/>
        <v>17197.2</v>
      </c>
    </row>
    <row r="4076" spans="2:12" x14ac:dyDescent="0.3">
      <c r="B4076" s="57">
        <f t="shared" si="367"/>
        <v>4073</v>
      </c>
      <c r="C4076" s="143">
        <v>46059</v>
      </c>
      <c r="E4076" s="57" t="s">
        <v>4146</v>
      </c>
      <c r="F4076" s="57" t="s">
        <v>300</v>
      </c>
      <c r="G4076" s="57" t="s">
        <v>530</v>
      </c>
      <c r="H4076" s="140" t="s">
        <v>4144</v>
      </c>
      <c r="I4076" s="140" t="s">
        <v>4148</v>
      </c>
      <c r="J4076" s="165">
        <v>28.81</v>
      </c>
      <c r="K4076" s="57">
        <v>650</v>
      </c>
      <c r="L4076" s="164">
        <v>18726.5</v>
      </c>
    </row>
    <row r="4077" spans="2:12" x14ac:dyDescent="0.3">
      <c r="B4077" s="57">
        <f t="shared" si="367"/>
        <v>4074</v>
      </c>
      <c r="C4077" s="143">
        <v>46071</v>
      </c>
      <c r="E4077" s="57" t="s">
        <v>4146</v>
      </c>
      <c r="F4077" s="57" t="s">
        <v>300</v>
      </c>
      <c r="G4077" s="57" t="s">
        <v>530</v>
      </c>
      <c r="H4077" s="140" t="s">
        <v>2635</v>
      </c>
      <c r="I4077" s="140" t="s">
        <v>2635</v>
      </c>
      <c r="J4077" s="165">
        <v>30.3</v>
      </c>
      <c r="K4077" s="57">
        <v>650</v>
      </c>
      <c r="L4077" s="164">
        <f>K4077*J4077</f>
        <v>19695</v>
      </c>
    </row>
    <row r="4078" spans="2:12" x14ac:dyDescent="0.3">
      <c r="B4078" s="57">
        <f t="shared" si="367"/>
        <v>4075</v>
      </c>
      <c r="C4078" s="143">
        <v>46097</v>
      </c>
      <c r="E4078" s="57" t="s">
        <v>4146</v>
      </c>
      <c r="F4078" s="57" t="s">
        <v>300</v>
      </c>
      <c r="G4078" s="57" t="s">
        <v>530</v>
      </c>
      <c r="H4078" s="140" t="s">
        <v>4144</v>
      </c>
      <c r="I4078" s="140" t="s">
        <v>4118</v>
      </c>
      <c r="J4078" s="165">
        <v>28.41</v>
      </c>
      <c r="K4078" s="57">
        <v>650</v>
      </c>
      <c r="L4078" s="164">
        <f>K4078*J4078</f>
        <v>18466.5</v>
      </c>
    </row>
    <row r="4079" spans="2:12" x14ac:dyDescent="0.3">
      <c r="B4079" s="57">
        <f t="shared" si="367"/>
        <v>4076</v>
      </c>
      <c r="C4079" s="143">
        <v>46098</v>
      </c>
      <c r="E4079" s="57" t="s">
        <v>4146</v>
      </c>
      <c r="F4079" s="57" t="s">
        <v>300</v>
      </c>
      <c r="G4079" s="57" t="s">
        <v>530</v>
      </c>
      <c r="H4079" s="140" t="s">
        <v>2635</v>
      </c>
      <c r="I4079" s="140" t="s">
        <v>2635</v>
      </c>
      <c r="J4079" s="165">
        <v>29.89</v>
      </c>
      <c r="K4079" s="57">
        <v>850</v>
      </c>
      <c r="L4079" s="164">
        <f>K4079*J4079</f>
        <v>25406.5</v>
      </c>
    </row>
    <row r="4080" spans="2:12" x14ac:dyDescent="0.3">
      <c r="B4080" s="57">
        <f t="shared" si="367"/>
        <v>4077</v>
      </c>
      <c r="C4080" s="143">
        <v>46085</v>
      </c>
      <c r="E4080" s="57" t="s">
        <v>4146</v>
      </c>
      <c r="F4080" s="57" t="s">
        <v>300</v>
      </c>
      <c r="G4080" s="57" t="s">
        <v>530</v>
      </c>
      <c r="H4080" s="140" t="s">
        <v>2634</v>
      </c>
      <c r="I4080" s="140" t="s">
        <v>4081</v>
      </c>
      <c r="J4080" s="165">
        <v>24.2</v>
      </c>
      <c r="K4080" s="57">
        <v>680</v>
      </c>
      <c r="L4080" s="164">
        <f>K4080*J4080</f>
        <v>16456</v>
      </c>
    </row>
  </sheetData>
  <sortState xmlns:xlrd2="http://schemas.microsoft.com/office/spreadsheetml/2017/richdata2" ref="B4:M2681">
    <sortCondition ref="C4:C2681"/>
  </sortState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B355-411C-4B09-9ADB-E3157EBACE1B}">
  <dimension ref="A1"/>
  <sheetViews>
    <sheetView topLeftCell="J1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E0F9-5831-40A0-937B-C2F7B5FA607E}">
  <dimension ref="B2:J26"/>
  <sheetViews>
    <sheetView workbookViewId="0">
      <selection activeCell="J3" sqref="J3:J11"/>
    </sheetView>
  </sheetViews>
  <sheetFormatPr defaultRowHeight="14.4" x14ac:dyDescent="0.3"/>
  <cols>
    <col min="2" max="2" width="4.5546875" bestFit="1" customWidth="1"/>
    <col min="3" max="3" width="10.33203125" bestFit="1" customWidth="1"/>
    <col min="4" max="4" width="15.88671875" bestFit="1" customWidth="1"/>
    <col min="5" max="5" width="8.6640625" bestFit="1" customWidth="1"/>
    <col min="6" max="6" width="11.77734375" bestFit="1" customWidth="1"/>
    <col min="7" max="7" width="12.88671875" bestFit="1" customWidth="1"/>
    <col min="8" max="8" width="38.77734375" bestFit="1" customWidth="1"/>
    <col min="9" max="9" width="9.5546875" bestFit="1" customWidth="1"/>
    <col min="10" max="10" width="17.6640625" bestFit="1" customWidth="1"/>
  </cols>
  <sheetData>
    <row r="2" spans="2:10" ht="15.6" x14ac:dyDescent="0.3">
      <c r="B2" s="85" t="s">
        <v>0</v>
      </c>
      <c r="C2" s="85" t="s">
        <v>1</v>
      </c>
      <c r="D2" s="85" t="s">
        <v>954</v>
      </c>
      <c r="E2" s="85" t="s">
        <v>953</v>
      </c>
      <c r="F2" s="85" t="s">
        <v>952</v>
      </c>
      <c r="G2" s="85" t="s">
        <v>951</v>
      </c>
      <c r="H2" s="85" t="s">
        <v>3</v>
      </c>
      <c r="I2" s="86" t="s">
        <v>5</v>
      </c>
      <c r="J2" s="85" t="s">
        <v>6</v>
      </c>
    </row>
    <row r="3" spans="2:10" x14ac:dyDescent="0.3">
      <c r="B3" s="51">
        <v>1</v>
      </c>
      <c r="C3" s="83">
        <v>46192</v>
      </c>
      <c r="D3" s="51" t="s">
        <v>968</v>
      </c>
      <c r="E3" s="51" t="s">
        <v>460</v>
      </c>
      <c r="F3" s="51" t="s">
        <v>546</v>
      </c>
      <c r="G3" s="51" t="s">
        <v>2335</v>
      </c>
      <c r="H3" s="51" t="s">
        <v>2336</v>
      </c>
      <c r="I3" s="53">
        <v>220</v>
      </c>
      <c r="J3" s="194">
        <f>SUM(I3:I11)</f>
        <v>6810</v>
      </c>
    </row>
    <row r="4" spans="2:10" x14ac:dyDescent="0.3">
      <c r="B4" s="51">
        <f>+B3+1</f>
        <v>2</v>
      </c>
      <c r="C4" s="83">
        <v>46195</v>
      </c>
      <c r="D4" s="51" t="s">
        <v>968</v>
      </c>
      <c r="E4" s="51" t="s">
        <v>434</v>
      </c>
      <c r="F4" s="51" t="s">
        <v>546</v>
      </c>
      <c r="G4" s="51" t="s">
        <v>2335</v>
      </c>
      <c r="H4" s="51" t="s">
        <v>2337</v>
      </c>
      <c r="I4" s="53">
        <v>120</v>
      </c>
      <c r="J4" s="195"/>
    </row>
    <row r="5" spans="2:10" x14ac:dyDescent="0.3">
      <c r="B5" s="51">
        <f t="shared" ref="B5:B26" si="0">+B4+1</f>
        <v>3</v>
      </c>
      <c r="C5" s="83">
        <v>46196</v>
      </c>
      <c r="D5" s="51" t="s">
        <v>968</v>
      </c>
      <c r="E5" s="51" t="s">
        <v>532</v>
      </c>
      <c r="F5" s="51" t="s">
        <v>546</v>
      </c>
      <c r="G5" s="51" t="s">
        <v>2335</v>
      </c>
      <c r="H5" s="51" t="s">
        <v>2338</v>
      </c>
      <c r="I5" s="53">
        <f>10*260</f>
        <v>2600</v>
      </c>
      <c r="J5" s="195"/>
    </row>
    <row r="6" spans="2:10" x14ac:dyDescent="0.3">
      <c r="B6" s="51">
        <f t="shared" si="0"/>
        <v>4</v>
      </c>
      <c r="C6" s="83">
        <v>46199</v>
      </c>
      <c r="D6" s="51" t="s">
        <v>968</v>
      </c>
      <c r="E6" s="51" t="s">
        <v>434</v>
      </c>
      <c r="F6" s="51" t="s">
        <v>546</v>
      </c>
      <c r="G6" s="51" t="s">
        <v>2335</v>
      </c>
      <c r="H6" s="51" t="s">
        <v>510</v>
      </c>
      <c r="I6" s="53">
        <v>150</v>
      </c>
      <c r="J6" s="195"/>
    </row>
    <row r="7" spans="2:10" x14ac:dyDescent="0.3">
      <c r="B7" s="51">
        <f t="shared" si="0"/>
        <v>5</v>
      </c>
      <c r="C7" s="83">
        <v>46199</v>
      </c>
      <c r="D7" s="51" t="s">
        <v>968</v>
      </c>
      <c r="E7" s="51" t="s">
        <v>532</v>
      </c>
      <c r="F7" s="51" t="s">
        <v>546</v>
      </c>
      <c r="G7" s="51" t="s">
        <v>2335</v>
      </c>
      <c r="H7" s="51" t="s">
        <v>2339</v>
      </c>
      <c r="I7" s="53">
        <v>270</v>
      </c>
      <c r="J7" s="195"/>
    </row>
    <row r="8" spans="2:10" x14ac:dyDescent="0.3">
      <c r="B8" s="51">
        <f t="shared" si="0"/>
        <v>6</v>
      </c>
      <c r="C8" s="83">
        <v>46199</v>
      </c>
      <c r="D8" s="51" t="s">
        <v>968</v>
      </c>
      <c r="E8" s="51" t="s">
        <v>532</v>
      </c>
      <c r="F8" s="51" t="s">
        <v>546</v>
      </c>
      <c r="G8" s="51" t="s">
        <v>2335</v>
      </c>
      <c r="H8" s="51" t="s">
        <v>2338</v>
      </c>
      <c r="I8" s="53">
        <f>10*260</f>
        <v>2600</v>
      </c>
      <c r="J8" s="195"/>
    </row>
    <row r="9" spans="2:10" x14ac:dyDescent="0.3">
      <c r="B9" s="51">
        <f t="shared" si="0"/>
        <v>7</v>
      </c>
      <c r="C9" s="83">
        <v>46193</v>
      </c>
      <c r="D9" s="51" t="s">
        <v>968</v>
      </c>
      <c r="E9" s="51" t="s">
        <v>494</v>
      </c>
      <c r="F9" s="51" t="s">
        <v>546</v>
      </c>
      <c r="G9" s="51" t="s">
        <v>2335</v>
      </c>
      <c r="H9" s="51" t="s">
        <v>2340</v>
      </c>
      <c r="I9" s="53">
        <v>150</v>
      </c>
      <c r="J9" s="195"/>
    </row>
    <row r="10" spans="2:10" x14ac:dyDescent="0.3">
      <c r="B10" s="51">
        <f t="shared" si="0"/>
        <v>8</v>
      </c>
      <c r="C10" s="83">
        <v>46197</v>
      </c>
      <c r="D10" s="51" t="s">
        <v>968</v>
      </c>
      <c r="E10" s="51" t="s">
        <v>494</v>
      </c>
      <c r="F10" s="51" t="s">
        <v>546</v>
      </c>
      <c r="G10" s="51" t="s">
        <v>2335</v>
      </c>
      <c r="H10" s="51" t="s">
        <v>2341</v>
      </c>
      <c r="I10" s="53">
        <v>300</v>
      </c>
      <c r="J10" s="195"/>
    </row>
    <row r="11" spans="2:10" x14ac:dyDescent="0.3">
      <c r="B11" s="51">
        <f t="shared" si="0"/>
        <v>9</v>
      </c>
      <c r="C11" s="83">
        <v>46199</v>
      </c>
      <c r="D11" s="51" t="s">
        <v>968</v>
      </c>
      <c r="E11" s="51" t="s">
        <v>494</v>
      </c>
      <c r="F11" s="51" t="s">
        <v>546</v>
      </c>
      <c r="G11" s="51" t="s">
        <v>2335</v>
      </c>
      <c r="H11" s="51" t="s">
        <v>2342</v>
      </c>
      <c r="I11" s="53">
        <v>400</v>
      </c>
      <c r="J11" s="196"/>
    </row>
    <row r="12" spans="2:10" x14ac:dyDescent="0.3">
      <c r="B12" s="51">
        <f t="shared" si="0"/>
        <v>10</v>
      </c>
      <c r="C12" s="83"/>
      <c r="D12" s="51"/>
      <c r="E12" s="51"/>
      <c r="F12" s="51"/>
      <c r="G12" s="51"/>
      <c r="H12" s="51"/>
      <c r="I12" s="53"/>
      <c r="J12" s="51"/>
    </row>
    <row r="13" spans="2:10" x14ac:dyDescent="0.3">
      <c r="B13" s="51">
        <f t="shared" si="0"/>
        <v>11</v>
      </c>
      <c r="C13" s="83"/>
      <c r="D13" s="83"/>
      <c r="E13" s="51"/>
      <c r="F13" s="51"/>
      <c r="G13" s="51"/>
      <c r="H13" s="51"/>
      <c r="I13" s="53"/>
      <c r="J13" s="51"/>
    </row>
    <row r="14" spans="2:10" x14ac:dyDescent="0.3">
      <c r="B14" s="51">
        <f t="shared" si="0"/>
        <v>12</v>
      </c>
      <c r="C14" s="83"/>
      <c r="D14" s="83"/>
      <c r="E14" s="51"/>
      <c r="F14" s="51"/>
      <c r="G14" s="51"/>
      <c r="H14" s="51"/>
      <c r="I14" s="53"/>
      <c r="J14" s="51"/>
    </row>
    <row r="15" spans="2:10" x14ac:dyDescent="0.3">
      <c r="B15" s="51">
        <f t="shared" si="0"/>
        <v>13</v>
      </c>
      <c r="C15" s="83"/>
      <c r="D15" s="83"/>
      <c r="E15" s="51"/>
      <c r="F15" s="51"/>
      <c r="G15" s="51"/>
      <c r="H15" s="51"/>
      <c r="I15" s="53"/>
      <c r="J15" s="51"/>
    </row>
    <row r="16" spans="2:10" x14ac:dyDescent="0.3">
      <c r="B16" s="51">
        <f t="shared" si="0"/>
        <v>14</v>
      </c>
      <c r="C16" s="83"/>
      <c r="D16" s="83"/>
      <c r="E16" s="51"/>
      <c r="F16" s="51"/>
      <c r="G16" s="51"/>
      <c r="H16" s="51"/>
      <c r="I16" s="53"/>
      <c r="J16" s="51"/>
    </row>
    <row r="17" spans="2:10" x14ac:dyDescent="0.3">
      <c r="B17" s="51">
        <f t="shared" si="0"/>
        <v>15</v>
      </c>
      <c r="C17" s="83"/>
      <c r="D17" s="83"/>
      <c r="E17" s="51"/>
      <c r="F17" s="51"/>
      <c r="G17" s="51"/>
      <c r="H17" s="51"/>
      <c r="I17" s="53"/>
      <c r="J17" s="51"/>
    </row>
    <row r="18" spans="2:10" x14ac:dyDescent="0.3">
      <c r="B18" s="51">
        <f t="shared" si="0"/>
        <v>16</v>
      </c>
      <c r="C18" s="83"/>
      <c r="D18" s="83"/>
      <c r="E18" s="51"/>
      <c r="F18" s="51"/>
      <c r="G18" s="51"/>
      <c r="H18" s="51"/>
      <c r="I18" s="53"/>
      <c r="J18" s="51"/>
    </row>
    <row r="19" spans="2:10" x14ac:dyDescent="0.3">
      <c r="B19" s="51">
        <f t="shared" si="0"/>
        <v>17</v>
      </c>
      <c r="C19" s="83"/>
      <c r="D19" s="83"/>
      <c r="E19" s="51"/>
      <c r="F19" s="51"/>
      <c r="G19" s="51"/>
      <c r="H19" s="51"/>
      <c r="I19" s="53"/>
      <c r="J19" s="51"/>
    </row>
    <row r="20" spans="2:10" x14ac:dyDescent="0.3">
      <c r="B20" s="51">
        <f t="shared" si="0"/>
        <v>18</v>
      </c>
      <c r="C20" s="83"/>
      <c r="D20" s="83"/>
      <c r="E20" s="51"/>
      <c r="F20" s="51"/>
      <c r="G20" s="51"/>
      <c r="H20" s="51"/>
      <c r="I20" s="53"/>
      <c r="J20" s="51"/>
    </row>
    <row r="21" spans="2:10" x14ac:dyDescent="0.3">
      <c r="B21" s="51">
        <f t="shared" si="0"/>
        <v>19</v>
      </c>
      <c r="C21" s="83"/>
      <c r="D21" s="83"/>
      <c r="E21" s="51"/>
      <c r="F21" s="51"/>
      <c r="G21" s="51"/>
      <c r="H21" s="51"/>
      <c r="I21" s="53"/>
      <c r="J21" s="51"/>
    </row>
    <row r="22" spans="2:10" x14ac:dyDescent="0.3">
      <c r="B22" s="51">
        <f t="shared" si="0"/>
        <v>20</v>
      </c>
      <c r="C22" s="83"/>
      <c r="D22" s="83"/>
      <c r="E22" s="51"/>
      <c r="F22" s="51"/>
      <c r="G22" s="51"/>
      <c r="H22" s="51"/>
      <c r="I22" s="53"/>
      <c r="J22" s="51"/>
    </row>
    <row r="23" spans="2:10" x14ac:dyDescent="0.3">
      <c r="B23" s="51">
        <f t="shared" si="0"/>
        <v>21</v>
      </c>
      <c r="C23" s="83"/>
      <c r="D23" s="83"/>
      <c r="E23" s="51"/>
      <c r="F23" s="51"/>
      <c r="G23" s="51"/>
      <c r="H23" s="51"/>
      <c r="I23" s="53"/>
      <c r="J23" s="51"/>
    </row>
    <row r="24" spans="2:10" x14ac:dyDescent="0.3">
      <c r="B24" s="51">
        <f t="shared" si="0"/>
        <v>22</v>
      </c>
      <c r="C24" s="83"/>
      <c r="D24" s="83"/>
      <c r="E24" s="51"/>
      <c r="F24" s="51"/>
      <c r="G24" s="51"/>
      <c r="H24" s="51"/>
      <c r="I24" s="53"/>
      <c r="J24" s="51"/>
    </row>
    <row r="25" spans="2:10" x14ac:dyDescent="0.3">
      <c r="B25" s="51">
        <f t="shared" si="0"/>
        <v>23</v>
      </c>
      <c r="C25" s="83"/>
      <c r="D25" s="83"/>
      <c r="E25" s="51"/>
      <c r="F25" s="51"/>
      <c r="G25" s="51"/>
      <c r="H25" s="51"/>
      <c r="I25" s="53"/>
      <c r="J25" s="51"/>
    </row>
    <row r="26" spans="2:10" x14ac:dyDescent="0.3">
      <c r="B26" s="51">
        <f t="shared" si="0"/>
        <v>24</v>
      </c>
      <c r="C26" s="83"/>
      <c r="D26" s="83"/>
      <c r="E26" s="51"/>
      <c r="F26" s="51"/>
      <c r="G26" s="51"/>
      <c r="H26" s="51"/>
      <c r="I26" s="53"/>
      <c r="J26" s="51"/>
    </row>
  </sheetData>
  <mergeCells count="1">
    <mergeCell ref="J3:J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41B5-A7B1-4D67-A161-FEFE0B0A368E}">
  <dimension ref="B2:J11"/>
  <sheetViews>
    <sheetView workbookViewId="0">
      <selection activeCell="B2" sqref="B2:J11"/>
    </sheetView>
  </sheetViews>
  <sheetFormatPr defaultColWidth="9.33203125" defaultRowHeight="14.4" x14ac:dyDescent="0.3"/>
  <cols>
    <col min="2" max="2" width="4.5546875" bestFit="1" customWidth="1"/>
    <col min="3" max="3" width="10.33203125" bestFit="1" customWidth="1"/>
    <col min="4" max="4" width="15.88671875" bestFit="1" customWidth="1"/>
    <col min="5" max="5" width="7.44140625" bestFit="1" customWidth="1"/>
    <col min="6" max="6" width="5.21875" bestFit="1" customWidth="1"/>
    <col min="7" max="7" width="7.88671875" bestFit="1" customWidth="1"/>
    <col min="8" max="8" width="31.88671875" bestFit="1" customWidth="1"/>
    <col min="9" max="9" width="9.5546875" bestFit="1" customWidth="1"/>
    <col min="10" max="10" width="9.88671875" bestFit="1" customWidth="1"/>
  </cols>
  <sheetData>
    <row r="2" spans="2:10" ht="15.6" x14ac:dyDescent="0.3">
      <c r="B2" s="85" t="s">
        <v>0</v>
      </c>
      <c r="C2" s="85" t="s">
        <v>1</v>
      </c>
      <c r="D2" s="85" t="s">
        <v>954</v>
      </c>
      <c r="E2" s="85" t="s">
        <v>953</v>
      </c>
      <c r="F2" s="85" t="s">
        <v>952</v>
      </c>
      <c r="G2" s="85" t="s">
        <v>951</v>
      </c>
      <c r="H2" s="85" t="s">
        <v>291</v>
      </c>
      <c r="I2" s="86" t="s">
        <v>5</v>
      </c>
      <c r="J2" s="85" t="s">
        <v>6</v>
      </c>
    </row>
    <row r="3" spans="2:10" x14ac:dyDescent="0.3">
      <c r="B3" s="51">
        <f>+'Prasad Expenses'!B43+1</f>
        <v>41</v>
      </c>
      <c r="C3" s="83">
        <v>46071</v>
      </c>
      <c r="D3" s="51" t="s">
        <v>435</v>
      </c>
      <c r="E3" s="51" t="s">
        <v>911</v>
      </c>
      <c r="F3" s="51" t="s">
        <v>910</v>
      </c>
      <c r="G3" s="51" t="s">
        <v>910</v>
      </c>
      <c r="H3" s="51" t="s">
        <v>930</v>
      </c>
      <c r="I3" s="53">
        <v>7000</v>
      </c>
      <c r="J3" s="51" t="s">
        <v>893</v>
      </c>
    </row>
    <row r="4" spans="2:10" ht="43.2" x14ac:dyDescent="0.3">
      <c r="B4" s="51">
        <f t="shared" ref="B4:B11" si="0">+B3+1</f>
        <v>42</v>
      </c>
      <c r="C4" s="83">
        <v>46071</v>
      </c>
      <c r="D4" s="51" t="s">
        <v>435</v>
      </c>
      <c r="E4" s="51" t="s">
        <v>911</v>
      </c>
      <c r="F4" s="51" t="s">
        <v>910</v>
      </c>
      <c r="G4" s="51" t="s">
        <v>910</v>
      </c>
      <c r="H4" s="84" t="s">
        <v>929</v>
      </c>
      <c r="I4" s="53">
        <v>35000</v>
      </c>
      <c r="J4" s="84" t="s">
        <v>831</v>
      </c>
    </row>
    <row r="5" spans="2:10" ht="43.2" x14ac:dyDescent="0.3">
      <c r="B5" s="51">
        <f t="shared" si="0"/>
        <v>43</v>
      </c>
      <c r="C5" s="83">
        <v>46071</v>
      </c>
      <c r="D5" s="51" t="s">
        <v>435</v>
      </c>
      <c r="E5" s="51" t="s">
        <v>911</v>
      </c>
      <c r="F5" s="51" t="s">
        <v>910</v>
      </c>
      <c r="G5" s="51" t="s">
        <v>910</v>
      </c>
      <c r="H5" s="51" t="s">
        <v>928</v>
      </c>
      <c r="I5" s="53">
        <v>7000</v>
      </c>
      <c r="J5" s="84" t="s">
        <v>831</v>
      </c>
    </row>
    <row r="6" spans="2:10" ht="43.2" x14ac:dyDescent="0.3">
      <c r="B6" s="51">
        <f t="shared" si="0"/>
        <v>44</v>
      </c>
      <c r="C6" s="83">
        <v>46071</v>
      </c>
      <c r="D6" s="51" t="s">
        <v>435</v>
      </c>
      <c r="E6" s="51" t="s">
        <v>911</v>
      </c>
      <c r="F6" s="51" t="s">
        <v>910</v>
      </c>
      <c r="G6" s="51" t="s">
        <v>910</v>
      </c>
      <c r="H6" s="51" t="s">
        <v>927</v>
      </c>
      <c r="I6" s="53">
        <v>7000</v>
      </c>
      <c r="J6" s="84" t="s">
        <v>831</v>
      </c>
    </row>
    <row r="7" spans="2:10" ht="43.2" x14ac:dyDescent="0.3">
      <c r="B7" s="51">
        <f t="shared" si="0"/>
        <v>45</v>
      </c>
      <c r="C7" s="83">
        <v>46071</v>
      </c>
      <c r="D7" s="51" t="s">
        <v>435</v>
      </c>
      <c r="E7" s="51" t="s">
        <v>911</v>
      </c>
      <c r="F7" s="51" t="s">
        <v>910</v>
      </c>
      <c r="G7" s="51" t="s">
        <v>910</v>
      </c>
      <c r="H7" s="51" t="s">
        <v>926</v>
      </c>
      <c r="I7" s="53">
        <v>35000</v>
      </c>
      <c r="J7" s="84" t="s">
        <v>831</v>
      </c>
    </row>
    <row r="8" spans="2:10" ht="43.2" x14ac:dyDescent="0.3">
      <c r="B8" s="51">
        <f t="shared" si="0"/>
        <v>46</v>
      </c>
      <c r="C8" s="83">
        <v>46071</v>
      </c>
      <c r="D8" s="51" t="s">
        <v>435</v>
      </c>
      <c r="E8" s="51" t="s">
        <v>911</v>
      </c>
      <c r="F8" s="51" t="s">
        <v>910</v>
      </c>
      <c r="G8" s="51" t="s">
        <v>910</v>
      </c>
      <c r="H8" s="51" t="s">
        <v>925</v>
      </c>
      <c r="I8" s="53">
        <v>35000</v>
      </c>
      <c r="J8" s="84" t="s">
        <v>831</v>
      </c>
    </row>
    <row r="9" spans="2:10" ht="43.2" x14ac:dyDescent="0.3">
      <c r="B9" s="51">
        <f t="shared" si="0"/>
        <v>47</v>
      </c>
      <c r="C9" s="83">
        <v>46071</v>
      </c>
      <c r="D9" s="51" t="s">
        <v>435</v>
      </c>
      <c r="E9" s="51" t="s">
        <v>911</v>
      </c>
      <c r="F9" s="51" t="s">
        <v>910</v>
      </c>
      <c r="G9" s="51" t="s">
        <v>910</v>
      </c>
      <c r="H9" s="51" t="s">
        <v>924</v>
      </c>
      <c r="I9" s="53">
        <v>10000</v>
      </c>
      <c r="J9" s="84" t="s">
        <v>831</v>
      </c>
    </row>
    <row r="10" spans="2:10" ht="43.2" x14ac:dyDescent="0.3">
      <c r="B10" s="51">
        <f t="shared" si="0"/>
        <v>48</v>
      </c>
      <c r="C10" s="83">
        <v>46071</v>
      </c>
      <c r="D10" s="51" t="s">
        <v>435</v>
      </c>
      <c r="E10" s="51" t="s">
        <v>911</v>
      </c>
      <c r="F10" s="51" t="s">
        <v>910</v>
      </c>
      <c r="G10" s="51" t="s">
        <v>910</v>
      </c>
      <c r="H10" s="51" t="s">
        <v>923</v>
      </c>
      <c r="I10" s="53">
        <v>7000</v>
      </c>
      <c r="J10" s="84" t="s">
        <v>831</v>
      </c>
    </row>
    <row r="11" spans="2:10" ht="43.2" x14ac:dyDescent="0.3">
      <c r="B11" s="51">
        <f t="shared" si="0"/>
        <v>49</v>
      </c>
      <c r="C11" s="83">
        <v>46071</v>
      </c>
      <c r="D11" s="51" t="s">
        <v>435</v>
      </c>
      <c r="E11" s="51" t="s">
        <v>911</v>
      </c>
      <c r="F11" s="51" t="s">
        <v>910</v>
      </c>
      <c r="G11" s="51" t="s">
        <v>910</v>
      </c>
      <c r="H11" s="51" t="s">
        <v>922</v>
      </c>
      <c r="I11" s="53">
        <v>30000</v>
      </c>
      <c r="J11" s="84" t="s">
        <v>831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21FB-F801-4F62-94EC-84B82A6E4791}">
  <dimension ref="B1:X1730"/>
  <sheetViews>
    <sheetView showGridLines="0" zoomScale="98" zoomScaleNormal="100" workbookViewId="0">
      <pane ySplit="3" topLeftCell="A4" activePane="bottomLeft" state="frozen"/>
      <selection activeCell="D78" sqref="D78"/>
      <selection pane="bottomLeft" activeCell="O19" sqref="O19"/>
    </sheetView>
  </sheetViews>
  <sheetFormatPr defaultColWidth="9" defaultRowHeight="14.4" x14ac:dyDescent="0.3"/>
  <cols>
    <col min="1" max="1" width="13.6640625" style="88" bestFit="1" customWidth="1"/>
    <col min="2" max="2" width="4.33203125" style="88" bestFit="1" customWidth="1"/>
    <col min="3" max="3" width="5.88671875" style="88" bestFit="1" customWidth="1"/>
    <col min="4" max="4" width="9.44140625" style="88" bestFit="1" customWidth="1"/>
    <col min="5" max="5" width="13" style="88" bestFit="1" customWidth="1"/>
    <col min="6" max="6" width="11.109375" style="88" bestFit="1" customWidth="1"/>
    <col min="7" max="7" width="16.88671875" style="88" bestFit="1" customWidth="1"/>
    <col min="8" max="8" width="25.6640625" style="88" bestFit="1" customWidth="1"/>
    <col min="9" max="9" width="22.44140625" style="88" bestFit="1" customWidth="1"/>
    <col min="10" max="10" width="19.33203125" style="88" bestFit="1" customWidth="1"/>
    <col min="11" max="11" width="19.33203125" style="88" customWidth="1"/>
    <col min="12" max="12" width="5.44140625" style="88" bestFit="1" customWidth="1"/>
    <col min="13" max="13" width="7.33203125" style="90" bestFit="1" customWidth="1"/>
    <col min="14" max="14" width="7.33203125" style="89" bestFit="1" customWidth="1"/>
    <col min="15" max="15" width="8.88671875" style="89" bestFit="1" customWidth="1"/>
    <col min="16" max="16" width="8" style="88" hidden="1" customWidth="1"/>
    <col min="17" max="17" width="8.5546875" style="88" hidden="1" customWidth="1"/>
    <col min="18" max="18" width="15.5546875" style="88" bestFit="1" customWidth="1"/>
    <col min="19" max="19" width="11" style="88" bestFit="1" customWidth="1"/>
    <col min="20" max="20" width="12" style="88" bestFit="1" customWidth="1"/>
    <col min="21" max="21" width="11.44140625" style="88" bestFit="1" customWidth="1"/>
    <col min="22" max="22" width="16.21875" style="88" bestFit="1" customWidth="1"/>
    <col min="23" max="23" width="12.44140625" style="88" bestFit="1" customWidth="1"/>
    <col min="24" max="24" width="14.6640625" style="88" bestFit="1" customWidth="1"/>
    <col min="25" max="16384" width="9" style="88"/>
  </cols>
  <sheetData>
    <row r="1" spans="2:20" ht="15" thickBot="1" x14ac:dyDescent="0.35">
      <c r="B1" s="197" t="s">
        <v>956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9"/>
    </row>
    <row r="2" spans="2:20" x14ac:dyDescent="0.3">
      <c r="B2" s="200" t="s">
        <v>2578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2"/>
    </row>
    <row r="3" spans="2:20" ht="12" customHeight="1" x14ac:dyDescent="0.3">
      <c r="B3" s="116" t="s">
        <v>0</v>
      </c>
      <c r="C3" s="116" t="s">
        <v>2577</v>
      </c>
      <c r="D3" s="116" t="s">
        <v>1</v>
      </c>
      <c r="E3" s="116" t="s">
        <v>2576</v>
      </c>
      <c r="F3" s="116" t="s">
        <v>2575</v>
      </c>
      <c r="G3" s="116" t="s">
        <v>2574</v>
      </c>
      <c r="H3" s="119" t="s">
        <v>2573</v>
      </c>
      <c r="I3" s="116" t="s">
        <v>951</v>
      </c>
      <c r="J3" s="116" t="s">
        <v>2572</v>
      </c>
      <c r="K3" s="116" t="s">
        <v>237</v>
      </c>
      <c r="L3" s="116" t="s">
        <v>2571</v>
      </c>
      <c r="M3" s="118" t="s">
        <v>2570</v>
      </c>
      <c r="N3" s="117" t="s">
        <v>239</v>
      </c>
      <c r="O3" s="117" t="s">
        <v>5</v>
      </c>
      <c r="P3" s="116" t="s">
        <v>2569</v>
      </c>
      <c r="Q3" s="116" t="s">
        <v>2568</v>
      </c>
      <c r="R3" s="116" t="s">
        <v>2567</v>
      </c>
      <c r="T3" s="115" t="s">
        <v>2032</v>
      </c>
    </row>
    <row r="4" spans="2:20" ht="12" customHeight="1" x14ac:dyDescent="0.3">
      <c r="B4" s="98">
        <v>1</v>
      </c>
      <c r="C4" s="97" t="str">
        <f t="shared" ref="C4:C67" si="0">CONCATENATE(TEXT(D4,"mmm"),"-",TEXT(D4,"yy"))</f>
        <v>Mar-26</v>
      </c>
      <c r="D4" s="96">
        <v>46109</v>
      </c>
      <c r="E4" s="95">
        <v>423</v>
      </c>
      <c r="F4" s="95">
        <v>1</v>
      </c>
      <c r="G4" s="95" t="s">
        <v>2402</v>
      </c>
      <c r="H4" s="94" t="s">
        <v>2409</v>
      </c>
      <c r="I4" s="94" t="s">
        <v>2555</v>
      </c>
      <c r="J4" s="91" t="s">
        <v>2554</v>
      </c>
      <c r="K4" s="91" t="s">
        <v>2397</v>
      </c>
      <c r="L4" s="94">
        <v>7</v>
      </c>
      <c r="M4" s="93">
        <v>7</v>
      </c>
      <c r="N4" s="92">
        <v>4700</v>
      </c>
      <c r="O4" s="92">
        <f t="shared" ref="O4:O67" si="1">SUM(N4*M4)</f>
        <v>32900</v>
      </c>
      <c r="P4" s="91">
        <f t="shared" ref="P4:P67" si="2">O4*1%</f>
        <v>329</v>
      </c>
      <c r="Q4" s="91">
        <f t="shared" ref="Q4:Q67" si="3">O4-P4</f>
        <v>32571</v>
      </c>
      <c r="R4" s="91"/>
      <c r="T4" s="114" t="s">
        <v>963</v>
      </c>
    </row>
    <row r="5" spans="2:20" ht="12" customHeight="1" x14ac:dyDescent="0.3">
      <c r="B5" s="98">
        <f t="shared" ref="B5:B68" si="4">+B4+1</f>
        <v>2</v>
      </c>
      <c r="C5" s="97" t="str">
        <f t="shared" si="0"/>
        <v>Mar-26</v>
      </c>
      <c r="D5" s="96">
        <v>46109</v>
      </c>
      <c r="E5" s="95">
        <v>424</v>
      </c>
      <c r="F5" s="95">
        <v>2</v>
      </c>
      <c r="G5" s="95" t="s">
        <v>2402</v>
      </c>
      <c r="H5" s="94" t="s">
        <v>2409</v>
      </c>
      <c r="I5" s="94" t="s">
        <v>2555</v>
      </c>
      <c r="J5" s="91" t="s">
        <v>2563</v>
      </c>
      <c r="K5" s="91" t="s">
        <v>2397</v>
      </c>
      <c r="L5" s="94">
        <v>7</v>
      </c>
      <c r="M5" s="93">
        <v>7</v>
      </c>
      <c r="N5" s="92">
        <v>4700</v>
      </c>
      <c r="O5" s="92">
        <f t="shared" si="1"/>
        <v>32900</v>
      </c>
      <c r="P5" s="91">
        <f t="shared" si="2"/>
        <v>329</v>
      </c>
      <c r="Q5" s="91">
        <f t="shared" si="3"/>
        <v>32571</v>
      </c>
      <c r="R5" s="91"/>
      <c r="T5" s="114" t="s">
        <v>2484</v>
      </c>
    </row>
    <row r="6" spans="2:20" ht="12" customHeight="1" x14ac:dyDescent="0.3">
      <c r="B6" s="98">
        <f t="shared" si="4"/>
        <v>3</v>
      </c>
      <c r="C6" s="97" t="str">
        <f t="shared" si="0"/>
        <v>Mar-26</v>
      </c>
      <c r="D6" s="96">
        <v>46105</v>
      </c>
      <c r="E6" s="95">
        <v>57</v>
      </c>
      <c r="F6" s="95">
        <v>6519</v>
      </c>
      <c r="G6" s="95" t="s">
        <v>2402</v>
      </c>
      <c r="H6" s="94" t="s">
        <v>2401</v>
      </c>
      <c r="I6" s="94" t="s">
        <v>359</v>
      </c>
      <c r="J6" s="91" t="s">
        <v>359</v>
      </c>
      <c r="K6" s="91" t="s">
        <v>2397</v>
      </c>
      <c r="L6" s="94">
        <v>7</v>
      </c>
      <c r="M6" s="93">
        <v>7</v>
      </c>
      <c r="N6" s="92">
        <v>4400</v>
      </c>
      <c r="O6" s="92">
        <f t="shared" si="1"/>
        <v>30800</v>
      </c>
      <c r="P6" s="91">
        <f t="shared" si="2"/>
        <v>308</v>
      </c>
      <c r="Q6" s="91">
        <f t="shared" si="3"/>
        <v>30492</v>
      </c>
      <c r="R6" s="91"/>
      <c r="T6" s="114" t="s">
        <v>2547</v>
      </c>
    </row>
    <row r="7" spans="2:20" ht="12" customHeight="1" x14ac:dyDescent="0.3">
      <c r="B7" s="98">
        <f t="shared" si="4"/>
        <v>4</v>
      </c>
      <c r="C7" s="97" t="str">
        <f t="shared" si="0"/>
        <v>Mar-26</v>
      </c>
      <c r="D7" s="96">
        <v>46108</v>
      </c>
      <c r="E7" s="95">
        <v>64</v>
      </c>
      <c r="F7" s="95">
        <v>6519</v>
      </c>
      <c r="G7" s="95" t="s">
        <v>2402</v>
      </c>
      <c r="H7" s="94" t="s">
        <v>2401</v>
      </c>
      <c r="I7" s="94" t="s">
        <v>359</v>
      </c>
      <c r="J7" s="91" t="s">
        <v>359</v>
      </c>
      <c r="K7" s="91" t="s">
        <v>2397</v>
      </c>
      <c r="L7" s="94">
        <v>7</v>
      </c>
      <c r="M7" s="93">
        <v>7</v>
      </c>
      <c r="N7" s="92">
        <v>4400</v>
      </c>
      <c r="O7" s="92">
        <f t="shared" si="1"/>
        <v>30800</v>
      </c>
      <c r="P7" s="91">
        <f t="shared" si="2"/>
        <v>308</v>
      </c>
      <c r="Q7" s="91">
        <f t="shared" si="3"/>
        <v>30492</v>
      </c>
      <c r="R7" s="91"/>
      <c r="T7" s="114" t="s">
        <v>2566</v>
      </c>
    </row>
    <row r="8" spans="2:20" ht="12" customHeight="1" x14ac:dyDescent="0.3">
      <c r="B8" s="98">
        <f t="shared" si="4"/>
        <v>5</v>
      </c>
      <c r="C8" s="97" t="str">
        <f t="shared" si="0"/>
        <v>Mar-26</v>
      </c>
      <c r="D8" s="96">
        <v>46109</v>
      </c>
      <c r="E8" s="95">
        <v>65</v>
      </c>
      <c r="F8" s="95">
        <v>3917</v>
      </c>
      <c r="G8" s="95" t="s">
        <v>2402</v>
      </c>
      <c r="H8" s="94" t="s">
        <v>2401</v>
      </c>
      <c r="I8" s="94" t="s">
        <v>313</v>
      </c>
      <c r="J8" s="91" t="s">
        <v>313</v>
      </c>
      <c r="K8" s="91" t="s">
        <v>2397</v>
      </c>
      <c r="L8" s="94">
        <v>6</v>
      </c>
      <c r="M8" s="93">
        <v>6</v>
      </c>
      <c r="N8" s="92">
        <v>4400</v>
      </c>
      <c r="O8" s="92">
        <f t="shared" si="1"/>
        <v>26400</v>
      </c>
      <c r="P8" s="91">
        <f t="shared" si="2"/>
        <v>264</v>
      </c>
      <c r="Q8" s="91">
        <f t="shared" si="3"/>
        <v>26136</v>
      </c>
      <c r="R8" s="91"/>
      <c r="T8" s="114" t="s">
        <v>2565</v>
      </c>
    </row>
    <row r="9" spans="2:20" ht="12" customHeight="1" x14ac:dyDescent="0.3">
      <c r="B9" s="98">
        <f t="shared" si="4"/>
        <v>6</v>
      </c>
      <c r="C9" s="97" t="str">
        <f t="shared" si="0"/>
        <v>Mar-26</v>
      </c>
      <c r="D9" s="96">
        <v>46109</v>
      </c>
      <c r="E9" s="95">
        <v>66</v>
      </c>
      <c r="F9" s="95">
        <v>2428</v>
      </c>
      <c r="G9" s="95" t="s">
        <v>2402</v>
      </c>
      <c r="H9" s="94" t="s">
        <v>2401</v>
      </c>
      <c r="I9" s="94" t="s">
        <v>359</v>
      </c>
      <c r="J9" s="91" t="s">
        <v>359</v>
      </c>
      <c r="K9" s="91" t="s">
        <v>2397</v>
      </c>
      <c r="L9" s="94">
        <v>7</v>
      </c>
      <c r="M9" s="93">
        <v>7</v>
      </c>
      <c r="N9" s="92">
        <v>4400</v>
      </c>
      <c r="O9" s="92">
        <f t="shared" si="1"/>
        <v>30800</v>
      </c>
      <c r="P9" s="91">
        <f t="shared" si="2"/>
        <v>308</v>
      </c>
      <c r="Q9" s="91">
        <f t="shared" si="3"/>
        <v>30492</v>
      </c>
      <c r="R9" s="91"/>
      <c r="T9" s="114" t="s">
        <v>2564</v>
      </c>
    </row>
    <row r="10" spans="2:20" ht="12" customHeight="1" x14ac:dyDescent="0.3">
      <c r="B10" s="98">
        <f t="shared" si="4"/>
        <v>7</v>
      </c>
      <c r="C10" s="97" t="str">
        <f t="shared" si="0"/>
        <v>Mar-26</v>
      </c>
      <c r="D10" s="96">
        <v>46111</v>
      </c>
      <c r="E10" s="95">
        <v>67</v>
      </c>
      <c r="F10" s="95">
        <v>3917</v>
      </c>
      <c r="G10" s="95" t="s">
        <v>2402</v>
      </c>
      <c r="H10" s="94" t="s">
        <v>2401</v>
      </c>
      <c r="I10" s="94" t="s">
        <v>313</v>
      </c>
      <c r="J10" s="91" t="s">
        <v>313</v>
      </c>
      <c r="K10" s="91" t="s">
        <v>2397</v>
      </c>
      <c r="L10" s="94">
        <v>6</v>
      </c>
      <c r="M10" s="93">
        <v>6</v>
      </c>
      <c r="N10" s="92">
        <v>4400</v>
      </c>
      <c r="O10" s="92">
        <f t="shared" si="1"/>
        <v>26400</v>
      </c>
      <c r="P10" s="91">
        <f t="shared" si="2"/>
        <v>264</v>
      </c>
      <c r="Q10" s="91">
        <f t="shared" si="3"/>
        <v>26136</v>
      </c>
      <c r="R10" s="91"/>
      <c r="T10" s="114" t="s">
        <v>2457</v>
      </c>
    </row>
    <row r="11" spans="2:20" ht="12" customHeight="1" x14ac:dyDescent="0.3">
      <c r="B11" s="98">
        <f t="shared" si="4"/>
        <v>8</v>
      </c>
      <c r="C11" s="97" t="str">
        <f t="shared" si="0"/>
        <v>Mar-26</v>
      </c>
      <c r="D11" s="96">
        <v>46110</v>
      </c>
      <c r="E11" s="95">
        <v>431</v>
      </c>
      <c r="F11" s="95">
        <v>359</v>
      </c>
      <c r="G11" s="95" t="s">
        <v>2402</v>
      </c>
      <c r="H11" s="94" t="s">
        <v>2409</v>
      </c>
      <c r="I11" s="94" t="s">
        <v>2555</v>
      </c>
      <c r="J11" s="91" t="s">
        <v>2563</v>
      </c>
      <c r="K11" s="91" t="s">
        <v>2397</v>
      </c>
      <c r="L11" s="94">
        <v>7</v>
      </c>
      <c r="M11" s="93">
        <v>7</v>
      </c>
      <c r="N11" s="92">
        <v>4700</v>
      </c>
      <c r="O11" s="92">
        <f t="shared" si="1"/>
        <v>32900</v>
      </c>
      <c r="P11" s="91">
        <f t="shared" si="2"/>
        <v>329</v>
      </c>
      <c r="Q11" s="91">
        <f t="shared" si="3"/>
        <v>32571</v>
      </c>
      <c r="R11" s="91"/>
      <c r="T11" s="114" t="s">
        <v>2427</v>
      </c>
    </row>
    <row r="12" spans="2:20" ht="12" customHeight="1" x14ac:dyDescent="0.3">
      <c r="B12" s="98">
        <f t="shared" si="4"/>
        <v>9</v>
      </c>
      <c r="C12" s="97" t="str">
        <f t="shared" si="0"/>
        <v>Mar-26</v>
      </c>
      <c r="D12" s="96">
        <v>46112</v>
      </c>
      <c r="E12" s="95">
        <v>68</v>
      </c>
      <c r="F12" s="95">
        <v>3919</v>
      </c>
      <c r="G12" s="95" t="s">
        <v>2402</v>
      </c>
      <c r="H12" s="94" t="s">
        <v>2401</v>
      </c>
      <c r="I12" s="94" t="s">
        <v>359</v>
      </c>
      <c r="J12" s="91" t="s">
        <v>359</v>
      </c>
      <c r="K12" s="91" t="s">
        <v>2397</v>
      </c>
      <c r="L12" s="94">
        <v>7</v>
      </c>
      <c r="M12" s="93">
        <v>7</v>
      </c>
      <c r="N12" s="92">
        <v>4400</v>
      </c>
      <c r="O12" s="92">
        <f t="shared" si="1"/>
        <v>30800</v>
      </c>
      <c r="P12" s="91">
        <f t="shared" si="2"/>
        <v>308</v>
      </c>
      <c r="Q12" s="91">
        <f t="shared" si="3"/>
        <v>30492</v>
      </c>
      <c r="R12" s="91"/>
      <c r="T12" s="114" t="s">
        <v>532</v>
      </c>
    </row>
    <row r="13" spans="2:20" ht="12" customHeight="1" x14ac:dyDescent="0.3">
      <c r="B13" s="98">
        <f t="shared" si="4"/>
        <v>10</v>
      </c>
      <c r="C13" s="97" t="str">
        <f t="shared" si="0"/>
        <v>Mar-26</v>
      </c>
      <c r="D13" s="96">
        <v>46112</v>
      </c>
      <c r="E13" s="95">
        <v>443</v>
      </c>
      <c r="F13" s="95">
        <v>360</v>
      </c>
      <c r="G13" s="95" t="s">
        <v>2402</v>
      </c>
      <c r="H13" s="94" t="s">
        <v>2409</v>
      </c>
      <c r="I13" s="94" t="s">
        <v>2555</v>
      </c>
      <c r="J13" s="91" t="s">
        <v>2562</v>
      </c>
      <c r="K13" s="91" t="s">
        <v>2397</v>
      </c>
      <c r="L13" s="94">
        <v>7</v>
      </c>
      <c r="M13" s="93">
        <v>7</v>
      </c>
      <c r="N13" s="92">
        <v>4700</v>
      </c>
      <c r="O13" s="92">
        <f t="shared" si="1"/>
        <v>32900</v>
      </c>
      <c r="P13" s="91">
        <f t="shared" si="2"/>
        <v>329</v>
      </c>
      <c r="Q13" s="91">
        <f t="shared" si="3"/>
        <v>32571</v>
      </c>
      <c r="R13" s="91"/>
      <c r="T13" s="114" t="s">
        <v>908</v>
      </c>
    </row>
    <row r="14" spans="2:20" ht="12" customHeight="1" x14ac:dyDescent="0.3">
      <c r="B14" s="98">
        <f t="shared" si="4"/>
        <v>11</v>
      </c>
      <c r="C14" s="97" t="str">
        <f t="shared" si="0"/>
        <v>Apr-26</v>
      </c>
      <c r="D14" s="96">
        <v>46114</v>
      </c>
      <c r="E14" s="95">
        <v>70</v>
      </c>
      <c r="F14" s="95">
        <v>3919</v>
      </c>
      <c r="G14" s="95" t="s">
        <v>2402</v>
      </c>
      <c r="H14" s="94" t="s">
        <v>2401</v>
      </c>
      <c r="I14" s="94" t="s">
        <v>2555</v>
      </c>
      <c r="J14" s="91" t="s">
        <v>2424</v>
      </c>
      <c r="K14" s="91" t="s">
        <v>2397</v>
      </c>
      <c r="L14" s="94">
        <v>6</v>
      </c>
      <c r="M14" s="93">
        <v>6</v>
      </c>
      <c r="N14" s="92"/>
      <c r="O14" s="92">
        <f t="shared" si="1"/>
        <v>0</v>
      </c>
      <c r="P14" s="91">
        <f t="shared" si="2"/>
        <v>0</v>
      </c>
      <c r="Q14" s="91">
        <f t="shared" si="3"/>
        <v>0</v>
      </c>
      <c r="R14" s="91"/>
      <c r="T14" s="113" t="s">
        <v>2397</v>
      </c>
    </row>
    <row r="15" spans="2:20" ht="12" customHeight="1" x14ac:dyDescent="0.3">
      <c r="B15" s="98">
        <f t="shared" si="4"/>
        <v>12</v>
      </c>
      <c r="C15" s="97" t="str">
        <f t="shared" si="0"/>
        <v>Apr-26</v>
      </c>
      <c r="D15" s="96">
        <v>46114</v>
      </c>
      <c r="E15" s="95">
        <v>69</v>
      </c>
      <c r="F15" s="95">
        <v>6519</v>
      </c>
      <c r="G15" s="95" t="s">
        <v>2402</v>
      </c>
      <c r="H15" s="94" t="s">
        <v>2401</v>
      </c>
      <c r="I15" s="94" t="s">
        <v>359</v>
      </c>
      <c r="J15" s="91" t="s">
        <v>2561</v>
      </c>
      <c r="K15" s="91" t="s">
        <v>2397</v>
      </c>
      <c r="L15" s="94">
        <v>6</v>
      </c>
      <c r="M15" s="93">
        <v>6</v>
      </c>
      <c r="N15" s="92"/>
      <c r="O15" s="92">
        <f t="shared" si="1"/>
        <v>0</v>
      </c>
      <c r="P15" s="91">
        <f t="shared" si="2"/>
        <v>0</v>
      </c>
      <c r="Q15" s="91">
        <f t="shared" si="3"/>
        <v>0</v>
      </c>
      <c r="R15" s="91"/>
      <c r="T15" s="113" t="s">
        <v>2493</v>
      </c>
    </row>
    <row r="16" spans="2:20" ht="12" customHeight="1" x14ac:dyDescent="0.3">
      <c r="B16" s="98">
        <f t="shared" si="4"/>
        <v>13</v>
      </c>
      <c r="C16" s="97" t="str">
        <f t="shared" si="0"/>
        <v>Apr-26</v>
      </c>
      <c r="D16" s="96">
        <v>46115</v>
      </c>
      <c r="E16" s="95">
        <v>72</v>
      </c>
      <c r="F16" s="95">
        <v>6519</v>
      </c>
      <c r="G16" s="95" t="s">
        <v>2402</v>
      </c>
      <c r="H16" s="94" t="s">
        <v>2401</v>
      </c>
      <c r="I16" s="94" t="s">
        <v>359</v>
      </c>
      <c r="J16" s="91" t="s">
        <v>2561</v>
      </c>
      <c r="K16" s="91" t="s">
        <v>2397</v>
      </c>
      <c r="L16" s="94">
        <v>6</v>
      </c>
      <c r="M16" s="93">
        <v>6</v>
      </c>
      <c r="N16" s="92"/>
      <c r="O16" s="92">
        <f t="shared" si="1"/>
        <v>0</v>
      </c>
      <c r="P16" s="91">
        <f t="shared" si="2"/>
        <v>0</v>
      </c>
      <c r="Q16" s="91">
        <f t="shared" si="3"/>
        <v>0</v>
      </c>
      <c r="R16" s="91"/>
      <c r="T16" s="113" t="s">
        <v>2560</v>
      </c>
    </row>
    <row r="17" spans="2:24" ht="12" customHeight="1" x14ac:dyDescent="0.3">
      <c r="B17" s="98">
        <f t="shared" si="4"/>
        <v>14</v>
      </c>
      <c r="C17" s="97" t="str">
        <f t="shared" si="0"/>
        <v>Apr-26</v>
      </c>
      <c r="D17" s="96">
        <v>46115</v>
      </c>
      <c r="E17" s="95">
        <v>71</v>
      </c>
      <c r="F17" s="95">
        <v>3919</v>
      </c>
      <c r="G17" s="95" t="s">
        <v>2402</v>
      </c>
      <c r="H17" s="94" t="s">
        <v>2401</v>
      </c>
      <c r="I17" s="94" t="s">
        <v>313</v>
      </c>
      <c r="J17" s="91" t="s">
        <v>2559</v>
      </c>
      <c r="K17" s="91" t="s">
        <v>2397</v>
      </c>
      <c r="L17" s="94">
        <v>6</v>
      </c>
      <c r="M17" s="93">
        <v>6</v>
      </c>
      <c r="N17" s="92"/>
      <c r="O17" s="92">
        <f t="shared" si="1"/>
        <v>0</v>
      </c>
      <c r="P17" s="91">
        <f t="shared" si="2"/>
        <v>0</v>
      </c>
      <c r="Q17" s="91">
        <f t="shared" si="3"/>
        <v>0</v>
      </c>
      <c r="R17" s="91"/>
    </row>
    <row r="18" spans="2:24" ht="12" customHeight="1" x14ac:dyDescent="0.3">
      <c r="B18" s="98">
        <f t="shared" si="4"/>
        <v>15</v>
      </c>
      <c r="C18" s="97" t="str">
        <f t="shared" si="0"/>
        <v>Apr-26</v>
      </c>
      <c r="D18" s="96">
        <v>46115</v>
      </c>
      <c r="E18" s="95">
        <v>70</v>
      </c>
      <c r="F18" s="95" t="s">
        <v>2558</v>
      </c>
      <c r="G18" s="95" t="s">
        <v>2550</v>
      </c>
      <c r="H18" s="94" t="s">
        <v>2549</v>
      </c>
      <c r="I18" s="94" t="s">
        <v>352</v>
      </c>
      <c r="J18" s="91" t="s">
        <v>2548</v>
      </c>
      <c r="K18" s="91" t="s">
        <v>2547</v>
      </c>
      <c r="L18" s="94">
        <v>12.16</v>
      </c>
      <c r="M18" s="93">
        <v>12.16</v>
      </c>
      <c r="N18" s="92">
        <v>900</v>
      </c>
      <c r="O18" s="92">
        <f>SUM(N18*M18)</f>
        <v>10944</v>
      </c>
      <c r="P18" s="91">
        <f t="shared" si="2"/>
        <v>109.44</v>
      </c>
      <c r="Q18" s="91">
        <f t="shared" si="3"/>
        <v>10834.56</v>
      </c>
      <c r="R18" s="91"/>
    </row>
    <row r="19" spans="2:24" ht="12" customHeight="1" x14ac:dyDescent="0.3">
      <c r="B19" s="98">
        <f t="shared" si="4"/>
        <v>16</v>
      </c>
      <c r="C19" s="97" t="str">
        <f t="shared" si="0"/>
        <v>Apr-26</v>
      </c>
      <c r="D19" s="96">
        <v>46115</v>
      </c>
      <c r="E19" s="95">
        <v>352</v>
      </c>
      <c r="F19" s="95" t="s">
        <v>2556</v>
      </c>
      <c r="G19" s="95" t="s">
        <v>2426</v>
      </c>
      <c r="H19" s="94" t="s">
        <v>2552</v>
      </c>
      <c r="I19" s="94" t="s">
        <v>352</v>
      </c>
      <c r="J19" s="91" t="s">
        <v>2548</v>
      </c>
      <c r="K19" s="91" t="s">
        <v>963</v>
      </c>
      <c r="L19" s="94">
        <v>700</v>
      </c>
      <c r="M19" s="93">
        <v>700</v>
      </c>
      <c r="N19" s="92"/>
      <c r="O19" s="92">
        <f t="shared" si="1"/>
        <v>0</v>
      </c>
      <c r="P19" s="91">
        <f t="shared" si="2"/>
        <v>0</v>
      </c>
      <c r="Q19" s="91">
        <f t="shared" si="3"/>
        <v>0</v>
      </c>
      <c r="R19" s="91"/>
    </row>
    <row r="20" spans="2:24" ht="12" customHeight="1" x14ac:dyDescent="0.3">
      <c r="B20" s="98">
        <f t="shared" si="4"/>
        <v>17</v>
      </c>
      <c r="C20" s="97" t="str">
        <f t="shared" si="0"/>
        <v>Apr-26</v>
      </c>
      <c r="D20" s="96">
        <v>46115</v>
      </c>
      <c r="E20" s="95">
        <v>71</v>
      </c>
      <c r="F20" s="95" t="s">
        <v>2551</v>
      </c>
      <c r="G20" s="95" t="s">
        <v>2550</v>
      </c>
      <c r="H20" s="94" t="s">
        <v>2549</v>
      </c>
      <c r="I20" s="94" t="s">
        <v>352</v>
      </c>
      <c r="J20" s="91" t="s">
        <v>2548</v>
      </c>
      <c r="K20" s="91" t="s">
        <v>2484</v>
      </c>
      <c r="L20" s="94">
        <v>10.62</v>
      </c>
      <c r="M20" s="93">
        <v>10.62</v>
      </c>
      <c r="N20" s="92">
        <v>550</v>
      </c>
      <c r="O20" s="92">
        <f t="shared" si="1"/>
        <v>5841</v>
      </c>
      <c r="P20" s="91">
        <f t="shared" si="2"/>
        <v>58.410000000000004</v>
      </c>
      <c r="Q20" s="91">
        <f t="shared" si="3"/>
        <v>5782.59</v>
      </c>
      <c r="R20" s="91"/>
    </row>
    <row r="21" spans="2:24" ht="12" customHeight="1" x14ac:dyDescent="0.3">
      <c r="B21" s="98">
        <f t="shared" si="4"/>
        <v>18</v>
      </c>
      <c r="C21" s="97" t="str">
        <f t="shared" si="0"/>
        <v>Apr-26</v>
      </c>
      <c r="D21" s="96">
        <v>46115</v>
      </c>
      <c r="E21" s="95">
        <v>70</v>
      </c>
      <c r="F21" s="95" t="s">
        <v>2558</v>
      </c>
      <c r="G21" s="95" t="s">
        <v>2550</v>
      </c>
      <c r="H21" s="94" t="s">
        <v>2549</v>
      </c>
      <c r="I21" s="94" t="s">
        <v>352</v>
      </c>
      <c r="J21" s="91" t="s">
        <v>2548</v>
      </c>
      <c r="K21" s="91" t="s">
        <v>2547</v>
      </c>
      <c r="L21" s="94">
        <v>12.16</v>
      </c>
      <c r="M21" s="93" t="s">
        <v>2557</v>
      </c>
      <c r="N21" s="92">
        <v>900</v>
      </c>
      <c r="O21" s="92" t="e">
        <f t="shared" si="1"/>
        <v>#VALUE!</v>
      </c>
      <c r="P21" s="91" t="e">
        <f t="shared" si="2"/>
        <v>#VALUE!</v>
      </c>
      <c r="Q21" s="91" t="e">
        <f t="shared" si="3"/>
        <v>#VALUE!</v>
      </c>
      <c r="R21" s="91"/>
    </row>
    <row r="22" spans="2:24" ht="12" customHeight="1" x14ac:dyDescent="0.3">
      <c r="B22" s="98">
        <f t="shared" si="4"/>
        <v>19</v>
      </c>
      <c r="C22" s="97" t="str">
        <f t="shared" si="0"/>
        <v>Apr-26</v>
      </c>
      <c r="D22" s="96">
        <v>46114</v>
      </c>
      <c r="E22" s="95">
        <v>3</v>
      </c>
      <c r="F22" s="95" t="s">
        <v>2556</v>
      </c>
      <c r="G22" s="95" t="s">
        <v>2426</v>
      </c>
      <c r="H22" s="94" t="s">
        <v>2552</v>
      </c>
      <c r="I22" s="94" t="s">
        <v>2555</v>
      </c>
      <c r="J22" s="91" t="s">
        <v>2554</v>
      </c>
      <c r="K22" s="91" t="s">
        <v>963</v>
      </c>
      <c r="L22" s="94">
        <v>700</v>
      </c>
      <c r="M22" s="93">
        <v>700</v>
      </c>
      <c r="N22" s="92"/>
      <c r="O22" s="92">
        <f t="shared" si="1"/>
        <v>0</v>
      </c>
      <c r="P22" s="91">
        <f t="shared" si="2"/>
        <v>0</v>
      </c>
      <c r="Q22" s="91">
        <f t="shared" si="3"/>
        <v>0</v>
      </c>
      <c r="R22" s="91"/>
    </row>
    <row r="23" spans="2:24" x14ac:dyDescent="0.3">
      <c r="B23" s="98">
        <f t="shared" si="4"/>
        <v>20</v>
      </c>
      <c r="C23" s="97" t="str">
        <f t="shared" si="0"/>
        <v>Apr-26</v>
      </c>
      <c r="D23" s="96">
        <v>46113</v>
      </c>
      <c r="E23" s="95">
        <v>1</v>
      </c>
      <c r="F23" s="95" t="s">
        <v>2553</v>
      </c>
      <c r="G23" s="95" t="s">
        <v>2426</v>
      </c>
      <c r="H23" s="94" t="s">
        <v>2552</v>
      </c>
      <c r="I23" s="94" t="s">
        <v>359</v>
      </c>
      <c r="J23" s="91" t="s">
        <v>359</v>
      </c>
      <c r="K23" s="91" t="s">
        <v>963</v>
      </c>
      <c r="L23" s="94">
        <v>400</v>
      </c>
      <c r="M23" s="93">
        <v>400</v>
      </c>
      <c r="N23" s="92"/>
      <c r="O23" s="92">
        <f t="shared" si="1"/>
        <v>0</v>
      </c>
      <c r="P23" s="91">
        <f t="shared" si="2"/>
        <v>0</v>
      </c>
      <c r="Q23" s="91">
        <f t="shared" si="3"/>
        <v>0</v>
      </c>
      <c r="R23" s="91"/>
      <c r="T23" s="203" t="s">
        <v>422</v>
      </c>
      <c r="U23" s="204"/>
      <c r="V23" s="204"/>
      <c r="W23" s="204"/>
      <c r="X23" s="205"/>
    </row>
    <row r="24" spans="2:24" x14ac:dyDescent="0.3">
      <c r="B24" s="98">
        <f t="shared" si="4"/>
        <v>21</v>
      </c>
      <c r="C24" s="97" t="str">
        <f t="shared" si="0"/>
        <v>Apr-26</v>
      </c>
      <c r="D24" s="96">
        <v>46113</v>
      </c>
      <c r="E24" s="95">
        <v>2</v>
      </c>
      <c r="F24" s="95" t="s">
        <v>2553</v>
      </c>
      <c r="G24" s="95" t="s">
        <v>2426</v>
      </c>
      <c r="H24" s="94" t="s">
        <v>2552</v>
      </c>
      <c r="I24" s="94" t="s">
        <v>359</v>
      </c>
      <c r="J24" s="91" t="s">
        <v>359</v>
      </c>
      <c r="K24" s="91" t="s">
        <v>963</v>
      </c>
      <c r="L24" s="94">
        <v>400</v>
      </c>
      <c r="M24" s="93">
        <v>400</v>
      </c>
      <c r="N24" s="92"/>
      <c r="O24" s="92">
        <f t="shared" si="1"/>
        <v>0</v>
      </c>
      <c r="P24" s="91">
        <f t="shared" si="2"/>
        <v>0</v>
      </c>
      <c r="Q24" s="91">
        <f t="shared" si="3"/>
        <v>0</v>
      </c>
      <c r="R24" s="91"/>
      <c r="T24" s="2" t="s">
        <v>0</v>
      </c>
      <c r="U24" s="2" t="s">
        <v>1</v>
      </c>
      <c r="V24" s="2" t="s">
        <v>3</v>
      </c>
      <c r="W24" s="2" t="s">
        <v>4</v>
      </c>
      <c r="X24" s="2" t="s">
        <v>5</v>
      </c>
    </row>
    <row r="25" spans="2:24" x14ac:dyDescent="0.3">
      <c r="B25" s="98">
        <f t="shared" si="4"/>
        <v>22</v>
      </c>
      <c r="C25" s="97" t="str">
        <f t="shared" si="0"/>
        <v>Apr-26</v>
      </c>
      <c r="D25" s="96">
        <v>46115</v>
      </c>
      <c r="E25" s="95">
        <v>73</v>
      </c>
      <c r="F25" s="95" t="s">
        <v>2551</v>
      </c>
      <c r="G25" s="95" t="s">
        <v>2550</v>
      </c>
      <c r="H25" s="94" t="s">
        <v>2549</v>
      </c>
      <c r="I25" s="94" t="s">
        <v>352</v>
      </c>
      <c r="J25" s="91" t="s">
        <v>2548</v>
      </c>
      <c r="K25" s="91" t="s">
        <v>2547</v>
      </c>
      <c r="L25" s="94">
        <v>11.12</v>
      </c>
      <c r="M25" s="93">
        <v>11.12</v>
      </c>
      <c r="N25" s="92">
        <v>900</v>
      </c>
      <c r="O25" s="92">
        <f t="shared" si="1"/>
        <v>10008</v>
      </c>
      <c r="P25" s="91">
        <f t="shared" si="2"/>
        <v>100.08</v>
      </c>
      <c r="Q25" s="91">
        <f t="shared" si="3"/>
        <v>9907.92</v>
      </c>
      <c r="R25" s="91"/>
      <c r="T25" s="10">
        <v>1</v>
      </c>
      <c r="U25" s="112">
        <v>46036</v>
      </c>
      <c r="V25" s="10" t="s">
        <v>87</v>
      </c>
      <c r="W25" s="10">
        <v>931680108</v>
      </c>
      <c r="X25" s="109">
        <v>136800</v>
      </c>
    </row>
    <row r="26" spans="2:24" x14ac:dyDescent="0.3">
      <c r="B26" s="98">
        <f t="shared" si="4"/>
        <v>23</v>
      </c>
      <c r="C26" s="97" t="str">
        <f t="shared" si="0"/>
        <v>Dec-25</v>
      </c>
      <c r="D26" s="96">
        <v>46021</v>
      </c>
      <c r="E26" s="95">
        <v>633</v>
      </c>
      <c r="F26" s="95"/>
      <c r="G26" s="95" t="s">
        <v>422</v>
      </c>
      <c r="H26" s="94" t="s">
        <v>2399</v>
      </c>
      <c r="I26" s="94" t="s">
        <v>2487</v>
      </c>
      <c r="J26" s="91" t="s">
        <v>2544</v>
      </c>
      <c r="K26" s="91" t="s">
        <v>2397</v>
      </c>
      <c r="L26" s="94"/>
      <c r="M26" s="93">
        <v>6</v>
      </c>
      <c r="N26" s="92">
        <v>3800</v>
      </c>
      <c r="O26" s="92">
        <f t="shared" si="1"/>
        <v>22800</v>
      </c>
      <c r="P26" s="91">
        <f t="shared" si="2"/>
        <v>228</v>
      </c>
      <c r="Q26" s="91">
        <f t="shared" si="3"/>
        <v>22572</v>
      </c>
      <c r="R26" s="91"/>
      <c r="T26" s="10">
        <v>2</v>
      </c>
      <c r="U26" s="112">
        <v>46046</v>
      </c>
      <c r="V26" s="10" t="s">
        <v>2546</v>
      </c>
      <c r="W26" s="10">
        <v>933230977</v>
      </c>
      <c r="X26" s="109">
        <v>177327</v>
      </c>
    </row>
    <row r="27" spans="2:24" x14ac:dyDescent="0.3">
      <c r="B27" s="98">
        <f t="shared" si="4"/>
        <v>24</v>
      </c>
      <c r="C27" s="97" t="str">
        <f t="shared" si="0"/>
        <v>Jan-26</v>
      </c>
      <c r="D27" s="96">
        <v>46029</v>
      </c>
      <c r="E27" s="95">
        <v>793</v>
      </c>
      <c r="F27" s="95"/>
      <c r="G27" s="95" t="s">
        <v>422</v>
      </c>
      <c r="H27" s="94" t="s">
        <v>2399</v>
      </c>
      <c r="I27" s="94" t="s">
        <v>2487</v>
      </c>
      <c r="J27" s="91" t="s">
        <v>2544</v>
      </c>
      <c r="K27" s="91" t="s">
        <v>2397</v>
      </c>
      <c r="L27" s="94"/>
      <c r="M27" s="93">
        <v>6</v>
      </c>
      <c r="N27" s="92">
        <v>3800</v>
      </c>
      <c r="O27" s="92">
        <f t="shared" si="1"/>
        <v>22800</v>
      </c>
      <c r="P27" s="91">
        <f t="shared" si="2"/>
        <v>228</v>
      </c>
      <c r="Q27" s="91">
        <f t="shared" si="3"/>
        <v>22572</v>
      </c>
      <c r="R27" s="91"/>
      <c r="T27" s="10">
        <v>3</v>
      </c>
      <c r="U27" s="112">
        <v>46053</v>
      </c>
      <c r="V27" s="10" t="s">
        <v>87</v>
      </c>
      <c r="W27" s="10">
        <v>934243019</v>
      </c>
      <c r="X27" s="109">
        <v>150000</v>
      </c>
    </row>
    <row r="28" spans="2:24" x14ac:dyDescent="0.3">
      <c r="B28" s="98">
        <f t="shared" si="4"/>
        <v>25</v>
      </c>
      <c r="C28" s="97" t="str">
        <f t="shared" si="0"/>
        <v>Jan-26</v>
      </c>
      <c r="D28" s="96">
        <v>46029</v>
      </c>
      <c r="E28" s="95">
        <v>812</v>
      </c>
      <c r="F28" s="95"/>
      <c r="G28" s="95" t="s">
        <v>422</v>
      </c>
      <c r="H28" s="94" t="s">
        <v>2399</v>
      </c>
      <c r="I28" s="94" t="s">
        <v>2487</v>
      </c>
      <c r="J28" s="91" t="s">
        <v>2544</v>
      </c>
      <c r="K28" s="91" t="s">
        <v>2397</v>
      </c>
      <c r="L28" s="94"/>
      <c r="M28" s="93">
        <v>6</v>
      </c>
      <c r="N28" s="92">
        <v>3800</v>
      </c>
      <c r="O28" s="92">
        <f t="shared" si="1"/>
        <v>22800</v>
      </c>
      <c r="P28" s="91">
        <f t="shared" si="2"/>
        <v>228</v>
      </c>
      <c r="Q28" s="91">
        <f t="shared" si="3"/>
        <v>22572</v>
      </c>
      <c r="R28" s="91"/>
      <c r="T28" s="10">
        <v>4</v>
      </c>
      <c r="U28" s="112"/>
      <c r="V28" s="10"/>
      <c r="W28" s="10"/>
      <c r="X28" s="109"/>
    </row>
    <row r="29" spans="2:24" x14ac:dyDescent="0.3">
      <c r="B29" s="98">
        <f t="shared" si="4"/>
        <v>26</v>
      </c>
      <c r="C29" s="97" t="str">
        <f t="shared" si="0"/>
        <v>Jan-26</v>
      </c>
      <c r="D29" s="96">
        <v>46029</v>
      </c>
      <c r="E29" s="95">
        <v>818</v>
      </c>
      <c r="F29" s="95"/>
      <c r="G29" s="95" t="s">
        <v>422</v>
      </c>
      <c r="H29" s="94" t="s">
        <v>2399</v>
      </c>
      <c r="I29" s="94" t="s">
        <v>2487</v>
      </c>
      <c r="J29" s="91" t="s">
        <v>2545</v>
      </c>
      <c r="K29" s="91" t="s">
        <v>2397</v>
      </c>
      <c r="L29" s="94"/>
      <c r="M29" s="93">
        <v>6</v>
      </c>
      <c r="N29" s="92">
        <v>3800</v>
      </c>
      <c r="O29" s="92">
        <f t="shared" si="1"/>
        <v>22800</v>
      </c>
      <c r="P29" s="91">
        <f t="shared" si="2"/>
        <v>228</v>
      </c>
      <c r="Q29" s="91">
        <f t="shared" si="3"/>
        <v>22572</v>
      </c>
      <c r="R29" s="91"/>
      <c r="T29" s="10">
        <v>5</v>
      </c>
      <c r="U29" s="112"/>
      <c r="V29" s="10"/>
      <c r="W29" s="10"/>
      <c r="X29" s="109"/>
    </row>
    <row r="30" spans="2:24" x14ac:dyDescent="0.3">
      <c r="B30" s="98">
        <f t="shared" si="4"/>
        <v>27</v>
      </c>
      <c r="C30" s="97" t="str">
        <f t="shared" si="0"/>
        <v>Jan-26</v>
      </c>
      <c r="D30" s="96">
        <v>46035</v>
      </c>
      <c r="E30" s="95">
        <v>935</v>
      </c>
      <c r="F30" s="95"/>
      <c r="G30" s="95" t="s">
        <v>422</v>
      </c>
      <c r="H30" s="94" t="s">
        <v>2399</v>
      </c>
      <c r="I30" s="94" t="s">
        <v>2487</v>
      </c>
      <c r="J30" s="91" t="s">
        <v>2545</v>
      </c>
      <c r="K30" s="91" t="s">
        <v>2397</v>
      </c>
      <c r="L30" s="94"/>
      <c r="M30" s="93">
        <v>6</v>
      </c>
      <c r="N30" s="92">
        <v>3800</v>
      </c>
      <c r="O30" s="92">
        <f t="shared" si="1"/>
        <v>22800</v>
      </c>
      <c r="P30" s="91">
        <f t="shared" si="2"/>
        <v>228</v>
      </c>
      <c r="Q30" s="91">
        <f t="shared" si="3"/>
        <v>22572</v>
      </c>
      <c r="R30" s="91"/>
      <c r="T30" s="10">
        <v>6</v>
      </c>
      <c r="U30" s="112"/>
      <c r="V30" s="10"/>
      <c r="W30" s="10"/>
      <c r="X30" s="109"/>
    </row>
    <row r="31" spans="2:24" x14ac:dyDescent="0.3">
      <c r="B31" s="98">
        <f t="shared" si="4"/>
        <v>28</v>
      </c>
      <c r="C31" s="97" t="str">
        <f t="shared" si="0"/>
        <v>Jan-26</v>
      </c>
      <c r="D31" s="96">
        <v>46035</v>
      </c>
      <c r="E31" s="95">
        <v>938</v>
      </c>
      <c r="F31" s="95"/>
      <c r="G31" s="95" t="s">
        <v>422</v>
      </c>
      <c r="H31" s="94" t="s">
        <v>2399</v>
      </c>
      <c r="I31" s="94" t="s">
        <v>2487</v>
      </c>
      <c r="J31" s="91" t="s">
        <v>2545</v>
      </c>
      <c r="K31" s="91" t="s">
        <v>2397</v>
      </c>
      <c r="L31" s="94"/>
      <c r="M31" s="93">
        <v>6</v>
      </c>
      <c r="N31" s="92">
        <v>3800</v>
      </c>
      <c r="O31" s="92">
        <f t="shared" si="1"/>
        <v>22800</v>
      </c>
      <c r="P31" s="91">
        <f t="shared" si="2"/>
        <v>228</v>
      </c>
      <c r="Q31" s="91">
        <f t="shared" si="3"/>
        <v>22572</v>
      </c>
      <c r="R31" s="91"/>
      <c r="T31" s="10">
        <v>7</v>
      </c>
      <c r="U31" s="112"/>
      <c r="V31" s="10"/>
      <c r="W31" s="10"/>
      <c r="X31" s="109"/>
    </row>
    <row r="32" spans="2:24" x14ac:dyDescent="0.3">
      <c r="B32" s="98">
        <f t="shared" si="4"/>
        <v>29</v>
      </c>
      <c r="C32" s="97" t="str">
        <f t="shared" si="0"/>
        <v>Jan-26</v>
      </c>
      <c r="D32" s="96">
        <v>46035</v>
      </c>
      <c r="E32" s="95">
        <v>945</v>
      </c>
      <c r="F32" s="95"/>
      <c r="G32" s="95" t="s">
        <v>422</v>
      </c>
      <c r="H32" s="94" t="s">
        <v>2399</v>
      </c>
      <c r="I32" s="94" t="s">
        <v>2487</v>
      </c>
      <c r="J32" s="91" t="s">
        <v>2545</v>
      </c>
      <c r="K32" s="91" t="s">
        <v>2397</v>
      </c>
      <c r="L32" s="94"/>
      <c r="M32" s="93">
        <v>6</v>
      </c>
      <c r="N32" s="92">
        <v>3800</v>
      </c>
      <c r="O32" s="92">
        <f t="shared" si="1"/>
        <v>22800</v>
      </c>
      <c r="P32" s="91">
        <f t="shared" si="2"/>
        <v>228</v>
      </c>
      <c r="Q32" s="91">
        <f t="shared" si="3"/>
        <v>22572</v>
      </c>
      <c r="R32" s="91"/>
      <c r="T32" s="10">
        <v>8</v>
      </c>
      <c r="U32" s="112"/>
      <c r="V32" s="10"/>
      <c r="W32" s="10"/>
      <c r="X32" s="109"/>
    </row>
    <row r="33" spans="2:24" x14ac:dyDescent="0.3">
      <c r="B33" s="98">
        <f t="shared" si="4"/>
        <v>30</v>
      </c>
      <c r="C33" s="97" t="str">
        <f t="shared" si="0"/>
        <v>Jan-26</v>
      </c>
      <c r="D33" s="96">
        <v>46039</v>
      </c>
      <c r="E33" s="95">
        <v>977</v>
      </c>
      <c r="F33" s="95"/>
      <c r="G33" s="95" t="s">
        <v>422</v>
      </c>
      <c r="H33" s="94" t="s">
        <v>2399</v>
      </c>
      <c r="I33" s="94" t="s">
        <v>2487</v>
      </c>
      <c r="J33" s="91" t="s">
        <v>2504</v>
      </c>
      <c r="K33" s="91" t="s">
        <v>2397</v>
      </c>
      <c r="L33" s="94"/>
      <c r="M33" s="93">
        <v>6</v>
      </c>
      <c r="N33" s="92">
        <v>3800</v>
      </c>
      <c r="O33" s="92">
        <f t="shared" si="1"/>
        <v>22800</v>
      </c>
      <c r="P33" s="91">
        <f t="shared" si="2"/>
        <v>228</v>
      </c>
      <c r="Q33" s="91">
        <f t="shared" si="3"/>
        <v>22572</v>
      </c>
      <c r="R33" s="91"/>
      <c r="T33" s="10">
        <v>9</v>
      </c>
      <c r="U33" s="112"/>
      <c r="V33" s="10"/>
      <c r="W33" s="10"/>
      <c r="X33" s="109"/>
    </row>
    <row r="34" spans="2:24" x14ac:dyDescent="0.3">
      <c r="B34" s="98">
        <f t="shared" si="4"/>
        <v>31</v>
      </c>
      <c r="C34" s="97" t="str">
        <f t="shared" si="0"/>
        <v>Jan-26</v>
      </c>
      <c r="D34" s="96">
        <v>46039</v>
      </c>
      <c r="E34" s="95">
        <v>978</v>
      </c>
      <c r="F34" s="95"/>
      <c r="G34" s="95" t="s">
        <v>422</v>
      </c>
      <c r="H34" s="94" t="s">
        <v>2399</v>
      </c>
      <c r="I34" s="94" t="s">
        <v>2487</v>
      </c>
      <c r="J34" s="91" t="s">
        <v>2504</v>
      </c>
      <c r="K34" s="91" t="s">
        <v>2397</v>
      </c>
      <c r="L34" s="94"/>
      <c r="M34" s="93">
        <v>6</v>
      </c>
      <c r="N34" s="92">
        <v>3800</v>
      </c>
      <c r="O34" s="92">
        <f t="shared" si="1"/>
        <v>22800</v>
      </c>
      <c r="P34" s="91">
        <f t="shared" si="2"/>
        <v>228</v>
      </c>
      <c r="Q34" s="91">
        <f t="shared" si="3"/>
        <v>22572</v>
      </c>
      <c r="R34" s="91"/>
      <c r="T34" s="10">
        <v>10</v>
      </c>
      <c r="U34" s="112"/>
      <c r="V34" s="10"/>
      <c r="W34" s="10"/>
      <c r="X34" s="109"/>
    </row>
    <row r="35" spans="2:24" x14ac:dyDescent="0.3">
      <c r="B35" s="98">
        <f t="shared" si="4"/>
        <v>32</v>
      </c>
      <c r="C35" s="97" t="str">
        <f t="shared" si="0"/>
        <v>Jan-26</v>
      </c>
      <c r="D35" s="96">
        <v>46044</v>
      </c>
      <c r="E35" s="95">
        <v>1029</v>
      </c>
      <c r="F35" s="95"/>
      <c r="G35" s="95" t="s">
        <v>422</v>
      </c>
      <c r="H35" s="94" t="s">
        <v>2399</v>
      </c>
      <c r="I35" s="94" t="s">
        <v>2487</v>
      </c>
      <c r="J35" s="91" t="s">
        <v>2521</v>
      </c>
      <c r="K35" s="91" t="s">
        <v>2397</v>
      </c>
      <c r="L35" s="94"/>
      <c r="M35" s="93">
        <v>6</v>
      </c>
      <c r="N35" s="92">
        <v>3800</v>
      </c>
      <c r="O35" s="92">
        <f t="shared" si="1"/>
        <v>22800</v>
      </c>
      <c r="P35" s="91">
        <f t="shared" si="2"/>
        <v>228</v>
      </c>
      <c r="Q35" s="91">
        <f t="shared" si="3"/>
        <v>22572</v>
      </c>
      <c r="R35" s="91"/>
      <c r="T35" s="10">
        <v>11</v>
      </c>
      <c r="U35" s="112"/>
      <c r="V35" s="10"/>
      <c r="W35" s="10"/>
      <c r="X35" s="109"/>
    </row>
    <row r="36" spans="2:24" x14ac:dyDescent="0.3">
      <c r="B36" s="98">
        <f t="shared" si="4"/>
        <v>33</v>
      </c>
      <c r="C36" s="97" t="str">
        <f t="shared" si="0"/>
        <v>Jan-26</v>
      </c>
      <c r="D36" s="96">
        <v>46044</v>
      </c>
      <c r="E36" s="95">
        <v>1035</v>
      </c>
      <c r="F36" s="95"/>
      <c r="G36" s="95" t="s">
        <v>422</v>
      </c>
      <c r="H36" s="94" t="s">
        <v>2399</v>
      </c>
      <c r="I36" s="94" t="s">
        <v>2487</v>
      </c>
      <c r="J36" s="91" t="s">
        <v>2521</v>
      </c>
      <c r="K36" s="91" t="s">
        <v>2397</v>
      </c>
      <c r="L36" s="94"/>
      <c r="M36" s="93">
        <v>6</v>
      </c>
      <c r="N36" s="92">
        <v>3800</v>
      </c>
      <c r="O36" s="92">
        <f t="shared" si="1"/>
        <v>22800</v>
      </c>
      <c r="P36" s="91">
        <f t="shared" si="2"/>
        <v>228</v>
      </c>
      <c r="Q36" s="91">
        <f t="shared" si="3"/>
        <v>22572</v>
      </c>
      <c r="R36" s="91"/>
      <c r="T36" s="10">
        <v>12</v>
      </c>
      <c r="U36" s="112"/>
      <c r="V36" s="10"/>
      <c r="W36" s="10"/>
      <c r="X36" s="109"/>
    </row>
    <row r="37" spans="2:24" ht="12" customHeight="1" x14ac:dyDescent="0.3">
      <c r="B37" s="98">
        <f t="shared" si="4"/>
        <v>34</v>
      </c>
      <c r="C37" s="97" t="str">
        <f t="shared" si="0"/>
        <v>Jan-26</v>
      </c>
      <c r="D37" s="96">
        <v>46044</v>
      </c>
      <c r="E37" s="95">
        <v>1037</v>
      </c>
      <c r="F37" s="95"/>
      <c r="G37" s="95" t="s">
        <v>422</v>
      </c>
      <c r="H37" s="94" t="s">
        <v>2399</v>
      </c>
      <c r="I37" s="94" t="s">
        <v>2487</v>
      </c>
      <c r="J37" s="91" t="s">
        <v>2521</v>
      </c>
      <c r="K37" s="91" t="s">
        <v>2397</v>
      </c>
      <c r="L37" s="94"/>
      <c r="M37" s="93">
        <v>6</v>
      </c>
      <c r="N37" s="92">
        <v>3800</v>
      </c>
      <c r="O37" s="92">
        <f t="shared" si="1"/>
        <v>22800</v>
      </c>
      <c r="P37" s="91">
        <f t="shared" si="2"/>
        <v>228</v>
      </c>
      <c r="Q37" s="91">
        <f t="shared" si="3"/>
        <v>22572</v>
      </c>
      <c r="R37" s="91"/>
      <c r="T37" s="10">
        <v>13</v>
      </c>
      <c r="U37" s="112"/>
      <c r="V37" s="10"/>
      <c r="W37" s="10"/>
      <c r="X37" s="109"/>
    </row>
    <row r="38" spans="2:24" ht="12" customHeight="1" x14ac:dyDescent="0.3">
      <c r="B38" s="98">
        <f t="shared" si="4"/>
        <v>35</v>
      </c>
      <c r="C38" s="97" t="str">
        <f t="shared" si="0"/>
        <v>Jan-26</v>
      </c>
      <c r="D38" s="96">
        <v>46044</v>
      </c>
      <c r="E38" s="95">
        <v>1043</v>
      </c>
      <c r="F38" s="95"/>
      <c r="G38" s="95" t="s">
        <v>422</v>
      </c>
      <c r="H38" s="94" t="s">
        <v>2399</v>
      </c>
      <c r="I38" s="94" t="s">
        <v>2487</v>
      </c>
      <c r="J38" s="91" t="s">
        <v>2521</v>
      </c>
      <c r="K38" s="91" t="s">
        <v>2397</v>
      </c>
      <c r="L38" s="94"/>
      <c r="M38" s="93">
        <v>6</v>
      </c>
      <c r="N38" s="92">
        <v>3800</v>
      </c>
      <c r="O38" s="92">
        <f t="shared" si="1"/>
        <v>22800</v>
      </c>
      <c r="P38" s="91">
        <f t="shared" si="2"/>
        <v>228</v>
      </c>
      <c r="Q38" s="91">
        <f t="shared" si="3"/>
        <v>22572</v>
      </c>
      <c r="R38" s="91"/>
      <c r="T38" s="10">
        <v>14</v>
      </c>
      <c r="U38" s="112"/>
      <c r="V38" s="10"/>
      <c r="W38" s="10"/>
      <c r="X38" s="109"/>
    </row>
    <row r="39" spans="2:24" ht="12" customHeight="1" x14ac:dyDescent="0.3">
      <c r="B39" s="98">
        <f t="shared" si="4"/>
        <v>36</v>
      </c>
      <c r="C39" s="97" t="str">
        <f t="shared" si="0"/>
        <v>Jan-26</v>
      </c>
      <c r="D39" s="96">
        <v>46044</v>
      </c>
      <c r="E39" s="95">
        <v>1050</v>
      </c>
      <c r="F39" s="95"/>
      <c r="G39" s="95" t="s">
        <v>422</v>
      </c>
      <c r="H39" s="94" t="s">
        <v>2399</v>
      </c>
      <c r="I39" s="94" t="s">
        <v>2487</v>
      </c>
      <c r="J39" s="91" t="s">
        <v>2521</v>
      </c>
      <c r="K39" s="91" t="s">
        <v>2397</v>
      </c>
      <c r="L39" s="94"/>
      <c r="M39" s="93">
        <v>5.5</v>
      </c>
      <c r="N39" s="92">
        <v>3800</v>
      </c>
      <c r="O39" s="92">
        <f t="shared" si="1"/>
        <v>20900</v>
      </c>
      <c r="P39" s="91">
        <f t="shared" si="2"/>
        <v>209</v>
      </c>
      <c r="Q39" s="91">
        <f t="shared" si="3"/>
        <v>20691</v>
      </c>
      <c r="R39" s="91"/>
      <c r="T39" s="10">
        <v>15</v>
      </c>
      <c r="U39" s="112"/>
      <c r="V39" s="10"/>
      <c r="W39" s="10"/>
      <c r="X39" s="109"/>
    </row>
    <row r="40" spans="2:24" ht="12" customHeight="1" x14ac:dyDescent="0.3">
      <c r="B40" s="98">
        <f t="shared" si="4"/>
        <v>37</v>
      </c>
      <c r="C40" s="97" t="str">
        <f t="shared" si="0"/>
        <v>Jan-26</v>
      </c>
      <c r="D40" s="96">
        <v>46046</v>
      </c>
      <c r="E40" s="95">
        <v>1112</v>
      </c>
      <c r="F40" s="95"/>
      <c r="G40" s="95" t="s">
        <v>422</v>
      </c>
      <c r="H40" s="94" t="s">
        <v>2399</v>
      </c>
      <c r="I40" s="94" t="s">
        <v>2487</v>
      </c>
      <c r="J40" s="91" t="s">
        <v>2544</v>
      </c>
      <c r="K40" s="91" t="s">
        <v>2397</v>
      </c>
      <c r="L40" s="94"/>
      <c r="M40" s="93">
        <v>6</v>
      </c>
      <c r="N40" s="92">
        <v>3800</v>
      </c>
      <c r="O40" s="92">
        <f t="shared" si="1"/>
        <v>22800</v>
      </c>
      <c r="P40" s="91">
        <f t="shared" si="2"/>
        <v>228</v>
      </c>
      <c r="Q40" s="91">
        <f t="shared" si="3"/>
        <v>22572</v>
      </c>
      <c r="R40" s="91"/>
      <c r="T40" s="10">
        <v>16</v>
      </c>
      <c r="U40" s="112"/>
      <c r="V40" s="10"/>
      <c r="W40" s="10"/>
      <c r="X40" s="109"/>
    </row>
    <row r="41" spans="2:24" ht="12" customHeight="1" x14ac:dyDescent="0.3">
      <c r="B41" s="98">
        <f t="shared" si="4"/>
        <v>38</v>
      </c>
      <c r="C41" s="97" t="str">
        <f t="shared" si="0"/>
        <v>Jan-26</v>
      </c>
      <c r="D41" s="96">
        <v>46047</v>
      </c>
      <c r="E41" s="95">
        <v>1119</v>
      </c>
      <c r="F41" s="95"/>
      <c r="G41" s="95" t="s">
        <v>422</v>
      </c>
      <c r="H41" s="94" t="s">
        <v>2399</v>
      </c>
      <c r="I41" s="94" t="s">
        <v>2487</v>
      </c>
      <c r="J41" s="91" t="s">
        <v>2544</v>
      </c>
      <c r="K41" s="91" t="s">
        <v>2397</v>
      </c>
      <c r="L41" s="94"/>
      <c r="M41" s="93">
        <v>6</v>
      </c>
      <c r="N41" s="92">
        <v>3800</v>
      </c>
      <c r="O41" s="92">
        <f t="shared" si="1"/>
        <v>22800</v>
      </c>
      <c r="P41" s="91">
        <f t="shared" si="2"/>
        <v>228</v>
      </c>
      <c r="Q41" s="91">
        <f t="shared" si="3"/>
        <v>22572</v>
      </c>
      <c r="R41" s="91"/>
      <c r="T41" s="10">
        <v>17</v>
      </c>
      <c r="U41" s="112"/>
      <c r="V41" s="10"/>
      <c r="W41" s="10"/>
      <c r="X41" s="109"/>
    </row>
    <row r="42" spans="2:24" ht="12" customHeight="1" x14ac:dyDescent="0.3">
      <c r="B42" s="98">
        <f t="shared" si="4"/>
        <v>39</v>
      </c>
      <c r="C42" s="97" t="str">
        <f t="shared" si="0"/>
        <v>Jan-26</v>
      </c>
      <c r="D42" s="96">
        <v>46051</v>
      </c>
      <c r="E42" s="95">
        <v>2498</v>
      </c>
      <c r="F42" s="95"/>
      <c r="G42" s="95" t="s">
        <v>422</v>
      </c>
      <c r="H42" s="94" t="s">
        <v>2399</v>
      </c>
      <c r="I42" s="94" t="s">
        <v>2543</v>
      </c>
      <c r="J42" s="91" t="s">
        <v>2542</v>
      </c>
      <c r="K42" s="91" t="s">
        <v>2397</v>
      </c>
      <c r="L42" s="94"/>
      <c r="M42" s="93">
        <v>6</v>
      </c>
      <c r="N42" s="92">
        <v>3800</v>
      </c>
      <c r="O42" s="92">
        <f t="shared" si="1"/>
        <v>22800</v>
      </c>
      <c r="P42" s="91">
        <f t="shared" si="2"/>
        <v>228</v>
      </c>
      <c r="Q42" s="91">
        <f t="shared" si="3"/>
        <v>22572</v>
      </c>
      <c r="R42" s="91"/>
      <c r="T42" s="10">
        <v>18</v>
      </c>
      <c r="U42" s="112"/>
      <c r="V42" s="10"/>
      <c r="W42" s="10"/>
      <c r="X42" s="109"/>
    </row>
    <row r="43" spans="2:24" ht="12" customHeight="1" x14ac:dyDescent="0.3">
      <c r="B43" s="98">
        <f t="shared" si="4"/>
        <v>40</v>
      </c>
      <c r="C43" s="97" t="str">
        <f t="shared" si="0"/>
        <v>Jan-26</v>
      </c>
      <c r="D43" s="96">
        <v>46051</v>
      </c>
      <c r="E43" s="95">
        <v>1151</v>
      </c>
      <c r="F43" s="95"/>
      <c r="G43" s="95" t="s">
        <v>422</v>
      </c>
      <c r="H43" s="94" t="s">
        <v>2399</v>
      </c>
      <c r="I43" s="94" t="s">
        <v>2487</v>
      </c>
      <c r="J43" s="91" t="s">
        <v>2521</v>
      </c>
      <c r="K43" s="91" t="s">
        <v>2397</v>
      </c>
      <c r="L43" s="94"/>
      <c r="M43" s="93">
        <v>6</v>
      </c>
      <c r="N43" s="92">
        <v>3800</v>
      </c>
      <c r="O43" s="92">
        <f t="shared" si="1"/>
        <v>22800</v>
      </c>
      <c r="P43" s="91">
        <f t="shared" si="2"/>
        <v>228</v>
      </c>
      <c r="Q43" s="91">
        <f t="shared" si="3"/>
        <v>22572</v>
      </c>
      <c r="R43" s="91"/>
      <c r="T43" s="10">
        <v>19</v>
      </c>
      <c r="U43" s="112"/>
      <c r="V43" s="10"/>
      <c r="W43" s="10"/>
      <c r="X43" s="109"/>
    </row>
    <row r="44" spans="2:24" ht="12" customHeight="1" x14ac:dyDescent="0.3">
      <c r="B44" s="98">
        <f t="shared" si="4"/>
        <v>41</v>
      </c>
      <c r="C44" s="97" t="str">
        <f t="shared" si="0"/>
        <v>Jan-26</v>
      </c>
      <c r="D44" s="96">
        <v>46051</v>
      </c>
      <c r="E44" s="95">
        <v>1159</v>
      </c>
      <c r="F44" s="95"/>
      <c r="G44" s="95" t="s">
        <v>422</v>
      </c>
      <c r="H44" s="94" t="s">
        <v>2399</v>
      </c>
      <c r="I44" s="94" t="s">
        <v>2543</v>
      </c>
      <c r="J44" s="91" t="s">
        <v>2542</v>
      </c>
      <c r="K44" s="91" t="s">
        <v>2397</v>
      </c>
      <c r="L44" s="94"/>
      <c r="M44" s="93">
        <v>6</v>
      </c>
      <c r="N44" s="92">
        <v>3800</v>
      </c>
      <c r="O44" s="92">
        <f t="shared" si="1"/>
        <v>22800</v>
      </c>
      <c r="P44" s="91">
        <f t="shared" si="2"/>
        <v>228</v>
      </c>
      <c r="Q44" s="91">
        <f t="shared" si="3"/>
        <v>22572</v>
      </c>
      <c r="R44" s="91"/>
      <c r="T44" s="10">
        <v>20</v>
      </c>
      <c r="U44" s="112"/>
      <c r="V44" s="10"/>
      <c r="W44" s="10"/>
      <c r="X44" s="109"/>
    </row>
    <row r="45" spans="2:24" ht="12" customHeight="1" x14ac:dyDescent="0.3">
      <c r="B45" s="98">
        <f t="shared" si="4"/>
        <v>42</v>
      </c>
      <c r="C45" s="97" t="str">
        <f t="shared" si="0"/>
        <v>Jan-26</v>
      </c>
      <c r="D45" s="96">
        <v>46051</v>
      </c>
      <c r="E45" s="95">
        <v>1160</v>
      </c>
      <c r="F45" s="95"/>
      <c r="G45" s="95" t="s">
        <v>422</v>
      </c>
      <c r="H45" s="94" t="s">
        <v>2399</v>
      </c>
      <c r="I45" s="94" t="s">
        <v>2487</v>
      </c>
      <c r="J45" s="91" t="s">
        <v>2521</v>
      </c>
      <c r="K45" s="91" t="s">
        <v>2397</v>
      </c>
      <c r="L45" s="94"/>
      <c r="M45" s="93">
        <v>6</v>
      </c>
      <c r="N45" s="92">
        <v>3800</v>
      </c>
      <c r="O45" s="92">
        <f t="shared" si="1"/>
        <v>22800</v>
      </c>
      <c r="P45" s="91">
        <f t="shared" si="2"/>
        <v>228</v>
      </c>
      <c r="Q45" s="91">
        <f t="shared" si="3"/>
        <v>22572</v>
      </c>
      <c r="R45" s="91"/>
      <c r="T45" s="10">
        <v>21</v>
      </c>
      <c r="U45" s="112"/>
      <c r="V45" s="10"/>
      <c r="W45" s="10"/>
      <c r="X45" s="109"/>
    </row>
    <row r="46" spans="2:24" ht="12" customHeight="1" x14ac:dyDescent="0.3">
      <c r="B46" s="98">
        <f t="shared" si="4"/>
        <v>43</v>
      </c>
      <c r="C46" s="97" t="str">
        <f t="shared" si="0"/>
        <v>Feb-26</v>
      </c>
      <c r="D46" s="96">
        <v>46054</v>
      </c>
      <c r="E46" s="95">
        <v>1212</v>
      </c>
      <c r="F46" s="95"/>
      <c r="G46" s="95" t="s">
        <v>422</v>
      </c>
      <c r="H46" s="94" t="s">
        <v>2399</v>
      </c>
      <c r="I46" s="94" t="s">
        <v>2487</v>
      </c>
      <c r="J46" s="91" t="s">
        <v>2541</v>
      </c>
      <c r="K46" s="91" t="s">
        <v>2397</v>
      </c>
      <c r="L46" s="94"/>
      <c r="M46" s="93">
        <v>6</v>
      </c>
      <c r="N46" s="92">
        <v>3800</v>
      </c>
      <c r="O46" s="92">
        <f t="shared" si="1"/>
        <v>22800</v>
      </c>
      <c r="P46" s="91">
        <f t="shared" si="2"/>
        <v>228</v>
      </c>
      <c r="Q46" s="91">
        <f t="shared" si="3"/>
        <v>22572</v>
      </c>
      <c r="R46" s="91"/>
      <c r="T46" s="10">
        <v>22</v>
      </c>
      <c r="U46" s="112"/>
      <c r="V46" s="10"/>
      <c r="W46" s="10"/>
      <c r="X46" s="109"/>
    </row>
    <row r="47" spans="2:24" ht="12" customHeight="1" x14ac:dyDescent="0.3">
      <c r="B47" s="98">
        <f t="shared" si="4"/>
        <v>44</v>
      </c>
      <c r="C47" s="97" t="str">
        <f t="shared" si="0"/>
        <v>Feb-26</v>
      </c>
      <c r="D47" s="96">
        <v>46054</v>
      </c>
      <c r="E47" s="95">
        <v>1213</v>
      </c>
      <c r="F47" s="95"/>
      <c r="G47" s="95" t="s">
        <v>422</v>
      </c>
      <c r="H47" s="94" t="s">
        <v>2399</v>
      </c>
      <c r="I47" s="94" t="s">
        <v>526</v>
      </c>
      <c r="J47" s="91" t="s">
        <v>2535</v>
      </c>
      <c r="K47" s="91" t="s">
        <v>2397</v>
      </c>
      <c r="L47" s="94"/>
      <c r="M47" s="93">
        <v>6</v>
      </c>
      <c r="N47" s="92">
        <v>3800</v>
      </c>
      <c r="O47" s="92">
        <f t="shared" si="1"/>
        <v>22800</v>
      </c>
      <c r="P47" s="91">
        <f t="shared" si="2"/>
        <v>228</v>
      </c>
      <c r="Q47" s="91">
        <f t="shared" si="3"/>
        <v>22572</v>
      </c>
      <c r="R47" s="91"/>
      <c r="T47" s="10">
        <v>23</v>
      </c>
      <c r="U47" s="112"/>
      <c r="V47" s="10"/>
      <c r="W47" s="10"/>
      <c r="X47" s="109"/>
    </row>
    <row r="48" spans="2:24" ht="12" customHeight="1" x14ac:dyDescent="0.3">
      <c r="B48" s="98">
        <f t="shared" si="4"/>
        <v>45</v>
      </c>
      <c r="C48" s="97" t="str">
        <f t="shared" si="0"/>
        <v>Feb-26</v>
      </c>
      <c r="D48" s="96">
        <v>46054</v>
      </c>
      <c r="E48" s="95">
        <v>1218</v>
      </c>
      <c r="F48" s="95"/>
      <c r="G48" s="95" t="s">
        <v>422</v>
      </c>
      <c r="H48" s="94" t="s">
        <v>2399</v>
      </c>
      <c r="I48" s="94" t="s">
        <v>2487</v>
      </c>
      <c r="J48" s="91" t="s">
        <v>2473</v>
      </c>
      <c r="K48" s="91" t="s">
        <v>2397</v>
      </c>
      <c r="L48" s="94"/>
      <c r="M48" s="93">
        <v>6</v>
      </c>
      <c r="N48" s="92">
        <v>3800</v>
      </c>
      <c r="O48" s="92">
        <f t="shared" si="1"/>
        <v>22800</v>
      </c>
      <c r="P48" s="91">
        <f t="shared" si="2"/>
        <v>228</v>
      </c>
      <c r="Q48" s="91">
        <f t="shared" si="3"/>
        <v>22572</v>
      </c>
      <c r="R48" s="91"/>
      <c r="T48" s="10">
        <v>24</v>
      </c>
      <c r="U48" s="112"/>
      <c r="V48" s="10"/>
      <c r="W48" s="10"/>
      <c r="X48" s="109"/>
    </row>
    <row r="49" spans="2:24" ht="12" customHeight="1" x14ac:dyDescent="0.3">
      <c r="B49" s="98">
        <f t="shared" si="4"/>
        <v>46</v>
      </c>
      <c r="C49" s="97" t="str">
        <f t="shared" si="0"/>
        <v>Feb-26</v>
      </c>
      <c r="D49" s="96">
        <v>46054</v>
      </c>
      <c r="E49" s="95">
        <v>1219</v>
      </c>
      <c r="F49" s="95"/>
      <c r="G49" s="95" t="s">
        <v>422</v>
      </c>
      <c r="H49" s="94" t="s">
        <v>2399</v>
      </c>
      <c r="I49" s="94" t="s">
        <v>2487</v>
      </c>
      <c r="J49" s="91" t="s">
        <v>2473</v>
      </c>
      <c r="K49" s="91" t="s">
        <v>2397</v>
      </c>
      <c r="L49" s="94"/>
      <c r="M49" s="93">
        <v>6</v>
      </c>
      <c r="N49" s="92">
        <v>3800</v>
      </c>
      <c r="O49" s="92">
        <f t="shared" si="1"/>
        <v>22800</v>
      </c>
      <c r="P49" s="91">
        <f t="shared" si="2"/>
        <v>228</v>
      </c>
      <c r="Q49" s="91">
        <f t="shared" si="3"/>
        <v>22572</v>
      </c>
      <c r="R49" s="91"/>
      <c r="T49" s="10">
        <v>25</v>
      </c>
      <c r="U49" s="112"/>
      <c r="V49" s="10"/>
      <c r="W49" s="10"/>
      <c r="X49" s="109"/>
    </row>
    <row r="50" spans="2:24" ht="12" customHeight="1" x14ac:dyDescent="0.3">
      <c r="B50" s="98">
        <f t="shared" si="4"/>
        <v>47</v>
      </c>
      <c r="C50" s="97" t="str">
        <f t="shared" si="0"/>
        <v>Feb-26</v>
      </c>
      <c r="D50" s="96">
        <v>46056</v>
      </c>
      <c r="E50" s="95">
        <v>1241</v>
      </c>
      <c r="F50" s="95"/>
      <c r="G50" s="95" t="s">
        <v>422</v>
      </c>
      <c r="H50" s="94" t="s">
        <v>2399</v>
      </c>
      <c r="I50" s="94" t="s">
        <v>526</v>
      </c>
      <c r="J50" s="91" t="s">
        <v>2535</v>
      </c>
      <c r="K50" s="91" t="s">
        <v>2397</v>
      </c>
      <c r="L50" s="94"/>
      <c r="M50" s="93">
        <v>6</v>
      </c>
      <c r="N50" s="92">
        <v>3800</v>
      </c>
      <c r="O50" s="92">
        <f t="shared" si="1"/>
        <v>22800</v>
      </c>
      <c r="P50" s="91">
        <f t="shared" si="2"/>
        <v>228</v>
      </c>
      <c r="Q50" s="91">
        <f t="shared" si="3"/>
        <v>22572</v>
      </c>
      <c r="R50" s="91"/>
      <c r="T50" s="10">
        <v>26</v>
      </c>
      <c r="U50" s="112"/>
      <c r="V50" s="10"/>
      <c r="W50" s="10"/>
      <c r="X50" s="109"/>
    </row>
    <row r="51" spans="2:24" ht="12" customHeight="1" x14ac:dyDescent="0.3">
      <c r="B51" s="98">
        <f t="shared" si="4"/>
        <v>48</v>
      </c>
      <c r="C51" s="97" t="str">
        <f t="shared" si="0"/>
        <v>Feb-26</v>
      </c>
      <c r="D51" s="96">
        <v>46056</v>
      </c>
      <c r="E51" s="95">
        <v>1242</v>
      </c>
      <c r="F51" s="95"/>
      <c r="G51" s="95" t="s">
        <v>422</v>
      </c>
      <c r="H51" s="94" t="s">
        <v>2399</v>
      </c>
      <c r="I51" s="94" t="s">
        <v>2487</v>
      </c>
      <c r="J51" s="91" t="s">
        <v>2473</v>
      </c>
      <c r="K51" s="91" t="s">
        <v>2397</v>
      </c>
      <c r="L51" s="94"/>
      <c r="M51" s="93">
        <v>7</v>
      </c>
      <c r="N51" s="92">
        <v>3800</v>
      </c>
      <c r="O51" s="92">
        <f t="shared" si="1"/>
        <v>26600</v>
      </c>
      <c r="P51" s="91">
        <f t="shared" si="2"/>
        <v>266</v>
      </c>
      <c r="Q51" s="91">
        <f t="shared" si="3"/>
        <v>26334</v>
      </c>
      <c r="R51" s="91"/>
      <c r="T51" s="10">
        <v>27</v>
      </c>
      <c r="U51" s="112"/>
      <c r="V51" s="10"/>
      <c r="W51" s="10"/>
      <c r="X51" s="109"/>
    </row>
    <row r="52" spans="2:24" ht="12" customHeight="1" x14ac:dyDescent="0.3">
      <c r="B52" s="98">
        <f t="shared" si="4"/>
        <v>49</v>
      </c>
      <c r="C52" s="97" t="str">
        <f t="shared" si="0"/>
        <v>Feb-26</v>
      </c>
      <c r="D52" s="96">
        <v>46056</v>
      </c>
      <c r="E52" s="95">
        <v>1245</v>
      </c>
      <c r="F52" s="95"/>
      <c r="G52" s="95" t="s">
        <v>422</v>
      </c>
      <c r="H52" s="94" t="s">
        <v>2399</v>
      </c>
      <c r="I52" s="94" t="s">
        <v>2487</v>
      </c>
      <c r="J52" s="91" t="s">
        <v>2473</v>
      </c>
      <c r="K52" s="91" t="s">
        <v>2397</v>
      </c>
      <c r="L52" s="94"/>
      <c r="M52" s="93">
        <v>6</v>
      </c>
      <c r="N52" s="92">
        <v>3800</v>
      </c>
      <c r="O52" s="92">
        <f t="shared" si="1"/>
        <v>22800</v>
      </c>
      <c r="P52" s="91">
        <f t="shared" si="2"/>
        <v>228</v>
      </c>
      <c r="Q52" s="91">
        <f t="shared" si="3"/>
        <v>22572</v>
      </c>
      <c r="R52" s="91"/>
      <c r="T52" s="10">
        <v>28</v>
      </c>
      <c r="U52" s="112"/>
      <c r="V52" s="10"/>
      <c r="W52" s="10"/>
      <c r="X52" s="109"/>
    </row>
    <row r="53" spans="2:24" ht="12" customHeight="1" x14ac:dyDescent="0.3">
      <c r="B53" s="98">
        <f t="shared" si="4"/>
        <v>50</v>
      </c>
      <c r="C53" s="97" t="str">
        <f t="shared" si="0"/>
        <v>Feb-26</v>
      </c>
      <c r="D53" s="96">
        <v>46056</v>
      </c>
      <c r="E53" s="95">
        <v>1246</v>
      </c>
      <c r="F53" s="95"/>
      <c r="G53" s="95" t="s">
        <v>422</v>
      </c>
      <c r="H53" s="94" t="s">
        <v>2399</v>
      </c>
      <c r="I53" s="94" t="s">
        <v>2487</v>
      </c>
      <c r="J53" s="91" t="s">
        <v>2473</v>
      </c>
      <c r="K53" s="91" t="s">
        <v>2397</v>
      </c>
      <c r="L53" s="94"/>
      <c r="M53" s="93">
        <v>6</v>
      </c>
      <c r="N53" s="92">
        <v>3800</v>
      </c>
      <c r="O53" s="92">
        <f t="shared" si="1"/>
        <v>22800</v>
      </c>
      <c r="P53" s="91">
        <f t="shared" si="2"/>
        <v>228</v>
      </c>
      <c r="Q53" s="91">
        <f t="shared" si="3"/>
        <v>22572</v>
      </c>
      <c r="R53" s="91"/>
      <c r="T53" s="10">
        <v>29</v>
      </c>
      <c r="U53" s="112"/>
      <c r="V53" s="10"/>
      <c r="W53" s="10"/>
      <c r="X53" s="109"/>
    </row>
    <row r="54" spans="2:24" ht="12" customHeight="1" x14ac:dyDescent="0.3">
      <c r="B54" s="98">
        <f t="shared" si="4"/>
        <v>51</v>
      </c>
      <c r="C54" s="97" t="str">
        <f t="shared" si="0"/>
        <v>Feb-26</v>
      </c>
      <c r="D54" s="96">
        <v>46056</v>
      </c>
      <c r="E54" s="95">
        <v>1251</v>
      </c>
      <c r="F54" s="95"/>
      <c r="G54" s="95" t="s">
        <v>422</v>
      </c>
      <c r="H54" s="94" t="s">
        <v>2399</v>
      </c>
      <c r="I54" s="94" t="s">
        <v>526</v>
      </c>
      <c r="J54" s="91" t="s">
        <v>2535</v>
      </c>
      <c r="K54" s="91" t="s">
        <v>2397</v>
      </c>
      <c r="L54" s="94"/>
      <c r="M54" s="93">
        <v>6</v>
      </c>
      <c r="N54" s="92">
        <v>3800</v>
      </c>
      <c r="O54" s="92">
        <f t="shared" si="1"/>
        <v>22800</v>
      </c>
      <c r="P54" s="91">
        <f t="shared" si="2"/>
        <v>228</v>
      </c>
      <c r="Q54" s="91">
        <f t="shared" si="3"/>
        <v>22572</v>
      </c>
      <c r="R54" s="91"/>
      <c r="T54" s="10">
        <v>30</v>
      </c>
      <c r="U54" s="112"/>
      <c r="V54" s="10"/>
      <c r="W54" s="10"/>
      <c r="X54" s="109"/>
    </row>
    <row r="55" spans="2:24" ht="12" customHeight="1" x14ac:dyDescent="0.3">
      <c r="B55" s="98">
        <f t="shared" si="4"/>
        <v>52</v>
      </c>
      <c r="C55" s="97" t="str">
        <f t="shared" si="0"/>
        <v>Feb-26</v>
      </c>
      <c r="D55" s="96">
        <v>46058</v>
      </c>
      <c r="E55" s="95">
        <v>1279</v>
      </c>
      <c r="F55" s="95"/>
      <c r="G55" s="95" t="s">
        <v>422</v>
      </c>
      <c r="H55" s="94" t="s">
        <v>2399</v>
      </c>
      <c r="I55" s="94" t="s">
        <v>526</v>
      </c>
      <c r="J55" s="91" t="s">
        <v>2535</v>
      </c>
      <c r="K55" s="91" t="s">
        <v>2397</v>
      </c>
      <c r="L55" s="94"/>
      <c r="M55" s="93">
        <v>6</v>
      </c>
      <c r="N55" s="92">
        <v>3800</v>
      </c>
      <c r="O55" s="92">
        <f t="shared" si="1"/>
        <v>22800</v>
      </c>
      <c r="P55" s="91">
        <f t="shared" si="2"/>
        <v>228</v>
      </c>
      <c r="Q55" s="91">
        <f t="shared" si="3"/>
        <v>22572</v>
      </c>
      <c r="R55" s="91"/>
      <c r="T55" s="10">
        <v>31</v>
      </c>
      <c r="U55" s="112"/>
      <c r="V55" s="10"/>
      <c r="W55" s="10"/>
      <c r="X55" s="109"/>
    </row>
    <row r="56" spans="2:24" ht="12" customHeight="1" x14ac:dyDescent="0.3">
      <c r="B56" s="98">
        <f t="shared" si="4"/>
        <v>53</v>
      </c>
      <c r="C56" s="97" t="str">
        <f t="shared" si="0"/>
        <v>Feb-26</v>
      </c>
      <c r="D56" s="96">
        <v>46060</v>
      </c>
      <c r="E56" s="95">
        <v>1328</v>
      </c>
      <c r="F56" s="95"/>
      <c r="G56" s="95" t="s">
        <v>422</v>
      </c>
      <c r="H56" s="94" t="s">
        <v>2399</v>
      </c>
      <c r="I56" s="94"/>
      <c r="J56" s="91" t="s">
        <v>2540</v>
      </c>
      <c r="K56" s="91" t="s">
        <v>2397</v>
      </c>
      <c r="L56" s="94"/>
      <c r="M56" s="93">
        <v>6</v>
      </c>
      <c r="N56" s="92">
        <v>3800</v>
      </c>
      <c r="O56" s="92">
        <f t="shared" si="1"/>
        <v>22800</v>
      </c>
      <c r="P56" s="91">
        <f t="shared" si="2"/>
        <v>228</v>
      </c>
      <c r="Q56" s="91">
        <f t="shared" si="3"/>
        <v>22572</v>
      </c>
      <c r="R56" s="91"/>
      <c r="T56" s="10">
        <v>32</v>
      </c>
      <c r="U56" s="112"/>
      <c r="V56" s="10"/>
      <c r="W56" s="10"/>
      <c r="X56" s="109"/>
    </row>
    <row r="57" spans="2:24" ht="12" customHeight="1" x14ac:dyDescent="0.3">
      <c r="B57" s="98">
        <f t="shared" si="4"/>
        <v>54</v>
      </c>
      <c r="C57" s="97" t="str">
        <f t="shared" si="0"/>
        <v>Feb-26</v>
      </c>
      <c r="D57" s="96">
        <v>46061</v>
      </c>
      <c r="E57" s="95">
        <v>1339</v>
      </c>
      <c r="F57" s="95"/>
      <c r="G57" s="95" t="s">
        <v>422</v>
      </c>
      <c r="H57" s="94" t="s">
        <v>2399</v>
      </c>
      <c r="I57" s="94"/>
      <c r="J57" s="91" t="s">
        <v>2540</v>
      </c>
      <c r="K57" s="91" t="s">
        <v>2397</v>
      </c>
      <c r="L57" s="94"/>
      <c r="M57" s="93">
        <v>6</v>
      </c>
      <c r="N57" s="92">
        <v>3800</v>
      </c>
      <c r="O57" s="92">
        <f t="shared" si="1"/>
        <v>22800</v>
      </c>
      <c r="P57" s="91">
        <f t="shared" si="2"/>
        <v>228</v>
      </c>
      <c r="Q57" s="91">
        <f t="shared" si="3"/>
        <v>22572</v>
      </c>
      <c r="R57" s="91"/>
      <c r="T57" s="10">
        <v>33</v>
      </c>
      <c r="U57" s="112"/>
      <c r="V57" s="10"/>
      <c r="W57" s="10"/>
      <c r="X57" s="109"/>
    </row>
    <row r="58" spans="2:24" ht="12" customHeight="1" x14ac:dyDescent="0.3">
      <c r="B58" s="98">
        <f t="shared" si="4"/>
        <v>55</v>
      </c>
      <c r="C58" s="97" t="str">
        <f t="shared" si="0"/>
        <v>Feb-26</v>
      </c>
      <c r="D58" s="96">
        <v>46061</v>
      </c>
      <c r="E58" s="95">
        <v>1345</v>
      </c>
      <c r="F58" s="95"/>
      <c r="G58" s="95" t="s">
        <v>422</v>
      </c>
      <c r="H58" s="94" t="s">
        <v>2399</v>
      </c>
      <c r="I58" s="94" t="s">
        <v>2487</v>
      </c>
      <c r="J58" s="91" t="s">
        <v>294</v>
      </c>
      <c r="K58" s="91" t="s">
        <v>2397</v>
      </c>
      <c r="L58" s="94"/>
      <c r="M58" s="93">
        <v>6</v>
      </c>
      <c r="N58" s="92">
        <v>3800</v>
      </c>
      <c r="O58" s="92">
        <f t="shared" si="1"/>
        <v>22800</v>
      </c>
      <c r="P58" s="91">
        <f t="shared" si="2"/>
        <v>228</v>
      </c>
      <c r="Q58" s="91">
        <f t="shared" si="3"/>
        <v>22572</v>
      </c>
      <c r="R58" s="91"/>
      <c r="T58" s="10"/>
      <c r="U58" s="112"/>
      <c r="V58" s="10"/>
      <c r="W58" s="10"/>
      <c r="X58" s="109"/>
    </row>
    <row r="59" spans="2:24" ht="12" customHeight="1" x14ac:dyDescent="0.3">
      <c r="B59" s="98">
        <f t="shared" si="4"/>
        <v>56</v>
      </c>
      <c r="C59" s="97" t="str">
        <f t="shared" si="0"/>
        <v>Feb-26</v>
      </c>
      <c r="D59" s="96">
        <v>46061</v>
      </c>
      <c r="E59" s="95">
        <v>1351</v>
      </c>
      <c r="F59" s="95"/>
      <c r="G59" s="95" t="s">
        <v>422</v>
      </c>
      <c r="H59" s="94" t="s">
        <v>2399</v>
      </c>
      <c r="I59" s="94" t="s">
        <v>526</v>
      </c>
      <c r="J59" s="91" t="s">
        <v>2535</v>
      </c>
      <c r="K59" s="91" t="s">
        <v>2397</v>
      </c>
      <c r="L59" s="94"/>
      <c r="M59" s="93">
        <v>6</v>
      </c>
      <c r="N59" s="92">
        <v>3800</v>
      </c>
      <c r="O59" s="92">
        <f t="shared" si="1"/>
        <v>22800</v>
      </c>
      <c r="P59" s="91">
        <f t="shared" si="2"/>
        <v>228</v>
      </c>
      <c r="Q59" s="91">
        <f t="shared" si="3"/>
        <v>22572</v>
      </c>
      <c r="R59" s="91"/>
      <c r="T59" s="10">
        <v>34</v>
      </c>
      <c r="U59" s="112"/>
      <c r="V59" s="10"/>
      <c r="W59" s="10"/>
      <c r="X59" s="109"/>
    </row>
    <row r="60" spans="2:24" ht="12" customHeight="1" x14ac:dyDescent="0.3">
      <c r="B60" s="98">
        <f t="shared" si="4"/>
        <v>57</v>
      </c>
      <c r="C60" s="97" t="str">
        <f t="shared" si="0"/>
        <v>Feb-26</v>
      </c>
      <c r="D60" s="96">
        <v>46063</v>
      </c>
      <c r="E60" s="95">
        <v>1385</v>
      </c>
      <c r="F60" s="95"/>
      <c r="G60" s="95" t="s">
        <v>422</v>
      </c>
      <c r="H60" s="94" t="s">
        <v>2399</v>
      </c>
      <c r="I60" s="94" t="s">
        <v>2487</v>
      </c>
      <c r="J60" s="91" t="s">
        <v>2473</v>
      </c>
      <c r="K60" s="91" t="s">
        <v>2397</v>
      </c>
      <c r="L60" s="94"/>
      <c r="M60" s="93">
        <v>6.5</v>
      </c>
      <c r="N60" s="92">
        <v>3800</v>
      </c>
      <c r="O60" s="92">
        <f t="shared" si="1"/>
        <v>24700</v>
      </c>
      <c r="P60" s="91">
        <f t="shared" si="2"/>
        <v>247</v>
      </c>
      <c r="Q60" s="91">
        <f t="shared" si="3"/>
        <v>24453</v>
      </c>
      <c r="R60" s="91"/>
      <c r="T60" s="10">
        <v>35</v>
      </c>
      <c r="U60" s="112"/>
      <c r="V60" s="10"/>
      <c r="W60" s="10"/>
      <c r="X60" s="109"/>
    </row>
    <row r="61" spans="2:24" ht="12" customHeight="1" x14ac:dyDescent="0.3">
      <c r="B61" s="98">
        <f t="shared" si="4"/>
        <v>58</v>
      </c>
      <c r="C61" s="97" t="str">
        <f t="shared" si="0"/>
        <v>Feb-26</v>
      </c>
      <c r="D61" s="96">
        <v>46063</v>
      </c>
      <c r="E61" s="95">
        <v>1386</v>
      </c>
      <c r="F61" s="95"/>
      <c r="G61" s="95" t="s">
        <v>422</v>
      </c>
      <c r="H61" s="94" t="s">
        <v>2399</v>
      </c>
      <c r="I61" s="94" t="s">
        <v>2487</v>
      </c>
      <c r="J61" s="91" t="s">
        <v>2473</v>
      </c>
      <c r="K61" s="91" t="s">
        <v>2397</v>
      </c>
      <c r="L61" s="94"/>
      <c r="M61" s="93">
        <v>6</v>
      </c>
      <c r="N61" s="92">
        <v>3800</v>
      </c>
      <c r="O61" s="92">
        <f t="shared" si="1"/>
        <v>22800</v>
      </c>
      <c r="P61" s="91">
        <f t="shared" si="2"/>
        <v>228</v>
      </c>
      <c r="Q61" s="91">
        <f t="shared" si="3"/>
        <v>22572</v>
      </c>
      <c r="R61" s="91"/>
      <c r="T61" s="10">
        <v>36</v>
      </c>
      <c r="U61" s="112"/>
      <c r="V61" s="10"/>
      <c r="W61" s="10"/>
      <c r="X61" s="109"/>
    </row>
    <row r="62" spans="2:24" ht="12" customHeight="1" x14ac:dyDescent="0.3">
      <c r="B62" s="98">
        <f t="shared" si="4"/>
        <v>59</v>
      </c>
      <c r="C62" s="97" t="str">
        <f t="shared" si="0"/>
        <v>Feb-26</v>
      </c>
      <c r="D62" s="96">
        <v>46063</v>
      </c>
      <c r="E62" s="95">
        <v>1387</v>
      </c>
      <c r="F62" s="95"/>
      <c r="G62" s="95" t="s">
        <v>422</v>
      </c>
      <c r="H62" s="94" t="s">
        <v>2399</v>
      </c>
      <c r="I62" s="94" t="s">
        <v>2440</v>
      </c>
      <c r="J62" s="91" t="s">
        <v>2440</v>
      </c>
      <c r="K62" s="91" t="s">
        <v>2397</v>
      </c>
      <c r="L62" s="94"/>
      <c r="M62" s="93">
        <v>6</v>
      </c>
      <c r="N62" s="92">
        <v>3900</v>
      </c>
      <c r="O62" s="92">
        <f t="shared" si="1"/>
        <v>23400</v>
      </c>
      <c r="P62" s="91">
        <f t="shared" si="2"/>
        <v>234</v>
      </c>
      <c r="Q62" s="91">
        <f t="shared" si="3"/>
        <v>23166</v>
      </c>
      <c r="R62" s="91"/>
      <c r="T62" s="10">
        <v>37</v>
      </c>
      <c r="U62" s="112"/>
      <c r="V62" s="10"/>
      <c r="W62" s="10"/>
      <c r="X62" s="109"/>
    </row>
    <row r="63" spans="2:24" ht="12" customHeight="1" x14ac:dyDescent="0.3">
      <c r="B63" s="98">
        <f t="shared" si="4"/>
        <v>60</v>
      </c>
      <c r="C63" s="97" t="str">
        <f t="shared" si="0"/>
        <v>Feb-26</v>
      </c>
      <c r="D63" s="96">
        <v>46063</v>
      </c>
      <c r="E63" s="95">
        <v>1389</v>
      </c>
      <c r="F63" s="95"/>
      <c r="G63" s="95" t="s">
        <v>422</v>
      </c>
      <c r="H63" s="94" t="s">
        <v>2399</v>
      </c>
      <c r="I63" s="94" t="s">
        <v>2487</v>
      </c>
      <c r="J63" s="91" t="s">
        <v>2473</v>
      </c>
      <c r="K63" s="91" t="s">
        <v>2397</v>
      </c>
      <c r="L63" s="94"/>
      <c r="M63" s="93">
        <v>7</v>
      </c>
      <c r="N63" s="92">
        <v>3800</v>
      </c>
      <c r="O63" s="92">
        <f t="shared" si="1"/>
        <v>26600</v>
      </c>
      <c r="P63" s="91">
        <f t="shared" si="2"/>
        <v>266</v>
      </c>
      <c r="Q63" s="91">
        <f t="shared" si="3"/>
        <v>26334</v>
      </c>
      <c r="R63" s="91"/>
      <c r="T63" s="10">
        <v>38</v>
      </c>
      <c r="U63" s="112"/>
      <c r="V63" s="10"/>
      <c r="W63" s="10"/>
      <c r="X63" s="109"/>
    </row>
    <row r="64" spans="2:24" ht="12" customHeight="1" x14ac:dyDescent="0.3">
      <c r="B64" s="98">
        <f t="shared" si="4"/>
        <v>61</v>
      </c>
      <c r="C64" s="97" t="str">
        <f t="shared" si="0"/>
        <v>Feb-26</v>
      </c>
      <c r="D64" s="96">
        <v>46063</v>
      </c>
      <c r="E64" s="95">
        <v>1390</v>
      </c>
      <c r="F64" s="95"/>
      <c r="G64" s="95" t="s">
        <v>422</v>
      </c>
      <c r="H64" s="94" t="s">
        <v>2399</v>
      </c>
      <c r="I64" s="94" t="s">
        <v>2487</v>
      </c>
      <c r="J64" s="91" t="s">
        <v>2473</v>
      </c>
      <c r="K64" s="91" t="s">
        <v>2397</v>
      </c>
      <c r="L64" s="94"/>
      <c r="M64" s="93">
        <v>6</v>
      </c>
      <c r="N64" s="92">
        <v>3800</v>
      </c>
      <c r="O64" s="92">
        <f t="shared" si="1"/>
        <v>22800</v>
      </c>
      <c r="P64" s="91">
        <f t="shared" si="2"/>
        <v>228</v>
      </c>
      <c r="Q64" s="91">
        <f t="shared" si="3"/>
        <v>22572</v>
      </c>
      <c r="R64" s="91"/>
      <c r="T64" s="10">
        <v>39</v>
      </c>
      <c r="U64" s="112"/>
      <c r="V64" s="10"/>
      <c r="W64" s="10"/>
      <c r="X64" s="109"/>
    </row>
    <row r="65" spans="2:24" ht="12" customHeight="1" x14ac:dyDescent="0.3">
      <c r="B65" s="98">
        <f t="shared" si="4"/>
        <v>62</v>
      </c>
      <c r="C65" s="97" t="str">
        <f t="shared" si="0"/>
        <v>Feb-26</v>
      </c>
      <c r="D65" s="96">
        <v>46063</v>
      </c>
      <c r="E65" s="95">
        <v>1391</v>
      </c>
      <c r="F65" s="95"/>
      <c r="G65" s="95" t="s">
        <v>422</v>
      </c>
      <c r="H65" s="94" t="s">
        <v>2399</v>
      </c>
      <c r="I65" s="94" t="s">
        <v>2440</v>
      </c>
      <c r="J65" s="91" t="s">
        <v>2440</v>
      </c>
      <c r="K65" s="91" t="s">
        <v>2397</v>
      </c>
      <c r="L65" s="94"/>
      <c r="M65" s="93">
        <v>6</v>
      </c>
      <c r="N65" s="92">
        <v>3900</v>
      </c>
      <c r="O65" s="92">
        <f t="shared" si="1"/>
        <v>23400</v>
      </c>
      <c r="P65" s="91">
        <f t="shared" si="2"/>
        <v>234</v>
      </c>
      <c r="Q65" s="91">
        <f t="shared" si="3"/>
        <v>23166</v>
      </c>
      <c r="R65" s="91"/>
      <c r="T65" s="10">
        <v>40</v>
      </c>
      <c r="U65" s="112"/>
      <c r="V65" s="10"/>
      <c r="W65" s="10"/>
      <c r="X65" s="109"/>
    </row>
    <row r="66" spans="2:24" ht="12" customHeight="1" x14ac:dyDescent="0.3">
      <c r="B66" s="98">
        <f t="shared" si="4"/>
        <v>63</v>
      </c>
      <c r="C66" s="97" t="str">
        <f t="shared" si="0"/>
        <v>Feb-26</v>
      </c>
      <c r="D66" s="96">
        <v>46064</v>
      </c>
      <c r="E66" s="95">
        <v>1403</v>
      </c>
      <c r="F66" s="95"/>
      <c r="G66" s="95" t="s">
        <v>422</v>
      </c>
      <c r="H66" s="94" t="s">
        <v>2399</v>
      </c>
      <c r="I66" s="94" t="s">
        <v>2406</v>
      </c>
      <c r="J66" s="91" t="s">
        <v>2406</v>
      </c>
      <c r="K66" s="91" t="s">
        <v>2397</v>
      </c>
      <c r="L66" s="94"/>
      <c r="M66" s="93">
        <v>6</v>
      </c>
      <c r="N66" s="92">
        <v>3950</v>
      </c>
      <c r="O66" s="92">
        <f t="shared" si="1"/>
        <v>23700</v>
      </c>
      <c r="P66" s="91">
        <f t="shared" si="2"/>
        <v>237</v>
      </c>
      <c r="Q66" s="91">
        <f t="shared" si="3"/>
        <v>23463</v>
      </c>
      <c r="R66" s="91"/>
      <c r="T66" s="10">
        <v>41</v>
      </c>
      <c r="U66" s="112"/>
      <c r="V66" s="10"/>
      <c r="W66" s="10"/>
      <c r="X66" s="109"/>
    </row>
    <row r="67" spans="2:24" ht="12" customHeight="1" x14ac:dyDescent="0.3">
      <c r="B67" s="98">
        <f t="shared" si="4"/>
        <v>64</v>
      </c>
      <c r="C67" s="97" t="str">
        <f t="shared" si="0"/>
        <v>Feb-26</v>
      </c>
      <c r="D67" s="96">
        <v>46064</v>
      </c>
      <c r="E67" s="95">
        <v>1406</v>
      </c>
      <c r="F67" s="95"/>
      <c r="G67" s="95" t="s">
        <v>422</v>
      </c>
      <c r="H67" s="94" t="s">
        <v>2399</v>
      </c>
      <c r="I67" s="94" t="s">
        <v>2406</v>
      </c>
      <c r="J67" s="91" t="s">
        <v>2406</v>
      </c>
      <c r="K67" s="91" t="s">
        <v>2397</v>
      </c>
      <c r="L67" s="94"/>
      <c r="M67" s="93">
        <v>6</v>
      </c>
      <c r="N67" s="92">
        <v>3950</v>
      </c>
      <c r="O67" s="92">
        <f t="shared" si="1"/>
        <v>23700</v>
      </c>
      <c r="P67" s="91">
        <f t="shared" si="2"/>
        <v>237</v>
      </c>
      <c r="Q67" s="91">
        <f t="shared" si="3"/>
        <v>23463</v>
      </c>
      <c r="R67" s="91"/>
      <c r="T67" s="10">
        <v>42</v>
      </c>
      <c r="U67" s="112"/>
      <c r="V67" s="10"/>
      <c r="W67" s="10"/>
      <c r="X67" s="109"/>
    </row>
    <row r="68" spans="2:24" ht="12" customHeight="1" x14ac:dyDescent="0.3">
      <c r="B68" s="98">
        <f t="shared" si="4"/>
        <v>65</v>
      </c>
      <c r="C68" s="97" t="str">
        <f t="shared" ref="C68:C131" si="5">CONCATENATE(TEXT(D68,"mmm"),"-",TEXT(D68,"yy"))</f>
        <v>Feb-26</v>
      </c>
      <c r="D68" s="96">
        <v>46065</v>
      </c>
      <c r="E68" s="95">
        <v>1413</v>
      </c>
      <c r="F68" s="95"/>
      <c r="G68" s="95" t="s">
        <v>422</v>
      </c>
      <c r="H68" s="94" t="s">
        <v>2399</v>
      </c>
      <c r="I68" s="94" t="s">
        <v>2487</v>
      </c>
      <c r="J68" s="91" t="s">
        <v>2539</v>
      </c>
      <c r="K68" s="91" t="s">
        <v>2397</v>
      </c>
      <c r="L68" s="94"/>
      <c r="M68" s="93">
        <v>6</v>
      </c>
      <c r="N68" s="92">
        <v>3800</v>
      </c>
      <c r="O68" s="92">
        <f t="shared" ref="O68:O131" si="6">SUM(N68*M68)</f>
        <v>22800</v>
      </c>
      <c r="P68" s="91">
        <f t="shared" ref="P68:P131" si="7">O68*1%</f>
        <v>228</v>
      </c>
      <c r="Q68" s="91">
        <f t="shared" ref="Q68:Q131" si="8">O68-P68</f>
        <v>22572</v>
      </c>
      <c r="R68" s="91"/>
      <c r="T68" s="10">
        <v>43</v>
      </c>
      <c r="U68" s="112"/>
      <c r="V68" s="10"/>
      <c r="W68" s="10"/>
      <c r="X68" s="109"/>
    </row>
    <row r="69" spans="2:24" ht="12" customHeight="1" x14ac:dyDescent="0.3">
      <c r="B69" s="98">
        <f t="shared" ref="B69:B132" si="9">+B68+1</f>
        <v>66</v>
      </c>
      <c r="C69" s="97" t="str">
        <f t="shared" si="5"/>
        <v>Feb-26</v>
      </c>
      <c r="D69" s="96">
        <v>46067</v>
      </c>
      <c r="E69" s="95">
        <v>1452</v>
      </c>
      <c r="F69" s="95"/>
      <c r="G69" s="95" t="s">
        <v>422</v>
      </c>
      <c r="H69" s="94" t="s">
        <v>2399</v>
      </c>
      <c r="I69" s="94" t="s">
        <v>2440</v>
      </c>
      <c r="J69" s="91" t="s">
        <v>2440</v>
      </c>
      <c r="K69" s="91" t="s">
        <v>2397</v>
      </c>
      <c r="L69" s="94"/>
      <c r="M69" s="93">
        <v>6</v>
      </c>
      <c r="N69" s="92">
        <v>3900</v>
      </c>
      <c r="O69" s="92">
        <f t="shared" si="6"/>
        <v>23400</v>
      </c>
      <c r="P69" s="91">
        <f t="shared" si="7"/>
        <v>234</v>
      </c>
      <c r="Q69" s="91">
        <f t="shared" si="8"/>
        <v>23166</v>
      </c>
      <c r="R69" s="91"/>
      <c r="T69" s="10">
        <v>44</v>
      </c>
      <c r="U69" s="112"/>
      <c r="V69" s="10"/>
      <c r="W69" s="10"/>
      <c r="X69" s="109"/>
    </row>
    <row r="70" spans="2:24" ht="12" customHeight="1" x14ac:dyDescent="0.3">
      <c r="B70" s="98">
        <f t="shared" si="9"/>
        <v>67</v>
      </c>
      <c r="C70" s="97" t="str">
        <f t="shared" si="5"/>
        <v>Feb-26</v>
      </c>
      <c r="D70" s="96">
        <v>46067</v>
      </c>
      <c r="E70" s="95">
        <v>1455</v>
      </c>
      <c r="F70" s="95"/>
      <c r="G70" s="95" t="s">
        <v>422</v>
      </c>
      <c r="H70" s="94" t="s">
        <v>2399</v>
      </c>
      <c r="I70" s="94" t="s">
        <v>2487</v>
      </c>
      <c r="J70" s="91" t="s">
        <v>2537</v>
      </c>
      <c r="K70" s="91" t="s">
        <v>2397</v>
      </c>
      <c r="L70" s="94"/>
      <c r="M70" s="93">
        <v>6</v>
      </c>
      <c r="N70" s="92">
        <v>3800</v>
      </c>
      <c r="O70" s="92">
        <f t="shared" si="6"/>
        <v>22800</v>
      </c>
      <c r="P70" s="91">
        <f t="shared" si="7"/>
        <v>228</v>
      </c>
      <c r="Q70" s="91">
        <f t="shared" si="8"/>
        <v>22572</v>
      </c>
      <c r="R70" s="91"/>
      <c r="T70" s="10">
        <v>45</v>
      </c>
      <c r="U70" s="112"/>
      <c r="V70" s="10"/>
      <c r="W70" s="10"/>
      <c r="X70" s="109"/>
    </row>
    <row r="71" spans="2:24" ht="12" customHeight="1" x14ac:dyDescent="0.3">
      <c r="B71" s="98">
        <f t="shared" si="9"/>
        <v>68</v>
      </c>
      <c r="C71" s="97" t="str">
        <f t="shared" si="5"/>
        <v>Feb-26</v>
      </c>
      <c r="D71" s="96">
        <v>46067</v>
      </c>
      <c r="E71" s="95">
        <v>1456</v>
      </c>
      <c r="F71" s="95"/>
      <c r="G71" s="95" t="s">
        <v>422</v>
      </c>
      <c r="H71" s="94" t="s">
        <v>2399</v>
      </c>
      <c r="I71" s="94" t="s">
        <v>2440</v>
      </c>
      <c r="J71" s="91" t="s">
        <v>2440</v>
      </c>
      <c r="K71" s="91" t="s">
        <v>2397</v>
      </c>
      <c r="L71" s="94"/>
      <c r="M71" s="93">
        <v>6</v>
      </c>
      <c r="N71" s="92">
        <v>3900</v>
      </c>
      <c r="O71" s="92">
        <f t="shared" si="6"/>
        <v>23400</v>
      </c>
      <c r="P71" s="91">
        <f t="shared" si="7"/>
        <v>234</v>
      </c>
      <c r="Q71" s="91">
        <f t="shared" si="8"/>
        <v>23166</v>
      </c>
      <c r="R71" s="91"/>
      <c r="T71" s="10">
        <v>46</v>
      </c>
      <c r="U71" s="112"/>
      <c r="V71" s="10"/>
      <c r="W71" s="10"/>
      <c r="X71" s="109"/>
    </row>
    <row r="72" spans="2:24" ht="12" customHeight="1" x14ac:dyDescent="0.3">
      <c r="B72" s="98">
        <f t="shared" si="9"/>
        <v>69</v>
      </c>
      <c r="C72" s="97" t="str">
        <f t="shared" si="5"/>
        <v>Feb-26</v>
      </c>
      <c r="D72" s="96">
        <v>46067</v>
      </c>
      <c r="E72" s="95">
        <v>1463</v>
      </c>
      <c r="F72" s="95"/>
      <c r="G72" s="95" t="s">
        <v>422</v>
      </c>
      <c r="H72" s="94" t="s">
        <v>2399</v>
      </c>
      <c r="I72" s="94" t="s">
        <v>2487</v>
      </c>
      <c r="J72" s="91" t="s">
        <v>294</v>
      </c>
      <c r="K72" s="91" t="s">
        <v>2397</v>
      </c>
      <c r="L72" s="94"/>
      <c r="M72" s="93">
        <v>6</v>
      </c>
      <c r="N72" s="92">
        <v>3800</v>
      </c>
      <c r="O72" s="92">
        <f t="shared" si="6"/>
        <v>22800</v>
      </c>
      <c r="P72" s="91">
        <f t="shared" si="7"/>
        <v>228</v>
      </c>
      <c r="Q72" s="91">
        <f t="shared" si="8"/>
        <v>22572</v>
      </c>
      <c r="R72" s="91"/>
      <c r="T72" s="10">
        <v>47</v>
      </c>
      <c r="U72" s="112"/>
      <c r="V72" s="10"/>
      <c r="W72" s="10"/>
      <c r="X72" s="109"/>
    </row>
    <row r="73" spans="2:24" ht="12" customHeight="1" x14ac:dyDescent="0.3">
      <c r="B73" s="98">
        <f t="shared" si="9"/>
        <v>70</v>
      </c>
      <c r="C73" s="97" t="str">
        <f t="shared" si="5"/>
        <v>Feb-26</v>
      </c>
      <c r="D73" s="96">
        <v>46067</v>
      </c>
      <c r="E73" s="95">
        <v>1467</v>
      </c>
      <c r="F73" s="95"/>
      <c r="G73" s="95" t="s">
        <v>422</v>
      </c>
      <c r="H73" s="94" t="s">
        <v>2399</v>
      </c>
      <c r="I73" s="94" t="s">
        <v>2487</v>
      </c>
      <c r="J73" s="91" t="s">
        <v>294</v>
      </c>
      <c r="K73" s="91" t="s">
        <v>2397</v>
      </c>
      <c r="L73" s="94"/>
      <c r="M73" s="93">
        <v>6</v>
      </c>
      <c r="N73" s="92">
        <v>3800</v>
      </c>
      <c r="O73" s="92">
        <f t="shared" si="6"/>
        <v>22800</v>
      </c>
      <c r="P73" s="91">
        <f t="shared" si="7"/>
        <v>228</v>
      </c>
      <c r="Q73" s="91">
        <f t="shared" si="8"/>
        <v>22572</v>
      </c>
      <c r="R73" s="91"/>
      <c r="T73" s="10">
        <v>48</v>
      </c>
      <c r="U73" s="112"/>
      <c r="V73" s="10"/>
      <c r="W73" s="10"/>
      <c r="X73" s="109"/>
    </row>
    <row r="74" spans="2:24" ht="12" customHeight="1" x14ac:dyDescent="0.3">
      <c r="B74" s="98">
        <f t="shared" si="9"/>
        <v>71</v>
      </c>
      <c r="C74" s="97" t="str">
        <f t="shared" si="5"/>
        <v>Feb-26</v>
      </c>
      <c r="D74" s="96">
        <v>46068</v>
      </c>
      <c r="E74" s="95">
        <v>1470</v>
      </c>
      <c r="F74" s="95"/>
      <c r="G74" s="95" t="s">
        <v>422</v>
      </c>
      <c r="H74" s="94" t="s">
        <v>2399</v>
      </c>
      <c r="I74" s="94" t="s">
        <v>526</v>
      </c>
      <c r="J74" s="91" t="s">
        <v>2538</v>
      </c>
      <c r="K74" s="91" t="s">
        <v>2397</v>
      </c>
      <c r="L74" s="94"/>
      <c r="M74" s="93">
        <v>6</v>
      </c>
      <c r="N74" s="92">
        <v>3800</v>
      </c>
      <c r="O74" s="92">
        <f t="shared" si="6"/>
        <v>22800</v>
      </c>
      <c r="P74" s="91">
        <f t="shared" si="7"/>
        <v>228</v>
      </c>
      <c r="Q74" s="91">
        <f t="shared" si="8"/>
        <v>22572</v>
      </c>
      <c r="R74" s="91"/>
      <c r="T74" s="10">
        <v>49</v>
      </c>
      <c r="U74" s="112"/>
      <c r="V74" s="10"/>
      <c r="W74" s="10"/>
      <c r="X74" s="109"/>
    </row>
    <row r="75" spans="2:24" ht="12" customHeight="1" x14ac:dyDescent="0.3">
      <c r="B75" s="98">
        <f t="shared" si="9"/>
        <v>72</v>
      </c>
      <c r="C75" s="97" t="str">
        <f t="shared" si="5"/>
        <v>Feb-26</v>
      </c>
      <c r="D75" s="96">
        <v>46068</v>
      </c>
      <c r="E75" s="95">
        <v>1471</v>
      </c>
      <c r="F75" s="95"/>
      <c r="G75" s="95" t="s">
        <v>422</v>
      </c>
      <c r="H75" s="94" t="s">
        <v>2399</v>
      </c>
      <c r="I75" s="94" t="s">
        <v>2406</v>
      </c>
      <c r="J75" s="91" t="s">
        <v>2406</v>
      </c>
      <c r="K75" s="91" t="s">
        <v>2397</v>
      </c>
      <c r="L75" s="94"/>
      <c r="M75" s="93">
        <v>6</v>
      </c>
      <c r="N75" s="92">
        <v>3950</v>
      </c>
      <c r="O75" s="92">
        <f t="shared" si="6"/>
        <v>23700</v>
      </c>
      <c r="P75" s="91">
        <f t="shared" si="7"/>
        <v>237</v>
      </c>
      <c r="Q75" s="91">
        <f t="shared" si="8"/>
        <v>23463</v>
      </c>
      <c r="R75" s="91"/>
      <c r="T75" s="10">
        <v>50</v>
      </c>
      <c r="U75" s="112"/>
      <c r="V75" s="10"/>
      <c r="W75" s="10"/>
      <c r="X75" s="109"/>
    </row>
    <row r="76" spans="2:24" ht="12" customHeight="1" x14ac:dyDescent="0.3">
      <c r="B76" s="98">
        <f t="shared" si="9"/>
        <v>73</v>
      </c>
      <c r="C76" s="97" t="str">
        <f t="shared" si="5"/>
        <v>Feb-26</v>
      </c>
      <c r="D76" s="96">
        <v>46068</v>
      </c>
      <c r="E76" s="95">
        <v>1476</v>
      </c>
      <c r="F76" s="95"/>
      <c r="G76" s="95" t="s">
        <v>422</v>
      </c>
      <c r="H76" s="94" t="s">
        <v>2399</v>
      </c>
      <c r="I76" s="94" t="s">
        <v>526</v>
      </c>
      <c r="J76" s="91" t="s">
        <v>2538</v>
      </c>
      <c r="K76" s="91" t="s">
        <v>2397</v>
      </c>
      <c r="L76" s="94"/>
      <c r="M76" s="93">
        <v>6</v>
      </c>
      <c r="N76" s="92">
        <v>3800</v>
      </c>
      <c r="O76" s="92">
        <f t="shared" si="6"/>
        <v>22800</v>
      </c>
      <c r="P76" s="91">
        <f t="shared" si="7"/>
        <v>228</v>
      </c>
      <c r="Q76" s="91">
        <f t="shared" si="8"/>
        <v>22572</v>
      </c>
      <c r="R76" s="91"/>
      <c r="T76" s="10">
        <v>51</v>
      </c>
      <c r="U76" s="112"/>
      <c r="V76" s="10"/>
      <c r="W76" s="10"/>
      <c r="X76" s="109"/>
    </row>
    <row r="77" spans="2:24" ht="12" customHeight="1" x14ac:dyDescent="0.3">
      <c r="B77" s="98">
        <f t="shared" si="9"/>
        <v>74</v>
      </c>
      <c r="C77" s="97" t="str">
        <f t="shared" si="5"/>
        <v>Feb-26</v>
      </c>
      <c r="D77" s="96">
        <v>46070</v>
      </c>
      <c r="E77" s="95">
        <v>1492</v>
      </c>
      <c r="F77" s="95"/>
      <c r="G77" s="95" t="s">
        <v>422</v>
      </c>
      <c r="H77" s="94" t="s">
        <v>2399</v>
      </c>
      <c r="I77" s="94"/>
      <c r="J77" s="91" t="s">
        <v>2536</v>
      </c>
      <c r="K77" s="91" t="s">
        <v>2397</v>
      </c>
      <c r="L77" s="94"/>
      <c r="M77" s="93">
        <v>6</v>
      </c>
      <c r="N77" s="92">
        <v>3800</v>
      </c>
      <c r="O77" s="92">
        <f t="shared" si="6"/>
        <v>22800</v>
      </c>
      <c r="P77" s="91">
        <f t="shared" si="7"/>
        <v>228</v>
      </c>
      <c r="Q77" s="91">
        <f t="shared" si="8"/>
        <v>22572</v>
      </c>
      <c r="R77" s="91"/>
      <c r="T77" s="10">
        <v>52</v>
      </c>
      <c r="U77" s="112"/>
      <c r="V77" s="10"/>
      <c r="W77" s="10"/>
      <c r="X77" s="109"/>
    </row>
    <row r="78" spans="2:24" ht="12" customHeight="1" x14ac:dyDescent="0.3">
      <c r="B78" s="98">
        <f t="shared" si="9"/>
        <v>75</v>
      </c>
      <c r="C78" s="97" t="str">
        <f t="shared" si="5"/>
        <v>Feb-26</v>
      </c>
      <c r="D78" s="96">
        <v>46071</v>
      </c>
      <c r="E78" s="95">
        <v>1494</v>
      </c>
      <c r="F78" s="95"/>
      <c r="G78" s="95" t="s">
        <v>422</v>
      </c>
      <c r="H78" s="94" t="s">
        <v>2399</v>
      </c>
      <c r="I78" s="94" t="s">
        <v>2487</v>
      </c>
      <c r="J78" s="91" t="s">
        <v>294</v>
      </c>
      <c r="K78" s="91" t="s">
        <v>2397</v>
      </c>
      <c r="L78" s="94"/>
      <c r="M78" s="93">
        <v>6</v>
      </c>
      <c r="N78" s="92">
        <v>3800</v>
      </c>
      <c r="O78" s="92">
        <f t="shared" si="6"/>
        <v>22800</v>
      </c>
      <c r="P78" s="91">
        <f t="shared" si="7"/>
        <v>228</v>
      </c>
      <c r="Q78" s="91">
        <f t="shared" si="8"/>
        <v>22572</v>
      </c>
      <c r="R78" s="91"/>
      <c r="T78" s="10">
        <v>53</v>
      </c>
      <c r="U78" s="112"/>
      <c r="V78" s="10"/>
      <c r="W78" s="10"/>
      <c r="X78" s="109"/>
    </row>
    <row r="79" spans="2:24" ht="12" customHeight="1" x14ac:dyDescent="0.3">
      <c r="B79" s="98">
        <f t="shared" si="9"/>
        <v>76</v>
      </c>
      <c r="C79" s="97" t="str">
        <f t="shared" si="5"/>
        <v>Feb-26</v>
      </c>
      <c r="D79" s="96">
        <v>46071</v>
      </c>
      <c r="E79" s="95">
        <v>1498</v>
      </c>
      <c r="F79" s="95"/>
      <c r="G79" s="95" t="s">
        <v>422</v>
      </c>
      <c r="H79" s="94" t="s">
        <v>2399</v>
      </c>
      <c r="I79" s="94"/>
      <c r="J79" s="91" t="s">
        <v>2536</v>
      </c>
      <c r="K79" s="91" t="s">
        <v>2397</v>
      </c>
      <c r="L79" s="94"/>
      <c r="M79" s="93">
        <v>6</v>
      </c>
      <c r="N79" s="92">
        <v>3800</v>
      </c>
      <c r="O79" s="92">
        <f t="shared" si="6"/>
        <v>22800</v>
      </c>
      <c r="P79" s="91">
        <f t="shared" si="7"/>
        <v>228</v>
      </c>
      <c r="Q79" s="91">
        <f t="shared" si="8"/>
        <v>22572</v>
      </c>
      <c r="R79" s="91"/>
      <c r="T79" s="10">
        <v>54</v>
      </c>
      <c r="U79" s="112"/>
      <c r="V79" s="10"/>
      <c r="W79" s="10"/>
      <c r="X79" s="109"/>
    </row>
    <row r="80" spans="2:24" ht="12" customHeight="1" x14ac:dyDescent="0.3">
      <c r="B80" s="98">
        <f t="shared" si="9"/>
        <v>77</v>
      </c>
      <c r="C80" s="97" t="str">
        <f t="shared" si="5"/>
        <v>Feb-26</v>
      </c>
      <c r="D80" s="96">
        <v>46071</v>
      </c>
      <c r="E80" s="95">
        <v>1503</v>
      </c>
      <c r="F80" s="95"/>
      <c r="G80" s="95" t="s">
        <v>422</v>
      </c>
      <c r="H80" s="94" t="s">
        <v>2399</v>
      </c>
      <c r="I80" s="94" t="s">
        <v>2487</v>
      </c>
      <c r="J80" s="91" t="s">
        <v>2537</v>
      </c>
      <c r="K80" s="91" t="s">
        <v>2397</v>
      </c>
      <c r="L80" s="94"/>
      <c r="M80" s="93">
        <v>6</v>
      </c>
      <c r="N80" s="92">
        <v>3800</v>
      </c>
      <c r="O80" s="92">
        <f t="shared" si="6"/>
        <v>22800</v>
      </c>
      <c r="P80" s="91">
        <f t="shared" si="7"/>
        <v>228</v>
      </c>
      <c r="Q80" s="91">
        <f t="shared" si="8"/>
        <v>22572</v>
      </c>
      <c r="R80" s="91"/>
      <c r="T80" s="10">
        <v>55</v>
      </c>
      <c r="U80" s="112"/>
      <c r="V80" s="10"/>
      <c r="W80" s="10"/>
      <c r="X80" s="109"/>
    </row>
    <row r="81" spans="2:24" ht="12" customHeight="1" x14ac:dyDescent="0.3">
      <c r="B81" s="98">
        <f t="shared" si="9"/>
        <v>78</v>
      </c>
      <c r="C81" s="97" t="str">
        <f t="shared" si="5"/>
        <v>Feb-26</v>
      </c>
      <c r="D81" s="96">
        <v>46071</v>
      </c>
      <c r="E81" s="95">
        <v>1504</v>
      </c>
      <c r="F81" s="95"/>
      <c r="G81" s="95" t="s">
        <v>422</v>
      </c>
      <c r="H81" s="94" t="s">
        <v>2399</v>
      </c>
      <c r="I81" s="94"/>
      <c r="J81" s="91" t="s">
        <v>2536</v>
      </c>
      <c r="K81" s="91" t="s">
        <v>2397</v>
      </c>
      <c r="L81" s="94"/>
      <c r="M81" s="93">
        <v>6</v>
      </c>
      <c r="N81" s="92">
        <v>3800</v>
      </c>
      <c r="O81" s="92">
        <f t="shared" si="6"/>
        <v>22800</v>
      </c>
      <c r="P81" s="91">
        <f t="shared" si="7"/>
        <v>228</v>
      </c>
      <c r="Q81" s="91">
        <f t="shared" si="8"/>
        <v>22572</v>
      </c>
      <c r="R81" s="91"/>
      <c r="T81" s="10">
        <v>56</v>
      </c>
      <c r="U81" s="112"/>
      <c r="V81" s="10"/>
      <c r="W81" s="10"/>
      <c r="X81" s="109"/>
    </row>
    <row r="82" spans="2:24" ht="12" customHeight="1" x14ac:dyDescent="0.3">
      <c r="B82" s="98">
        <f t="shared" si="9"/>
        <v>79</v>
      </c>
      <c r="C82" s="97" t="str">
        <f t="shared" si="5"/>
        <v>Feb-26</v>
      </c>
      <c r="D82" s="96">
        <v>46071</v>
      </c>
      <c r="E82" s="95">
        <v>1506</v>
      </c>
      <c r="F82" s="95"/>
      <c r="G82" s="95" t="s">
        <v>422</v>
      </c>
      <c r="H82" s="94" t="s">
        <v>2399</v>
      </c>
      <c r="I82" s="94" t="s">
        <v>2487</v>
      </c>
      <c r="J82" s="91" t="s">
        <v>2473</v>
      </c>
      <c r="K82" s="91" t="s">
        <v>2397</v>
      </c>
      <c r="L82" s="94"/>
      <c r="M82" s="93">
        <v>6.5</v>
      </c>
      <c r="N82" s="92">
        <v>3800</v>
      </c>
      <c r="O82" s="92">
        <f t="shared" si="6"/>
        <v>24700</v>
      </c>
      <c r="P82" s="91">
        <f t="shared" si="7"/>
        <v>247</v>
      </c>
      <c r="Q82" s="91">
        <f t="shared" si="8"/>
        <v>24453</v>
      </c>
      <c r="R82" s="91"/>
      <c r="T82" s="10">
        <v>57</v>
      </c>
      <c r="U82" s="112"/>
      <c r="V82" s="10"/>
      <c r="W82" s="10"/>
      <c r="X82" s="109"/>
    </row>
    <row r="83" spans="2:24" ht="12" customHeight="1" x14ac:dyDescent="0.3">
      <c r="B83" s="98">
        <f t="shared" si="9"/>
        <v>80</v>
      </c>
      <c r="C83" s="97" t="str">
        <f t="shared" si="5"/>
        <v>Feb-26</v>
      </c>
      <c r="D83" s="96">
        <v>46072</v>
      </c>
      <c r="E83" s="95">
        <v>1525</v>
      </c>
      <c r="F83" s="95"/>
      <c r="G83" s="95" t="s">
        <v>422</v>
      </c>
      <c r="H83" s="94" t="s">
        <v>2399</v>
      </c>
      <c r="I83" s="94" t="s">
        <v>526</v>
      </c>
      <c r="J83" s="91" t="s">
        <v>2535</v>
      </c>
      <c r="K83" s="91" t="s">
        <v>2397</v>
      </c>
      <c r="L83" s="94"/>
      <c r="M83" s="93">
        <v>5</v>
      </c>
      <c r="N83" s="92">
        <v>3800</v>
      </c>
      <c r="O83" s="92">
        <f t="shared" si="6"/>
        <v>19000</v>
      </c>
      <c r="P83" s="91">
        <f t="shared" si="7"/>
        <v>190</v>
      </c>
      <c r="Q83" s="91">
        <f t="shared" si="8"/>
        <v>18810</v>
      </c>
      <c r="R83" s="91"/>
      <c r="T83" s="10">
        <v>58</v>
      </c>
      <c r="U83" s="112"/>
      <c r="V83" s="10"/>
      <c r="W83" s="10"/>
      <c r="X83" s="109"/>
    </row>
    <row r="84" spans="2:24" ht="12" customHeight="1" x14ac:dyDescent="0.3">
      <c r="B84" s="98">
        <f t="shared" si="9"/>
        <v>81</v>
      </c>
      <c r="C84" s="97" t="str">
        <f t="shared" si="5"/>
        <v>Feb-26</v>
      </c>
      <c r="D84" s="96">
        <v>46072</v>
      </c>
      <c r="E84" s="95">
        <v>1527</v>
      </c>
      <c r="F84" s="95"/>
      <c r="G84" s="95" t="s">
        <v>422</v>
      </c>
      <c r="H84" s="94" t="s">
        <v>2399</v>
      </c>
      <c r="I84" s="94" t="s">
        <v>2406</v>
      </c>
      <c r="J84" s="91" t="s">
        <v>2534</v>
      </c>
      <c r="K84" s="91" t="s">
        <v>2397</v>
      </c>
      <c r="L84" s="94"/>
      <c r="M84" s="93">
        <v>6</v>
      </c>
      <c r="N84" s="92">
        <v>4000</v>
      </c>
      <c r="O84" s="92">
        <f t="shared" si="6"/>
        <v>24000</v>
      </c>
      <c r="P84" s="91">
        <f t="shared" si="7"/>
        <v>240</v>
      </c>
      <c r="Q84" s="91">
        <f t="shared" si="8"/>
        <v>23760</v>
      </c>
      <c r="R84" s="91"/>
      <c r="T84" s="10">
        <v>59</v>
      </c>
      <c r="U84" s="112"/>
      <c r="V84" s="10"/>
      <c r="W84" s="10"/>
      <c r="X84" s="109"/>
    </row>
    <row r="85" spans="2:24" ht="12" customHeight="1" x14ac:dyDescent="0.3">
      <c r="B85" s="98">
        <f t="shared" si="9"/>
        <v>82</v>
      </c>
      <c r="C85" s="97" t="str">
        <f t="shared" si="5"/>
        <v>Feb-26</v>
      </c>
      <c r="D85" s="96">
        <v>46073</v>
      </c>
      <c r="E85" s="95">
        <v>1534</v>
      </c>
      <c r="F85" s="95"/>
      <c r="G85" s="95" t="s">
        <v>422</v>
      </c>
      <c r="H85" s="94" t="s">
        <v>2399</v>
      </c>
      <c r="I85" s="94"/>
      <c r="J85" s="91" t="s">
        <v>2533</v>
      </c>
      <c r="K85" s="91" t="s">
        <v>2397</v>
      </c>
      <c r="L85" s="94"/>
      <c r="M85" s="93">
        <v>6</v>
      </c>
      <c r="N85" s="92">
        <v>4000</v>
      </c>
      <c r="O85" s="92">
        <f t="shared" si="6"/>
        <v>24000</v>
      </c>
      <c r="P85" s="91">
        <f t="shared" si="7"/>
        <v>240</v>
      </c>
      <c r="Q85" s="91">
        <f t="shared" si="8"/>
        <v>23760</v>
      </c>
      <c r="R85" s="91"/>
      <c r="T85" s="10">
        <v>60</v>
      </c>
      <c r="U85" s="112"/>
      <c r="V85" s="10"/>
      <c r="W85" s="10"/>
      <c r="X85" s="109"/>
    </row>
    <row r="86" spans="2:24" ht="12" customHeight="1" x14ac:dyDescent="0.3">
      <c r="B86" s="98">
        <f t="shared" si="9"/>
        <v>83</v>
      </c>
      <c r="C86" s="97" t="str">
        <f t="shared" si="5"/>
        <v>Feb-26</v>
      </c>
      <c r="D86" s="96">
        <v>46073</v>
      </c>
      <c r="E86" s="95">
        <v>1543</v>
      </c>
      <c r="F86" s="95"/>
      <c r="G86" s="95" t="s">
        <v>422</v>
      </c>
      <c r="H86" s="94" t="s">
        <v>2399</v>
      </c>
      <c r="I86" s="94" t="s">
        <v>2487</v>
      </c>
      <c r="J86" s="91" t="s">
        <v>2530</v>
      </c>
      <c r="K86" s="91" t="s">
        <v>2397</v>
      </c>
      <c r="L86" s="94"/>
      <c r="M86" s="93">
        <v>6</v>
      </c>
      <c r="N86" s="92">
        <v>4000</v>
      </c>
      <c r="O86" s="92">
        <f t="shared" si="6"/>
        <v>24000</v>
      </c>
      <c r="P86" s="91">
        <f t="shared" si="7"/>
        <v>240</v>
      </c>
      <c r="Q86" s="91">
        <f t="shared" si="8"/>
        <v>23760</v>
      </c>
      <c r="R86" s="91"/>
      <c r="T86" s="10">
        <v>61</v>
      </c>
      <c r="U86" s="112"/>
      <c r="V86" s="10"/>
      <c r="W86" s="10"/>
      <c r="X86" s="109"/>
    </row>
    <row r="87" spans="2:24" ht="12" customHeight="1" x14ac:dyDescent="0.3">
      <c r="B87" s="98">
        <f t="shared" si="9"/>
        <v>84</v>
      </c>
      <c r="C87" s="97" t="str">
        <f t="shared" si="5"/>
        <v>Feb-26</v>
      </c>
      <c r="D87" s="96">
        <v>46073</v>
      </c>
      <c r="E87" s="95">
        <v>1548</v>
      </c>
      <c r="F87" s="95"/>
      <c r="G87" s="95" t="s">
        <v>422</v>
      </c>
      <c r="H87" s="94" t="s">
        <v>2399</v>
      </c>
      <c r="I87" s="94" t="s">
        <v>2487</v>
      </c>
      <c r="J87" s="91" t="s">
        <v>294</v>
      </c>
      <c r="K87" s="91" t="s">
        <v>2397</v>
      </c>
      <c r="L87" s="94"/>
      <c r="M87" s="93">
        <v>6</v>
      </c>
      <c r="N87" s="92">
        <v>3800</v>
      </c>
      <c r="O87" s="92">
        <f t="shared" si="6"/>
        <v>22800</v>
      </c>
      <c r="P87" s="91">
        <f t="shared" si="7"/>
        <v>228</v>
      </c>
      <c r="Q87" s="91">
        <f t="shared" si="8"/>
        <v>22572</v>
      </c>
      <c r="R87" s="91"/>
      <c r="T87" s="10">
        <v>62</v>
      </c>
      <c r="U87" s="112"/>
      <c r="V87" s="10"/>
      <c r="W87" s="10"/>
      <c r="X87" s="109"/>
    </row>
    <row r="88" spans="2:24" ht="12" customHeight="1" x14ac:dyDescent="0.3">
      <c r="B88" s="98">
        <f t="shared" si="9"/>
        <v>85</v>
      </c>
      <c r="C88" s="97" t="str">
        <f t="shared" si="5"/>
        <v>Feb-26</v>
      </c>
      <c r="D88" s="96">
        <v>46074</v>
      </c>
      <c r="E88" s="95">
        <v>1555</v>
      </c>
      <c r="F88" s="95"/>
      <c r="G88" s="95" t="s">
        <v>422</v>
      </c>
      <c r="H88" s="94" t="s">
        <v>2399</v>
      </c>
      <c r="I88" s="94" t="s">
        <v>2487</v>
      </c>
      <c r="J88" s="91" t="s">
        <v>300</v>
      </c>
      <c r="K88" s="91" t="s">
        <v>2397</v>
      </c>
      <c r="L88" s="94"/>
      <c r="M88" s="93">
        <v>6</v>
      </c>
      <c r="N88" s="92">
        <v>3800</v>
      </c>
      <c r="O88" s="92">
        <f t="shared" si="6"/>
        <v>22800</v>
      </c>
      <c r="P88" s="91">
        <f t="shared" si="7"/>
        <v>228</v>
      </c>
      <c r="Q88" s="91">
        <f t="shared" si="8"/>
        <v>22572</v>
      </c>
      <c r="R88" s="91"/>
      <c r="T88" s="10">
        <v>63</v>
      </c>
      <c r="U88" s="112"/>
      <c r="V88" s="10"/>
      <c r="W88" s="10"/>
      <c r="X88" s="109"/>
    </row>
    <row r="89" spans="2:24" ht="12" customHeight="1" x14ac:dyDescent="0.3">
      <c r="B89" s="98">
        <f t="shared" si="9"/>
        <v>86</v>
      </c>
      <c r="C89" s="97" t="str">
        <f t="shared" si="5"/>
        <v>Feb-26</v>
      </c>
      <c r="D89" s="96">
        <v>46074</v>
      </c>
      <c r="E89" s="95">
        <v>1556</v>
      </c>
      <c r="F89" s="95"/>
      <c r="G89" s="95" t="s">
        <v>422</v>
      </c>
      <c r="H89" s="94" t="s">
        <v>2399</v>
      </c>
      <c r="I89" s="94" t="s">
        <v>2406</v>
      </c>
      <c r="J89" s="91" t="s">
        <v>2406</v>
      </c>
      <c r="K89" s="91" t="s">
        <v>2397</v>
      </c>
      <c r="L89" s="94"/>
      <c r="M89" s="93">
        <v>6</v>
      </c>
      <c r="N89" s="92">
        <v>3950</v>
      </c>
      <c r="O89" s="92">
        <f t="shared" si="6"/>
        <v>23700</v>
      </c>
      <c r="P89" s="91">
        <f t="shared" si="7"/>
        <v>237</v>
      </c>
      <c r="Q89" s="91">
        <f t="shared" si="8"/>
        <v>23463</v>
      </c>
      <c r="R89" s="91"/>
      <c r="T89" s="10">
        <v>64</v>
      </c>
      <c r="U89" s="112"/>
      <c r="V89" s="10"/>
      <c r="W89" s="10"/>
      <c r="X89" s="109"/>
    </row>
    <row r="90" spans="2:24" ht="12" customHeight="1" x14ac:dyDescent="0.3">
      <c r="B90" s="98">
        <f t="shared" si="9"/>
        <v>87</v>
      </c>
      <c r="C90" s="97" t="str">
        <f t="shared" si="5"/>
        <v>Feb-26</v>
      </c>
      <c r="D90" s="96">
        <v>46074</v>
      </c>
      <c r="E90" s="95">
        <v>1557</v>
      </c>
      <c r="F90" s="95"/>
      <c r="G90" s="95" t="s">
        <v>422</v>
      </c>
      <c r="H90" s="94" t="s">
        <v>2399</v>
      </c>
      <c r="I90" s="94" t="s">
        <v>2440</v>
      </c>
      <c r="J90" s="91" t="s">
        <v>2440</v>
      </c>
      <c r="K90" s="91" t="s">
        <v>2397</v>
      </c>
      <c r="L90" s="94"/>
      <c r="M90" s="93">
        <v>6</v>
      </c>
      <c r="N90" s="92">
        <v>3900</v>
      </c>
      <c r="O90" s="92">
        <f t="shared" si="6"/>
        <v>23400</v>
      </c>
      <c r="P90" s="91">
        <f t="shared" si="7"/>
        <v>234</v>
      </c>
      <c r="Q90" s="91">
        <f t="shared" si="8"/>
        <v>23166</v>
      </c>
      <c r="R90" s="91"/>
      <c r="T90" s="10">
        <v>65</v>
      </c>
      <c r="U90" s="112"/>
      <c r="V90" s="10"/>
      <c r="W90" s="10"/>
      <c r="X90" s="109"/>
    </row>
    <row r="91" spans="2:24" ht="12" customHeight="1" x14ac:dyDescent="0.3">
      <c r="B91" s="98">
        <f t="shared" si="9"/>
        <v>88</v>
      </c>
      <c r="C91" s="97" t="str">
        <f t="shared" si="5"/>
        <v>Feb-26</v>
      </c>
      <c r="D91" s="96">
        <v>46074</v>
      </c>
      <c r="E91" s="95">
        <v>1560</v>
      </c>
      <c r="F91" s="95"/>
      <c r="G91" s="95" t="s">
        <v>422</v>
      </c>
      <c r="H91" s="94" t="s">
        <v>2399</v>
      </c>
      <c r="I91" s="94" t="s">
        <v>2330</v>
      </c>
      <c r="J91" s="91" t="s">
        <v>2518</v>
      </c>
      <c r="K91" s="91" t="s">
        <v>2397</v>
      </c>
      <c r="L91" s="94"/>
      <c r="M91" s="93">
        <v>6</v>
      </c>
      <c r="N91" s="92">
        <v>3900</v>
      </c>
      <c r="O91" s="92">
        <f t="shared" si="6"/>
        <v>23400</v>
      </c>
      <c r="P91" s="91">
        <f t="shared" si="7"/>
        <v>234</v>
      </c>
      <c r="Q91" s="91">
        <f t="shared" si="8"/>
        <v>23166</v>
      </c>
      <c r="R91" s="91"/>
      <c r="T91" s="10">
        <v>66</v>
      </c>
      <c r="U91" s="112"/>
      <c r="V91" s="10"/>
      <c r="W91" s="10"/>
      <c r="X91" s="109"/>
    </row>
    <row r="92" spans="2:24" ht="12" customHeight="1" x14ac:dyDescent="0.3">
      <c r="B92" s="98">
        <f t="shared" si="9"/>
        <v>89</v>
      </c>
      <c r="C92" s="97" t="str">
        <f t="shared" si="5"/>
        <v>Feb-26</v>
      </c>
      <c r="D92" s="96">
        <v>46074</v>
      </c>
      <c r="E92" s="95">
        <v>1561</v>
      </c>
      <c r="F92" s="95"/>
      <c r="G92" s="95" t="s">
        <v>422</v>
      </c>
      <c r="H92" s="94" t="s">
        <v>2399</v>
      </c>
      <c r="I92" s="94" t="s">
        <v>2487</v>
      </c>
      <c r="J92" s="91" t="s">
        <v>2530</v>
      </c>
      <c r="K92" s="91" t="s">
        <v>2397</v>
      </c>
      <c r="L92" s="94"/>
      <c r="M92" s="93">
        <v>6</v>
      </c>
      <c r="N92" s="92">
        <v>4000</v>
      </c>
      <c r="O92" s="92">
        <f t="shared" si="6"/>
        <v>24000</v>
      </c>
      <c r="P92" s="91">
        <f t="shared" si="7"/>
        <v>240</v>
      </c>
      <c r="Q92" s="91">
        <f t="shared" si="8"/>
        <v>23760</v>
      </c>
      <c r="R92" s="91"/>
      <c r="T92" s="10">
        <v>67</v>
      </c>
      <c r="U92" s="112"/>
      <c r="V92" s="10"/>
      <c r="W92" s="10"/>
      <c r="X92" s="109"/>
    </row>
    <row r="93" spans="2:24" ht="12" customHeight="1" x14ac:dyDescent="0.3">
      <c r="B93" s="98">
        <f t="shared" si="9"/>
        <v>90</v>
      </c>
      <c r="C93" s="97" t="str">
        <f t="shared" si="5"/>
        <v>Feb-26</v>
      </c>
      <c r="D93" s="96">
        <v>46074</v>
      </c>
      <c r="E93" s="95">
        <v>1562</v>
      </c>
      <c r="F93" s="95"/>
      <c r="G93" s="95" t="s">
        <v>422</v>
      </c>
      <c r="H93" s="94" t="s">
        <v>2399</v>
      </c>
      <c r="I93" s="94" t="s">
        <v>2406</v>
      </c>
      <c r="J93" s="91" t="s">
        <v>2406</v>
      </c>
      <c r="K93" s="91" t="s">
        <v>2397</v>
      </c>
      <c r="L93" s="94"/>
      <c r="M93" s="93">
        <v>6</v>
      </c>
      <c r="N93" s="92">
        <v>3950</v>
      </c>
      <c r="O93" s="92">
        <f t="shared" si="6"/>
        <v>23700</v>
      </c>
      <c r="P93" s="91">
        <f t="shared" si="7"/>
        <v>237</v>
      </c>
      <c r="Q93" s="91">
        <f t="shared" si="8"/>
        <v>23463</v>
      </c>
      <c r="R93" s="91"/>
      <c r="T93" s="10">
        <v>68</v>
      </c>
      <c r="U93" s="112"/>
      <c r="V93" s="10"/>
      <c r="W93" s="10"/>
      <c r="X93" s="109"/>
    </row>
    <row r="94" spans="2:24" ht="12" customHeight="1" x14ac:dyDescent="0.3">
      <c r="B94" s="98">
        <f t="shared" si="9"/>
        <v>91</v>
      </c>
      <c r="C94" s="97" t="str">
        <f t="shared" si="5"/>
        <v>Feb-26</v>
      </c>
      <c r="D94" s="96">
        <v>46075</v>
      </c>
      <c r="E94" s="95">
        <v>1573</v>
      </c>
      <c r="F94" s="95"/>
      <c r="G94" s="95" t="s">
        <v>422</v>
      </c>
      <c r="H94" s="94" t="s">
        <v>2399</v>
      </c>
      <c r="I94" s="94" t="s">
        <v>2487</v>
      </c>
      <c r="J94" s="91" t="s">
        <v>2530</v>
      </c>
      <c r="K94" s="91" t="s">
        <v>2397</v>
      </c>
      <c r="L94" s="94"/>
      <c r="M94" s="93">
        <v>6</v>
      </c>
      <c r="N94" s="92">
        <v>4000</v>
      </c>
      <c r="O94" s="92">
        <f t="shared" si="6"/>
        <v>24000</v>
      </c>
      <c r="P94" s="91">
        <f t="shared" si="7"/>
        <v>240</v>
      </c>
      <c r="Q94" s="91">
        <f t="shared" si="8"/>
        <v>23760</v>
      </c>
      <c r="R94" s="91"/>
      <c r="T94" s="10">
        <v>69</v>
      </c>
      <c r="U94" s="111"/>
      <c r="V94" s="110"/>
      <c r="W94" s="10"/>
      <c r="X94" s="109"/>
    </row>
    <row r="95" spans="2:24" ht="12" customHeight="1" x14ac:dyDescent="0.3">
      <c r="B95" s="98">
        <f t="shared" si="9"/>
        <v>92</v>
      </c>
      <c r="C95" s="97" t="str">
        <f t="shared" si="5"/>
        <v>Feb-26</v>
      </c>
      <c r="D95" s="96">
        <v>46075</v>
      </c>
      <c r="E95" s="95">
        <v>1580</v>
      </c>
      <c r="F95" s="95"/>
      <c r="G95" s="95" t="s">
        <v>422</v>
      </c>
      <c r="H95" s="94" t="s">
        <v>2399</v>
      </c>
      <c r="I95" s="94" t="s">
        <v>2330</v>
      </c>
      <c r="J95" s="91" t="s">
        <v>2518</v>
      </c>
      <c r="K95" s="91" t="s">
        <v>2397</v>
      </c>
      <c r="L95" s="94"/>
      <c r="M95" s="93">
        <v>6</v>
      </c>
      <c r="N95" s="92">
        <v>3900</v>
      </c>
      <c r="O95" s="92">
        <f t="shared" si="6"/>
        <v>23400</v>
      </c>
      <c r="P95" s="91">
        <f t="shared" si="7"/>
        <v>234</v>
      </c>
      <c r="Q95" s="91">
        <f t="shared" si="8"/>
        <v>23166</v>
      </c>
      <c r="R95" s="91"/>
      <c r="T95" s="10">
        <v>70</v>
      </c>
      <c r="U95" s="7"/>
      <c r="V95" s="10"/>
      <c r="W95" s="10"/>
      <c r="X95" s="109"/>
    </row>
    <row r="96" spans="2:24" ht="12" customHeight="1" x14ac:dyDescent="0.3">
      <c r="B96" s="98">
        <f t="shared" si="9"/>
        <v>93</v>
      </c>
      <c r="C96" s="97" t="str">
        <f t="shared" si="5"/>
        <v>Feb-26</v>
      </c>
      <c r="D96" s="96">
        <v>46075</v>
      </c>
      <c r="E96" s="95">
        <v>1581</v>
      </c>
      <c r="F96" s="95"/>
      <c r="G96" s="95" t="s">
        <v>422</v>
      </c>
      <c r="H96" s="94" t="s">
        <v>2399</v>
      </c>
      <c r="I96" s="94" t="s">
        <v>2487</v>
      </c>
      <c r="J96" s="91" t="s">
        <v>2532</v>
      </c>
      <c r="K96" s="91" t="s">
        <v>2397</v>
      </c>
      <c r="L96" s="94"/>
      <c r="M96" s="93">
        <v>6</v>
      </c>
      <c r="N96" s="92">
        <v>3800</v>
      </c>
      <c r="O96" s="92">
        <f t="shared" si="6"/>
        <v>22800</v>
      </c>
      <c r="P96" s="91">
        <f t="shared" si="7"/>
        <v>228</v>
      </c>
      <c r="Q96" s="91">
        <f t="shared" si="8"/>
        <v>22572</v>
      </c>
      <c r="R96" s="91"/>
      <c r="T96" s="10">
        <v>71</v>
      </c>
      <c r="U96" s="7"/>
      <c r="V96" s="10"/>
      <c r="W96" s="10"/>
      <c r="X96" s="109"/>
    </row>
    <row r="97" spans="2:24" ht="12" customHeight="1" x14ac:dyDescent="0.3">
      <c r="B97" s="98">
        <f t="shared" si="9"/>
        <v>94</v>
      </c>
      <c r="C97" s="97" t="str">
        <f t="shared" si="5"/>
        <v>Feb-26</v>
      </c>
      <c r="D97" s="96">
        <v>46077</v>
      </c>
      <c r="E97" s="95">
        <v>1603</v>
      </c>
      <c r="F97" s="95"/>
      <c r="G97" s="95" t="s">
        <v>422</v>
      </c>
      <c r="H97" s="94" t="s">
        <v>2399</v>
      </c>
      <c r="I97" s="94" t="s">
        <v>2487</v>
      </c>
      <c r="J97" s="91" t="s">
        <v>2509</v>
      </c>
      <c r="K97" s="91" t="s">
        <v>2397</v>
      </c>
      <c r="L97" s="94"/>
      <c r="M97" s="93">
        <v>6</v>
      </c>
      <c r="N97" s="92">
        <v>3800</v>
      </c>
      <c r="O97" s="92">
        <f t="shared" si="6"/>
        <v>22800</v>
      </c>
      <c r="P97" s="91">
        <f t="shared" si="7"/>
        <v>228</v>
      </c>
      <c r="Q97" s="91">
        <f t="shared" si="8"/>
        <v>22572</v>
      </c>
      <c r="R97" s="91"/>
      <c r="T97" s="10">
        <v>72</v>
      </c>
      <c r="U97" s="7"/>
      <c r="V97" s="10"/>
      <c r="W97" s="10"/>
      <c r="X97" s="109"/>
    </row>
    <row r="98" spans="2:24" ht="12" customHeight="1" x14ac:dyDescent="0.3">
      <c r="B98" s="98">
        <f t="shared" si="9"/>
        <v>95</v>
      </c>
      <c r="C98" s="97" t="str">
        <f t="shared" si="5"/>
        <v>Feb-26</v>
      </c>
      <c r="D98" s="96">
        <v>46077</v>
      </c>
      <c r="E98" s="95">
        <v>1605</v>
      </c>
      <c r="F98" s="95"/>
      <c r="G98" s="95" t="s">
        <v>422</v>
      </c>
      <c r="H98" s="94" t="s">
        <v>2399</v>
      </c>
      <c r="I98" s="94" t="s">
        <v>2406</v>
      </c>
      <c r="J98" s="91" t="s">
        <v>2406</v>
      </c>
      <c r="K98" s="91" t="s">
        <v>2397</v>
      </c>
      <c r="L98" s="94"/>
      <c r="M98" s="93">
        <v>6</v>
      </c>
      <c r="N98" s="92">
        <v>3950</v>
      </c>
      <c r="O98" s="92">
        <f t="shared" si="6"/>
        <v>23700</v>
      </c>
      <c r="P98" s="91">
        <f t="shared" si="7"/>
        <v>237</v>
      </c>
      <c r="Q98" s="91">
        <f t="shared" si="8"/>
        <v>23463</v>
      </c>
      <c r="R98" s="91"/>
      <c r="T98" s="10">
        <v>73</v>
      </c>
      <c r="U98" s="7"/>
      <c r="V98" s="10"/>
      <c r="W98" s="10"/>
      <c r="X98" s="109"/>
    </row>
    <row r="99" spans="2:24" ht="12" customHeight="1" x14ac:dyDescent="0.3">
      <c r="B99" s="98">
        <f t="shared" si="9"/>
        <v>96</v>
      </c>
      <c r="C99" s="97" t="str">
        <f t="shared" si="5"/>
        <v>Feb-26</v>
      </c>
      <c r="D99" s="96">
        <v>46077</v>
      </c>
      <c r="E99" s="95">
        <v>1608</v>
      </c>
      <c r="F99" s="95"/>
      <c r="G99" s="95" t="s">
        <v>422</v>
      </c>
      <c r="H99" s="94" t="s">
        <v>2399</v>
      </c>
      <c r="I99" s="94" t="s">
        <v>2406</v>
      </c>
      <c r="J99" s="91" t="s">
        <v>2406</v>
      </c>
      <c r="K99" s="91" t="s">
        <v>2397</v>
      </c>
      <c r="L99" s="94"/>
      <c r="M99" s="93">
        <v>6</v>
      </c>
      <c r="N99" s="92">
        <v>3950</v>
      </c>
      <c r="O99" s="92">
        <f t="shared" si="6"/>
        <v>23700</v>
      </c>
      <c r="P99" s="91">
        <f t="shared" si="7"/>
        <v>237</v>
      </c>
      <c r="Q99" s="91">
        <f t="shared" si="8"/>
        <v>23463</v>
      </c>
      <c r="R99" s="91"/>
      <c r="T99" s="10">
        <v>74</v>
      </c>
      <c r="U99" s="7"/>
      <c r="V99" s="10"/>
      <c r="W99" s="10"/>
      <c r="X99" s="109"/>
    </row>
    <row r="100" spans="2:24" ht="12" customHeight="1" x14ac:dyDescent="0.3">
      <c r="B100" s="98">
        <f t="shared" si="9"/>
        <v>97</v>
      </c>
      <c r="C100" s="97" t="str">
        <f t="shared" si="5"/>
        <v>Feb-26</v>
      </c>
      <c r="D100" s="96">
        <v>46078</v>
      </c>
      <c r="E100" s="95">
        <v>1611</v>
      </c>
      <c r="F100" s="95"/>
      <c r="G100" s="95" t="s">
        <v>422</v>
      </c>
      <c r="H100" s="94" t="s">
        <v>2399</v>
      </c>
      <c r="I100" s="94" t="s">
        <v>2487</v>
      </c>
      <c r="J100" s="91" t="s">
        <v>2531</v>
      </c>
      <c r="K100" s="91" t="s">
        <v>2397</v>
      </c>
      <c r="L100" s="94"/>
      <c r="M100" s="93">
        <v>6</v>
      </c>
      <c r="N100" s="92">
        <v>3800</v>
      </c>
      <c r="O100" s="92">
        <f t="shared" si="6"/>
        <v>22800</v>
      </c>
      <c r="P100" s="91">
        <f t="shared" si="7"/>
        <v>228</v>
      </c>
      <c r="Q100" s="91">
        <f t="shared" si="8"/>
        <v>22572</v>
      </c>
      <c r="R100" s="91"/>
      <c r="T100" s="10">
        <v>75</v>
      </c>
      <c r="U100" s="7"/>
      <c r="V100" s="10"/>
      <c r="W100" s="10"/>
      <c r="X100" s="109"/>
    </row>
    <row r="101" spans="2:24" ht="12" customHeight="1" x14ac:dyDescent="0.3">
      <c r="B101" s="98">
        <f t="shared" si="9"/>
        <v>98</v>
      </c>
      <c r="C101" s="97" t="str">
        <f t="shared" si="5"/>
        <v>Feb-26</v>
      </c>
      <c r="D101" s="96">
        <v>46078</v>
      </c>
      <c r="E101" s="95">
        <v>1612</v>
      </c>
      <c r="F101" s="95"/>
      <c r="G101" s="95" t="s">
        <v>422</v>
      </c>
      <c r="H101" s="94" t="s">
        <v>2399</v>
      </c>
      <c r="I101" s="94" t="s">
        <v>2487</v>
      </c>
      <c r="J101" s="91" t="s">
        <v>2530</v>
      </c>
      <c r="K101" s="91" t="s">
        <v>2397</v>
      </c>
      <c r="L101" s="94"/>
      <c r="M101" s="93">
        <v>6</v>
      </c>
      <c r="N101" s="92">
        <v>4000</v>
      </c>
      <c r="O101" s="92">
        <f t="shared" si="6"/>
        <v>24000</v>
      </c>
      <c r="P101" s="91">
        <f t="shared" si="7"/>
        <v>240</v>
      </c>
      <c r="Q101" s="91">
        <f t="shared" si="8"/>
        <v>23760</v>
      </c>
      <c r="R101" s="91"/>
      <c r="T101" s="10">
        <v>76</v>
      </c>
      <c r="U101" s="7"/>
      <c r="V101" s="10"/>
      <c r="W101" s="10"/>
      <c r="X101" s="109"/>
    </row>
    <row r="102" spans="2:24" ht="12" customHeight="1" x14ac:dyDescent="0.3">
      <c r="B102" s="98">
        <f t="shared" si="9"/>
        <v>99</v>
      </c>
      <c r="C102" s="97" t="str">
        <f t="shared" si="5"/>
        <v>Feb-26</v>
      </c>
      <c r="D102" s="96">
        <v>46078</v>
      </c>
      <c r="E102" s="95">
        <v>1614</v>
      </c>
      <c r="F102" s="95"/>
      <c r="G102" s="95" t="s">
        <v>422</v>
      </c>
      <c r="H102" s="94" t="s">
        <v>2399</v>
      </c>
      <c r="I102" s="94" t="s">
        <v>2487</v>
      </c>
      <c r="J102" s="91" t="s">
        <v>2531</v>
      </c>
      <c r="K102" s="91" t="s">
        <v>2397</v>
      </c>
      <c r="L102" s="94"/>
      <c r="M102" s="93">
        <v>6.5</v>
      </c>
      <c r="N102" s="92">
        <v>3800</v>
      </c>
      <c r="O102" s="92">
        <f t="shared" si="6"/>
        <v>24700</v>
      </c>
      <c r="P102" s="91">
        <f t="shared" si="7"/>
        <v>247</v>
      </c>
      <c r="Q102" s="91">
        <f t="shared" si="8"/>
        <v>24453</v>
      </c>
      <c r="R102" s="91"/>
      <c r="T102" s="10">
        <v>77</v>
      </c>
      <c r="U102" s="7"/>
      <c r="V102" s="10"/>
      <c r="W102" s="10"/>
      <c r="X102" s="109"/>
    </row>
    <row r="103" spans="2:24" ht="12" customHeight="1" x14ac:dyDescent="0.3">
      <c r="B103" s="98">
        <f t="shared" si="9"/>
        <v>100</v>
      </c>
      <c r="C103" s="97" t="str">
        <f t="shared" si="5"/>
        <v>Feb-26</v>
      </c>
      <c r="D103" s="96">
        <v>46078</v>
      </c>
      <c r="E103" s="95">
        <v>1616</v>
      </c>
      <c r="F103" s="95"/>
      <c r="G103" s="95" t="s">
        <v>422</v>
      </c>
      <c r="H103" s="94" t="s">
        <v>2399</v>
      </c>
      <c r="I103" s="94" t="s">
        <v>2440</v>
      </c>
      <c r="J103" s="91" t="s">
        <v>2528</v>
      </c>
      <c r="K103" s="91" t="s">
        <v>2397</v>
      </c>
      <c r="L103" s="94"/>
      <c r="M103" s="93">
        <v>6</v>
      </c>
      <c r="N103" s="92">
        <v>4000</v>
      </c>
      <c r="O103" s="92">
        <f t="shared" si="6"/>
        <v>24000</v>
      </c>
      <c r="P103" s="91">
        <f t="shared" si="7"/>
        <v>240</v>
      </c>
      <c r="Q103" s="91">
        <f t="shared" si="8"/>
        <v>23760</v>
      </c>
      <c r="R103" s="91"/>
      <c r="T103" s="10">
        <v>78</v>
      </c>
      <c r="U103" s="7"/>
      <c r="V103" s="10"/>
      <c r="W103" s="10"/>
      <c r="X103" s="109"/>
    </row>
    <row r="104" spans="2:24" ht="12" customHeight="1" x14ac:dyDescent="0.3">
      <c r="B104" s="98">
        <f t="shared" si="9"/>
        <v>101</v>
      </c>
      <c r="C104" s="97" t="str">
        <f t="shared" si="5"/>
        <v>Feb-26</v>
      </c>
      <c r="D104" s="96">
        <v>46078</v>
      </c>
      <c r="E104" s="95">
        <v>1625</v>
      </c>
      <c r="F104" s="95"/>
      <c r="G104" s="95" t="s">
        <v>422</v>
      </c>
      <c r="H104" s="94" t="s">
        <v>2399</v>
      </c>
      <c r="I104" s="94" t="s">
        <v>2487</v>
      </c>
      <c r="J104" s="91" t="s">
        <v>2509</v>
      </c>
      <c r="K104" s="91" t="s">
        <v>2397</v>
      </c>
      <c r="L104" s="94"/>
      <c r="M104" s="93">
        <v>6</v>
      </c>
      <c r="N104" s="92">
        <v>3800</v>
      </c>
      <c r="O104" s="92">
        <f t="shared" si="6"/>
        <v>22800</v>
      </c>
      <c r="P104" s="91">
        <f t="shared" si="7"/>
        <v>228</v>
      </c>
      <c r="Q104" s="91">
        <f t="shared" si="8"/>
        <v>22572</v>
      </c>
      <c r="R104" s="91"/>
      <c r="T104" s="10">
        <v>79</v>
      </c>
      <c r="U104" s="7"/>
      <c r="V104" s="10"/>
      <c r="W104" s="10"/>
      <c r="X104" s="109"/>
    </row>
    <row r="105" spans="2:24" ht="12" customHeight="1" x14ac:dyDescent="0.3">
      <c r="B105" s="98">
        <f t="shared" si="9"/>
        <v>102</v>
      </c>
      <c r="C105" s="97" t="str">
        <f t="shared" si="5"/>
        <v>Feb-26</v>
      </c>
      <c r="D105" s="96">
        <v>46080</v>
      </c>
      <c r="E105" s="95">
        <v>1650</v>
      </c>
      <c r="F105" s="95"/>
      <c r="G105" s="95" t="s">
        <v>422</v>
      </c>
      <c r="H105" s="94" t="s">
        <v>2399</v>
      </c>
      <c r="I105" s="94" t="s">
        <v>2487</v>
      </c>
      <c r="J105" s="91" t="s">
        <v>2530</v>
      </c>
      <c r="K105" s="91" t="s">
        <v>2397</v>
      </c>
      <c r="L105" s="94"/>
      <c r="M105" s="93">
        <v>6</v>
      </c>
      <c r="N105" s="92">
        <v>4000</v>
      </c>
      <c r="O105" s="92">
        <f t="shared" si="6"/>
        <v>24000</v>
      </c>
      <c r="P105" s="91">
        <f t="shared" si="7"/>
        <v>240</v>
      </c>
      <c r="Q105" s="91">
        <f t="shared" si="8"/>
        <v>23760</v>
      </c>
      <c r="R105" s="91"/>
      <c r="T105" s="10">
        <v>80</v>
      </c>
      <c r="U105" s="7"/>
      <c r="V105" s="10"/>
      <c r="W105" s="10"/>
      <c r="X105" s="109"/>
    </row>
    <row r="106" spans="2:24" ht="12" customHeight="1" x14ac:dyDescent="0.3">
      <c r="B106" s="98">
        <f t="shared" si="9"/>
        <v>103</v>
      </c>
      <c r="C106" s="97" t="str">
        <f t="shared" si="5"/>
        <v>Feb-26</v>
      </c>
      <c r="D106" s="96">
        <v>46080</v>
      </c>
      <c r="E106" s="95">
        <v>1652</v>
      </c>
      <c r="F106" s="95"/>
      <c r="G106" s="95" t="s">
        <v>422</v>
      </c>
      <c r="H106" s="94" t="s">
        <v>2399</v>
      </c>
      <c r="I106" s="94" t="s">
        <v>2487</v>
      </c>
      <c r="J106" s="91" t="s">
        <v>2530</v>
      </c>
      <c r="K106" s="91" t="s">
        <v>2397</v>
      </c>
      <c r="L106" s="94"/>
      <c r="M106" s="93">
        <v>6</v>
      </c>
      <c r="N106" s="92">
        <v>4000</v>
      </c>
      <c r="O106" s="92">
        <f t="shared" si="6"/>
        <v>24000</v>
      </c>
      <c r="P106" s="91">
        <f t="shared" si="7"/>
        <v>240</v>
      </c>
      <c r="Q106" s="91">
        <f t="shared" si="8"/>
        <v>23760</v>
      </c>
      <c r="R106" s="91"/>
      <c r="T106" s="10">
        <v>81</v>
      </c>
      <c r="U106" s="7"/>
      <c r="V106" s="10"/>
      <c r="W106" s="10"/>
      <c r="X106" s="109"/>
    </row>
    <row r="107" spans="2:24" ht="12" customHeight="1" x14ac:dyDescent="0.3">
      <c r="B107" s="98">
        <f t="shared" si="9"/>
        <v>104</v>
      </c>
      <c r="C107" s="97" t="str">
        <f t="shared" si="5"/>
        <v>Feb-26</v>
      </c>
      <c r="D107" s="96">
        <v>46081</v>
      </c>
      <c r="E107" s="95">
        <v>1662</v>
      </c>
      <c r="F107" s="95"/>
      <c r="G107" s="95" t="s">
        <v>422</v>
      </c>
      <c r="H107" s="94" t="s">
        <v>2399</v>
      </c>
      <c r="I107" s="94" t="s">
        <v>2330</v>
      </c>
      <c r="J107" s="91" t="s">
        <v>2518</v>
      </c>
      <c r="K107" s="91" t="s">
        <v>2397</v>
      </c>
      <c r="L107" s="94"/>
      <c r="M107" s="93">
        <v>6</v>
      </c>
      <c r="N107" s="92">
        <v>3900</v>
      </c>
      <c r="O107" s="92">
        <f t="shared" si="6"/>
        <v>23400</v>
      </c>
      <c r="P107" s="91">
        <f t="shared" si="7"/>
        <v>234</v>
      </c>
      <c r="Q107" s="91">
        <f t="shared" si="8"/>
        <v>23166</v>
      </c>
      <c r="R107" s="91"/>
      <c r="T107" s="10">
        <v>82</v>
      </c>
      <c r="U107" s="7"/>
      <c r="V107" s="10"/>
      <c r="W107" s="10"/>
      <c r="X107" s="109"/>
    </row>
    <row r="108" spans="2:24" ht="12" customHeight="1" x14ac:dyDescent="0.3">
      <c r="B108" s="98">
        <f t="shared" si="9"/>
        <v>105</v>
      </c>
      <c r="C108" s="97" t="str">
        <f t="shared" si="5"/>
        <v>Feb-26</v>
      </c>
      <c r="D108" s="96">
        <v>46081</v>
      </c>
      <c r="E108" s="95">
        <v>1669</v>
      </c>
      <c r="F108" s="95"/>
      <c r="G108" s="95" t="s">
        <v>422</v>
      </c>
      <c r="H108" s="94" t="s">
        <v>2399</v>
      </c>
      <c r="I108" s="94"/>
      <c r="J108" s="91" t="s">
        <v>2529</v>
      </c>
      <c r="K108" s="91" t="s">
        <v>2397</v>
      </c>
      <c r="L108" s="94"/>
      <c r="M108" s="93">
        <v>6</v>
      </c>
      <c r="N108" s="92">
        <v>3800</v>
      </c>
      <c r="O108" s="92">
        <f t="shared" si="6"/>
        <v>22800</v>
      </c>
      <c r="P108" s="91">
        <f t="shared" si="7"/>
        <v>228</v>
      </c>
      <c r="Q108" s="91">
        <f t="shared" si="8"/>
        <v>22572</v>
      </c>
      <c r="R108" s="91"/>
      <c r="T108" s="10">
        <v>83</v>
      </c>
      <c r="U108" s="7"/>
      <c r="V108" s="10"/>
      <c r="W108" s="10"/>
      <c r="X108" s="109"/>
    </row>
    <row r="109" spans="2:24" ht="12" customHeight="1" x14ac:dyDescent="0.3">
      <c r="B109" s="98">
        <f t="shared" si="9"/>
        <v>106</v>
      </c>
      <c r="C109" s="97" t="str">
        <f t="shared" si="5"/>
        <v>Mar-26</v>
      </c>
      <c r="D109" s="96">
        <v>46082</v>
      </c>
      <c r="E109" s="95">
        <v>1675</v>
      </c>
      <c r="F109" s="95"/>
      <c r="G109" s="95" t="s">
        <v>422</v>
      </c>
      <c r="H109" s="94" t="s">
        <v>2399</v>
      </c>
      <c r="I109" s="94" t="s">
        <v>987</v>
      </c>
      <c r="J109" s="91" t="s">
        <v>2497</v>
      </c>
      <c r="K109" s="91" t="s">
        <v>2397</v>
      </c>
      <c r="L109" s="94"/>
      <c r="M109" s="93">
        <v>6</v>
      </c>
      <c r="N109" s="92">
        <v>4200</v>
      </c>
      <c r="O109" s="92">
        <f t="shared" si="6"/>
        <v>25200</v>
      </c>
      <c r="P109" s="91">
        <f t="shared" si="7"/>
        <v>252</v>
      </c>
      <c r="Q109" s="91">
        <f t="shared" si="8"/>
        <v>24948</v>
      </c>
      <c r="R109" s="91"/>
      <c r="T109" s="10">
        <v>84</v>
      </c>
      <c r="U109" s="7"/>
      <c r="V109" s="10"/>
      <c r="W109" s="10"/>
      <c r="X109" s="109"/>
    </row>
    <row r="110" spans="2:24" ht="12" customHeight="1" x14ac:dyDescent="0.3">
      <c r="B110" s="98">
        <f t="shared" si="9"/>
        <v>107</v>
      </c>
      <c r="C110" s="97" t="str">
        <f t="shared" si="5"/>
        <v>Mar-26</v>
      </c>
      <c r="D110" s="96">
        <v>46082</v>
      </c>
      <c r="E110" s="95">
        <v>1678</v>
      </c>
      <c r="F110" s="95"/>
      <c r="G110" s="95" t="s">
        <v>422</v>
      </c>
      <c r="H110" s="94" t="s">
        <v>2399</v>
      </c>
      <c r="I110" s="94" t="s">
        <v>2330</v>
      </c>
      <c r="J110" s="91" t="s">
        <v>2518</v>
      </c>
      <c r="K110" s="91" t="s">
        <v>2397</v>
      </c>
      <c r="L110" s="94"/>
      <c r="M110" s="93">
        <v>6</v>
      </c>
      <c r="N110" s="92">
        <v>3900</v>
      </c>
      <c r="O110" s="92">
        <f t="shared" si="6"/>
        <v>23400</v>
      </c>
      <c r="P110" s="91">
        <f t="shared" si="7"/>
        <v>234</v>
      </c>
      <c r="Q110" s="91">
        <f t="shared" si="8"/>
        <v>23166</v>
      </c>
      <c r="R110" s="91"/>
      <c r="T110" s="10">
        <v>70</v>
      </c>
      <c r="U110" s="7"/>
      <c r="V110" s="10"/>
      <c r="W110" s="10"/>
      <c r="X110" s="109"/>
    </row>
    <row r="111" spans="2:24" ht="12" customHeight="1" x14ac:dyDescent="0.3">
      <c r="B111" s="98">
        <f t="shared" si="9"/>
        <v>108</v>
      </c>
      <c r="C111" s="97" t="str">
        <f t="shared" si="5"/>
        <v>Mar-26</v>
      </c>
      <c r="D111" s="96">
        <v>46082</v>
      </c>
      <c r="E111" s="95">
        <v>1679</v>
      </c>
      <c r="F111" s="95"/>
      <c r="G111" s="95" t="s">
        <v>422</v>
      </c>
      <c r="H111" s="94" t="s">
        <v>2399</v>
      </c>
      <c r="I111" s="94" t="s">
        <v>2440</v>
      </c>
      <c r="J111" s="91" t="s">
        <v>2528</v>
      </c>
      <c r="K111" s="91" t="s">
        <v>2397</v>
      </c>
      <c r="L111" s="94"/>
      <c r="M111" s="93">
        <v>6</v>
      </c>
      <c r="N111" s="92">
        <v>4000</v>
      </c>
      <c r="O111" s="92">
        <f t="shared" si="6"/>
        <v>24000</v>
      </c>
      <c r="P111" s="91">
        <f t="shared" si="7"/>
        <v>240</v>
      </c>
      <c r="Q111" s="91">
        <f t="shared" si="8"/>
        <v>23760</v>
      </c>
      <c r="R111" s="91"/>
      <c r="T111" s="10"/>
      <c r="U111" s="10"/>
      <c r="V111" s="10"/>
      <c r="W111" s="10"/>
      <c r="X111" s="108"/>
    </row>
    <row r="112" spans="2:24" ht="12" customHeight="1" x14ac:dyDescent="0.3">
      <c r="B112" s="98">
        <f t="shared" si="9"/>
        <v>109</v>
      </c>
      <c r="C112" s="97" t="str">
        <f t="shared" si="5"/>
        <v>Mar-26</v>
      </c>
      <c r="D112" s="96">
        <v>46082</v>
      </c>
      <c r="E112" s="95">
        <v>1681</v>
      </c>
      <c r="F112" s="95"/>
      <c r="G112" s="95" t="s">
        <v>422</v>
      </c>
      <c r="H112" s="94" t="s">
        <v>2399</v>
      </c>
      <c r="I112" s="94" t="s">
        <v>987</v>
      </c>
      <c r="J112" s="91" t="s">
        <v>2497</v>
      </c>
      <c r="K112" s="91" t="s">
        <v>2397</v>
      </c>
      <c r="L112" s="94"/>
      <c r="M112" s="93">
        <v>6</v>
      </c>
      <c r="N112" s="92">
        <v>4200</v>
      </c>
      <c r="O112" s="92">
        <f t="shared" si="6"/>
        <v>25200</v>
      </c>
      <c r="P112" s="91">
        <f t="shared" si="7"/>
        <v>252</v>
      </c>
      <c r="Q112" s="91">
        <f t="shared" si="8"/>
        <v>24948</v>
      </c>
      <c r="R112" s="91"/>
      <c r="T112" s="206" t="s">
        <v>390</v>
      </c>
      <c r="U112" s="206"/>
      <c r="V112" s="206"/>
      <c r="W112" s="206"/>
      <c r="X112" s="107">
        <f>SUM(X24:X111)</f>
        <v>464127</v>
      </c>
    </row>
    <row r="113" spans="2:24" ht="12" customHeight="1" x14ac:dyDescent="0.3">
      <c r="B113" s="98">
        <f t="shared" si="9"/>
        <v>110</v>
      </c>
      <c r="C113" s="97" t="str">
        <f t="shared" si="5"/>
        <v>Mar-26</v>
      </c>
      <c r="D113" s="96">
        <v>46082</v>
      </c>
      <c r="E113" s="95">
        <v>1683</v>
      </c>
      <c r="F113" s="95"/>
      <c r="G113" s="95" t="s">
        <v>422</v>
      </c>
      <c r="H113" s="94" t="s">
        <v>2399</v>
      </c>
      <c r="I113" s="94" t="s">
        <v>987</v>
      </c>
      <c r="J113" s="91" t="s">
        <v>2497</v>
      </c>
      <c r="K113" s="91" t="s">
        <v>2397</v>
      </c>
      <c r="L113" s="94"/>
      <c r="M113" s="93">
        <v>6</v>
      </c>
      <c r="N113" s="92">
        <v>4200</v>
      </c>
      <c r="O113" s="92">
        <f t="shared" si="6"/>
        <v>25200</v>
      </c>
      <c r="P113" s="91">
        <f t="shared" si="7"/>
        <v>252</v>
      </c>
      <c r="Q113" s="91">
        <f t="shared" si="8"/>
        <v>24948</v>
      </c>
      <c r="R113" s="91"/>
      <c r="T113" s="5"/>
      <c r="U113" s="5"/>
      <c r="V113" s="5"/>
      <c r="W113" s="5"/>
      <c r="X113" s="5"/>
    </row>
    <row r="114" spans="2:24" ht="12" customHeight="1" x14ac:dyDescent="0.3">
      <c r="B114" s="98">
        <f t="shared" si="9"/>
        <v>111</v>
      </c>
      <c r="C114" s="97" t="str">
        <f t="shared" si="5"/>
        <v>Mar-26</v>
      </c>
      <c r="D114" s="96">
        <v>46082</v>
      </c>
      <c r="E114" s="95">
        <v>1684</v>
      </c>
      <c r="F114" s="95"/>
      <c r="G114" s="95" t="s">
        <v>422</v>
      </c>
      <c r="H114" s="94" t="s">
        <v>2399</v>
      </c>
      <c r="I114" s="94" t="s">
        <v>2487</v>
      </c>
      <c r="J114" s="91" t="s">
        <v>2510</v>
      </c>
      <c r="K114" s="91" t="s">
        <v>2397</v>
      </c>
      <c r="L114" s="94"/>
      <c r="M114" s="93">
        <v>6</v>
      </c>
      <c r="N114" s="92">
        <v>3900</v>
      </c>
      <c r="O114" s="92">
        <f t="shared" si="6"/>
        <v>23400</v>
      </c>
      <c r="P114" s="91">
        <f t="shared" si="7"/>
        <v>234</v>
      </c>
      <c r="Q114" s="91">
        <f t="shared" si="8"/>
        <v>23166</v>
      </c>
      <c r="R114" s="91"/>
      <c r="T114" s="5"/>
      <c r="U114" s="5"/>
      <c r="V114" s="5"/>
      <c r="W114" s="5"/>
      <c r="X114" s="5"/>
    </row>
    <row r="115" spans="2:24" ht="12" customHeight="1" x14ac:dyDescent="0.3">
      <c r="B115" s="98">
        <f t="shared" si="9"/>
        <v>112</v>
      </c>
      <c r="C115" s="97" t="str">
        <f t="shared" si="5"/>
        <v>Mar-26</v>
      </c>
      <c r="D115" s="96">
        <v>46083</v>
      </c>
      <c r="E115" s="95">
        <v>1687</v>
      </c>
      <c r="F115" s="95"/>
      <c r="G115" s="95" t="s">
        <v>422</v>
      </c>
      <c r="H115" s="94" t="s">
        <v>2399</v>
      </c>
      <c r="I115" s="94"/>
      <c r="J115" s="91" t="s">
        <v>2527</v>
      </c>
      <c r="K115" s="91" t="s">
        <v>2397</v>
      </c>
      <c r="L115" s="94"/>
      <c r="M115" s="93">
        <v>6</v>
      </c>
      <c r="N115" s="92">
        <v>4000</v>
      </c>
      <c r="O115" s="92">
        <f t="shared" si="6"/>
        <v>24000</v>
      </c>
      <c r="P115" s="91">
        <f t="shared" si="7"/>
        <v>240</v>
      </c>
      <c r="Q115" s="91">
        <f t="shared" si="8"/>
        <v>23760</v>
      </c>
      <c r="R115" s="91"/>
    </row>
    <row r="116" spans="2:24" ht="12" customHeight="1" x14ac:dyDescent="0.3">
      <c r="B116" s="98">
        <f t="shared" si="9"/>
        <v>113</v>
      </c>
      <c r="C116" s="97" t="str">
        <f t="shared" si="5"/>
        <v>Mar-26</v>
      </c>
      <c r="D116" s="96">
        <v>46083</v>
      </c>
      <c r="E116" s="95">
        <v>1693</v>
      </c>
      <c r="F116" s="95"/>
      <c r="G116" s="95" t="s">
        <v>422</v>
      </c>
      <c r="H116" s="94" t="s">
        <v>2399</v>
      </c>
      <c r="I116" s="94" t="s">
        <v>526</v>
      </c>
      <c r="J116" s="91" t="s">
        <v>2526</v>
      </c>
      <c r="K116" s="91" t="s">
        <v>2397</v>
      </c>
      <c r="L116" s="94"/>
      <c r="M116" s="93">
        <v>6</v>
      </c>
      <c r="N116" s="92">
        <v>3800</v>
      </c>
      <c r="O116" s="92">
        <f t="shared" si="6"/>
        <v>22800</v>
      </c>
      <c r="P116" s="91">
        <f t="shared" si="7"/>
        <v>228</v>
      </c>
      <c r="Q116" s="91">
        <f t="shared" si="8"/>
        <v>22572</v>
      </c>
      <c r="R116" s="91"/>
    </row>
    <row r="117" spans="2:24" ht="12" customHeight="1" x14ac:dyDescent="0.3">
      <c r="B117" s="98">
        <f t="shared" si="9"/>
        <v>114</v>
      </c>
      <c r="C117" s="97" t="str">
        <f t="shared" si="5"/>
        <v>Mar-26</v>
      </c>
      <c r="D117" s="96">
        <v>46083</v>
      </c>
      <c r="E117" s="95">
        <v>1699</v>
      </c>
      <c r="F117" s="95"/>
      <c r="G117" s="95" t="s">
        <v>422</v>
      </c>
      <c r="H117" s="94" t="s">
        <v>2399</v>
      </c>
      <c r="I117" s="94" t="s">
        <v>2487</v>
      </c>
      <c r="J117" s="91" t="s">
        <v>2525</v>
      </c>
      <c r="K117" s="91" t="s">
        <v>2397</v>
      </c>
      <c r="L117" s="94"/>
      <c r="M117" s="93">
        <v>6</v>
      </c>
      <c r="N117" s="92">
        <v>3800</v>
      </c>
      <c r="O117" s="92">
        <f t="shared" si="6"/>
        <v>22800</v>
      </c>
      <c r="P117" s="91">
        <f t="shared" si="7"/>
        <v>228</v>
      </c>
      <c r="Q117" s="91">
        <f t="shared" si="8"/>
        <v>22572</v>
      </c>
      <c r="R117" s="91"/>
    </row>
    <row r="118" spans="2:24" ht="12" customHeight="1" x14ac:dyDescent="0.3">
      <c r="B118" s="98">
        <f t="shared" si="9"/>
        <v>115</v>
      </c>
      <c r="C118" s="97" t="str">
        <f t="shared" si="5"/>
        <v>Mar-26</v>
      </c>
      <c r="D118" s="96">
        <v>46083</v>
      </c>
      <c r="E118" s="95">
        <v>1700</v>
      </c>
      <c r="F118" s="95"/>
      <c r="G118" s="95" t="s">
        <v>422</v>
      </c>
      <c r="H118" s="94" t="s">
        <v>2399</v>
      </c>
      <c r="I118" s="94" t="s">
        <v>2487</v>
      </c>
      <c r="J118" s="91" t="s">
        <v>2525</v>
      </c>
      <c r="K118" s="91" t="s">
        <v>2397</v>
      </c>
      <c r="L118" s="94"/>
      <c r="M118" s="93">
        <v>1</v>
      </c>
      <c r="N118" s="92">
        <v>3800</v>
      </c>
      <c r="O118" s="92">
        <f t="shared" si="6"/>
        <v>3800</v>
      </c>
      <c r="P118" s="91">
        <f t="shared" si="7"/>
        <v>38</v>
      </c>
      <c r="Q118" s="91">
        <f t="shared" si="8"/>
        <v>3762</v>
      </c>
      <c r="R118" s="91"/>
    </row>
    <row r="119" spans="2:24" ht="12" customHeight="1" x14ac:dyDescent="0.3">
      <c r="B119" s="98">
        <f t="shared" si="9"/>
        <v>116</v>
      </c>
      <c r="C119" s="97" t="str">
        <f t="shared" si="5"/>
        <v>Mar-26</v>
      </c>
      <c r="D119" s="96">
        <v>46085</v>
      </c>
      <c r="E119" s="95">
        <v>1701</v>
      </c>
      <c r="F119" s="95"/>
      <c r="G119" s="95" t="s">
        <v>422</v>
      </c>
      <c r="H119" s="94" t="s">
        <v>2399</v>
      </c>
      <c r="I119" s="94" t="s">
        <v>2487</v>
      </c>
      <c r="J119" s="91" t="s">
        <v>2524</v>
      </c>
      <c r="K119" s="91" t="s">
        <v>2397</v>
      </c>
      <c r="L119" s="94"/>
      <c r="M119" s="93">
        <v>6</v>
      </c>
      <c r="N119" s="92">
        <v>4100</v>
      </c>
      <c r="O119" s="92">
        <f t="shared" si="6"/>
        <v>24600</v>
      </c>
      <c r="P119" s="91">
        <f t="shared" si="7"/>
        <v>246</v>
      </c>
      <c r="Q119" s="91">
        <f t="shared" si="8"/>
        <v>24354</v>
      </c>
      <c r="R119" s="91"/>
    </row>
    <row r="120" spans="2:24" ht="12" customHeight="1" x14ac:dyDescent="0.3">
      <c r="B120" s="98">
        <f t="shared" si="9"/>
        <v>117</v>
      </c>
      <c r="C120" s="97" t="str">
        <f t="shared" si="5"/>
        <v>Mar-26</v>
      </c>
      <c r="D120" s="96">
        <v>46085</v>
      </c>
      <c r="E120" s="95">
        <v>1704</v>
      </c>
      <c r="F120" s="95"/>
      <c r="G120" s="95" t="s">
        <v>422</v>
      </c>
      <c r="H120" s="94" t="s">
        <v>2399</v>
      </c>
      <c r="I120" s="94" t="s">
        <v>2330</v>
      </c>
      <c r="J120" s="91" t="s">
        <v>2523</v>
      </c>
      <c r="K120" s="91" t="s">
        <v>2397</v>
      </c>
      <c r="L120" s="94"/>
      <c r="M120" s="93">
        <v>6</v>
      </c>
      <c r="N120" s="92">
        <v>3800</v>
      </c>
      <c r="O120" s="92">
        <f t="shared" si="6"/>
        <v>22800</v>
      </c>
      <c r="P120" s="91">
        <f t="shared" si="7"/>
        <v>228</v>
      </c>
      <c r="Q120" s="91">
        <f t="shared" si="8"/>
        <v>22572</v>
      </c>
      <c r="R120" s="91"/>
    </row>
    <row r="121" spans="2:24" ht="12" customHeight="1" x14ac:dyDescent="0.3">
      <c r="B121" s="98">
        <f t="shared" si="9"/>
        <v>118</v>
      </c>
      <c r="C121" s="97" t="str">
        <f t="shared" si="5"/>
        <v>Mar-26</v>
      </c>
      <c r="D121" s="96">
        <v>46085</v>
      </c>
      <c r="E121" s="95">
        <v>1705</v>
      </c>
      <c r="F121" s="95"/>
      <c r="G121" s="95" t="s">
        <v>422</v>
      </c>
      <c r="H121" s="94" t="s">
        <v>2399</v>
      </c>
      <c r="I121" s="94" t="s">
        <v>987</v>
      </c>
      <c r="J121" s="91" t="s">
        <v>2497</v>
      </c>
      <c r="K121" s="91" t="s">
        <v>2397</v>
      </c>
      <c r="L121" s="94"/>
      <c r="M121" s="93">
        <v>6</v>
      </c>
      <c r="N121" s="92">
        <v>4200</v>
      </c>
      <c r="O121" s="92">
        <f t="shared" si="6"/>
        <v>25200</v>
      </c>
      <c r="P121" s="91">
        <f t="shared" si="7"/>
        <v>252</v>
      </c>
      <c r="Q121" s="91">
        <f t="shared" si="8"/>
        <v>24948</v>
      </c>
      <c r="R121" s="91"/>
    </row>
    <row r="122" spans="2:24" ht="12" customHeight="1" x14ac:dyDescent="0.3">
      <c r="B122" s="98">
        <f t="shared" si="9"/>
        <v>119</v>
      </c>
      <c r="C122" s="97" t="str">
        <f t="shared" si="5"/>
        <v>Mar-26</v>
      </c>
      <c r="D122" s="96">
        <v>46085</v>
      </c>
      <c r="E122" s="95">
        <v>1706</v>
      </c>
      <c r="F122" s="95"/>
      <c r="G122" s="95" t="s">
        <v>422</v>
      </c>
      <c r="H122" s="94" t="s">
        <v>2399</v>
      </c>
      <c r="I122" s="94" t="s">
        <v>2487</v>
      </c>
      <c r="J122" s="91" t="s">
        <v>2510</v>
      </c>
      <c r="K122" s="91" t="s">
        <v>2397</v>
      </c>
      <c r="L122" s="94"/>
      <c r="M122" s="93">
        <v>6</v>
      </c>
      <c r="N122" s="92">
        <v>3900</v>
      </c>
      <c r="O122" s="92">
        <f t="shared" si="6"/>
        <v>23400</v>
      </c>
      <c r="P122" s="91">
        <f t="shared" si="7"/>
        <v>234</v>
      </c>
      <c r="Q122" s="91">
        <f t="shared" si="8"/>
        <v>23166</v>
      </c>
      <c r="R122" s="91"/>
    </row>
    <row r="123" spans="2:24" ht="12" customHeight="1" x14ac:dyDescent="0.3">
      <c r="B123" s="98">
        <f t="shared" si="9"/>
        <v>120</v>
      </c>
      <c r="C123" s="97" t="str">
        <f t="shared" si="5"/>
        <v>Mar-26</v>
      </c>
      <c r="D123" s="96">
        <v>46085</v>
      </c>
      <c r="E123" s="95">
        <v>1707</v>
      </c>
      <c r="F123" s="95"/>
      <c r="G123" s="95" t="s">
        <v>422</v>
      </c>
      <c r="H123" s="94" t="s">
        <v>2399</v>
      </c>
      <c r="I123" s="94" t="s">
        <v>987</v>
      </c>
      <c r="J123" s="91" t="s">
        <v>2497</v>
      </c>
      <c r="K123" s="91" t="s">
        <v>2397</v>
      </c>
      <c r="L123" s="94"/>
      <c r="M123" s="93">
        <v>6</v>
      </c>
      <c r="N123" s="92">
        <v>4200</v>
      </c>
      <c r="O123" s="92">
        <f t="shared" si="6"/>
        <v>25200</v>
      </c>
      <c r="P123" s="91">
        <f t="shared" si="7"/>
        <v>252</v>
      </c>
      <c r="Q123" s="91">
        <f t="shared" si="8"/>
        <v>24948</v>
      </c>
      <c r="R123" s="91"/>
    </row>
    <row r="124" spans="2:24" ht="12" customHeight="1" x14ac:dyDescent="0.3">
      <c r="B124" s="98">
        <f t="shared" si="9"/>
        <v>121</v>
      </c>
      <c r="C124" s="97" t="str">
        <f t="shared" si="5"/>
        <v>Mar-26</v>
      </c>
      <c r="D124" s="96">
        <v>46085</v>
      </c>
      <c r="E124" s="95">
        <v>1708</v>
      </c>
      <c r="F124" s="95"/>
      <c r="G124" s="95" t="s">
        <v>422</v>
      </c>
      <c r="H124" s="94" t="s">
        <v>2399</v>
      </c>
      <c r="I124" s="94" t="s">
        <v>2487</v>
      </c>
      <c r="J124" s="91" t="s">
        <v>2510</v>
      </c>
      <c r="K124" s="91" t="s">
        <v>2397</v>
      </c>
      <c r="L124" s="94"/>
      <c r="M124" s="93">
        <v>6</v>
      </c>
      <c r="N124" s="92">
        <v>3900</v>
      </c>
      <c r="O124" s="92">
        <f t="shared" si="6"/>
        <v>23400</v>
      </c>
      <c r="P124" s="91">
        <f t="shared" si="7"/>
        <v>234</v>
      </c>
      <c r="Q124" s="91">
        <f t="shared" si="8"/>
        <v>23166</v>
      </c>
      <c r="R124" s="91"/>
    </row>
    <row r="125" spans="2:24" ht="12" customHeight="1" x14ac:dyDescent="0.3">
      <c r="B125" s="98">
        <f t="shared" si="9"/>
        <v>122</v>
      </c>
      <c r="C125" s="97" t="str">
        <f t="shared" si="5"/>
        <v>Mar-26</v>
      </c>
      <c r="D125" s="96">
        <v>46086</v>
      </c>
      <c r="E125" s="95">
        <v>1713</v>
      </c>
      <c r="F125" s="95"/>
      <c r="G125" s="95" t="s">
        <v>422</v>
      </c>
      <c r="H125" s="94" t="s">
        <v>2399</v>
      </c>
      <c r="I125" s="94" t="s">
        <v>2487</v>
      </c>
      <c r="J125" s="91" t="s">
        <v>2522</v>
      </c>
      <c r="K125" s="91" t="s">
        <v>2397</v>
      </c>
      <c r="L125" s="94"/>
      <c r="M125" s="93">
        <v>6.5</v>
      </c>
      <c r="N125" s="92">
        <v>4000</v>
      </c>
      <c r="O125" s="92">
        <f t="shared" si="6"/>
        <v>26000</v>
      </c>
      <c r="P125" s="91">
        <f t="shared" si="7"/>
        <v>260</v>
      </c>
      <c r="Q125" s="91">
        <f t="shared" si="8"/>
        <v>25740</v>
      </c>
      <c r="R125" s="91"/>
    </row>
    <row r="126" spans="2:24" ht="12" customHeight="1" x14ac:dyDescent="0.3">
      <c r="B126" s="98">
        <f t="shared" si="9"/>
        <v>123</v>
      </c>
      <c r="C126" s="97" t="str">
        <f t="shared" si="5"/>
        <v>Mar-26</v>
      </c>
      <c r="D126" s="96">
        <v>46087</v>
      </c>
      <c r="E126" s="95">
        <v>1728</v>
      </c>
      <c r="F126" s="95"/>
      <c r="G126" s="95" t="s">
        <v>422</v>
      </c>
      <c r="H126" s="94" t="s">
        <v>2399</v>
      </c>
      <c r="I126" s="94" t="s">
        <v>2487</v>
      </c>
      <c r="J126" s="91" t="s">
        <v>2521</v>
      </c>
      <c r="K126" s="91" t="s">
        <v>2397</v>
      </c>
      <c r="L126" s="94"/>
      <c r="M126" s="93">
        <v>6</v>
      </c>
      <c r="N126" s="92">
        <v>3800</v>
      </c>
      <c r="O126" s="92">
        <f t="shared" si="6"/>
        <v>22800</v>
      </c>
      <c r="P126" s="91">
        <f t="shared" si="7"/>
        <v>228</v>
      </c>
      <c r="Q126" s="91">
        <f t="shared" si="8"/>
        <v>22572</v>
      </c>
      <c r="R126" s="91"/>
    </row>
    <row r="127" spans="2:24" ht="12" customHeight="1" x14ac:dyDescent="0.3">
      <c r="B127" s="98">
        <f t="shared" si="9"/>
        <v>124</v>
      </c>
      <c r="C127" s="97" t="str">
        <f t="shared" si="5"/>
        <v>Mar-26</v>
      </c>
      <c r="D127" s="96">
        <v>46087</v>
      </c>
      <c r="E127" s="95">
        <v>1730</v>
      </c>
      <c r="F127" s="95"/>
      <c r="G127" s="95" t="s">
        <v>422</v>
      </c>
      <c r="H127" s="94" t="s">
        <v>2399</v>
      </c>
      <c r="I127" s="94" t="s">
        <v>2487</v>
      </c>
      <c r="J127" s="91" t="s">
        <v>2521</v>
      </c>
      <c r="K127" s="91" t="s">
        <v>2397</v>
      </c>
      <c r="L127" s="94"/>
      <c r="M127" s="93">
        <v>6</v>
      </c>
      <c r="N127" s="92">
        <v>3800</v>
      </c>
      <c r="O127" s="92">
        <f t="shared" si="6"/>
        <v>22800</v>
      </c>
      <c r="P127" s="91">
        <f t="shared" si="7"/>
        <v>228</v>
      </c>
      <c r="Q127" s="91">
        <f t="shared" si="8"/>
        <v>22572</v>
      </c>
      <c r="R127" s="91"/>
    </row>
    <row r="128" spans="2:24" ht="12" customHeight="1" x14ac:dyDescent="0.3">
      <c r="B128" s="98">
        <f t="shared" si="9"/>
        <v>125</v>
      </c>
      <c r="C128" s="97" t="str">
        <f t="shared" si="5"/>
        <v>Mar-26</v>
      </c>
      <c r="D128" s="96">
        <v>46088</v>
      </c>
      <c r="E128" s="95">
        <v>1746</v>
      </c>
      <c r="F128" s="95"/>
      <c r="G128" s="95" t="s">
        <v>422</v>
      </c>
      <c r="H128" s="94" t="s">
        <v>2399</v>
      </c>
      <c r="I128" s="94" t="s">
        <v>2487</v>
      </c>
      <c r="J128" s="91" t="s">
        <v>2520</v>
      </c>
      <c r="K128" s="91" t="s">
        <v>2397</v>
      </c>
      <c r="L128" s="94"/>
      <c r="M128" s="93">
        <v>6</v>
      </c>
      <c r="N128" s="92">
        <v>3800</v>
      </c>
      <c r="O128" s="92">
        <f t="shared" si="6"/>
        <v>22800</v>
      </c>
      <c r="P128" s="91">
        <f t="shared" si="7"/>
        <v>228</v>
      </c>
      <c r="Q128" s="91">
        <f t="shared" si="8"/>
        <v>22572</v>
      </c>
      <c r="R128" s="91"/>
    </row>
    <row r="129" spans="2:18" ht="12" customHeight="1" x14ac:dyDescent="0.3">
      <c r="B129" s="98">
        <f t="shared" si="9"/>
        <v>126</v>
      </c>
      <c r="C129" s="97" t="str">
        <f t="shared" si="5"/>
        <v>Mar-26</v>
      </c>
      <c r="D129" s="96">
        <v>46088</v>
      </c>
      <c r="E129" s="95">
        <v>1749</v>
      </c>
      <c r="F129" s="95"/>
      <c r="G129" s="95" t="s">
        <v>422</v>
      </c>
      <c r="H129" s="94" t="s">
        <v>2399</v>
      </c>
      <c r="I129" s="94" t="s">
        <v>2487</v>
      </c>
      <c r="J129" s="91" t="s">
        <v>2519</v>
      </c>
      <c r="K129" s="91" t="s">
        <v>2397</v>
      </c>
      <c r="L129" s="94"/>
      <c r="M129" s="93">
        <v>6</v>
      </c>
      <c r="N129" s="92">
        <v>3800</v>
      </c>
      <c r="O129" s="92">
        <f t="shared" si="6"/>
        <v>22800</v>
      </c>
      <c r="P129" s="91">
        <f t="shared" si="7"/>
        <v>228</v>
      </c>
      <c r="Q129" s="91">
        <f t="shared" si="8"/>
        <v>22572</v>
      </c>
      <c r="R129" s="91"/>
    </row>
    <row r="130" spans="2:18" ht="12" customHeight="1" x14ac:dyDescent="0.3">
      <c r="B130" s="98">
        <f t="shared" si="9"/>
        <v>127</v>
      </c>
      <c r="C130" s="97" t="str">
        <f t="shared" si="5"/>
        <v>Mar-26</v>
      </c>
      <c r="D130" s="96">
        <v>46090</v>
      </c>
      <c r="E130" s="95">
        <v>1775</v>
      </c>
      <c r="F130" s="95"/>
      <c r="G130" s="95" t="s">
        <v>422</v>
      </c>
      <c r="H130" s="94" t="s">
        <v>2399</v>
      </c>
      <c r="I130" s="94" t="s">
        <v>2330</v>
      </c>
      <c r="J130" s="91" t="s">
        <v>2518</v>
      </c>
      <c r="K130" s="91" t="s">
        <v>2397</v>
      </c>
      <c r="L130" s="94"/>
      <c r="M130" s="93">
        <v>6</v>
      </c>
      <c r="N130" s="92">
        <v>3900</v>
      </c>
      <c r="O130" s="92">
        <f t="shared" si="6"/>
        <v>23400</v>
      </c>
      <c r="P130" s="91">
        <f t="shared" si="7"/>
        <v>234</v>
      </c>
      <c r="Q130" s="91">
        <f t="shared" si="8"/>
        <v>23166</v>
      </c>
      <c r="R130" s="91"/>
    </row>
    <row r="131" spans="2:18" ht="12" customHeight="1" x14ac:dyDescent="0.3">
      <c r="B131" s="98">
        <f t="shared" si="9"/>
        <v>128</v>
      </c>
      <c r="C131" s="97" t="str">
        <f t="shared" si="5"/>
        <v>Mar-26</v>
      </c>
      <c r="D131" s="96">
        <v>46090</v>
      </c>
      <c r="E131" s="95">
        <v>1780</v>
      </c>
      <c r="F131" s="95"/>
      <c r="G131" s="95" t="s">
        <v>422</v>
      </c>
      <c r="H131" s="94" t="s">
        <v>2399</v>
      </c>
      <c r="I131" s="94" t="s">
        <v>987</v>
      </c>
      <c r="J131" s="91" t="s">
        <v>2497</v>
      </c>
      <c r="K131" s="91" t="s">
        <v>2397</v>
      </c>
      <c r="L131" s="94"/>
      <c r="M131" s="93">
        <v>7</v>
      </c>
      <c r="N131" s="92">
        <v>4200</v>
      </c>
      <c r="O131" s="92">
        <f t="shared" si="6"/>
        <v>29400</v>
      </c>
      <c r="P131" s="91">
        <f t="shared" si="7"/>
        <v>294</v>
      </c>
      <c r="Q131" s="91">
        <f t="shared" si="8"/>
        <v>29106</v>
      </c>
      <c r="R131" s="91"/>
    </row>
    <row r="132" spans="2:18" ht="12" customHeight="1" x14ac:dyDescent="0.3">
      <c r="B132" s="98">
        <f t="shared" si="9"/>
        <v>129</v>
      </c>
      <c r="C132" s="97" t="str">
        <f t="shared" ref="C132:C195" si="10">CONCATENATE(TEXT(D132,"mmm"),"-",TEXT(D132,"yy"))</f>
        <v>Mar-26</v>
      </c>
      <c r="D132" s="96">
        <v>46090</v>
      </c>
      <c r="E132" s="95">
        <v>1784</v>
      </c>
      <c r="F132" s="95"/>
      <c r="G132" s="95" t="s">
        <v>422</v>
      </c>
      <c r="H132" s="94" t="s">
        <v>2399</v>
      </c>
      <c r="I132" s="94" t="s">
        <v>987</v>
      </c>
      <c r="J132" s="91" t="s">
        <v>2497</v>
      </c>
      <c r="K132" s="91" t="s">
        <v>2397</v>
      </c>
      <c r="L132" s="94"/>
      <c r="M132" s="93">
        <v>7</v>
      </c>
      <c r="N132" s="92">
        <v>4200</v>
      </c>
      <c r="O132" s="92">
        <f t="shared" ref="O132:O195" si="11">SUM(N132*M132)</f>
        <v>29400</v>
      </c>
      <c r="P132" s="91">
        <f t="shared" ref="P132:P195" si="12">O132*1%</f>
        <v>294</v>
      </c>
      <c r="Q132" s="91">
        <f t="shared" ref="Q132:Q195" si="13">O132-P132</f>
        <v>29106</v>
      </c>
      <c r="R132" s="91"/>
    </row>
    <row r="133" spans="2:18" ht="12" customHeight="1" x14ac:dyDescent="0.3">
      <c r="B133" s="98">
        <f t="shared" ref="B133:B196" si="14">+B132+1</f>
        <v>130</v>
      </c>
      <c r="C133" s="97" t="str">
        <f t="shared" si="10"/>
        <v>Mar-26</v>
      </c>
      <c r="D133" s="96">
        <v>46090</v>
      </c>
      <c r="E133" s="95">
        <v>1786</v>
      </c>
      <c r="F133" s="95"/>
      <c r="G133" s="95" t="s">
        <v>422</v>
      </c>
      <c r="H133" s="94" t="s">
        <v>2399</v>
      </c>
      <c r="I133" s="94" t="s">
        <v>987</v>
      </c>
      <c r="J133" s="91" t="s">
        <v>2497</v>
      </c>
      <c r="K133" s="91" t="s">
        <v>2397</v>
      </c>
      <c r="L133" s="94"/>
      <c r="M133" s="93">
        <v>7</v>
      </c>
      <c r="N133" s="92">
        <v>4200</v>
      </c>
      <c r="O133" s="92">
        <f t="shared" si="11"/>
        <v>29400</v>
      </c>
      <c r="P133" s="91">
        <f t="shared" si="12"/>
        <v>294</v>
      </c>
      <c r="Q133" s="91">
        <f t="shared" si="13"/>
        <v>29106</v>
      </c>
      <c r="R133" s="91"/>
    </row>
    <row r="134" spans="2:18" ht="12" customHeight="1" x14ac:dyDescent="0.3">
      <c r="B134" s="98">
        <f t="shared" si="14"/>
        <v>131</v>
      </c>
      <c r="C134" s="97" t="str">
        <f t="shared" si="10"/>
        <v>Mar-26</v>
      </c>
      <c r="D134" s="96">
        <v>46090</v>
      </c>
      <c r="E134" s="95">
        <v>1787</v>
      </c>
      <c r="F134" s="95"/>
      <c r="G134" s="95" t="s">
        <v>422</v>
      </c>
      <c r="H134" s="94" t="s">
        <v>2399</v>
      </c>
      <c r="I134" s="94" t="s">
        <v>2330</v>
      </c>
      <c r="J134" s="91" t="s">
        <v>2518</v>
      </c>
      <c r="K134" s="91" t="s">
        <v>2397</v>
      </c>
      <c r="L134" s="94"/>
      <c r="M134" s="93">
        <v>6</v>
      </c>
      <c r="N134" s="92">
        <v>3900</v>
      </c>
      <c r="O134" s="92">
        <f t="shared" si="11"/>
        <v>23400</v>
      </c>
      <c r="P134" s="91">
        <f t="shared" si="12"/>
        <v>234</v>
      </c>
      <c r="Q134" s="91">
        <f t="shared" si="13"/>
        <v>23166</v>
      </c>
      <c r="R134" s="91"/>
    </row>
    <row r="135" spans="2:18" ht="12" customHeight="1" x14ac:dyDescent="0.3">
      <c r="B135" s="98">
        <f t="shared" si="14"/>
        <v>132</v>
      </c>
      <c r="C135" s="97" t="str">
        <f t="shared" si="10"/>
        <v>Mar-26</v>
      </c>
      <c r="D135" s="96">
        <v>46090</v>
      </c>
      <c r="E135" s="95">
        <v>1788</v>
      </c>
      <c r="F135" s="95"/>
      <c r="G135" s="95" t="s">
        <v>422</v>
      </c>
      <c r="H135" s="94" t="s">
        <v>2399</v>
      </c>
      <c r="I135" s="94" t="s">
        <v>987</v>
      </c>
      <c r="J135" s="91" t="s">
        <v>2497</v>
      </c>
      <c r="K135" s="91" t="s">
        <v>2397</v>
      </c>
      <c r="L135" s="94"/>
      <c r="M135" s="93">
        <v>7</v>
      </c>
      <c r="N135" s="92">
        <v>4200</v>
      </c>
      <c r="O135" s="92">
        <f t="shared" si="11"/>
        <v>29400</v>
      </c>
      <c r="P135" s="91">
        <f t="shared" si="12"/>
        <v>294</v>
      </c>
      <c r="Q135" s="91">
        <f t="shared" si="13"/>
        <v>29106</v>
      </c>
      <c r="R135" s="91"/>
    </row>
    <row r="136" spans="2:18" ht="12" customHeight="1" x14ac:dyDescent="0.3">
      <c r="B136" s="98">
        <f t="shared" si="14"/>
        <v>133</v>
      </c>
      <c r="C136" s="97" t="str">
        <f t="shared" si="10"/>
        <v>Mar-26</v>
      </c>
      <c r="D136" s="96">
        <v>46090</v>
      </c>
      <c r="E136" s="95">
        <v>1789</v>
      </c>
      <c r="F136" s="95"/>
      <c r="G136" s="95" t="s">
        <v>422</v>
      </c>
      <c r="H136" s="94" t="s">
        <v>2399</v>
      </c>
      <c r="I136" s="94" t="s">
        <v>987</v>
      </c>
      <c r="J136" s="91" t="s">
        <v>2497</v>
      </c>
      <c r="K136" s="91" t="s">
        <v>2397</v>
      </c>
      <c r="L136" s="94"/>
      <c r="M136" s="93">
        <v>7</v>
      </c>
      <c r="N136" s="92">
        <v>4200</v>
      </c>
      <c r="O136" s="92">
        <f t="shared" si="11"/>
        <v>29400</v>
      </c>
      <c r="P136" s="91">
        <f t="shared" si="12"/>
        <v>294</v>
      </c>
      <c r="Q136" s="91">
        <f t="shared" si="13"/>
        <v>29106</v>
      </c>
      <c r="R136" s="91"/>
    </row>
    <row r="137" spans="2:18" ht="12" customHeight="1" x14ac:dyDescent="0.3">
      <c r="B137" s="98">
        <f t="shared" si="14"/>
        <v>134</v>
      </c>
      <c r="C137" s="97" t="str">
        <f t="shared" si="10"/>
        <v>Mar-26</v>
      </c>
      <c r="D137" s="96">
        <v>46090</v>
      </c>
      <c r="E137" s="95">
        <v>1790</v>
      </c>
      <c r="F137" s="95"/>
      <c r="G137" s="95" t="s">
        <v>422</v>
      </c>
      <c r="H137" s="94" t="s">
        <v>2399</v>
      </c>
      <c r="I137" s="94" t="s">
        <v>2330</v>
      </c>
      <c r="J137" s="91" t="s">
        <v>2518</v>
      </c>
      <c r="K137" s="91" t="s">
        <v>2397</v>
      </c>
      <c r="L137" s="94"/>
      <c r="M137" s="93">
        <v>6</v>
      </c>
      <c r="N137" s="92">
        <v>3900</v>
      </c>
      <c r="O137" s="92">
        <f t="shared" si="11"/>
        <v>23400</v>
      </c>
      <c r="P137" s="91">
        <f t="shared" si="12"/>
        <v>234</v>
      </c>
      <c r="Q137" s="91">
        <f t="shared" si="13"/>
        <v>23166</v>
      </c>
      <c r="R137" s="91"/>
    </row>
    <row r="138" spans="2:18" ht="12" customHeight="1" x14ac:dyDescent="0.3">
      <c r="B138" s="98">
        <f t="shared" si="14"/>
        <v>135</v>
      </c>
      <c r="C138" s="97" t="str">
        <f t="shared" si="10"/>
        <v>Mar-26</v>
      </c>
      <c r="D138" s="96">
        <v>46091</v>
      </c>
      <c r="E138" s="95">
        <v>1800</v>
      </c>
      <c r="F138" s="95"/>
      <c r="G138" s="95" t="s">
        <v>422</v>
      </c>
      <c r="H138" s="94" t="s">
        <v>2399</v>
      </c>
      <c r="I138" s="94" t="s">
        <v>2487</v>
      </c>
      <c r="J138" s="91" t="s">
        <v>2517</v>
      </c>
      <c r="K138" s="91" t="s">
        <v>2397</v>
      </c>
      <c r="L138" s="94"/>
      <c r="M138" s="93">
        <v>6</v>
      </c>
      <c r="N138" s="92">
        <v>3800</v>
      </c>
      <c r="O138" s="92">
        <f t="shared" si="11"/>
        <v>22800</v>
      </c>
      <c r="P138" s="91">
        <f t="shared" si="12"/>
        <v>228</v>
      </c>
      <c r="Q138" s="91">
        <f t="shared" si="13"/>
        <v>22572</v>
      </c>
      <c r="R138" s="91"/>
    </row>
    <row r="139" spans="2:18" ht="12" customHeight="1" x14ac:dyDescent="0.3">
      <c r="B139" s="98">
        <f t="shared" si="14"/>
        <v>136</v>
      </c>
      <c r="C139" s="97" t="str">
        <f t="shared" si="10"/>
        <v>Mar-26</v>
      </c>
      <c r="D139" s="96">
        <v>46091</v>
      </c>
      <c r="E139" s="95">
        <v>1811</v>
      </c>
      <c r="F139" s="95"/>
      <c r="G139" s="95" t="s">
        <v>422</v>
      </c>
      <c r="H139" s="94" t="s">
        <v>2399</v>
      </c>
      <c r="I139" s="94" t="s">
        <v>2330</v>
      </c>
      <c r="J139" s="91" t="s">
        <v>2518</v>
      </c>
      <c r="K139" s="91" t="s">
        <v>2397</v>
      </c>
      <c r="L139" s="94"/>
      <c r="M139" s="93">
        <v>6</v>
      </c>
      <c r="N139" s="92">
        <v>3900</v>
      </c>
      <c r="O139" s="92">
        <f t="shared" si="11"/>
        <v>23400</v>
      </c>
      <c r="P139" s="91">
        <f t="shared" si="12"/>
        <v>234</v>
      </c>
      <c r="Q139" s="91">
        <f t="shared" si="13"/>
        <v>23166</v>
      </c>
      <c r="R139" s="91"/>
    </row>
    <row r="140" spans="2:18" ht="12" customHeight="1" x14ac:dyDescent="0.3">
      <c r="B140" s="98">
        <f t="shared" si="14"/>
        <v>137</v>
      </c>
      <c r="C140" s="97" t="str">
        <f t="shared" si="10"/>
        <v>Mar-26</v>
      </c>
      <c r="D140" s="96">
        <v>46091</v>
      </c>
      <c r="E140" s="95">
        <v>1813</v>
      </c>
      <c r="F140" s="95"/>
      <c r="G140" s="95" t="s">
        <v>422</v>
      </c>
      <c r="H140" s="94" t="s">
        <v>2399</v>
      </c>
      <c r="I140" s="94" t="s">
        <v>2330</v>
      </c>
      <c r="J140" s="91" t="s">
        <v>2518</v>
      </c>
      <c r="K140" s="91" t="s">
        <v>2397</v>
      </c>
      <c r="L140" s="94"/>
      <c r="M140" s="93">
        <v>6</v>
      </c>
      <c r="N140" s="92">
        <v>3900</v>
      </c>
      <c r="O140" s="92">
        <f t="shared" si="11"/>
        <v>23400</v>
      </c>
      <c r="P140" s="91">
        <f t="shared" si="12"/>
        <v>234</v>
      </c>
      <c r="Q140" s="91">
        <f t="shared" si="13"/>
        <v>23166</v>
      </c>
      <c r="R140" s="91"/>
    </row>
    <row r="141" spans="2:18" ht="12" customHeight="1" x14ac:dyDescent="0.3">
      <c r="B141" s="98">
        <f t="shared" si="14"/>
        <v>138</v>
      </c>
      <c r="C141" s="97" t="str">
        <f t="shared" si="10"/>
        <v>Mar-26</v>
      </c>
      <c r="D141" s="96">
        <v>46091</v>
      </c>
      <c r="E141" s="95">
        <v>1814</v>
      </c>
      <c r="F141" s="95"/>
      <c r="G141" s="95" t="s">
        <v>422</v>
      </c>
      <c r="H141" s="94" t="s">
        <v>2399</v>
      </c>
      <c r="I141" s="94" t="s">
        <v>2330</v>
      </c>
      <c r="J141" s="91" t="s">
        <v>2518</v>
      </c>
      <c r="K141" s="91" t="s">
        <v>2397</v>
      </c>
      <c r="L141" s="94"/>
      <c r="M141" s="93">
        <v>6</v>
      </c>
      <c r="N141" s="92">
        <v>3900</v>
      </c>
      <c r="O141" s="92">
        <f t="shared" si="11"/>
        <v>23400</v>
      </c>
      <c r="P141" s="91">
        <f t="shared" si="12"/>
        <v>234</v>
      </c>
      <c r="Q141" s="91">
        <f t="shared" si="13"/>
        <v>23166</v>
      </c>
      <c r="R141" s="91"/>
    </row>
    <row r="142" spans="2:18" ht="12" customHeight="1" x14ac:dyDescent="0.3">
      <c r="B142" s="98">
        <f t="shared" si="14"/>
        <v>139</v>
      </c>
      <c r="C142" s="97" t="str">
        <f t="shared" si="10"/>
        <v>Mar-26</v>
      </c>
      <c r="D142" s="96">
        <v>46091</v>
      </c>
      <c r="E142" s="95">
        <v>1815</v>
      </c>
      <c r="F142" s="95"/>
      <c r="G142" s="95" t="s">
        <v>422</v>
      </c>
      <c r="H142" s="94" t="s">
        <v>2399</v>
      </c>
      <c r="I142" s="94" t="s">
        <v>2487</v>
      </c>
      <c r="J142" s="91" t="s">
        <v>2517</v>
      </c>
      <c r="K142" s="91" t="s">
        <v>2397</v>
      </c>
      <c r="L142" s="94"/>
      <c r="M142" s="93">
        <v>6</v>
      </c>
      <c r="N142" s="92">
        <v>3800</v>
      </c>
      <c r="O142" s="92">
        <f t="shared" si="11"/>
        <v>22800</v>
      </c>
      <c r="P142" s="91">
        <f t="shared" si="12"/>
        <v>228</v>
      </c>
      <c r="Q142" s="91">
        <f t="shared" si="13"/>
        <v>22572</v>
      </c>
      <c r="R142" s="91"/>
    </row>
    <row r="143" spans="2:18" ht="12" customHeight="1" x14ac:dyDescent="0.3">
      <c r="B143" s="98">
        <f t="shared" si="14"/>
        <v>140</v>
      </c>
      <c r="C143" s="97" t="str">
        <f t="shared" si="10"/>
        <v>Mar-26</v>
      </c>
      <c r="D143" s="96">
        <v>46091</v>
      </c>
      <c r="E143" s="95">
        <v>1816</v>
      </c>
      <c r="F143" s="95"/>
      <c r="G143" s="95" t="s">
        <v>422</v>
      </c>
      <c r="H143" s="94" t="s">
        <v>2399</v>
      </c>
      <c r="I143" s="94" t="s">
        <v>2487</v>
      </c>
      <c r="J143" s="91" t="s">
        <v>2517</v>
      </c>
      <c r="K143" s="91" t="s">
        <v>2397</v>
      </c>
      <c r="L143" s="94"/>
      <c r="M143" s="93">
        <v>6</v>
      </c>
      <c r="N143" s="92">
        <v>3800</v>
      </c>
      <c r="O143" s="92">
        <f t="shared" si="11"/>
        <v>22800</v>
      </c>
      <c r="P143" s="91">
        <f t="shared" si="12"/>
        <v>228</v>
      </c>
      <c r="Q143" s="91">
        <f t="shared" si="13"/>
        <v>22572</v>
      </c>
      <c r="R143" s="91"/>
    </row>
    <row r="144" spans="2:18" ht="12" customHeight="1" x14ac:dyDescent="0.3">
      <c r="B144" s="98">
        <f t="shared" si="14"/>
        <v>141</v>
      </c>
      <c r="C144" s="97" t="str">
        <f t="shared" si="10"/>
        <v>Mar-26</v>
      </c>
      <c r="D144" s="96">
        <v>46091</v>
      </c>
      <c r="E144" s="95">
        <v>1817</v>
      </c>
      <c r="F144" s="95"/>
      <c r="G144" s="95" t="s">
        <v>422</v>
      </c>
      <c r="H144" s="94" t="s">
        <v>2399</v>
      </c>
      <c r="I144" s="94" t="s">
        <v>2487</v>
      </c>
      <c r="J144" s="91" t="s">
        <v>2517</v>
      </c>
      <c r="K144" s="91" t="s">
        <v>2397</v>
      </c>
      <c r="L144" s="94"/>
      <c r="M144" s="93">
        <v>6</v>
      </c>
      <c r="N144" s="92">
        <v>3800</v>
      </c>
      <c r="O144" s="92">
        <f t="shared" si="11"/>
        <v>22800</v>
      </c>
      <c r="P144" s="91">
        <f t="shared" si="12"/>
        <v>228</v>
      </c>
      <c r="Q144" s="91">
        <f t="shared" si="13"/>
        <v>22572</v>
      </c>
      <c r="R144" s="91"/>
    </row>
    <row r="145" spans="2:18" ht="12" customHeight="1" x14ac:dyDescent="0.3">
      <c r="B145" s="98">
        <f t="shared" si="14"/>
        <v>142</v>
      </c>
      <c r="C145" s="97" t="str">
        <f t="shared" si="10"/>
        <v>Mar-26</v>
      </c>
      <c r="D145" s="96">
        <v>46092</v>
      </c>
      <c r="E145" s="95">
        <v>1826</v>
      </c>
      <c r="F145" s="95"/>
      <c r="G145" s="95" t="s">
        <v>422</v>
      </c>
      <c r="H145" s="94" t="s">
        <v>2399</v>
      </c>
      <c r="I145" s="94" t="s">
        <v>2487</v>
      </c>
      <c r="J145" s="91" t="s">
        <v>2516</v>
      </c>
      <c r="K145" s="91" t="s">
        <v>2397</v>
      </c>
      <c r="L145" s="94"/>
      <c r="M145" s="93">
        <v>6</v>
      </c>
      <c r="N145" s="92">
        <v>3800</v>
      </c>
      <c r="O145" s="92">
        <f t="shared" si="11"/>
        <v>22800</v>
      </c>
      <c r="P145" s="91">
        <f t="shared" si="12"/>
        <v>228</v>
      </c>
      <c r="Q145" s="91">
        <f t="shared" si="13"/>
        <v>22572</v>
      </c>
      <c r="R145" s="91"/>
    </row>
    <row r="146" spans="2:18" ht="12" customHeight="1" x14ac:dyDescent="0.3">
      <c r="B146" s="98">
        <f t="shared" si="14"/>
        <v>143</v>
      </c>
      <c r="C146" s="97" t="str">
        <f t="shared" si="10"/>
        <v>Mar-26</v>
      </c>
      <c r="D146" s="96">
        <v>46096</v>
      </c>
      <c r="E146" s="95">
        <v>1932</v>
      </c>
      <c r="F146" s="95"/>
      <c r="G146" s="95" t="s">
        <v>422</v>
      </c>
      <c r="H146" s="94" t="s">
        <v>2399</v>
      </c>
      <c r="I146" s="94" t="s">
        <v>2487</v>
      </c>
      <c r="J146" s="91" t="s">
        <v>2498</v>
      </c>
      <c r="K146" s="91" t="s">
        <v>2397</v>
      </c>
      <c r="L146" s="94"/>
      <c r="M146" s="93">
        <v>6</v>
      </c>
      <c r="N146" s="92">
        <v>3800</v>
      </c>
      <c r="O146" s="92">
        <f t="shared" si="11"/>
        <v>22800</v>
      </c>
      <c r="P146" s="91">
        <f t="shared" si="12"/>
        <v>228</v>
      </c>
      <c r="Q146" s="91">
        <f t="shared" si="13"/>
        <v>22572</v>
      </c>
      <c r="R146" s="91"/>
    </row>
    <row r="147" spans="2:18" ht="12" customHeight="1" x14ac:dyDescent="0.3">
      <c r="B147" s="98">
        <f t="shared" si="14"/>
        <v>144</v>
      </c>
      <c r="C147" s="97" t="str">
        <f t="shared" si="10"/>
        <v>Mar-26</v>
      </c>
      <c r="D147" s="96">
        <v>46096</v>
      </c>
      <c r="E147" s="95">
        <v>1939</v>
      </c>
      <c r="F147" s="95"/>
      <c r="G147" s="95" t="s">
        <v>422</v>
      </c>
      <c r="H147" s="94" t="s">
        <v>2399</v>
      </c>
      <c r="I147" s="94" t="s">
        <v>2487</v>
      </c>
      <c r="J147" s="91" t="s">
        <v>2498</v>
      </c>
      <c r="K147" s="91" t="s">
        <v>2397</v>
      </c>
      <c r="L147" s="94"/>
      <c r="M147" s="93">
        <v>6</v>
      </c>
      <c r="N147" s="92">
        <v>3800</v>
      </c>
      <c r="O147" s="92">
        <f t="shared" si="11"/>
        <v>22800</v>
      </c>
      <c r="P147" s="91">
        <f t="shared" si="12"/>
        <v>228</v>
      </c>
      <c r="Q147" s="91">
        <f t="shared" si="13"/>
        <v>22572</v>
      </c>
      <c r="R147" s="91"/>
    </row>
    <row r="148" spans="2:18" ht="12" customHeight="1" x14ac:dyDescent="0.3">
      <c r="B148" s="98">
        <f t="shared" si="14"/>
        <v>145</v>
      </c>
      <c r="C148" s="97" t="str">
        <f t="shared" si="10"/>
        <v>Mar-26</v>
      </c>
      <c r="D148" s="96">
        <v>46096</v>
      </c>
      <c r="E148" s="95">
        <v>1944</v>
      </c>
      <c r="F148" s="95"/>
      <c r="G148" s="95" t="s">
        <v>422</v>
      </c>
      <c r="H148" s="94" t="s">
        <v>2399</v>
      </c>
      <c r="I148" s="94" t="s">
        <v>2487</v>
      </c>
      <c r="J148" s="91" t="s">
        <v>2509</v>
      </c>
      <c r="K148" s="91" t="s">
        <v>2397</v>
      </c>
      <c r="L148" s="94"/>
      <c r="M148" s="93">
        <v>6</v>
      </c>
      <c r="N148" s="92">
        <v>3800</v>
      </c>
      <c r="O148" s="92">
        <f t="shared" si="11"/>
        <v>22800</v>
      </c>
      <c r="P148" s="91">
        <f t="shared" si="12"/>
        <v>228</v>
      </c>
      <c r="Q148" s="91">
        <f t="shared" si="13"/>
        <v>22572</v>
      </c>
      <c r="R148" s="91"/>
    </row>
    <row r="149" spans="2:18" ht="12" customHeight="1" x14ac:dyDescent="0.3">
      <c r="B149" s="98">
        <f t="shared" si="14"/>
        <v>146</v>
      </c>
      <c r="C149" s="97" t="str">
        <f t="shared" si="10"/>
        <v>Mar-26</v>
      </c>
      <c r="D149" s="96">
        <v>46097</v>
      </c>
      <c r="E149" s="95">
        <v>1957</v>
      </c>
      <c r="F149" s="95"/>
      <c r="G149" s="95" t="s">
        <v>422</v>
      </c>
      <c r="H149" s="94" t="s">
        <v>2399</v>
      </c>
      <c r="I149" s="94" t="s">
        <v>2487</v>
      </c>
      <c r="J149" s="91" t="s">
        <v>2473</v>
      </c>
      <c r="K149" s="91" t="s">
        <v>2397</v>
      </c>
      <c r="L149" s="94"/>
      <c r="M149" s="93">
        <v>6</v>
      </c>
      <c r="N149" s="92">
        <v>3800</v>
      </c>
      <c r="O149" s="92">
        <f t="shared" si="11"/>
        <v>22800</v>
      </c>
      <c r="P149" s="91">
        <f t="shared" si="12"/>
        <v>228</v>
      </c>
      <c r="Q149" s="91">
        <f t="shared" si="13"/>
        <v>22572</v>
      </c>
      <c r="R149" s="91"/>
    </row>
    <row r="150" spans="2:18" ht="12" customHeight="1" x14ac:dyDescent="0.3">
      <c r="B150" s="98">
        <f t="shared" si="14"/>
        <v>147</v>
      </c>
      <c r="C150" s="97" t="str">
        <f t="shared" si="10"/>
        <v>Mar-26</v>
      </c>
      <c r="D150" s="96">
        <v>46097</v>
      </c>
      <c r="E150" s="95">
        <v>1967</v>
      </c>
      <c r="F150" s="95"/>
      <c r="G150" s="95" t="s">
        <v>422</v>
      </c>
      <c r="H150" s="94" t="s">
        <v>2399</v>
      </c>
      <c r="I150" s="94" t="s">
        <v>2487</v>
      </c>
      <c r="J150" s="91" t="s">
        <v>2515</v>
      </c>
      <c r="K150" s="91" t="s">
        <v>2397</v>
      </c>
      <c r="L150" s="94"/>
      <c r="M150" s="93">
        <v>6</v>
      </c>
      <c r="N150" s="92">
        <v>3800</v>
      </c>
      <c r="O150" s="92">
        <f t="shared" si="11"/>
        <v>22800</v>
      </c>
      <c r="P150" s="91">
        <f t="shared" si="12"/>
        <v>228</v>
      </c>
      <c r="Q150" s="91">
        <f t="shared" si="13"/>
        <v>22572</v>
      </c>
      <c r="R150" s="91"/>
    </row>
    <row r="151" spans="2:18" ht="12" customHeight="1" x14ac:dyDescent="0.3">
      <c r="B151" s="98">
        <f t="shared" si="14"/>
        <v>148</v>
      </c>
      <c r="C151" s="97" t="str">
        <f t="shared" si="10"/>
        <v>Mar-26</v>
      </c>
      <c r="D151" s="96">
        <v>46097</v>
      </c>
      <c r="E151" s="95">
        <v>1976</v>
      </c>
      <c r="F151" s="95"/>
      <c r="G151" s="95" t="s">
        <v>422</v>
      </c>
      <c r="H151" s="94" t="s">
        <v>2399</v>
      </c>
      <c r="I151" s="94" t="s">
        <v>2487</v>
      </c>
      <c r="J151" s="91" t="s">
        <v>2515</v>
      </c>
      <c r="K151" s="91" t="s">
        <v>2397</v>
      </c>
      <c r="L151" s="94"/>
      <c r="M151" s="93">
        <v>3.5</v>
      </c>
      <c r="N151" s="92">
        <v>3800</v>
      </c>
      <c r="O151" s="92">
        <f t="shared" si="11"/>
        <v>13300</v>
      </c>
      <c r="P151" s="91">
        <f t="shared" si="12"/>
        <v>133</v>
      </c>
      <c r="Q151" s="91">
        <f t="shared" si="13"/>
        <v>13167</v>
      </c>
      <c r="R151" s="91"/>
    </row>
    <row r="152" spans="2:18" ht="12" customHeight="1" x14ac:dyDescent="0.3">
      <c r="B152" s="98">
        <f t="shared" si="14"/>
        <v>149</v>
      </c>
      <c r="C152" s="97" t="str">
        <f t="shared" si="10"/>
        <v>Mar-26</v>
      </c>
      <c r="D152" s="96">
        <v>46098</v>
      </c>
      <c r="E152" s="95">
        <v>1982</v>
      </c>
      <c r="F152" s="95"/>
      <c r="G152" s="95" t="s">
        <v>422</v>
      </c>
      <c r="H152" s="94" t="s">
        <v>2399</v>
      </c>
      <c r="I152" s="94"/>
      <c r="J152" s="91" t="s">
        <v>2514</v>
      </c>
      <c r="K152" s="91" t="s">
        <v>2397</v>
      </c>
      <c r="L152" s="94"/>
      <c r="M152" s="93">
        <v>6</v>
      </c>
      <c r="N152" s="92">
        <v>4200</v>
      </c>
      <c r="O152" s="92">
        <f t="shared" si="11"/>
        <v>25200</v>
      </c>
      <c r="P152" s="91">
        <f t="shared" si="12"/>
        <v>252</v>
      </c>
      <c r="Q152" s="91">
        <f t="shared" si="13"/>
        <v>24948</v>
      </c>
      <c r="R152" s="91"/>
    </row>
    <row r="153" spans="2:18" ht="12" customHeight="1" x14ac:dyDescent="0.3">
      <c r="B153" s="98">
        <f t="shared" si="14"/>
        <v>150</v>
      </c>
      <c r="C153" s="97" t="str">
        <f t="shared" si="10"/>
        <v>Mar-26</v>
      </c>
      <c r="D153" s="96">
        <v>46098</v>
      </c>
      <c r="E153" s="95">
        <v>1991</v>
      </c>
      <c r="F153" s="95"/>
      <c r="G153" s="95" t="s">
        <v>422</v>
      </c>
      <c r="H153" s="94" t="s">
        <v>2399</v>
      </c>
      <c r="I153" s="94"/>
      <c r="J153" s="91" t="s">
        <v>2514</v>
      </c>
      <c r="K153" s="91" t="s">
        <v>2397</v>
      </c>
      <c r="L153" s="94"/>
      <c r="M153" s="93">
        <v>6</v>
      </c>
      <c r="N153" s="92">
        <v>4200</v>
      </c>
      <c r="O153" s="92">
        <f t="shared" si="11"/>
        <v>25200</v>
      </c>
      <c r="P153" s="91">
        <f t="shared" si="12"/>
        <v>252</v>
      </c>
      <c r="Q153" s="91">
        <f t="shared" si="13"/>
        <v>24948</v>
      </c>
      <c r="R153" s="91"/>
    </row>
    <row r="154" spans="2:18" ht="12" customHeight="1" x14ac:dyDescent="0.3">
      <c r="B154" s="98">
        <f t="shared" si="14"/>
        <v>151</v>
      </c>
      <c r="C154" s="97" t="str">
        <f t="shared" si="10"/>
        <v>Mar-26</v>
      </c>
      <c r="D154" s="96">
        <v>46098</v>
      </c>
      <c r="E154" s="95">
        <v>2005</v>
      </c>
      <c r="F154" s="95"/>
      <c r="G154" s="95" t="s">
        <v>422</v>
      </c>
      <c r="H154" s="94" t="s">
        <v>2399</v>
      </c>
      <c r="I154" s="94"/>
      <c r="J154" s="91" t="s">
        <v>2514</v>
      </c>
      <c r="K154" s="91" t="s">
        <v>2397</v>
      </c>
      <c r="L154" s="94"/>
      <c r="M154" s="93">
        <v>6</v>
      </c>
      <c r="N154" s="92">
        <v>4200</v>
      </c>
      <c r="O154" s="92">
        <f t="shared" si="11"/>
        <v>25200</v>
      </c>
      <c r="P154" s="91">
        <f t="shared" si="12"/>
        <v>252</v>
      </c>
      <c r="Q154" s="91">
        <f t="shared" si="13"/>
        <v>24948</v>
      </c>
      <c r="R154" s="91"/>
    </row>
    <row r="155" spans="2:18" ht="12" customHeight="1" x14ac:dyDescent="0.3">
      <c r="B155" s="98">
        <f t="shared" si="14"/>
        <v>152</v>
      </c>
      <c r="C155" s="97" t="str">
        <f t="shared" si="10"/>
        <v>Mar-26</v>
      </c>
      <c r="D155" s="96">
        <v>46100</v>
      </c>
      <c r="E155" s="95">
        <v>2087</v>
      </c>
      <c r="F155" s="95"/>
      <c r="G155" s="95" t="s">
        <v>422</v>
      </c>
      <c r="H155" s="94" t="s">
        <v>2399</v>
      </c>
      <c r="I155" s="91" t="s">
        <v>270</v>
      </c>
      <c r="J155" s="91" t="s">
        <v>2513</v>
      </c>
      <c r="K155" s="91" t="s">
        <v>2397</v>
      </c>
      <c r="L155" s="94"/>
      <c r="M155" s="93">
        <v>6</v>
      </c>
      <c r="N155" s="92">
        <v>4200</v>
      </c>
      <c r="O155" s="92">
        <f t="shared" si="11"/>
        <v>25200</v>
      </c>
      <c r="P155" s="91">
        <f t="shared" si="12"/>
        <v>252</v>
      </c>
      <c r="Q155" s="91">
        <f t="shared" si="13"/>
        <v>24948</v>
      </c>
      <c r="R155" s="91"/>
    </row>
    <row r="156" spans="2:18" ht="12" customHeight="1" x14ac:dyDescent="0.3">
      <c r="B156" s="98">
        <f t="shared" si="14"/>
        <v>153</v>
      </c>
      <c r="C156" s="97" t="str">
        <f t="shared" si="10"/>
        <v>Mar-26</v>
      </c>
      <c r="D156" s="96">
        <v>46100</v>
      </c>
      <c r="E156" s="95">
        <v>2099</v>
      </c>
      <c r="F156" s="95"/>
      <c r="G156" s="95" t="s">
        <v>422</v>
      </c>
      <c r="H156" s="94" t="s">
        <v>2399</v>
      </c>
      <c r="I156" s="91" t="s">
        <v>270</v>
      </c>
      <c r="J156" s="91" t="s">
        <v>2513</v>
      </c>
      <c r="K156" s="91" t="s">
        <v>2397</v>
      </c>
      <c r="L156" s="94"/>
      <c r="M156" s="93">
        <v>6</v>
      </c>
      <c r="N156" s="92">
        <v>4200</v>
      </c>
      <c r="O156" s="92">
        <f t="shared" si="11"/>
        <v>25200</v>
      </c>
      <c r="P156" s="91">
        <f t="shared" si="12"/>
        <v>252</v>
      </c>
      <c r="Q156" s="91">
        <f t="shared" si="13"/>
        <v>24948</v>
      </c>
      <c r="R156" s="91"/>
    </row>
    <row r="157" spans="2:18" ht="12" customHeight="1" x14ac:dyDescent="0.3">
      <c r="B157" s="98">
        <f t="shared" si="14"/>
        <v>154</v>
      </c>
      <c r="C157" s="97" t="str">
        <f t="shared" si="10"/>
        <v>Mar-26</v>
      </c>
      <c r="D157" s="96">
        <v>46101</v>
      </c>
      <c r="E157" s="95">
        <v>2108</v>
      </c>
      <c r="F157" s="95"/>
      <c r="G157" s="95" t="s">
        <v>422</v>
      </c>
      <c r="H157" s="94" t="s">
        <v>2399</v>
      </c>
      <c r="I157" s="94"/>
      <c r="J157" s="91" t="s">
        <v>2512</v>
      </c>
      <c r="K157" s="91" t="s">
        <v>2397</v>
      </c>
      <c r="L157" s="94"/>
      <c r="M157" s="93">
        <v>6</v>
      </c>
      <c r="N157" s="92">
        <v>3800</v>
      </c>
      <c r="O157" s="92">
        <f t="shared" si="11"/>
        <v>22800</v>
      </c>
      <c r="P157" s="91">
        <f t="shared" si="12"/>
        <v>228</v>
      </c>
      <c r="Q157" s="91">
        <f t="shared" si="13"/>
        <v>22572</v>
      </c>
      <c r="R157" s="91"/>
    </row>
    <row r="158" spans="2:18" ht="12" customHeight="1" x14ac:dyDescent="0.3">
      <c r="B158" s="98">
        <f t="shared" si="14"/>
        <v>155</v>
      </c>
      <c r="C158" s="97" t="str">
        <f t="shared" si="10"/>
        <v>Mar-26</v>
      </c>
      <c r="D158" s="96">
        <v>46101</v>
      </c>
      <c r="E158" s="95">
        <v>2117</v>
      </c>
      <c r="F158" s="95"/>
      <c r="G158" s="95" t="s">
        <v>422</v>
      </c>
      <c r="H158" s="94" t="s">
        <v>2399</v>
      </c>
      <c r="I158" s="94"/>
      <c r="J158" s="91" t="s">
        <v>2511</v>
      </c>
      <c r="K158" s="91" t="s">
        <v>2397</v>
      </c>
      <c r="L158" s="94"/>
      <c r="M158" s="93">
        <v>6</v>
      </c>
      <c r="N158" s="92">
        <v>3800</v>
      </c>
      <c r="O158" s="92">
        <f t="shared" si="11"/>
        <v>22800</v>
      </c>
      <c r="P158" s="91">
        <f t="shared" si="12"/>
        <v>228</v>
      </c>
      <c r="Q158" s="91">
        <f t="shared" si="13"/>
        <v>22572</v>
      </c>
      <c r="R158" s="91"/>
    </row>
    <row r="159" spans="2:18" ht="12" customHeight="1" x14ac:dyDescent="0.3">
      <c r="B159" s="98">
        <f t="shared" si="14"/>
        <v>156</v>
      </c>
      <c r="C159" s="97" t="str">
        <f t="shared" si="10"/>
        <v>Mar-26</v>
      </c>
      <c r="D159" s="96">
        <v>46101</v>
      </c>
      <c r="E159" s="95">
        <v>2118</v>
      </c>
      <c r="F159" s="95"/>
      <c r="G159" s="95" t="s">
        <v>422</v>
      </c>
      <c r="H159" s="94" t="s">
        <v>2399</v>
      </c>
      <c r="I159" s="94" t="s">
        <v>2487</v>
      </c>
      <c r="J159" s="91" t="s">
        <v>2509</v>
      </c>
      <c r="K159" s="91" t="s">
        <v>2397</v>
      </c>
      <c r="L159" s="94"/>
      <c r="M159" s="93">
        <v>6</v>
      </c>
      <c r="N159" s="92">
        <v>3800</v>
      </c>
      <c r="O159" s="92">
        <f t="shared" si="11"/>
        <v>22800</v>
      </c>
      <c r="P159" s="91">
        <f t="shared" si="12"/>
        <v>228</v>
      </c>
      <c r="Q159" s="91">
        <f t="shared" si="13"/>
        <v>22572</v>
      </c>
      <c r="R159" s="91"/>
    </row>
    <row r="160" spans="2:18" ht="12" customHeight="1" x14ac:dyDescent="0.3">
      <c r="B160" s="98">
        <f t="shared" si="14"/>
        <v>157</v>
      </c>
      <c r="C160" s="97" t="str">
        <f t="shared" si="10"/>
        <v>Mar-26</v>
      </c>
      <c r="D160" s="96">
        <v>46101</v>
      </c>
      <c r="E160" s="95">
        <v>2129</v>
      </c>
      <c r="F160" s="95"/>
      <c r="G160" s="95" t="s">
        <v>422</v>
      </c>
      <c r="H160" s="94" t="s">
        <v>2399</v>
      </c>
      <c r="I160" s="94" t="s">
        <v>2487</v>
      </c>
      <c r="J160" s="91" t="s">
        <v>2413</v>
      </c>
      <c r="K160" s="91" t="s">
        <v>2397</v>
      </c>
      <c r="L160" s="94"/>
      <c r="M160" s="93">
        <v>6</v>
      </c>
      <c r="N160" s="92">
        <v>3900</v>
      </c>
      <c r="O160" s="92">
        <f t="shared" si="11"/>
        <v>23400</v>
      </c>
      <c r="P160" s="91">
        <f t="shared" si="12"/>
        <v>234</v>
      </c>
      <c r="Q160" s="91">
        <f t="shared" si="13"/>
        <v>23166</v>
      </c>
      <c r="R160" s="91"/>
    </row>
    <row r="161" spans="2:18" ht="12" customHeight="1" x14ac:dyDescent="0.3">
      <c r="B161" s="98">
        <f t="shared" si="14"/>
        <v>158</v>
      </c>
      <c r="C161" s="97" t="str">
        <f t="shared" si="10"/>
        <v>Mar-26</v>
      </c>
      <c r="D161" s="96">
        <v>46103</v>
      </c>
      <c r="E161" s="95">
        <v>2175</v>
      </c>
      <c r="F161" s="95"/>
      <c r="G161" s="95" t="s">
        <v>422</v>
      </c>
      <c r="H161" s="94" t="s">
        <v>2399</v>
      </c>
      <c r="I161" s="91" t="s">
        <v>270</v>
      </c>
      <c r="J161" s="91" t="s">
        <v>2502</v>
      </c>
      <c r="K161" s="91" t="s">
        <v>2397</v>
      </c>
      <c r="L161" s="94"/>
      <c r="M161" s="93">
        <v>6</v>
      </c>
      <c r="N161" s="92">
        <v>4200</v>
      </c>
      <c r="O161" s="92">
        <f t="shared" si="11"/>
        <v>25200</v>
      </c>
      <c r="P161" s="91">
        <f t="shared" si="12"/>
        <v>252</v>
      </c>
      <c r="Q161" s="91">
        <f t="shared" si="13"/>
        <v>24948</v>
      </c>
      <c r="R161" s="91"/>
    </row>
    <row r="162" spans="2:18" ht="12" customHeight="1" x14ac:dyDescent="0.3">
      <c r="B162" s="98">
        <f t="shared" si="14"/>
        <v>159</v>
      </c>
      <c r="C162" s="97" t="str">
        <f t="shared" si="10"/>
        <v>Mar-26</v>
      </c>
      <c r="D162" s="96">
        <v>46105</v>
      </c>
      <c r="E162" s="95">
        <v>2238</v>
      </c>
      <c r="F162" s="95"/>
      <c r="G162" s="95" t="s">
        <v>422</v>
      </c>
      <c r="H162" s="94" t="s">
        <v>2399</v>
      </c>
      <c r="I162" s="94" t="s">
        <v>2487</v>
      </c>
      <c r="J162" s="91" t="s">
        <v>2413</v>
      </c>
      <c r="K162" s="91" t="s">
        <v>2397</v>
      </c>
      <c r="L162" s="94"/>
      <c r="M162" s="93">
        <v>8</v>
      </c>
      <c r="N162" s="92">
        <v>3900</v>
      </c>
      <c r="O162" s="92">
        <f t="shared" si="11"/>
        <v>31200</v>
      </c>
      <c r="P162" s="91">
        <f t="shared" si="12"/>
        <v>312</v>
      </c>
      <c r="Q162" s="91">
        <f t="shared" si="13"/>
        <v>30888</v>
      </c>
      <c r="R162" s="91"/>
    </row>
    <row r="163" spans="2:18" ht="12" customHeight="1" x14ac:dyDescent="0.3">
      <c r="B163" s="98">
        <f t="shared" si="14"/>
        <v>160</v>
      </c>
      <c r="C163" s="97" t="str">
        <f t="shared" si="10"/>
        <v>Mar-26</v>
      </c>
      <c r="D163" s="96">
        <v>46105</v>
      </c>
      <c r="E163" s="95">
        <v>2239</v>
      </c>
      <c r="F163" s="95"/>
      <c r="G163" s="95" t="s">
        <v>422</v>
      </c>
      <c r="H163" s="94" t="s">
        <v>2399</v>
      </c>
      <c r="I163" s="94" t="s">
        <v>2487</v>
      </c>
      <c r="J163" s="91" t="s">
        <v>2510</v>
      </c>
      <c r="K163" s="91" t="s">
        <v>2397</v>
      </c>
      <c r="L163" s="94"/>
      <c r="M163" s="93">
        <v>6</v>
      </c>
      <c r="N163" s="92">
        <v>3900</v>
      </c>
      <c r="O163" s="92">
        <f t="shared" si="11"/>
        <v>23400</v>
      </c>
      <c r="P163" s="91">
        <f t="shared" si="12"/>
        <v>234</v>
      </c>
      <c r="Q163" s="91">
        <f t="shared" si="13"/>
        <v>23166</v>
      </c>
      <c r="R163" s="91"/>
    </row>
    <row r="164" spans="2:18" ht="12" customHeight="1" x14ac:dyDescent="0.3">
      <c r="B164" s="98">
        <f t="shared" si="14"/>
        <v>161</v>
      </c>
      <c r="C164" s="97" t="str">
        <f t="shared" si="10"/>
        <v>Mar-26</v>
      </c>
      <c r="D164" s="96">
        <v>46105</v>
      </c>
      <c r="E164" s="95">
        <v>2243</v>
      </c>
      <c r="F164" s="95"/>
      <c r="G164" s="95" t="s">
        <v>422</v>
      </c>
      <c r="H164" s="94" t="s">
        <v>2399</v>
      </c>
      <c r="I164" s="94" t="s">
        <v>2487</v>
      </c>
      <c r="J164" s="91" t="s">
        <v>2413</v>
      </c>
      <c r="K164" s="91" t="s">
        <v>2397</v>
      </c>
      <c r="L164" s="94"/>
      <c r="M164" s="93">
        <v>4</v>
      </c>
      <c r="N164" s="92">
        <v>3900</v>
      </c>
      <c r="O164" s="92">
        <f t="shared" si="11"/>
        <v>15600</v>
      </c>
      <c r="P164" s="91">
        <f t="shared" si="12"/>
        <v>156</v>
      </c>
      <c r="Q164" s="91">
        <f t="shared" si="13"/>
        <v>15444</v>
      </c>
      <c r="R164" s="91"/>
    </row>
    <row r="165" spans="2:18" ht="12" customHeight="1" x14ac:dyDescent="0.3">
      <c r="B165" s="98">
        <f t="shared" si="14"/>
        <v>162</v>
      </c>
      <c r="C165" s="97" t="str">
        <f t="shared" si="10"/>
        <v>Mar-26</v>
      </c>
      <c r="D165" s="96">
        <v>46105</v>
      </c>
      <c r="E165" s="95">
        <v>2247</v>
      </c>
      <c r="F165" s="95"/>
      <c r="G165" s="95" t="s">
        <v>422</v>
      </c>
      <c r="H165" s="94" t="s">
        <v>2399</v>
      </c>
      <c r="I165" s="94" t="s">
        <v>2487</v>
      </c>
      <c r="J165" s="91" t="s">
        <v>2510</v>
      </c>
      <c r="K165" s="91" t="s">
        <v>2397</v>
      </c>
      <c r="L165" s="94"/>
      <c r="M165" s="93">
        <v>1.5</v>
      </c>
      <c r="N165" s="92">
        <v>3900</v>
      </c>
      <c r="O165" s="92">
        <f t="shared" si="11"/>
        <v>5850</v>
      </c>
      <c r="P165" s="91">
        <f t="shared" si="12"/>
        <v>58.5</v>
      </c>
      <c r="Q165" s="91">
        <f t="shared" si="13"/>
        <v>5791.5</v>
      </c>
      <c r="R165" s="91"/>
    </row>
    <row r="166" spans="2:18" ht="12" customHeight="1" x14ac:dyDescent="0.3">
      <c r="B166" s="98">
        <f t="shared" si="14"/>
        <v>163</v>
      </c>
      <c r="C166" s="97" t="str">
        <f t="shared" si="10"/>
        <v>Mar-26</v>
      </c>
      <c r="D166" s="96">
        <v>46105</v>
      </c>
      <c r="E166" s="95">
        <v>2252</v>
      </c>
      <c r="F166" s="95"/>
      <c r="G166" s="95" t="s">
        <v>422</v>
      </c>
      <c r="H166" s="94" t="s">
        <v>2399</v>
      </c>
      <c r="I166" s="94" t="s">
        <v>2487</v>
      </c>
      <c r="J166" s="91" t="s">
        <v>2413</v>
      </c>
      <c r="K166" s="91" t="s">
        <v>2397</v>
      </c>
      <c r="L166" s="94"/>
      <c r="M166" s="93">
        <v>6</v>
      </c>
      <c r="N166" s="92">
        <v>3900</v>
      </c>
      <c r="O166" s="92">
        <f t="shared" si="11"/>
        <v>23400</v>
      </c>
      <c r="P166" s="91">
        <f t="shared" si="12"/>
        <v>234</v>
      </c>
      <c r="Q166" s="91">
        <f t="shared" si="13"/>
        <v>23166</v>
      </c>
      <c r="R166" s="91"/>
    </row>
    <row r="167" spans="2:18" ht="12" customHeight="1" x14ac:dyDescent="0.3">
      <c r="B167" s="98">
        <f t="shared" si="14"/>
        <v>164</v>
      </c>
      <c r="C167" s="97" t="str">
        <f t="shared" si="10"/>
        <v>Mar-26</v>
      </c>
      <c r="D167" s="96">
        <v>46105</v>
      </c>
      <c r="E167" s="95">
        <v>2259</v>
      </c>
      <c r="F167" s="95"/>
      <c r="G167" s="95" t="s">
        <v>422</v>
      </c>
      <c r="H167" s="94" t="s">
        <v>2399</v>
      </c>
      <c r="I167" s="94"/>
      <c r="J167" s="91" t="s">
        <v>2505</v>
      </c>
      <c r="K167" s="91" t="s">
        <v>2397</v>
      </c>
      <c r="L167" s="94"/>
      <c r="M167" s="93">
        <v>6</v>
      </c>
      <c r="N167" s="92">
        <v>4100</v>
      </c>
      <c r="O167" s="92">
        <f t="shared" si="11"/>
        <v>24600</v>
      </c>
      <c r="P167" s="91">
        <f t="shared" si="12"/>
        <v>246</v>
      </c>
      <c r="Q167" s="91">
        <f t="shared" si="13"/>
        <v>24354</v>
      </c>
      <c r="R167" s="91"/>
    </row>
    <row r="168" spans="2:18" ht="12" customHeight="1" x14ac:dyDescent="0.3">
      <c r="B168" s="98">
        <f t="shared" si="14"/>
        <v>165</v>
      </c>
      <c r="C168" s="97" t="str">
        <f t="shared" si="10"/>
        <v>Mar-26</v>
      </c>
      <c r="D168" s="96">
        <v>46105</v>
      </c>
      <c r="E168" s="95">
        <v>2265</v>
      </c>
      <c r="F168" s="95"/>
      <c r="G168" s="95" t="s">
        <v>422</v>
      </c>
      <c r="H168" s="94" t="s">
        <v>2399</v>
      </c>
      <c r="I168" s="94"/>
      <c r="J168" s="91" t="s">
        <v>2505</v>
      </c>
      <c r="K168" s="91" t="s">
        <v>2397</v>
      </c>
      <c r="L168" s="94"/>
      <c r="M168" s="93">
        <v>6</v>
      </c>
      <c r="N168" s="92">
        <v>4100</v>
      </c>
      <c r="O168" s="92">
        <f t="shared" si="11"/>
        <v>24600</v>
      </c>
      <c r="P168" s="91">
        <f t="shared" si="12"/>
        <v>246</v>
      </c>
      <c r="Q168" s="91">
        <f t="shared" si="13"/>
        <v>24354</v>
      </c>
      <c r="R168" s="91"/>
    </row>
    <row r="169" spans="2:18" ht="12" customHeight="1" x14ac:dyDescent="0.3">
      <c r="B169" s="98">
        <f t="shared" si="14"/>
        <v>166</v>
      </c>
      <c r="C169" s="97" t="str">
        <f t="shared" si="10"/>
        <v>Mar-26</v>
      </c>
      <c r="D169" s="96">
        <v>46107</v>
      </c>
      <c r="E169" s="95">
        <v>2305</v>
      </c>
      <c r="F169" s="95"/>
      <c r="G169" s="95" t="s">
        <v>422</v>
      </c>
      <c r="H169" s="94" t="s">
        <v>2399</v>
      </c>
      <c r="I169" s="91" t="s">
        <v>270</v>
      </c>
      <c r="J169" s="91" t="s">
        <v>2502</v>
      </c>
      <c r="K169" s="91" t="s">
        <v>2397</v>
      </c>
      <c r="L169" s="94"/>
      <c r="M169" s="93">
        <v>6</v>
      </c>
      <c r="N169" s="92">
        <v>4200</v>
      </c>
      <c r="O169" s="92">
        <f t="shared" si="11"/>
        <v>25200</v>
      </c>
      <c r="P169" s="91">
        <f t="shared" si="12"/>
        <v>252</v>
      </c>
      <c r="Q169" s="91">
        <f t="shared" si="13"/>
        <v>24948</v>
      </c>
      <c r="R169" s="91"/>
    </row>
    <row r="170" spans="2:18" ht="12" customHeight="1" x14ac:dyDescent="0.3">
      <c r="B170" s="98">
        <f t="shared" si="14"/>
        <v>167</v>
      </c>
      <c r="C170" s="97" t="str">
        <f t="shared" si="10"/>
        <v>Mar-26</v>
      </c>
      <c r="D170" s="96">
        <v>46107</v>
      </c>
      <c r="E170" s="95">
        <v>2309</v>
      </c>
      <c r="F170" s="95"/>
      <c r="G170" s="95" t="s">
        <v>422</v>
      </c>
      <c r="H170" s="94" t="s">
        <v>2399</v>
      </c>
      <c r="I170" s="94"/>
      <c r="J170" s="91" t="s">
        <v>498</v>
      </c>
      <c r="K170" s="91" t="s">
        <v>2397</v>
      </c>
      <c r="L170" s="94"/>
      <c r="M170" s="93">
        <v>6</v>
      </c>
      <c r="N170" s="92">
        <v>4200</v>
      </c>
      <c r="O170" s="92">
        <f t="shared" si="11"/>
        <v>25200</v>
      </c>
      <c r="P170" s="91">
        <f t="shared" si="12"/>
        <v>252</v>
      </c>
      <c r="Q170" s="91">
        <f t="shared" si="13"/>
        <v>24948</v>
      </c>
      <c r="R170" s="91"/>
    </row>
    <row r="171" spans="2:18" ht="12" customHeight="1" x14ac:dyDescent="0.3">
      <c r="B171" s="98">
        <f t="shared" si="14"/>
        <v>168</v>
      </c>
      <c r="C171" s="97" t="str">
        <f t="shared" si="10"/>
        <v>Mar-26</v>
      </c>
      <c r="D171" s="96">
        <v>46107</v>
      </c>
      <c r="E171" s="95">
        <v>2315</v>
      </c>
      <c r="F171" s="95"/>
      <c r="G171" s="95" t="s">
        <v>422</v>
      </c>
      <c r="H171" s="94" t="s">
        <v>2399</v>
      </c>
      <c r="I171" s="94"/>
      <c r="J171" s="91" t="s">
        <v>498</v>
      </c>
      <c r="K171" s="91" t="s">
        <v>2397</v>
      </c>
      <c r="L171" s="94"/>
      <c r="M171" s="93">
        <v>6</v>
      </c>
      <c r="N171" s="92">
        <v>4200</v>
      </c>
      <c r="O171" s="92">
        <f t="shared" si="11"/>
        <v>25200</v>
      </c>
      <c r="P171" s="91">
        <f t="shared" si="12"/>
        <v>252</v>
      </c>
      <c r="Q171" s="91">
        <f t="shared" si="13"/>
        <v>24948</v>
      </c>
      <c r="R171" s="91"/>
    </row>
    <row r="172" spans="2:18" ht="12" customHeight="1" x14ac:dyDescent="0.3">
      <c r="B172" s="98">
        <f t="shared" si="14"/>
        <v>169</v>
      </c>
      <c r="C172" s="97" t="str">
        <f t="shared" si="10"/>
        <v>Mar-26</v>
      </c>
      <c r="D172" s="96">
        <v>46107</v>
      </c>
      <c r="E172" s="95">
        <v>2330</v>
      </c>
      <c r="F172" s="95"/>
      <c r="G172" s="95" t="s">
        <v>422</v>
      </c>
      <c r="H172" s="94" t="s">
        <v>2399</v>
      </c>
      <c r="I172" s="94" t="s">
        <v>2487</v>
      </c>
      <c r="J172" s="91" t="s">
        <v>2509</v>
      </c>
      <c r="K172" s="91" t="s">
        <v>2397</v>
      </c>
      <c r="L172" s="94"/>
      <c r="M172" s="93">
        <v>6</v>
      </c>
      <c r="N172" s="92">
        <v>3800</v>
      </c>
      <c r="O172" s="92">
        <f t="shared" si="11"/>
        <v>22800</v>
      </c>
      <c r="P172" s="91">
        <f t="shared" si="12"/>
        <v>228</v>
      </c>
      <c r="Q172" s="91">
        <f t="shared" si="13"/>
        <v>22572</v>
      </c>
      <c r="R172" s="91"/>
    </row>
    <row r="173" spans="2:18" ht="12" customHeight="1" x14ac:dyDescent="0.3">
      <c r="B173" s="98">
        <f t="shared" si="14"/>
        <v>170</v>
      </c>
      <c r="C173" s="97" t="str">
        <f t="shared" si="10"/>
        <v>Mar-26</v>
      </c>
      <c r="D173" s="96">
        <v>46108</v>
      </c>
      <c r="E173" s="95">
        <v>2341</v>
      </c>
      <c r="F173" s="95"/>
      <c r="G173" s="95" t="s">
        <v>422</v>
      </c>
      <c r="H173" s="94" t="s">
        <v>2399</v>
      </c>
      <c r="I173" s="94"/>
      <c r="J173" s="91" t="s">
        <v>498</v>
      </c>
      <c r="K173" s="91" t="s">
        <v>2397</v>
      </c>
      <c r="L173" s="94"/>
      <c r="M173" s="93">
        <v>6</v>
      </c>
      <c r="N173" s="92">
        <v>4200</v>
      </c>
      <c r="O173" s="92">
        <f t="shared" si="11"/>
        <v>25200</v>
      </c>
      <c r="P173" s="91">
        <f t="shared" si="12"/>
        <v>252</v>
      </c>
      <c r="Q173" s="91">
        <f t="shared" si="13"/>
        <v>24948</v>
      </c>
      <c r="R173" s="91"/>
    </row>
    <row r="174" spans="2:18" ht="12" customHeight="1" x14ac:dyDescent="0.3">
      <c r="B174" s="98">
        <f t="shared" si="14"/>
        <v>171</v>
      </c>
      <c r="C174" s="97" t="str">
        <f t="shared" si="10"/>
        <v>Mar-26</v>
      </c>
      <c r="D174" s="96">
        <v>46108</v>
      </c>
      <c r="E174" s="95">
        <v>2346</v>
      </c>
      <c r="F174" s="95"/>
      <c r="G174" s="95" t="s">
        <v>422</v>
      </c>
      <c r="H174" s="94" t="s">
        <v>2399</v>
      </c>
      <c r="I174" s="91" t="s">
        <v>270</v>
      </c>
      <c r="J174" s="91" t="s">
        <v>2502</v>
      </c>
      <c r="K174" s="91" t="s">
        <v>2397</v>
      </c>
      <c r="L174" s="94"/>
      <c r="M174" s="93">
        <v>6</v>
      </c>
      <c r="N174" s="92">
        <v>4200</v>
      </c>
      <c r="O174" s="92">
        <f t="shared" si="11"/>
        <v>25200</v>
      </c>
      <c r="P174" s="91">
        <f t="shared" si="12"/>
        <v>252</v>
      </c>
      <c r="Q174" s="91">
        <f t="shared" si="13"/>
        <v>24948</v>
      </c>
      <c r="R174" s="91"/>
    </row>
    <row r="175" spans="2:18" ht="12" customHeight="1" x14ac:dyDescent="0.3">
      <c r="B175" s="98">
        <f t="shared" si="14"/>
        <v>172</v>
      </c>
      <c r="C175" s="97" t="str">
        <f t="shared" si="10"/>
        <v>Mar-26</v>
      </c>
      <c r="D175" s="96">
        <v>46108</v>
      </c>
      <c r="E175" s="95">
        <v>2347</v>
      </c>
      <c r="F175" s="95"/>
      <c r="G175" s="95" t="s">
        <v>422</v>
      </c>
      <c r="H175" s="94" t="s">
        <v>2399</v>
      </c>
      <c r="I175" s="94" t="s">
        <v>2440</v>
      </c>
      <c r="J175" s="91" t="s">
        <v>2508</v>
      </c>
      <c r="K175" s="91" t="s">
        <v>2397</v>
      </c>
      <c r="L175" s="94"/>
      <c r="M175" s="93">
        <v>6</v>
      </c>
      <c r="N175" s="92">
        <v>4000</v>
      </c>
      <c r="O175" s="92">
        <f t="shared" si="11"/>
        <v>24000</v>
      </c>
      <c r="P175" s="91">
        <f t="shared" si="12"/>
        <v>240</v>
      </c>
      <c r="Q175" s="91">
        <f t="shared" si="13"/>
        <v>23760</v>
      </c>
      <c r="R175" s="91"/>
    </row>
    <row r="176" spans="2:18" ht="12" customHeight="1" x14ac:dyDescent="0.3">
      <c r="B176" s="98">
        <f t="shared" si="14"/>
        <v>173</v>
      </c>
      <c r="C176" s="97" t="str">
        <f t="shared" si="10"/>
        <v>Mar-26</v>
      </c>
      <c r="D176" s="96">
        <v>46108</v>
      </c>
      <c r="E176" s="95">
        <v>2348</v>
      </c>
      <c r="F176" s="95"/>
      <c r="G176" s="95" t="s">
        <v>422</v>
      </c>
      <c r="H176" s="94" t="s">
        <v>2399</v>
      </c>
      <c r="I176" s="91" t="s">
        <v>270</v>
      </c>
      <c r="J176" s="91" t="s">
        <v>2502</v>
      </c>
      <c r="K176" s="91" t="s">
        <v>2397</v>
      </c>
      <c r="L176" s="94"/>
      <c r="M176" s="93">
        <v>6</v>
      </c>
      <c r="N176" s="92">
        <v>4200</v>
      </c>
      <c r="O176" s="92">
        <f t="shared" si="11"/>
        <v>25200</v>
      </c>
      <c r="P176" s="91">
        <f t="shared" si="12"/>
        <v>252</v>
      </c>
      <c r="Q176" s="91">
        <f t="shared" si="13"/>
        <v>24948</v>
      </c>
      <c r="R176" s="91"/>
    </row>
    <row r="177" spans="2:18" ht="12" customHeight="1" x14ac:dyDescent="0.3">
      <c r="B177" s="98">
        <f t="shared" si="14"/>
        <v>174</v>
      </c>
      <c r="C177" s="97" t="str">
        <f t="shared" si="10"/>
        <v>Mar-26</v>
      </c>
      <c r="D177" s="96">
        <v>46110</v>
      </c>
      <c r="E177" s="95">
        <v>2419</v>
      </c>
      <c r="F177" s="95"/>
      <c r="G177" s="95" t="s">
        <v>422</v>
      </c>
      <c r="H177" s="94" t="s">
        <v>2399</v>
      </c>
      <c r="I177" s="94"/>
      <c r="J177" s="91" t="s">
        <v>2503</v>
      </c>
      <c r="K177" s="91" t="s">
        <v>2397</v>
      </c>
      <c r="L177" s="94"/>
      <c r="M177" s="93">
        <v>6</v>
      </c>
      <c r="N177" s="92">
        <v>3800</v>
      </c>
      <c r="O177" s="92">
        <f t="shared" si="11"/>
        <v>22800</v>
      </c>
      <c r="P177" s="91">
        <f t="shared" si="12"/>
        <v>228</v>
      </c>
      <c r="Q177" s="91">
        <f t="shared" si="13"/>
        <v>22572</v>
      </c>
      <c r="R177" s="91"/>
    </row>
    <row r="178" spans="2:18" ht="12" customHeight="1" x14ac:dyDescent="0.3">
      <c r="B178" s="98">
        <f t="shared" si="14"/>
        <v>175</v>
      </c>
      <c r="C178" s="97" t="str">
        <f t="shared" si="10"/>
        <v>Mar-26</v>
      </c>
      <c r="D178" s="96">
        <v>46110</v>
      </c>
      <c r="E178" s="95">
        <v>2427</v>
      </c>
      <c r="F178" s="95"/>
      <c r="G178" s="95" t="s">
        <v>422</v>
      </c>
      <c r="H178" s="94" t="s">
        <v>2399</v>
      </c>
      <c r="I178" s="94" t="s">
        <v>2487</v>
      </c>
      <c r="J178" s="91" t="s">
        <v>2507</v>
      </c>
      <c r="K178" s="91" t="s">
        <v>2397</v>
      </c>
      <c r="L178" s="94"/>
      <c r="M178" s="93">
        <v>6</v>
      </c>
      <c r="N178" s="92">
        <v>3800</v>
      </c>
      <c r="O178" s="92">
        <f t="shared" si="11"/>
        <v>22800</v>
      </c>
      <c r="P178" s="91">
        <f t="shared" si="12"/>
        <v>228</v>
      </c>
      <c r="Q178" s="91">
        <f t="shared" si="13"/>
        <v>22572</v>
      </c>
      <c r="R178" s="91"/>
    </row>
    <row r="179" spans="2:18" ht="12" customHeight="1" x14ac:dyDescent="0.3">
      <c r="B179" s="98">
        <f t="shared" si="14"/>
        <v>176</v>
      </c>
      <c r="C179" s="97" t="str">
        <f t="shared" si="10"/>
        <v>Mar-26</v>
      </c>
      <c r="D179" s="96">
        <v>46110</v>
      </c>
      <c r="E179" s="95">
        <v>2428</v>
      </c>
      <c r="F179" s="95"/>
      <c r="G179" s="95" t="s">
        <v>422</v>
      </c>
      <c r="H179" s="94" t="s">
        <v>2399</v>
      </c>
      <c r="I179" s="94" t="s">
        <v>2487</v>
      </c>
      <c r="J179" s="91" t="s">
        <v>2507</v>
      </c>
      <c r="K179" s="91" t="s">
        <v>2397</v>
      </c>
      <c r="L179" s="94"/>
      <c r="M179" s="93">
        <v>6</v>
      </c>
      <c r="N179" s="92">
        <v>3800</v>
      </c>
      <c r="O179" s="92">
        <f t="shared" si="11"/>
        <v>22800</v>
      </c>
      <c r="P179" s="91">
        <f t="shared" si="12"/>
        <v>228</v>
      </c>
      <c r="Q179" s="91">
        <f t="shared" si="13"/>
        <v>22572</v>
      </c>
      <c r="R179" s="91"/>
    </row>
    <row r="180" spans="2:18" ht="12" customHeight="1" x14ac:dyDescent="0.3">
      <c r="B180" s="98">
        <f t="shared" si="14"/>
        <v>177</v>
      </c>
      <c r="C180" s="97" t="str">
        <f t="shared" si="10"/>
        <v>Mar-26</v>
      </c>
      <c r="D180" s="96">
        <v>46110</v>
      </c>
      <c r="E180" s="95">
        <v>2433</v>
      </c>
      <c r="F180" s="95"/>
      <c r="G180" s="95" t="s">
        <v>422</v>
      </c>
      <c r="H180" s="94" t="s">
        <v>2399</v>
      </c>
      <c r="I180" s="94" t="s">
        <v>2487</v>
      </c>
      <c r="J180" s="91" t="s">
        <v>2506</v>
      </c>
      <c r="K180" s="91" t="s">
        <v>2397</v>
      </c>
      <c r="L180" s="94"/>
      <c r="M180" s="93">
        <v>6</v>
      </c>
      <c r="N180" s="92">
        <v>3800</v>
      </c>
      <c r="O180" s="92">
        <f t="shared" si="11"/>
        <v>22800</v>
      </c>
      <c r="P180" s="91">
        <f t="shared" si="12"/>
        <v>228</v>
      </c>
      <c r="Q180" s="91">
        <f t="shared" si="13"/>
        <v>22572</v>
      </c>
      <c r="R180" s="91"/>
    </row>
    <row r="181" spans="2:18" ht="12" customHeight="1" x14ac:dyDescent="0.3">
      <c r="B181" s="98">
        <f t="shared" si="14"/>
        <v>178</v>
      </c>
      <c r="C181" s="97" t="str">
        <f t="shared" si="10"/>
        <v>Mar-26</v>
      </c>
      <c r="D181" s="96">
        <v>46110</v>
      </c>
      <c r="E181" s="95">
        <v>2434</v>
      </c>
      <c r="F181" s="95"/>
      <c r="G181" s="95" t="s">
        <v>422</v>
      </c>
      <c r="H181" s="94" t="s">
        <v>2399</v>
      </c>
      <c r="I181" s="94"/>
      <c r="J181" s="91" t="s">
        <v>2505</v>
      </c>
      <c r="K181" s="91" t="s">
        <v>2397</v>
      </c>
      <c r="L181" s="94"/>
      <c r="M181" s="93">
        <v>6.5</v>
      </c>
      <c r="N181" s="92">
        <v>4100</v>
      </c>
      <c r="O181" s="92">
        <f t="shared" si="11"/>
        <v>26650</v>
      </c>
      <c r="P181" s="91">
        <f t="shared" si="12"/>
        <v>266.5</v>
      </c>
      <c r="Q181" s="91">
        <f t="shared" si="13"/>
        <v>26383.5</v>
      </c>
      <c r="R181" s="91"/>
    </row>
    <row r="182" spans="2:18" ht="12" customHeight="1" x14ac:dyDescent="0.3">
      <c r="B182" s="98">
        <f t="shared" si="14"/>
        <v>179</v>
      </c>
      <c r="C182" s="97" t="str">
        <f t="shared" si="10"/>
        <v>Mar-26</v>
      </c>
      <c r="D182" s="96">
        <v>46111</v>
      </c>
      <c r="E182" s="95">
        <v>2442</v>
      </c>
      <c r="F182" s="95"/>
      <c r="G182" s="95" t="s">
        <v>422</v>
      </c>
      <c r="H182" s="94" t="s">
        <v>2399</v>
      </c>
      <c r="I182" s="94" t="s">
        <v>2487</v>
      </c>
      <c r="J182" s="91" t="s">
        <v>2504</v>
      </c>
      <c r="K182" s="91" t="s">
        <v>2397</v>
      </c>
      <c r="L182" s="94"/>
      <c r="M182" s="93">
        <v>6</v>
      </c>
      <c r="N182" s="92">
        <v>3800</v>
      </c>
      <c r="O182" s="92">
        <f t="shared" si="11"/>
        <v>22800</v>
      </c>
      <c r="P182" s="91">
        <f t="shared" si="12"/>
        <v>228</v>
      </c>
      <c r="Q182" s="91">
        <f t="shared" si="13"/>
        <v>22572</v>
      </c>
      <c r="R182" s="91"/>
    </row>
    <row r="183" spans="2:18" ht="12" customHeight="1" x14ac:dyDescent="0.3">
      <c r="B183" s="98">
        <f t="shared" si="14"/>
        <v>180</v>
      </c>
      <c r="C183" s="97" t="str">
        <f t="shared" si="10"/>
        <v>Mar-26</v>
      </c>
      <c r="D183" s="96">
        <v>46111</v>
      </c>
      <c r="E183" s="95">
        <v>2446</v>
      </c>
      <c r="F183" s="95"/>
      <c r="G183" s="95" t="s">
        <v>422</v>
      </c>
      <c r="H183" s="94" t="s">
        <v>2399</v>
      </c>
      <c r="I183" s="94"/>
      <c r="J183" s="91" t="s">
        <v>2503</v>
      </c>
      <c r="K183" s="91" t="s">
        <v>2397</v>
      </c>
      <c r="L183" s="94"/>
      <c r="M183" s="93">
        <v>6</v>
      </c>
      <c r="N183" s="92">
        <v>3800</v>
      </c>
      <c r="O183" s="92">
        <f t="shared" si="11"/>
        <v>22800</v>
      </c>
      <c r="P183" s="91">
        <f t="shared" si="12"/>
        <v>228</v>
      </c>
      <c r="Q183" s="91">
        <f t="shared" si="13"/>
        <v>22572</v>
      </c>
      <c r="R183" s="91"/>
    </row>
    <row r="184" spans="2:18" ht="12" customHeight="1" x14ac:dyDescent="0.3">
      <c r="B184" s="98">
        <f t="shared" si="14"/>
        <v>181</v>
      </c>
      <c r="C184" s="97" t="str">
        <f t="shared" si="10"/>
        <v>Mar-26</v>
      </c>
      <c r="D184" s="96">
        <v>46111</v>
      </c>
      <c r="E184" s="95">
        <v>2502</v>
      </c>
      <c r="F184" s="95"/>
      <c r="G184" s="95" t="s">
        <v>422</v>
      </c>
      <c r="H184" s="94" t="s">
        <v>2399</v>
      </c>
      <c r="I184" s="94"/>
      <c r="J184" s="91" t="s">
        <v>498</v>
      </c>
      <c r="K184" s="91" t="s">
        <v>2397</v>
      </c>
      <c r="L184" s="94"/>
      <c r="M184" s="93">
        <v>6</v>
      </c>
      <c r="N184" s="92">
        <v>4200</v>
      </c>
      <c r="O184" s="92">
        <f t="shared" si="11"/>
        <v>25200</v>
      </c>
      <c r="P184" s="91">
        <f t="shared" si="12"/>
        <v>252</v>
      </c>
      <c r="Q184" s="91">
        <f t="shared" si="13"/>
        <v>24948</v>
      </c>
      <c r="R184" s="91"/>
    </row>
    <row r="185" spans="2:18" ht="12" customHeight="1" x14ac:dyDescent="0.3">
      <c r="B185" s="98">
        <f t="shared" si="14"/>
        <v>182</v>
      </c>
      <c r="C185" s="97" t="str">
        <f t="shared" si="10"/>
        <v>Mar-26</v>
      </c>
      <c r="D185" s="96">
        <v>46111</v>
      </c>
      <c r="E185" s="95">
        <v>2503</v>
      </c>
      <c r="F185" s="95"/>
      <c r="G185" s="95" t="s">
        <v>422</v>
      </c>
      <c r="H185" s="94" t="s">
        <v>2399</v>
      </c>
      <c r="I185" s="94"/>
      <c r="J185" s="91" t="s">
        <v>2503</v>
      </c>
      <c r="K185" s="91" t="s">
        <v>2397</v>
      </c>
      <c r="L185" s="94"/>
      <c r="M185" s="93">
        <v>6</v>
      </c>
      <c r="N185" s="92">
        <v>3800</v>
      </c>
      <c r="O185" s="92">
        <f t="shared" si="11"/>
        <v>22800</v>
      </c>
      <c r="P185" s="91">
        <f t="shared" si="12"/>
        <v>228</v>
      </c>
      <c r="Q185" s="91">
        <f t="shared" si="13"/>
        <v>22572</v>
      </c>
      <c r="R185" s="91"/>
    </row>
    <row r="186" spans="2:18" ht="12" customHeight="1" x14ac:dyDescent="0.3">
      <c r="B186" s="98">
        <f t="shared" si="14"/>
        <v>183</v>
      </c>
      <c r="C186" s="97" t="str">
        <f t="shared" si="10"/>
        <v>Mar-26</v>
      </c>
      <c r="D186" s="96">
        <v>46112</v>
      </c>
      <c r="E186" s="95">
        <v>2509</v>
      </c>
      <c r="F186" s="95"/>
      <c r="G186" s="95" t="s">
        <v>422</v>
      </c>
      <c r="H186" s="94" t="s">
        <v>2399</v>
      </c>
      <c r="I186" s="91" t="s">
        <v>270</v>
      </c>
      <c r="J186" s="91" t="s">
        <v>2502</v>
      </c>
      <c r="K186" s="91" t="s">
        <v>2397</v>
      </c>
      <c r="L186" s="94"/>
      <c r="M186" s="93">
        <v>6</v>
      </c>
      <c r="N186" s="92">
        <v>4200</v>
      </c>
      <c r="O186" s="92">
        <f t="shared" si="11"/>
        <v>25200</v>
      </c>
      <c r="P186" s="91">
        <f t="shared" si="12"/>
        <v>252</v>
      </c>
      <c r="Q186" s="91">
        <f t="shared" si="13"/>
        <v>24948</v>
      </c>
      <c r="R186" s="91"/>
    </row>
    <row r="187" spans="2:18" ht="12" customHeight="1" x14ac:dyDescent="0.3">
      <c r="B187" s="98">
        <f t="shared" si="14"/>
        <v>184</v>
      </c>
      <c r="C187" s="97" t="str">
        <f t="shared" si="10"/>
        <v>Mar-26</v>
      </c>
      <c r="D187" s="96">
        <v>46112</v>
      </c>
      <c r="E187" s="95">
        <v>2510</v>
      </c>
      <c r="F187" s="95"/>
      <c r="G187" s="95" t="s">
        <v>422</v>
      </c>
      <c r="H187" s="94" t="s">
        <v>2399</v>
      </c>
      <c r="I187" s="91" t="s">
        <v>270</v>
      </c>
      <c r="J187" s="91" t="s">
        <v>2502</v>
      </c>
      <c r="K187" s="91" t="s">
        <v>2397</v>
      </c>
      <c r="L187" s="94"/>
      <c r="M187" s="93">
        <v>6</v>
      </c>
      <c r="N187" s="92">
        <v>4200</v>
      </c>
      <c r="O187" s="92">
        <f t="shared" si="11"/>
        <v>25200</v>
      </c>
      <c r="P187" s="91">
        <f t="shared" si="12"/>
        <v>252</v>
      </c>
      <c r="Q187" s="91">
        <f t="shared" si="13"/>
        <v>24948</v>
      </c>
      <c r="R187" s="91"/>
    </row>
    <row r="188" spans="2:18" ht="12" customHeight="1" x14ac:dyDescent="0.3">
      <c r="B188" s="98">
        <f t="shared" si="14"/>
        <v>185</v>
      </c>
      <c r="C188" s="97" t="str">
        <f t="shared" si="10"/>
        <v>Mar-26</v>
      </c>
      <c r="D188" s="96">
        <v>46112</v>
      </c>
      <c r="E188" s="95">
        <v>2511</v>
      </c>
      <c r="F188" s="95"/>
      <c r="G188" s="95" t="s">
        <v>422</v>
      </c>
      <c r="H188" s="94" t="s">
        <v>2399</v>
      </c>
      <c r="I188" s="94"/>
      <c r="J188" s="91" t="s">
        <v>498</v>
      </c>
      <c r="K188" s="91" t="s">
        <v>2397</v>
      </c>
      <c r="L188" s="94"/>
      <c r="M188" s="93">
        <v>6</v>
      </c>
      <c r="N188" s="92">
        <v>4200</v>
      </c>
      <c r="O188" s="92">
        <f t="shared" si="11"/>
        <v>25200</v>
      </c>
      <c r="P188" s="91">
        <f t="shared" si="12"/>
        <v>252</v>
      </c>
      <c r="Q188" s="91">
        <f t="shared" si="13"/>
        <v>24948</v>
      </c>
      <c r="R188" s="91"/>
    </row>
    <row r="189" spans="2:18" ht="12" customHeight="1" x14ac:dyDescent="0.3">
      <c r="B189" s="98">
        <f t="shared" si="14"/>
        <v>186</v>
      </c>
      <c r="C189" s="97" t="str">
        <f t="shared" si="10"/>
        <v>Mar-26</v>
      </c>
      <c r="D189" s="96">
        <v>46112</v>
      </c>
      <c r="E189" s="95">
        <v>2513</v>
      </c>
      <c r="F189" s="95"/>
      <c r="G189" s="95" t="s">
        <v>422</v>
      </c>
      <c r="H189" s="94" t="s">
        <v>2399</v>
      </c>
      <c r="I189" s="94" t="s">
        <v>2487</v>
      </c>
      <c r="J189" s="91" t="s">
        <v>2463</v>
      </c>
      <c r="K189" s="91" t="s">
        <v>2397</v>
      </c>
      <c r="L189" s="94"/>
      <c r="M189" s="93">
        <v>6.5</v>
      </c>
      <c r="N189" s="92">
        <v>3800</v>
      </c>
      <c r="O189" s="92">
        <f t="shared" si="11"/>
        <v>24700</v>
      </c>
      <c r="P189" s="91">
        <f t="shared" si="12"/>
        <v>247</v>
      </c>
      <c r="Q189" s="91">
        <f t="shared" si="13"/>
        <v>24453</v>
      </c>
      <c r="R189" s="91"/>
    </row>
    <row r="190" spans="2:18" ht="12" customHeight="1" x14ac:dyDescent="0.3">
      <c r="B190" s="98">
        <f t="shared" si="14"/>
        <v>187</v>
      </c>
      <c r="C190" s="97" t="str">
        <f t="shared" si="10"/>
        <v>Mar-26</v>
      </c>
      <c r="D190" s="96">
        <v>46112</v>
      </c>
      <c r="E190" s="95">
        <v>2515</v>
      </c>
      <c r="F190" s="95"/>
      <c r="G190" s="95" t="s">
        <v>422</v>
      </c>
      <c r="H190" s="94" t="s">
        <v>2399</v>
      </c>
      <c r="I190" s="94"/>
      <c r="J190" s="91" t="s">
        <v>498</v>
      </c>
      <c r="K190" s="91" t="s">
        <v>2397</v>
      </c>
      <c r="L190" s="94"/>
      <c r="M190" s="93">
        <v>6</v>
      </c>
      <c r="N190" s="92">
        <v>4200</v>
      </c>
      <c r="O190" s="92">
        <f t="shared" si="11"/>
        <v>25200</v>
      </c>
      <c r="P190" s="91">
        <f t="shared" si="12"/>
        <v>252</v>
      </c>
      <c r="Q190" s="91">
        <f t="shared" si="13"/>
        <v>24948</v>
      </c>
      <c r="R190" s="91"/>
    </row>
    <row r="191" spans="2:18" ht="12" customHeight="1" x14ac:dyDescent="0.3">
      <c r="B191" s="98">
        <f t="shared" si="14"/>
        <v>188</v>
      </c>
      <c r="C191" s="97" t="str">
        <f t="shared" si="10"/>
        <v>Mar-26</v>
      </c>
      <c r="D191" s="96">
        <v>46112</v>
      </c>
      <c r="E191" s="95">
        <v>2517</v>
      </c>
      <c r="F191" s="95"/>
      <c r="G191" s="95" t="s">
        <v>422</v>
      </c>
      <c r="H191" s="94" t="s">
        <v>2399</v>
      </c>
      <c r="I191" s="91" t="s">
        <v>270</v>
      </c>
      <c r="J191" s="91" t="s">
        <v>2502</v>
      </c>
      <c r="K191" s="91" t="s">
        <v>2397</v>
      </c>
      <c r="L191" s="94"/>
      <c r="M191" s="93">
        <v>6</v>
      </c>
      <c r="N191" s="92">
        <v>4200</v>
      </c>
      <c r="O191" s="92">
        <f t="shared" si="11"/>
        <v>25200</v>
      </c>
      <c r="P191" s="91">
        <f t="shared" si="12"/>
        <v>252</v>
      </c>
      <c r="Q191" s="91">
        <f t="shared" si="13"/>
        <v>24948</v>
      </c>
      <c r="R191" s="91"/>
    </row>
    <row r="192" spans="2:18" ht="12" customHeight="1" x14ac:dyDescent="0.3">
      <c r="B192" s="98">
        <f t="shared" si="14"/>
        <v>189</v>
      </c>
      <c r="C192" s="97" t="str">
        <f t="shared" si="10"/>
        <v>Mar-26</v>
      </c>
      <c r="D192" s="96">
        <v>46112</v>
      </c>
      <c r="E192" s="95">
        <v>2519</v>
      </c>
      <c r="F192" s="95"/>
      <c r="G192" s="95" t="s">
        <v>422</v>
      </c>
      <c r="H192" s="94" t="s">
        <v>2399</v>
      </c>
      <c r="I192" s="94" t="s">
        <v>2487</v>
      </c>
      <c r="J192" s="91" t="s">
        <v>2501</v>
      </c>
      <c r="K192" s="91" t="s">
        <v>2397</v>
      </c>
      <c r="L192" s="94"/>
      <c r="M192" s="93">
        <v>3.5</v>
      </c>
      <c r="N192" s="92">
        <v>3800</v>
      </c>
      <c r="O192" s="92">
        <f t="shared" si="11"/>
        <v>13300</v>
      </c>
      <c r="P192" s="91">
        <f t="shared" si="12"/>
        <v>133</v>
      </c>
      <c r="Q192" s="91">
        <f t="shared" si="13"/>
        <v>13167</v>
      </c>
      <c r="R192" s="91"/>
    </row>
    <row r="193" spans="2:18" ht="12" customHeight="1" x14ac:dyDescent="0.3">
      <c r="B193" s="98">
        <f t="shared" si="14"/>
        <v>190</v>
      </c>
      <c r="C193" s="97" t="str">
        <f t="shared" si="10"/>
        <v>Mar-26</v>
      </c>
      <c r="D193" s="96">
        <v>46112</v>
      </c>
      <c r="E193" s="95">
        <v>2521</v>
      </c>
      <c r="F193" s="95"/>
      <c r="G193" s="95" t="s">
        <v>422</v>
      </c>
      <c r="H193" s="94" t="s">
        <v>2399</v>
      </c>
      <c r="I193" s="94"/>
      <c r="J193" s="91" t="s">
        <v>2500</v>
      </c>
      <c r="K193" s="91" t="s">
        <v>2397</v>
      </c>
      <c r="L193" s="94"/>
      <c r="M193" s="93">
        <v>6</v>
      </c>
      <c r="N193" s="92">
        <v>3800</v>
      </c>
      <c r="O193" s="92">
        <f t="shared" si="11"/>
        <v>22800</v>
      </c>
      <c r="P193" s="91">
        <f t="shared" si="12"/>
        <v>228</v>
      </c>
      <c r="Q193" s="91">
        <f t="shared" si="13"/>
        <v>22572</v>
      </c>
      <c r="R193" s="91"/>
    </row>
    <row r="194" spans="2:18" ht="12" customHeight="1" x14ac:dyDescent="0.3">
      <c r="B194" s="98">
        <f t="shared" si="14"/>
        <v>191</v>
      </c>
      <c r="C194" s="97" t="str">
        <f t="shared" si="10"/>
        <v>Apr-26</v>
      </c>
      <c r="D194" s="96">
        <v>46113</v>
      </c>
      <c r="E194" s="95">
        <v>2524</v>
      </c>
      <c r="F194" s="95"/>
      <c r="G194" s="95" t="s">
        <v>422</v>
      </c>
      <c r="H194" s="94" t="s">
        <v>2399</v>
      </c>
      <c r="I194" s="94" t="s">
        <v>2487</v>
      </c>
      <c r="J194" s="91" t="s">
        <v>2499</v>
      </c>
      <c r="K194" s="91" t="s">
        <v>2397</v>
      </c>
      <c r="L194" s="94"/>
      <c r="M194" s="93">
        <v>7</v>
      </c>
      <c r="N194" s="92">
        <v>4000</v>
      </c>
      <c r="O194" s="92">
        <f t="shared" si="11"/>
        <v>28000</v>
      </c>
      <c r="P194" s="91">
        <f t="shared" si="12"/>
        <v>280</v>
      </c>
      <c r="Q194" s="91">
        <f t="shared" si="13"/>
        <v>27720</v>
      </c>
      <c r="R194" s="91"/>
    </row>
    <row r="195" spans="2:18" ht="12" customHeight="1" x14ac:dyDescent="0.3">
      <c r="B195" s="98">
        <f t="shared" si="14"/>
        <v>192</v>
      </c>
      <c r="C195" s="97" t="str">
        <f t="shared" si="10"/>
        <v>Apr-26</v>
      </c>
      <c r="D195" s="96">
        <v>46116</v>
      </c>
      <c r="E195" s="95">
        <v>2582</v>
      </c>
      <c r="F195" s="95"/>
      <c r="G195" s="95" t="s">
        <v>422</v>
      </c>
      <c r="H195" s="94" t="s">
        <v>2399</v>
      </c>
      <c r="I195" s="91" t="s">
        <v>270</v>
      </c>
      <c r="J195" s="91" t="s">
        <v>270</v>
      </c>
      <c r="K195" s="91" t="s">
        <v>2397</v>
      </c>
      <c r="L195" s="94"/>
      <c r="M195" s="93">
        <v>6</v>
      </c>
      <c r="N195" s="92">
        <v>4100</v>
      </c>
      <c r="O195" s="92">
        <f t="shared" si="11"/>
        <v>24600</v>
      </c>
      <c r="P195" s="91">
        <f t="shared" si="12"/>
        <v>246</v>
      </c>
      <c r="Q195" s="91">
        <f t="shared" si="13"/>
        <v>24354</v>
      </c>
      <c r="R195" s="91"/>
    </row>
    <row r="196" spans="2:18" ht="12" customHeight="1" x14ac:dyDescent="0.3">
      <c r="B196" s="98">
        <f t="shared" si="14"/>
        <v>193</v>
      </c>
      <c r="C196" s="97" t="str">
        <f t="shared" ref="C196:C259" si="15">CONCATENATE(TEXT(D196,"mmm"),"-",TEXT(D196,"yy"))</f>
        <v>Apr-26</v>
      </c>
      <c r="D196" s="96">
        <v>46116</v>
      </c>
      <c r="E196" s="95">
        <v>2585</v>
      </c>
      <c r="F196" s="95"/>
      <c r="G196" s="95" t="s">
        <v>422</v>
      </c>
      <c r="H196" s="94" t="s">
        <v>2399</v>
      </c>
      <c r="I196" s="94" t="s">
        <v>2487</v>
      </c>
      <c r="J196" s="91" t="s">
        <v>2498</v>
      </c>
      <c r="K196" s="91" t="s">
        <v>2397</v>
      </c>
      <c r="L196" s="94"/>
      <c r="M196" s="93">
        <v>6.75</v>
      </c>
      <c r="N196" s="92">
        <v>3800</v>
      </c>
      <c r="O196" s="92">
        <f t="shared" ref="O196:O224" si="16">SUM(N196*M196)</f>
        <v>25650</v>
      </c>
      <c r="P196" s="91">
        <f t="shared" ref="P196:P259" si="17">O196*1%</f>
        <v>256.5</v>
      </c>
      <c r="Q196" s="91">
        <f t="shared" ref="Q196:Q259" si="18">O196-P196</f>
        <v>25393.5</v>
      </c>
      <c r="R196" s="91"/>
    </row>
    <row r="197" spans="2:18" ht="12" customHeight="1" x14ac:dyDescent="0.3">
      <c r="B197" s="98">
        <f t="shared" ref="B197:B260" si="19">+B196+1</f>
        <v>194</v>
      </c>
      <c r="C197" s="97" t="str">
        <f t="shared" si="15"/>
        <v>Apr-26</v>
      </c>
      <c r="D197" s="96">
        <v>46116</v>
      </c>
      <c r="E197" s="95">
        <v>2589</v>
      </c>
      <c r="F197" s="95"/>
      <c r="G197" s="95" t="s">
        <v>422</v>
      </c>
      <c r="H197" s="94" t="s">
        <v>2399</v>
      </c>
      <c r="I197" s="94" t="s">
        <v>2487</v>
      </c>
      <c r="J197" s="91" t="s">
        <v>2463</v>
      </c>
      <c r="K197" s="91" t="s">
        <v>2397</v>
      </c>
      <c r="L197" s="94"/>
      <c r="M197" s="93">
        <v>6</v>
      </c>
      <c r="N197" s="92">
        <v>3800</v>
      </c>
      <c r="O197" s="92">
        <f t="shared" si="16"/>
        <v>22800</v>
      </c>
      <c r="P197" s="91">
        <f t="shared" si="17"/>
        <v>228</v>
      </c>
      <c r="Q197" s="91">
        <f t="shared" si="18"/>
        <v>22572</v>
      </c>
      <c r="R197" s="91"/>
    </row>
    <row r="198" spans="2:18" ht="12" customHeight="1" x14ac:dyDescent="0.3">
      <c r="B198" s="98">
        <f t="shared" si="19"/>
        <v>195</v>
      </c>
      <c r="C198" s="97" t="str">
        <f t="shared" si="15"/>
        <v>Apr-26</v>
      </c>
      <c r="D198" s="96">
        <v>46116</v>
      </c>
      <c r="E198" s="95">
        <v>2592</v>
      </c>
      <c r="F198" s="95"/>
      <c r="G198" s="95" t="s">
        <v>422</v>
      </c>
      <c r="H198" s="94" t="s">
        <v>2399</v>
      </c>
      <c r="I198" s="91" t="s">
        <v>270</v>
      </c>
      <c r="J198" s="91" t="s">
        <v>270</v>
      </c>
      <c r="K198" s="91" t="s">
        <v>2397</v>
      </c>
      <c r="L198" s="94"/>
      <c r="M198" s="93">
        <v>6</v>
      </c>
      <c r="N198" s="92">
        <v>4100</v>
      </c>
      <c r="O198" s="92">
        <f t="shared" si="16"/>
        <v>24600</v>
      </c>
      <c r="P198" s="91">
        <f t="shared" si="17"/>
        <v>246</v>
      </c>
      <c r="Q198" s="91">
        <f t="shared" si="18"/>
        <v>24354</v>
      </c>
      <c r="R198" s="91"/>
    </row>
    <row r="199" spans="2:18" ht="12" customHeight="1" x14ac:dyDescent="0.3">
      <c r="B199" s="98">
        <f t="shared" si="19"/>
        <v>196</v>
      </c>
      <c r="C199" s="97" t="str">
        <f t="shared" si="15"/>
        <v>Apr-26</v>
      </c>
      <c r="D199" s="96">
        <v>46116</v>
      </c>
      <c r="E199" s="95">
        <v>2595</v>
      </c>
      <c r="F199" s="95"/>
      <c r="G199" s="95" t="s">
        <v>422</v>
      </c>
      <c r="H199" s="94" t="s">
        <v>2399</v>
      </c>
      <c r="I199" s="94" t="s">
        <v>2487</v>
      </c>
      <c r="J199" s="91" t="s">
        <v>2413</v>
      </c>
      <c r="K199" s="91" t="s">
        <v>2397</v>
      </c>
      <c r="L199" s="94"/>
      <c r="M199" s="93">
        <v>6</v>
      </c>
      <c r="N199" s="92">
        <v>3900</v>
      </c>
      <c r="O199" s="92">
        <f t="shared" si="16"/>
        <v>23400</v>
      </c>
      <c r="P199" s="91">
        <f t="shared" si="17"/>
        <v>234</v>
      </c>
      <c r="Q199" s="91">
        <f t="shared" si="18"/>
        <v>23166</v>
      </c>
      <c r="R199" s="91"/>
    </row>
    <row r="200" spans="2:18" ht="12" customHeight="1" x14ac:dyDescent="0.3">
      <c r="B200" s="98">
        <f t="shared" si="19"/>
        <v>197</v>
      </c>
      <c r="C200" s="97" t="str">
        <f t="shared" si="15"/>
        <v>Apr-26</v>
      </c>
      <c r="D200" s="96">
        <v>46116</v>
      </c>
      <c r="E200" s="95">
        <v>2598</v>
      </c>
      <c r="F200" s="95"/>
      <c r="G200" s="95" t="s">
        <v>422</v>
      </c>
      <c r="H200" s="94" t="s">
        <v>2399</v>
      </c>
      <c r="I200" s="91" t="s">
        <v>270</v>
      </c>
      <c r="J200" s="91" t="s">
        <v>270</v>
      </c>
      <c r="K200" s="91" t="s">
        <v>2397</v>
      </c>
      <c r="L200" s="94"/>
      <c r="M200" s="93">
        <v>6</v>
      </c>
      <c r="N200" s="92">
        <v>4100</v>
      </c>
      <c r="O200" s="92">
        <f t="shared" si="16"/>
        <v>24600</v>
      </c>
      <c r="P200" s="91">
        <f t="shared" si="17"/>
        <v>246</v>
      </c>
      <c r="Q200" s="91">
        <f t="shared" si="18"/>
        <v>24354</v>
      </c>
      <c r="R200" s="91"/>
    </row>
    <row r="201" spans="2:18" ht="12" customHeight="1" x14ac:dyDescent="0.3">
      <c r="B201" s="98">
        <f t="shared" si="19"/>
        <v>198</v>
      </c>
      <c r="C201" s="97" t="str">
        <f t="shared" si="15"/>
        <v>Apr-26</v>
      </c>
      <c r="D201" s="96">
        <v>46117</v>
      </c>
      <c r="E201" s="95">
        <v>2628</v>
      </c>
      <c r="F201" s="95"/>
      <c r="G201" s="95" t="s">
        <v>422</v>
      </c>
      <c r="H201" s="94" t="s">
        <v>2399</v>
      </c>
      <c r="I201" s="94" t="s">
        <v>987</v>
      </c>
      <c r="J201" s="91" t="s">
        <v>2497</v>
      </c>
      <c r="K201" s="91" t="s">
        <v>2397</v>
      </c>
      <c r="L201" s="94"/>
      <c r="M201" s="93">
        <v>6</v>
      </c>
      <c r="N201" s="92">
        <v>4200</v>
      </c>
      <c r="O201" s="92">
        <f t="shared" si="16"/>
        <v>25200</v>
      </c>
      <c r="P201" s="91">
        <f t="shared" si="17"/>
        <v>252</v>
      </c>
      <c r="Q201" s="91">
        <f t="shared" si="18"/>
        <v>24948</v>
      </c>
      <c r="R201" s="91"/>
    </row>
    <row r="202" spans="2:18" ht="12" customHeight="1" x14ac:dyDescent="0.3">
      <c r="B202" s="98">
        <f t="shared" si="19"/>
        <v>199</v>
      </c>
      <c r="C202" s="97" t="str">
        <f t="shared" si="15"/>
        <v>Apr-26</v>
      </c>
      <c r="D202" s="96">
        <v>46117</v>
      </c>
      <c r="E202" s="95">
        <v>2629</v>
      </c>
      <c r="F202" s="95"/>
      <c r="G202" s="95" t="s">
        <v>422</v>
      </c>
      <c r="H202" s="94" t="s">
        <v>2399</v>
      </c>
      <c r="I202" s="94" t="s">
        <v>987</v>
      </c>
      <c r="J202" s="91" t="s">
        <v>2497</v>
      </c>
      <c r="K202" s="91" t="s">
        <v>2397</v>
      </c>
      <c r="L202" s="94"/>
      <c r="M202" s="93">
        <v>8</v>
      </c>
      <c r="N202" s="92">
        <v>4200</v>
      </c>
      <c r="O202" s="92">
        <f t="shared" si="16"/>
        <v>33600</v>
      </c>
      <c r="P202" s="91">
        <f t="shared" si="17"/>
        <v>336</v>
      </c>
      <c r="Q202" s="91">
        <f t="shared" si="18"/>
        <v>33264</v>
      </c>
      <c r="R202" s="91"/>
    </row>
    <row r="203" spans="2:18" ht="12" customHeight="1" x14ac:dyDescent="0.3">
      <c r="B203" s="98">
        <f t="shared" si="19"/>
        <v>200</v>
      </c>
      <c r="C203" s="97" t="str">
        <f t="shared" si="15"/>
        <v>Apr-26</v>
      </c>
      <c r="D203" s="96">
        <v>46117</v>
      </c>
      <c r="E203" s="95">
        <v>2632</v>
      </c>
      <c r="F203" s="95"/>
      <c r="G203" s="95" t="s">
        <v>422</v>
      </c>
      <c r="H203" s="94" t="s">
        <v>2399</v>
      </c>
      <c r="I203" s="94" t="s">
        <v>987</v>
      </c>
      <c r="J203" s="91" t="s">
        <v>2497</v>
      </c>
      <c r="K203" s="91" t="s">
        <v>2397</v>
      </c>
      <c r="L203" s="94"/>
      <c r="M203" s="93">
        <v>4.5</v>
      </c>
      <c r="N203" s="92">
        <v>4200</v>
      </c>
      <c r="O203" s="92">
        <f t="shared" si="16"/>
        <v>18900</v>
      </c>
      <c r="P203" s="91">
        <f t="shared" si="17"/>
        <v>189</v>
      </c>
      <c r="Q203" s="91">
        <f t="shared" si="18"/>
        <v>18711</v>
      </c>
      <c r="R203" s="91"/>
    </row>
    <row r="204" spans="2:18" ht="12" customHeight="1" x14ac:dyDescent="0.3">
      <c r="B204" s="98">
        <f t="shared" si="19"/>
        <v>201</v>
      </c>
      <c r="C204" s="97" t="str">
        <f t="shared" si="15"/>
        <v>Apr-26</v>
      </c>
      <c r="D204" s="96">
        <v>46119</v>
      </c>
      <c r="E204" s="95">
        <v>2674</v>
      </c>
      <c r="F204" s="95">
        <v>1144</v>
      </c>
      <c r="G204" s="95" t="s">
        <v>422</v>
      </c>
      <c r="H204" s="94" t="s">
        <v>2399</v>
      </c>
      <c r="I204" s="94" t="s">
        <v>270</v>
      </c>
      <c r="J204" s="91" t="s">
        <v>2496</v>
      </c>
      <c r="K204" s="91" t="s">
        <v>2397</v>
      </c>
      <c r="L204" s="94"/>
      <c r="M204" s="93">
        <v>6</v>
      </c>
      <c r="N204" s="92"/>
      <c r="O204" s="92">
        <f t="shared" si="16"/>
        <v>0</v>
      </c>
      <c r="P204" s="91">
        <f t="shared" si="17"/>
        <v>0</v>
      </c>
      <c r="Q204" s="91">
        <f t="shared" si="18"/>
        <v>0</v>
      </c>
      <c r="R204" s="91"/>
    </row>
    <row r="205" spans="2:18" ht="12" customHeight="1" x14ac:dyDescent="0.3">
      <c r="B205" s="98">
        <f t="shared" si="19"/>
        <v>202</v>
      </c>
      <c r="C205" s="97" t="str">
        <f t="shared" si="15"/>
        <v>Apr-26</v>
      </c>
      <c r="D205" s="96">
        <v>46119</v>
      </c>
      <c r="E205" s="95">
        <v>2667</v>
      </c>
      <c r="F205" s="95">
        <v>1155</v>
      </c>
      <c r="G205" s="95" t="s">
        <v>422</v>
      </c>
      <c r="H205" s="94" t="s">
        <v>2399</v>
      </c>
      <c r="I205" s="94" t="s">
        <v>270</v>
      </c>
      <c r="J205" s="91" t="s">
        <v>2495</v>
      </c>
      <c r="K205" s="91" t="s">
        <v>2397</v>
      </c>
      <c r="L205" s="94"/>
      <c r="M205" s="93">
        <v>6</v>
      </c>
      <c r="N205" s="92"/>
      <c r="O205" s="92">
        <f t="shared" si="16"/>
        <v>0</v>
      </c>
      <c r="P205" s="91">
        <f t="shared" si="17"/>
        <v>0</v>
      </c>
      <c r="Q205" s="91">
        <f t="shared" si="18"/>
        <v>0</v>
      </c>
      <c r="R205" s="91"/>
    </row>
    <row r="206" spans="2:18" ht="12" customHeight="1" x14ac:dyDescent="0.3">
      <c r="B206" s="98">
        <f t="shared" si="19"/>
        <v>203</v>
      </c>
      <c r="C206" s="97" t="str">
        <f t="shared" si="15"/>
        <v>Apr-26</v>
      </c>
      <c r="D206" s="96">
        <v>46119</v>
      </c>
      <c r="E206" s="95"/>
      <c r="F206" s="95"/>
      <c r="G206" s="95" t="s">
        <v>295</v>
      </c>
      <c r="H206" s="94" t="s">
        <v>2494</v>
      </c>
      <c r="I206" s="94" t="s">
        <v>300</v>
      </c>
      <c r="J206" s="91" t="s">
        <v>438</v>
      </c>
      <c r="K206" s="91" t="s">
        <v>2493</v>
      </c>
      <c r="L206" s="94">
        <v>375</v>
      </c>
      <c r="M206" s="93">
        <v>375</v>
      </c>
      <c r="N206" s="92">
        <v>300</v>
      </c>
      <c r="O206" s="92">
        <f t="shared" si="16"/>
        <v>112500</v>
      </c>
      <c r="P206" s="91">
        <f t="shared" si="17"/>
        <v>1125</v>
      </c>
      <c r="Q206" s="91">
        <f t="shared" si="18"/>
        <v>111375</v>
      </c>
      <c r="R206" s="91"/>
    </row>
    <row r="207" spans="2:18" ht="12" customHeight="1" x14ac:dyDescent="0.3">
      <c r="B207" s="98">
        <f t="shared" si="19"/>
        <v>204</v>
      </c>
      <c r="C207" s="97" t="str">
        <f t="shared" si="15"/>
        <v>Apr-26</v>
      </c>
      <c r="D207" s="96">
        <v>46119</v>
      </c>
      <c r="E207" s="95">
        <v>649</v>
      </c>
      <c r="F207" s="95" t="s">
        <v>2460</v>
      </c>
      <c r="G207" s="95" t="s">
        <v>2459</v>
      </c>
      <c r="H207" s="94" t="s">
        <v>2458</v>
      </c>
      <c r="I207" s="94" t="s">
        <v>300</v>
      </c>
      <c r="J207" s="91" t="s">
        <v>438</v>
      </c>
      <c r="K207" s="91" t="s">
        <v>2457</v>
      </c>
      <c r="L207" s="94">
        <v>30.09</v>
      </c>
      <c r="M207" s="93">
        <v>30.09</v>
      </c>
      <c r="N207" s="92"/>
      <c r="O207" s="92">
        <f t="shared" si="16"/>
        <v>0</v>
      </c>
      <c r="P207" s="91">
        <f t="shared" si="17"/>
        <v>0</v>
      </c>
      <c r="Q207" s="91">
        <f t="shared" si="18"/>
        <v>0</v>
      </c>
      <c r="R207" s="91"/>
    </row>
    <row r="208" spans="2:18" ht="12" customHeight="1" x14ac:dyDescent="0.3">
      <c r="B208" s="98">
        <f t="shared" si="19"/>
        <v>205</v>
      </c>
      <c r="C208" s="97" t="str">
        <f t="shared" si="15"/>
        <v>Apr-26</v>
      </c>
      <c r="D208" s="96">
        <v>46118</v>
      </c>
      <c r="E208" s="95">
        <v>7578</v>
      </c>
      <c r="F208" s="95" t="s">
        <v>2492</v>
      </c>
      <c r="G208" s="95" t="s">
        <v>2468</v>
      </c>
      <c r="H208" s="94" t="s">
        <v>2467</v>
      </c>
      <c r="I208" s="94" t="s">
        <v>300</v>
      </c>
      <c r="J208" s="91" t="s">
        <v>438</v>
      </c>
      <c r="K208" s="91" t="s">
        <v>244</v>
      </c>
      <c r="L208" s="94">
        <v>1100</v>
      </c>
      <c r="M208" s="93">
        <v>1100</v>
      </c>
      <c r="N208" s="92">
        <v>76</v>
      </c>
      <c r="O208" s="92">
        <f t="shared" si="16"/>
        <v>83600</v>
      </c>
      <c r="P208" s="91">
        <f t="shared" si="17"/>
        <v>836</v>
      </c>
      <c r="Q208" s="91">
        <f t="shared" si="18"/>
        <v>82764</v>
      </c>
      <c r="R208" s="91"/>
    </row>
    <row r="209" spans="2:18" ht="12" customHeight="1" x14ac:dyDescent="0.3">
      <c r="B209" s="98">
        <f t="shared" si="19"/>
        <v>206</v>
      </c>
      <c r="C209" s="97" t="str">
        <f t="shared" si="15"/>
        <v>Apr-26</v>
      </c>
      <c r="D209" s="96">
        <v>46118</v>
      </c>
      <c r="E209" s="95">
        <v>7577</v>
      </c>
      <c r="F209" s="95" t="s">
        <v>2469</v>
      </c>
      <c r="G209" s="95" t="s">
        <v>2468</v>
      </c>
      <c r="H209" s="94" t="s">
        <v>2467</v>
      </c>
      <c r="I209" s="94" t="s">
        <v>300</v>
      </c>
      <c r="J209" s="91" t="s">
        <v>438</v>
      </c>
      <c r="K209" s="91" t="s">
        <v>244</v>
      </c>
      <c r="L209" s="94">
        <v>1100</v>
      </c>
      <c r="M209" s="93">
        <v>1100</v>
      </c>
      <c r="N209" s="92">
        <v>76</v>
      </c>
      <c r="O209" s="92">
        <f t="shared" si="16"/>
        <v>83600</v>
      </c>
      <c r="P209" s="91">
        <f t="shared" si="17"/>
        <v>836</v>
      </c>
      <c r="Q209" s="91">
        <f t="shared" si="18"/>
        <v>82764</v>
      </c>
      <c r="R209" s="91"/>
    </row>
    <row r="210" spans="2:18" ht="12" customHeight="1" x14ac:dyDescent="0.3">
      <c r="B210" s="98">
        <f t="shared" si="19"/>
        <v>207</v>
      </c>
      <c r="C210" s="97" t="str">
        <f t="shared" si="15"/>
        <v>Apr-26</v>
      </c>
      <c r="D210" s="96">
        <v>46118</v>
      </c>
      <c r="E210" s="95">
        <v>642</v>
      </c>
      <c r="F210" s="95" t="s">
        <v>2460</v>
      </c>
      <c r="G210" s="95" t="s">
        <v>2459</v>
      </c>
      <c r="H210" s="94" t="s">
        <v>2458</v>
      </c>
      <c r="I210" s="94" t="s">
        <v>300</v>
      </c>
      <c r="J210" s="91" t="s">
        <v>438</v>
      </c>
      <c r="K210" s="91" t="s">
        <v>2457</v>
      </c>
      <c r="L210" s="94">
        <v>27.64</v>
      </c>
      <c r="M210" s="93">
        <v>27.64</v>
      </c>
      <c r="N210" s="92"/>
      <c r="O210" s="92">
        <f t="shared" si="16"/>
        <v>0</v>
      </c>
      <c r="P210" s="91">
        <f t="shared" si="17"/>
        <v>0</v>
      </c>
      <c r="Q210" s="91">
        <f t="shared" si="18"/>
        <v>0</v>
      </c>
      <c r="R210" s="91"/>
    </row>
    <row r="211" spans="2:18" ht="12" customHeight="1" x14ac:dyDescent="0.3">
      <c r="B211" s="98">
        <f t="shared" si="19"/>
        <v>208</v>
      </c>
      <c r="C211" s="97" t="str">
        <f t="shared" si="15"/>
        <v>Apr-26</v>
      </c>
      <c r="D211" s="96">
        <v>46118</v>
      </c>
      <c r="E211" s="95">
        <v>328</v>
      </c>
      <c r="F211" s="95" t="s">
        <v>2436</v>
      </c>
      <c r="G211" s="95" t="s">
        <v>2435</v>
      </c>
      <c r="H211" s="94" t="s">
        <v>2434</v>
      </c>
      <c r="I211" s="94" t="s">
        <v>337</v>
      </c>
      <c r="J211" s="91" t="s">
        <v>2476</v>
      </c>
      <c r="K211" s="91" t="s">
        <v>2397</v>
      </c>
      <c r="L211" s="94">
        <v>6</v>
      </c>
      <c r="M211" s="93">
        <v>6</v>
      </c>
      <c r="N211" s="92">
        <v>4350</v>
      </c>
      <c r="O211" s="92">
        <f t="shared" si="16"/>
        <v>26100</v>
      </c>
      <c r="P211" s="91">
        <f t="shared" si="17"/>
        <v>261</v>
      </c>
      <c r="Q211" s="91">
        <f t="shared" si="18"/>
        <v>25839</v>
      </c>
      <c r="R211" s="91"/>
    </row>
    <row r="212" spans="2:18" ht="12" customHeight="1" x14ac:dyDescent="0.3">
      <c r="B212" s="98">
        <f t="shared" si="19"/>
        <v>209</v>
      </c>
      <c r="C212" s="97" t="str">
        <f t="shared" si="15"/>
        <v>Apr-26</v>
      </c>
      <c r="D212" s="96">
        <v>46118</v>
      </c>
      <c r="E212" s="95">
        <v>321</v>
      </c>
      <c r="F212" s="95" t="s">
        <v>2447</v>
      </c>
      <c r="G212" s="95" t="s">
        <v>2435</v>
      </c>
      <c r="H212" s="94" t="s">
        <v>2434</v>
      </c>
      <c r="I212" s="94" t="s">
        <v>337</v>
      </c>
      <c r="J212" s="91" t="s">
        <v>2491</v>
      </c>
      <c r="K212" s="91" t="s">
        <v>2397</v>
      </c>
      <c r="L212" s="94">
        <v>6</v>
      </c>
      <c r="M212" s="93">
        <v>6</v>
      </c>
      <c r="N212" s="92">
        <v>4350</v>
      </c>
      <c r="O212" s="92">
        <f t="shared" si="16"/>
        <v>26100</v>
      </c>
      <c r="P212" s="91">
        <f t="shared" si="17"/>
        <v>261</v>
      </c>
      <c r="Q212" s="91">
        <f t="shared" si="18"/>
        <v>25839</v>
      </c>
      <c r="R212" s="91"/>
    </row>
    <row r="213" spans="2:18" ht="12" customHeight="1" x14ac:dyDescent="0.3">
      <c r="B213" s="98">
        <f t="shared" si="19"/>
        <v>210</v>
      </c>
      <c r="C213" s="97" t="str">
        <f t="shared" si="15"/>
        <v>Apr-26</v>
      </c>
      <c r="D213" s="96">
        <v>46118</v>
      </c>
      <c r="E213" s="95">
        <v>327</v>
      </c>
      <c r="F213" s="95" t="s">
        <v>2447</v>
      </c>
      <c r="G213" s="95" t="s">
        <v>2435</v>
      </c>
      <c r="H213" s="94" t="s">
        <v>2434</v>
      </c>
      <c r="I213" s="94" t="s">
        <v>337</v>
      </c>
      <c r="J213" s="91" t="s">
        <v>2490</v>
      </c>
      <c r="K213" s="91" t="s">
        <v>2397</v>
      </c>
      <c r="L213" s="94">
        <v>6</v>
      </c>
      <c r="M213" s="93">
        <v>6</v>
      </c>
      <c r="N213" s="92">
        <v>4350</v>
      </c>
      <c r="O213" s="92">
        <f t="shared" si="16"/>
        <v>26100</v>
      </c>
      <c r="P213" s="91">
        <f t="shared" si="17"/>
        <v>261</v>
      </c>
      <c r="Q213" s="91">
        <f t="shared" si="18"/>
        <v>25839</v>
      </c>
      <c r="R213" s="91"/>
    </row>
    <row r="214" spans="2:18" ht="12" customHeight="1" x14ac:dyDescent="0.3">
      <c r="B214" s="98">
        <f t="shared" si="19"/>
        <v>211</v>
      </c>
      <c r="C214" s="97" t="str">
        <f t="shared" si="15"/>
        <v>Apr-26</v>
      </c>
      <c r="D214" s="96">
        <v>46118</v>
      </c>
      <c r="E214" s="95">
        <v>321</v>
      </c>
      <c r="F214" s="95" t="s">
        <v>2447</v>
      </c>
      <c r="G214" s="95" t="s">
        <v>2435</v>
      </c>
      <c r="H214" s="94" t="s">
        <v>2434</v>
      </c>
      <c r="I214" s="94" t="s">
        <v>337</v>
      </c>
      <c r="J214" s="91" t="s">
        <v>2490</v>
      </c>
      <c r="K214" s="91" t="s">
        <v>2397</v>
      </c>
      <c r="L214" s="94">
        <v>6</v>
      </c>
      <c r="M214" s="93">
        <v>6</v>
      </c>
      <c r="N214" s="92">
        <v>4350</v>
      </c>
      <c r="O214" s="92">
        <f t="shared" si="16"/>
        <v>26100</v>
      </c>
      <c r="P214" s="91">
        <f t="shared" si="17"/>
        <v>261</v>
      </c>
      <c r="Q214" s="91">
        <f t="shared" si="18"/>
        <v>25839</v>
      </c>
      <c r="R214" s="91"/>
    </row>
    <row r="215" spans="2:18" ht="12" customHeight="1" x14ac:dyDescent="0.3">
      <c r="B215" s="98">
        <f t="shared" si="19"/>
        <v>212</v>
      </c>
      <c r="C215" s="97" t="str">
        <f t="shared" si="15"/>
        <v>Apr-26</v>
      </c>
      <c r="D215" s="96">
        <v>46118</v>
      </c>
      <c r="E215" s="95">
        <v>77</v>
      </c>
      <c r="F215" s="95">
        <v>3917</v>
      </c>
      <c r="G215" s="95" t="s">
        <v>2402</v>
      </c>
      <c r="H215" s="94" t="s">
        <v>2401</v>
      </c>
      <c r="I215" s="94" t="s">
        <v>313</v>
      </c>
      <c r="J215" s="91" t="s">
        <v>2489</v>
      </c>
      <c r="K215" s="91" t="s">
        <v>2397</v>
      </c>
      <c r="L215" s="94">
        <v>6</v>
      </c>
      <c r="M215" s="93">
        <v>6</v>
      </c>
      <c r="N215" s="92"/>
      <c r="O215" s="92">
        <f t="shared" si="16"/>
        <v>0</v>
      </c>
      <c r="P215" s="91">
        <f t="shared" si="17"/>
        <v>0</v>
      </c>
      <c r="Q215" s="91">
        <f t="shared" si="18"/>
        <v>0</v>
      </c>
      <c r="R215" s="91"/>
    </row>
    <row r="216" spans="2:18" ht="12" customHeight="1" x14ac:dyDescent="0.3">
      <c r="B216" s="98">
        <f t="shared" si="19"/>
        <v>213</v>
      </c>
      <c r="C216" s="97" t="str">
        <f t="shared" si="15"/>
        <v>Apr-26</v>
      </c>
      <c r="D216" s="96">
        <v>46118</v>
      </c>
      <c r="E216" s="95">
        <v>2657</v>
      </c>
      <c r="F216" s="95">
        <v>2824</v>
      </c>
      <c r="G216" s="95" t="s">
        <v>422</v>
      </c>
      <c r="H216" s="94" t="s">
        <v>2399</v>
      </c>
      <c r="I216" s="94" t="s">
        <v>2487</v>
      </c>
      <c r="J216" s="91" t="s">
        <v>2488</v>
      </c>
      <c r="K216" s="91" t="s">
        <v>2397</v>
      </c>
      <c r="L216" s="94">
        <v>6</v>
      </c>
      <c r="M216" s="93">
        <v>6</v>
      </c>
      <c r="N216" s="92">
        <v>3800</v>
      </c>
      <c r="O216" s="92">
        <f t="shared" si="16"/>
        <v>22800</v>
      </c>
      <c r="P216" s="91">
        <f t="shared" si="17"/>
        <v>228</v>
      </c>
      <c r="Q216" s="91">
        <f t="shared" si="18"/>
        <v>22572</v>
      </c>
      <c r="R216" s="91"/>
    </row>
    <row r="217" spans="2:18" ht="12" customHeight="1" x14ac:dyDescent="0.3">
      <c r="B217" s="98">
        <f t="shared" si="19"/>
        <v>214</v>
      </c>
      <c r="C217" s="97" t="str">
        <f t="shared" si="15"/>
        <v>Apr-26</v>
      </c>
      <c r="D217" s="96">
        <v>46118</v>
      </c>
      <c r="E217" s="95">
        <v>2652</v>
      </c>
      <c r="F217" s="95">
        <v>1166</v>
      </c>
      <c r="G217" s="95" t="s">
        <v>422</v>
      </c>
      <c r="H217" s="94" t="s">
        <v>2399</v>
      </c>
      <c r="I217" s="94" t="s">
        <v>2487</v>
      </c>
      <c r="J217" s="91" t="s">
        <v>2488</v>
      </c>
      <c r="K217" s="91" t="s">
        <v>2397</v>
      </c>
      <c r="L217" s="94">
        <v>6</v>
      </c>
      <c r="M217" s="93">
        <v>6</v>
      </c>
      <c r="N217" s="92">
        <v>3800</v>
      </c>
      <c r="O217" s="92">
        <f t="shared" si="16"/>
        <v>22800</v>
      </c>
      <c r="P217" s="91">
        <f t="shared" si="17"/>
        <v>228</v>
      </c>
      <c r="Q217" s="91">
        <f t="shared" si="18"/>
        <v>22572</v>
      </c>
      <c r="R217" s="91"/>
    </row>
    <row r="218" spans="2:18" ht="12" customHeight="1" x14ac:dyDescent="0.3">
      <c r="B218" s="98">
        <f t="shared" si="19"/>
        <v>215</v>
      </c>
      <c r="C218" s="97" t="str">
        <f t="shared" si="15"/>
        <v>Apr-26</v>
      </c>
      <c r="D218" s="96">
        <v>46118</v>
      </c>
      <c r="E218" s="95">
        <v>76</v>
      </c>
      <c r="F218" s="95">
        <v>408</v>
      </c>
      <c r="G218" s="95" t="s">
        <v>2402</v>
      </c>
      <c r="H218" s="94" t="s">
        <v>2401</v>
      </c>
      <c r="I218" s="94" t="s">
        <v>313</v>
      </c>
      <c r="J218" s="91" t="s">
        <v>2489</v>
      </c>
      <c r="K218" s="91" t="s">
        <v>2397</v>
      </c>
      <c r="L218" s="94">
        <v>6</v>
      </c>
      <c r="M218" s="93">
        <v>6</v>
      </c>
      <c r="N218" s="92"/>
      <c r="O218" s="92">
        <f t="shared" si="16"/>
        <v>0</v>
      </c>
      <c r="P218" s="91">
        <f t="shared" si="17"/>
        <v>0</v>
      </c>
      <c r="Q218" s="91">
        <f t="shared" si="18"/>
        <v>0</v>
      </c>
      <c r="R218" s="91"/>
    </row>
    <row r="219" spans="2:18" ht="12" customHeight="1" x14ac:dyDescent="0.3">
      <c r="B219" s="98">
        <f t="shared" si="19"/>
        <v>216</v>
      </c>
      <c r="C219" s="97" t="str">
        <f t="shared" si="15"/>
        <v>Apr-26</v>
      </c>
      <c r="D219" s="96">
        <v>46118</v>
      </c>
      <c r="E219" s="95">
        <v>2652</v>
      </c>
      <c r="F219" s="95">
        <v>1155</v>
      </c>
      <c r="G219" s="95" t="s">
        <v>422</v>
      </c>
      <c r="H219" s="94" t="s">
        <v>2399</v>
      </c>
      <c r="I219" s="94" t="s">
        <v>270</v>
      </c>
      <c r="J219" s="91" t="s">
        <v>270</v>
      </c>
      <c r="K219" s="91" t="s">
        <v>2397</v>
      </c>
      <c r="L219" s="94">
        <v>6</v>
      </c>
      <c r="M219" s="93">
        <v>6</v>
      </c>
      <c r="N219" s="92">
        <v>4100</v>
      </c>
      <c r="O219" s="92">
        <f t="shared" si="16"/>
        <v>24600</v>
      </c>
      <c r="P219" s="91">
        <f t="shared" si="17"/>
        <v>246</v>
      </c>
      <c r="Q219" s="91">
        <f t="shared" si="18"/>
        <v>24354</v>
      </c>
      <c r="R219" s="91"/>
    </row>
    <row r="220" spans="2:18" ht="12" customHeight="1" x14ac:dyDescent="0.3">
      <c r="B220" s="98">
        <f t="shared" si="19"/>
        <v>217</v>
      </c>
      <c r="C220" s="97" t="str">
        <f t="shared" si="15"/>
        <v>Apr-26</v>
      </c>
      <c r="D220" s="96">
        <v>46118</v>
      </c>
      <c r="E220" s="95">
        <v>2651</v>
      </c>
      <c r="F220" s="95">
        <v>1133</v>
      </c>
      <c r="G220" s="95" t="s">
        <v>422</v>
      </c>
      <c r="H220" s="94" t="s">
        <v>2399</v>
      </c>
      <c r="I220" s="94" t="s">
        <v>2487</v>
      </c>
      <c r="J220" s="91" t="s">
        <v>2488</v>
      </c>
      <c r="K220" s="91" t="s">
        <v>2397</v>
      </c>
      <c r="L220" s="94">
        <v>6</v>
      </c>
      <c r="M220" s="93">
        <v>6</v>
      </c>
      <c r="N220" s="92">
        <v>3800</v>
      </c>
      <c r="O220" s="92">
        <f t="shared" si="16"/>
        <v>22800</v>
      </c>
      <c r="P220" s="91">
        <f t="shared" si="17"/>
        <v>228</v>
      </c>
      <c r="Q220" s="91">
        <f t="shared" si="18"/>
        <v>22572</v>
      </c>
      <c r="R220" s="91"/>
    </row>
    <row r="221" spans="2:18" ht="12" customHeight="1" x14ac:dyDescent="0.3">
      <c r="B221" s="98">
        <f t="shared" si="19"/>
        <v>218</v>
      </c>
      <c r="C221" s="97" t="str">
        <f t="shared" si="15"/>
        <v>Apr-26</v>
      </c>
      <c r="D221" s="96">
        <v>46118</v>
      </c>
      <c r="E221" s="95">
        <v>2648</v>
      </c>
      <c r="F221" s="95">
        <v>1166</v>
      </c>
      <c r="G221" s="95" t="s">
        <v>422</v>
      </c>
      <c r="H221" s="94" t="s">
        <v>2399</v>
      </c>
      <c r="I221" s="94" t="s">
        <v>2487</v>
      </c>
      <c r="J221" s="91" t="s">
        <v>2486</v>
      </c>
      <c r="K221" s="91" t="s">
        <v>2397</v>
      </c>
      <c r="L221" s="94">
        <v>6</v>
      </c>
      <c r="M221" s="93">
        <v>6</v>
      </c>
      <c r="N221" s="92">
        <v>3800</v>
      </c>
      <c r="O221" s="92">
        <f t="shared" si="16"/>
        <v>22800</v>
      </c>
      <c r="P221" s="91">
        <f t="shared" si="17"/>
        <v>228</v>
      </c>
      <c r="Q221" s="91">
        <f t="shared" si="18"/>
        <v>22572</v>
      </c>
      <c r="R221" s="91"/>
    </row>
    <row r="222" spans="2:18" ht="12" customHeight="1" x14ac:dyDescent="0.3">
      <c r="B222" s="98">
        <f t="shared" si="19"/>
        <v>219</v>
      </c>
      <c r="C222" s="97" t="str">
        <f t="shared" si="15"/>
        <v>Apr-26</v>
      </c>
      <c r="D222" s="96">
        <v>46118</v>
      </c>
      <c r="E222" s="95">
        <v>75</v>
      </c>
      <c r="F222" s="95">
        <v>408</v>
      </c>
      <c r="G222" s="95" t="s">
        <v>2402</v>
      </c>
      <c r="H222" s="94" t="s">
        <v>2401</v>
      </c>
      <c r="I222" s="94" t="s">
        <v>313</v>
      </c>
      <c r="J222" s="91"/>
      <c r="K222" s="91" t="s">
        <v>2397</v>
      </c>
      <c r="L222" s="94">
        <v>6</v>
      </c>
      <c r="M222" s="93">
        <v>6</v>
      </c>
      <c r="N222" s="92"/>
      <c r="O222" s="92">
        <f t="shared" si="16"/>
        <v>0</v>
      </c>
      <c r="P222" s="91">
        <f t="shared" si="17"/>
        <v>0</v>
      </c>
      <c r="Q222" s="91">
        <f t="shared" si="18"/>
        <v>0</v>
      </c>
      <c r="R222" s="91"/>
    </row>
    <row r="223" spans="2:18" ht="12" customHeight="1" x14ac:dyDescent="0.3">
      <c r="B223" s="98">
        <f t="shared" si="19"/>
        <v>220</v>
      </c>
      <c r="C223" s="97" t="str">
        <f t="shared" si="15"/>
        <v>Apr-26</v>
      </c>
      <c r="D223" s="96">
        <v>46117</v>
      </c>
      <c r="E223" s="95">
        <v>732</v>
      </c>
      <c r="F223" s="95" t="s">
        <v>2460</v>
      </c>
      <c r="G223" s="95" t="s">
        <v>2459</v>
      </c>
      <c r="H223" s="94" t="s">
        <v>2485</v>
      </c>
      <c r="I223" s="94" t="s">
        <v>300</v>
      </c>
      <c r="J223" s="91" t="s">
        <v>438</v>
      </c>
      <c r="K223" s="91" t="s">
        <v>2484</v>
      </c>
      <c r="L223" s="94">
        <v>25.89</v>
      </c>
      <c r="M223" s="93">
        <v>25.89</v>
      </c>
      <c r="N223" s="92"/>
      <c r="O223" s="92">
        <f t="shared" si="16"/>
        <v>0</v>
      </c>
      <c r="P223" s="91">
        <f t="shared" si="17"/>
        <v>0</v>
      </c>
      <c r="Q223" s="91">
        <f t="shared" si="18"/>
        <v>0</v>
      </c>
      <c r="R223" s="91"/>
    </row>
    <row r="224" spans="2:18" ht="12" customHeight="1" x14ac:dyDescent="0.3">
      <c r="B224" s="98">
        <f t="shared" si="19"/>
        <v>221</v>
      </c>
      <c r="C224" s="97" t="str">
        <f t="shared" si="15"/>
        <v>Apr-26</v>
      </c>
      <c r="D224" s="96">
        <v>46117</v>
      </c>
      <c r="E224" s="95">
        <v>7566</v>
      </c>
      <c r="F224" s="95" t="s">
        <v>2469</v>
      </c>
      <c r="G224" s="95" t="s">
        <v>2468</v>
      </c>
      <c r="H224" s="94" t="s">
        <v>2467</v>
      </c>
      <c r="I224" s="94" t="s">
        <v>257</v>
      </c>
      <c r="J224" s="91" t="s">
        <v>257</v>
      </c>
      <c r="K224" s="91" t="s">
        <v>244</v>
      </c>
      <c r="L224" s="94">
        <v>1100</v>
      </c>
      <c r="M224" s="93">
        <v>1100</v>
      </c>
      <c r="N224" s="92">
        <v>76</v>
      </c>
      <c r="O224" s="92">
        <f t="shared" si="16"/>
        <v>83600</v>
      </c>
      <c r="P224" s="91">
        <f t="shared" si="17"/>
        <v>836</v>
      </c>
      <c r="Q224" s="91">
        <f t="shared" si="18"/>
        <v>82764</v>
      </c>
      <c r="R224" s="91"/>
    </row>
    <row r="225" spans="2:18" ht="12" customHeight="1" x14ac:dyDescent="0.3">
      <c r="B225" s="98">
        <f t="shared" si="19"/>
        <v>222</v>
      </c>
      <c r="C225" s="97" t="str">
        <f t="shared" si="15"/>
        <v>Apr-26</v>
      </c>
      <c r="D225" s="96">
        <v>46117</v>
      </c>
      <c r="E225" s="95">
        <v>363</v>
      </c>
      <c r="F225" s="95">
        <v>360</v>
      </c>
      <c r="G225" s="95" t="s">
        <v>2402</v>
      </c>
      <c r="H225" s="94" t="s">
        <v>2409</v>
      </c>
      <c r="I225" s="94" t="s">
        <v>313</v>
      </c>
      <c r="J225" s="91" t="s">
        <v>2483</v>
      </c>
      <c r="K225" s="91" t="s">
        <v>2397</v>
      </c>
      <c r="L225" s="94">
        <v>6</v>
      </c>
      <c r="M225" s="93">
        <v>6</v>
      </c>
      <c r="N225" s="92">
        <f>+O225/M225</f>
        <v>4400</v>
      </c>
      <c r="O225" s="92">
        <v>26400</v>
      </c>
      <c r="P225" s="91">
        <f t="shared" si="17"/>
        <v>264</v>
      </c>
      <c r="Q225" s="91">
        <f t="shared" si="18"/>
        <v>26136</v>
      </c>
      <c r="R225" s="91"/>
    </row>
    <row r="226" spans="2:18" ht="12" customHeight="1" x14ac:dyDescent="0.3">
      <c r="B226" s="98">
        <f t="shared" si="19"/>
        <v>223</v>
      </c>
      <c r="C226" s="97" t="str">
        <f t="shared" si="15"/>
        <v>Apr-26</v>
      </c>
      <c r="D226" s="96">
        <v>46117</v>
      </c>
      <c r="E226" s="95">
        <v>2657</v>
      </c>
      <c r="F226" s="95" t="s">
        <v>2482</v>
      </c>
      <c r="G226" s="95" t="s">
        <v>2480</v>
      </c>
      <c r="H226" s="94" t="s">
        <v>2479</v>
      </c>
      <c r="I226" s="94" t="s">
        <v>300</v>
      </c>
      <c r="J226" s="91" t="s">
        <v>438</v>
      </c>
      <c r="K226" s="91" t="s">
        <v>2478</v>
      </c>
      <c r="L226" s="94">
        <v>24.875</v>
      </c>
      <c r="M226" s="93">
        <v>24.875</v>
      </c>
      <c r="N226" s="92"/>
      <c r="O226" s="92">
        <f t="shared" ref="O226:O289" si="20">SUM(N226*M226)</f>
        <v>0</v>
      </c>
      <c r="P226" s="91">
        <f t="shared" si="17"/>
        <v>0</v>
      </c>
      <c r="Q226" s="91">
        <f t="shared" si="18"/>
        <v>0</v>
      </c>
      <c r="R226" s="91"/>
    </row>
    <row r="227" spans="2:18" ht="12" customHeight="1" x14ac:dyDescent="0.3">
      <c r="B227" s="98">
        <f t="shared" si="19"/>
        <v>224</v>
      </c>
      <c r="C227" s="97" t="str">
        <f t="shared" si="15"/>
        <v>Apr-26</v>
      </c>
      <c r="D227" s="96">
        <v>46117</v>
      </c>
      <c r="E227" s="95">
        <v>2656</v>
      </c>
      <c r="F227" s="95" t="s">
        <v>2481</v>
      </c>
      <c r="G227" s="95" t="s">
        <v>2480</v>
      </c>
      <c r="H227" s="94" t="s">
        <v>2479</v>
      </c>
      <c r="I227" s="94" t="s">
        <v>300</v>
      </c>
      <c r="J227" s="91" t="s">
        <v>438</v>
      </c>
      <c r="K227" s="91" t="s">
        <v>2478</v>
      </c>
      <c r="L227" s="94">
        <v>27.39</v>
      </c>
      <c r="M227" s="93">
        <v>27.39</v>
      </c>
      <c r="N227" s="92"/>
      <c r="O227" s="92">
        <f t="shared" si="20"/>
        <v>0</v>
      </c>
      <c r="P227" s="91">
        <f t="shared" si="17"/>
        <v>0</v>
      </c>
      <c r="Q227" s="91">
        <f t="shared" si="18"/>
        <v>0</v>
      </c>
      <c r="R227" s="91"/>
    </row>
    <row r="228" spans="2:18" ht="12" customHeight="1" x14ac:dyDescent="0.3">
      <c r="B228" s="98">
        <f t="shared" si="19"/>
        <v>225</v>
      </c>
      <c r="C228" s="97" t="str">
        <f t="shared" si="15"/>
        <v>Apr-26</v>
      </c>
      <c r="D228" s="96">
        <v>46116</v>
      </c>
      <c r="E228" s="95"/>
      <c r="F228" s="95"/>
      <c r="G228" s="95" t="s">
        <v>2468</v>
      </c>
      <c r="H228" s="94" t="s">
        <v>2467</v>
      </c>
      <c r="I228" s="94" t="s">
        <v>300</v>
      </c>
      <c r="J228" s="91" t="s">
        <v>2473</v>
      </c>
      <c r="K228" s="91" t="s">
        <v>244</v>
      </c>
      <c r="L228" s="94">
        <v>1100</v>
      </c>
      <c r="M228" s="93">
        <v>1100</v>
      </c>
      <c r="N228" s="92">
        <v>76</v>
      </c>
      <c r="O228" s="92">
        <f t="shared" si="20"/>
        <v>83600</v>
      </c>
      <c r="P228" s="91">
        <f t="shared" si="17"/>
        <v>836</v>
      </c>
      <c r="Q228" s="91">
        <f t="shared" si="18"/>
        <v>82764</v>
      </c>
      <c r="R228" s="91"/>
    </row>
    <row r="229" spans="2:18" ht="12" customHeight="1" x14ac:dyDescent="0.3">
      <c r="B229" s="98">
        <f t="shared" si="19"/>
        <v>226</v>
      </c>
      <c r="C229" s="97" t="str">
        <f t="shared" si="15"/>
        <v>Apr-26</v>
      </c>
      <c r="D229" s="96">
        <v>46115</v>
      </c>
      <c r="E229" s="95">
        <v>311</v>
      </c>
      <c r="F229" s="95" t="s">
        <v>2436</v>
      </c>
      <c r="G229" s="95" t="s">
        <v>2435</v>
      </c>
      <c r="H229" s="94" t="s">
        <v>2434</v>
      </c>
      <c r="I229" s="94" t="s">
        <v>337</v>
      </c>
      <c r="J229" s="91" t="s">
        <v>337</v>
      </c>
      <c r="K229" s="91" t="s">
        <v>2397</v>
      </c>
      <c r="L229" s="94">
        <v>6</v>
      </c>
      <c r="M229" s="93">
        <v>6</v>
      </c>
      <c r="N229" s="92"/>
      <c r="O229" s="92">
        <f t="shared" si="20"/>
        <v>0</v>
      </c>
      <c r="P229" s="91">
        <f t="shared" si="17"/>
        <v>0</v>
      </c>
      <c r="Q229" s="91">
        <f t="shared" si="18"/>
        <v>0</v>
      </c>
      <c r="R229" s="91"/>
    </row>
    <row r="230" spans="2:18" ht="12" customHeight="1" x14ac:dyDescent="0.3">
      <c r="B230" s="98">
        <f t="shared" si="19"/>
        <v>227</v>
      </c>
      <c r="C230" s="97" t="str">
        <f t="shared" si="15"/>
        <v>Apr-26</v>
      </c>
      <c r="D230" s="96">
        <v>46115</v>
      </c>
      <c r="E230" s="95">
        <v>308</v>
      </c>
      <c r="F230" s="95" t="s">
        <v>2453</v>
      </c>
      <c r="G230" s="95" t="s">
        <v>2435</v>
      </c>
      <c r="H230" s="94" t="s">
        <v>2434</v>
      </c>
      <c r="I230" s="94" t="s">
        <v>337</v>
      </c>
      <c r="J230" s="91" t="s">
        <v>2477</v>
      </c>
      <c r="K230" s="91" t="s">
        <v>2397</v>
      </c>
      <c r="L230" s="94">
        <v>6</v>
      </c>
      <c r="M230" s="93">
        <v>6</v>
      </c>
      <c r="N230" s="92"/>
      <c r="O230" s="92">
        <f t="shared" si="20"/>
        <v>0</v>
      </c>
      <c r="P230" s="91">
        <f t="shared" si="17"/>
        <v>0</v>
      </c>
      <c r="Q230" s="91">
        <f t="shared" si="18"/>
        <v>0</v>
      </c>
      <c r="R230" s="91"/>
    </row>
    <row r="231" spans="2:18" ht="12" customHeight="1" x14ac:dyDescent="0.3">
      <c r="B231" s="98">
        <f t="shared" si="19"/>
        <v>228</v>
      </c>
      <c r="C231" s="97" t="str">
        <f t="shared" si="15"/>
        <v>Apr-26</v>
      </c>
      <c r="D231" s="96">
        <v>46115</v>
      </c>
      <c r="E231" s="95">
        <v>309</v>
      </c>
      <c r="F231" s="95" t="s">
        <v>2446</v>
      </c>
      <c r="G231" s="95" t="s">
        <v>2435</v>
      </c>
      <c r="H231" s="94" t="s">
        <v>2434</v>
      </c>
      <c r="I231" s="94" t="s">
        <v>337</v>
      </c>
      <c r="J231" s="91" t="s">
        <v>2476</v>
      </c>
      <c r="K231" s="91" t="s">
        <v>2397</v>
      </c>
      <c r="L231" s="94">
        <v>6</v>
      </c>
      <c r="M231" s="93">
        <v>6</v>
      </c>
      <c r="N231" s="92"/>
      <c r="O231" s="92">
        <f t="shared" si="20"/>
        <v>0</v>
      </c>
      <c r="P231" s="91">
        <f t="shared" si="17"/>
        <v>0</v>
      </c>
      <c r="Q231" s="91">
        <f t="shared" si="18"/>
        <v>0</v>
      </c>
      <c r="R231" s="91"/>
    </row>
    <row r="232" spans="2:18" ht="12" customHeight="1" x14ac:dyDescent="0.3">
      <c r="B232" s="98">
        <f t="shared" si="19"/>
        <v>229</v>
      </c>
      <c r="C232" s="97" t="str">
        <f t="shared" si="15"/>
        <v>Apr-26</v>
      </c>
      <c r="D232" s="96">
        <v>46115</v>
      </c>
      <c r="E232" s="95">
        <v>310</v>
      </c>
      <c r="F232" s="95" t="s">
        <v>2447</v>
      </c>
      <c r="G232" s="95" t="s">
        <v>2435</v>
      </c>
      <c r="H232" s="94" t="s">
        <v>2434</v>
      </c>
      <c r="I232" s="94" t="s">
        <v>337</v>
      </c>
      <c r="J232" s="91" t="s">
        <v>2476</v>
      </c>
      <c r="K232" s="91" t="s">
        <v>2397</v>
      </c>
      <c r="L232" s="94">
        <v>6</v>
      </c>
      <c r="M232" s="93">
        <v>6</v>
      </c>
      <c r="N232" s="92"/>
      <c r="O232" s="92">
        <f t="shared" si="20"/>
        <v>0</v>
      </c>
      <c r="P232" s="91">
        <f t="shared" si="17"/>
        <v>0</v>
      </c>
      <c r="Q232" s="91">
        <f t="shared" si="18"/>
        <v>0</v>
      </c>
      <c r="R232" s="91"/>
    </row>
    <row r="233" spans="2:18" ht="12" customHeight="1" x14ac:dyDescent="0.3">
      <c r="B233" s="98">
        <f t="shared" si="19"/>
        <v>230</v>
      </c>
      <c r="C233" s="97" t="str">
        <f t="shared" si="15"/>
        <v>Apr-26</v>
      </c>
      <c r="D233" s="96">
        <v>46115</v>
      </c>
      <c r="E233" s="95">
        <v>307</v>
      </c>
      <c r="F233" s="95" t="s">
        <v>2436</v>
      </c>
      <c r="G233" s="95" t="s">
        <v>2435</v>
      </c>
      <c r="H233" s="94" t="s">
        <v>2434</v>
      </c>
      <c r="I233" s="94" t="s">
        <v>337</v>
      </c>
      <c r="J233" s="91" t="s">
        <v>2476</v>
      </c>
      <c r="K233" s="91" t="s">
        <v>2397</v>
      </c>
      <c r="L233" s="94">
        <v>6</v>
      </c>
      <c r="M233" s="93">
        <v>6</v>
      </c>
      <c r="N233" s="92"/>
      <c r="O233" s="92">
        <f t="shared" si="20"/>
        <v>0</v>
      </c>
      <c r="P233" s="91">
        <f t="shared" si="17"/>
        <v>0</v>
      </c>
      <c r="Q233" s="91">
        <f t="shared" si="18"/>
        <v>0</v>
      </c>
      <c r="R233" s="91"/>
    </row>
    <row r="234" spans="2:18" ht="12" customHeight="1" x14ac:dyDescent="0.3">
      <c r="B234" s="98">
        <f t="shared" si="19"/>
        <v>231</v>
      </c>
      <c r="C234" s="97" t="str">
        <f t="shared" si="15"/>
        <v>Apr-26</v>
      </c>
      <c r="D234" s="96">
        <v>46115</v>
      </c>
      <c r="E234" s="95">
        <v>303</v>
      </c>
      <c r="F234" s="95" t="s">
        <v>2446</v>
      </c>
      <c r="G234" s="95" t="s">
        <v>2435</v>
      </c>
      <c r="H234" s="94" t="s">
        <v>2434</v>
      </c>
      <c r="I234" s="94" t="s">
        <v>337</v>
      </c>
      <c r="J234" s="91" t="s">
        <v>2477</v>
      </c>
      <c r="K234" s="91" t="s">
        <v>2397</v>
      </c>
      <c r="L234" s="94">
        <v>6</v>
      </c>
      <c r="M234" s="93">
        <v>6</v>
      </c>
      <c r="N234" s="92"/>
      <c r="O234" s="92">
        <f t="shared" si="20"/>
        <v>0</v>
      </c>
      <c r="P234" s="91">
        <f t="shared" si="17"/>
        <v>0</v>
      </c>
      <c r="Q234" s="91">
        <f t="shared" si="18"/>
        <v>0</v>
      </c>
      <c r="R234" s="91"/>
    </row>
    <row r="235" spans="2:18" ht="12" customHeight="1" x14ac:dyDescent="0.3">
      <c r="B235" s="98">
        <f t="shared" si="19"/>
        <v>232</v>
      </c>
      <c r="C235" s="97" t="str">
        <f t="shared" si="15"/>
        <v>Apr-26</v>
      </c>
      <c r="D235" s="96">
        <v>46115</v>
      </c>
      <c r="E235" s="95">
        <v>299</v>
      </c>
      <c r="F235" s="95" t="s">
        <v>2436</v>
      </c>
      <c r="G235" s="95" t="s">
        <v>2435</v>
      </c>
      <c r="H235" s="94" t="s">
        <v>2434</v>
      </c>
      <c r="I235" s="94" t="s">
        <v>337</v>
      </c>
      <c r="J235" s="91" t="s">
        <v>2476</v>
      </c>
      <c r="K235" s="91" t="s">
        <v>2397</v>
      </c>
      <c r="L235" s="94">
        <v>6</v>
      </c>
      <c r="M235" s="93">
        <v>6</v>
      </c>
      <c r="N235" s="92"/>
      <c r="O235" s="92">
        <f t="shared" si="20"/>
        <v>0</v>
      </c>
      <c r="P235" s="91">
        <f t="shared" si="17"/>
        <v>0</v>
      </c>
      <c r="Q235" s="91">
        <f t="shared" si="18"/>
        <v>0</v>
      </c>
      <c r="R235" s="91"/>
    </row>
    <row r="236" spans="2:18" ht="12" customHeight="1" x14ac:dyDescent="0.3">
      <c r="B236" s="98">
        <f t="shared" si="19"/>
        <v>233</v>
      </c>
      <c r="C236" s="97" t="str">
        <f t="shared" si="15"/>
        <v>Apr-26</v>
      </c>
      <c r="D236" s="96">
        <v>46115</v>
      </c>
      <c r="E236" s="95">
        <v>296</v>
      </c>
      <c r="F236" s="95" t="s">
        <v>2453</v>
      </c>
      <c r="G236" s="95" t="s">
        <v>2435</v>
      </c>
      <c r="H236" s="94" t="s">
        <v>2434</v>
      </c>
      <c r="I236" s="94" t="s">
        <v>337</v>
      </c>
      <c r="J236" s="91" t="s">
        <v>2476</v>
      </c>
      <c r="K236" s="91" t="s">
        <v>2397</v>
      </c>
      <c r="L236" s="94">
        <v>6</v>
      </c>
      <c r="M236" s="93">
        <v>6</v>
      </c>
      <c r="N236" s="92"/>
      <c r="O236" s="92">
        <f t="shared" si="20"/>
        <v>0</v>
      </c>
      <c r="P236" s="91">
        <f t="shared" si="17"/>
        <v>0</v>
      </c>
      <c r="Q236" s="91">
        <f t="shared" si="18"/>
        <v>0</v>
      </c>
      <c r="R236" s="91"/>
    </row>
    <row r="237" spans="2:18" ht="12" customHeight="1" x14ac:dyDescent="0.3">
      <c r="B237" s="98">
        <f t="shared" si="19"/>
        <v>234</v>
      </c>
      <c r="C237" s="97" t="str">
        <f t="shared" si="15"/>
        <v>Apr-26</v>
      </c>
      <c r="D237" s="96">
        <v>46115</v>
      </c>
      <c r="E237" s="95">
        <v>1681</v>
      </c>
      <c r="F237" s="95">
        <v>7275</v>
      </c>
      <c r="G237" s="95" t="s">
        <v>2465</v>
      </c>
      <c r="H237" s="95" t="s">
        <v>2465</v>
      </c>
      <c r="I237" s="94" t="s">
        <v>432</v>
      </c>
      <c r="J237" s="91" t="s">
        <v>2464</v>
      </c>
      <c r="K237" s="91" t="s">
        <v>2397</v>
      </c>
      <c r="L237" s="94">
        <v>6</v>
      </c>
      <c r="M237" s="93">
        <v>6</v>
      </c>
      <c r="N237" s="92"/>
      <c r="O237" s="92">
        <f t="shared" si="20"/>
        <v>0</v>
      </c>
      <c r="P237" s="91">
        <f t="shared" si="17"/>
        <v>0</v>
      </c>
      <c r="Q237" s="91">
        <f t="shared" si="18"/>
        <v>0</v>
      </c>
      <c r="R237" s="91"/>
    </row>
    <row r="238" spans="2:18" ht="12" customHeight="1" x14ac:dyDescent="0.3">
      <c r="B238" s="98">
        <f t="shared" si="19"/>
        <v>235</v>
      </c>
      <c r="C238" s="97" t="str">
        <f t="shared" si="15"/>
        <v>Apr-26</v>
      </c>
      <c r="D238" s="96">
        <v>46113</v>
      </c>
      <c r="E238" s="95">
        <v>1676</v>
      </c>
      <c r="F238" s="95">
        <v>7275</v>
      </c>
      <c r="G238" s="95" t="s">
        <v>2465</v>
      </c>
      <c r="H238" s="95" t="s">
        <v>2465</v>
      </c>
      <c r="I238" s="94" t="s">
        <v>432</v>
      </c>
      <c r="J238" s="91" t="s">
        <v>2464</v>
      </c>
      <c r="K238" s="91" t="s">
        <v>2397</v>
      </c>
      <c r="L238" s="94">
        <v>6</v>
      </c>
      <c r="M238" s="93">
        <v>6</v>
      </c>
      <c r="N238" s="92"/>
      <c r="O238" s="92">
        <f t="shared" si="20"/>
        <v>0</v>
      </c>
      <c r="P238" s="91">
        <f t="shared" si="17"/>
        <v>0</v>
      </c>
      <c r="Q238" s="91">
        <f t="shared" si="18"/>
        <v>0</v>
      </c>
      <c r="R238" s="91"/>
    </row>
    <row r="239" spans="2:18" ht="12" customHeight="1" x14ac:dyDescent="0.3">
      <c r="B239" s="98">
        <f t="shared" si="19"/>
        <v>236</v>
      </c>
      <c r="C239" s="97" t="str">
        <f t="shared" si="15"/>
        <v>Mar-26</v>
      </c>
      <c r="D239" s="96">
        <v>46112</v>
      </c>
      <c r="E239" s="95">
        <v>1666</v>
      </c>
      <c r="F239" s="95">
        <v>2787</v>
      </c>
      <c r="G239" s="95" t="s">
        <v>2465</v>
      </c>
      <c r="H239" s="95" t="s">
        <v>2465</v>
      </c>
      <c r="I239" s="94" t="s">
        <v>432</v>
      </c>
      <c r="J239" s="91" t="s">
        <v>2464</v>
      </c>
      <c r="K239" s="91" t="s">
        <v>2397</v>
      </c>
      <c r="L239" s="94">
        <v>6</v>
      </c>
      <c r="M239" s="93">
        <v>6</v>
      </c>
      <c r="N239" s="92"/>
      <c r="O239" s="92">
        <f t="shared" si="20"/>
        <v>0</v>
      </c>
      <c r="P239" s="91">
        <f t="shared" si="17"/>
        <v>0</v>
      </c>
      <c r="Q239" s="91">
        <f t="shared" si="18"/>
        <v>0</v>
      </c>
      <c r="R239" s="91"/>
    </row>
    <row r="240" spans="2:18" ht="12" customHeight="1" x14ac:dyDescent="0.3">
      <c r="B240" s="98">
        <f t="shared" si="19"/>
        <v>237</v>
      </c>
      <c r="C240" s="97" t="str">
        <f t="shared" si="15"/>
        <v>Apr-26</v>
      </c>
      <c r="D240" s="96">
        <v>46113</v>
      </c>
      <c r="E240" s="95">
        <v>1674</v>
      </c>
      <c r="F240" s="95">
        <v>243</v>
      </c>
      <c r="G240" s="95" t="s">
        <v>2465</v>
      </c>
      <c r="H240" s="95" t="s">
        <v>2465</v>
      </c>
      <c r="I240" s="94" t="s">
        <v>432</v>
      </c>
      <c r="J240" s="91" t="s">
        <v>2464</v>
      </c>
      <c r="K240" s="91" t="s">
        <v>2397</v>
      </c>
      <c r="L240" s="94">
        <v>6</v>
      </c>
      <c r="M240" s="93">
        <v>6</v>
      </c>
      <c r="N240" s="92"/>
      <c r="O240" s="92">
        <f t="shared" si="20"/>
        <v>0</v>
      </c>
      <c r="P240" s="91">
        <f t="shared" si="17"/>
        <v>0</v>
      </c>
      <c r="Q240" s="91">
        <f t="shared" si="18"/>
        <v>0</v>
      </c>
      <c r="R240" s="91"/>
    </row>
    <row r="241" spans="2:18" ht="12" customHeight="1" x14ac:dyDescent="0.3">
      <c r="B241" s="98">
        <f t="shared" si="19"/>
        <v>238</v>
      </c>
      <c r="C241" s="97" t="str">
        <f t="shared" si="15"/>
        <v>Apr-26</v>
      </c>
      <c r="D241" s="96">
        <v>46113</v>
      </c>
      <c r="E241" s="95">
        <v>1675</v>
      </c>
      <c r="F241" s="95">
        <v>2787</v>
      </c>
      <c r="G241" s="95" t="s">
        <v>2465</v>
      </c>
      <c r="H241" s="95" t="s">
        <v>2465</v>
      </c>
      <c r="I241" s="94" t="s">
        <v>432</v>
      </c>
      <c r="J241" s="91" t="s">
        <v>2464</v>
      </c>
      <c r="K241" s="91" t="s">
        <v>2397</v>
      </c>
      <c r="L241" s="94">
        <v>6</v>
      </c>
      <c r="M241" s="93">
        <v>6</v>
      </c>
      <c r="N241" s="92"/>
      <c r="O241" s="92">
        <f t="shared" si="20"/>
        <v>0</v>
      </c>
      <c r="P241" s="91">
        <f t="shared" si="17"/>
        <v>0</v>
      </c>
      <c r="Q241" s="91">
        <f t="shared" si="18"/>
        <v>0</v>
      </c>
      <c r="R241" s="91"/>
    </row>
    <row r="242" spans="2:18" ht="12" customHeight="1" x14ac:dyDescent="0.3">
      <c r="B242" s="98">
        <f t="shared" si="19"/>
        <v>239</v>
      </c>
      <c r="C242" s="97" t="str">
        <f t="shared" si="15"/>
        <v>Mar-26</v>
      </c>
      <c r="D242" s="96">
        <v>46109</v>
      </c>
      <c r="E242" s="95">
        <v>7453</v>
      </c>
      <c r="F242" s="95" t="s">
        <v>2475</v>
      </c>
      <c r="G242" s="95" t="s">
        <v>2468</v>
      </c>
      <c r="H242" s="94" t="s">
        <v>2467</v>
      </c>
      <c r="I242" s="94" t="s">
        <v>300</v>
      </c>
      <c r="J242" s="91" t="s">
        <v>438</v>
      </c>
      <c r="K242" s="91" t="s">
        <v>244</v>
      </c>
      <c r="L242" s="94">
        <v>1100</v>
      </c>
      <c r="M242" s="93">
        <v>1100</v>
      </c>
      <c r="N242" s="92">
        <v>76</v>
      </c>
      <c r="O242" s="92">
        <f t="shared" si="20"/>
        <v>83600</v>
      </c>
      <c r="P242" s="91">
        <f t="shared" si="17"/>
        <v>836</v>
      </c>
      <c r="Q242" s="91">
        <f t="shared" si="18"/>
        <v>82764</v>
      </c>
      <c r="R242" s="91"/>
    </row>
    <row r="243" spans="2:18" ht="12" customHeight="1" x14ac:dyDescent="0.3">
      <c r="B243" s="98">
        <f t="shared" si="19"/>
        <v>240</v>
      </c>
      <c r="C243" s="97" t="str">
        <f t="shared" si="15"/>
        <v>Mar-26</v>
      </c>
      <c r="D243" s="96">
        <v>46109</v>
      </c>
      <c r="E243" s="95">
        <v>7440</v>
      </c>
      <c r="F243" s="95" t="s">
        <v>2474</v>
      </c>
      <c r="G243" s="95" t="s">
        <v>2468</v>
      </c>
      <c r="H243" s="94" t="s">
        <v>2467</v>
      </c>
      <c r="I243" s="94" t="s">
        <v>300</v>
      </c>
      <c r="J243" s="91" t="s">
        <v>2473</v>
      </c>
      <c r="K243" s="91" t="s">
        <v>244</v>
      </c>
      <c r="L243" s="94">
        <v>1100</v>
      </c>
      <c r="M243" s="93">
        <v>1100</v>
      </c>
      <c r="N243" s="92">
        <v>76</v>
      </c>
      <c r="O243" s="92">
        <f t="shared" si="20"/>
        <v>83600</v>
      </c>
      <c r="P243" s="91">
        <f t="shared" si="17"/>
        <v>836</v>
      </c>
      <c r="Q243" s="91">
        <f t="shared" si="18"/>
        <v>82764</v>
      </c>
      <c r="R243" s="91"/>
    </row>
    <row r="244" spans="2:18" ht="12" customHeight="1" x14ac:dyDescent="0.3">
      <c r="B244" s="98">
        <f t="shared" si="19"/>
        <v>241</v>
      </c>
      <c r="C244" s="97" t="str">
        <f t="shared" si="15"/>
        <v>Mar-26</v>
      </c>
      <c r="D244" s="96">
        <v>46107</v>
      </c>
      <c r="E244" s="95">
        <v>7430</v>
      </c>
      <c r="F244" s="95" t="s">
        <v>2471</v>
      </c>
      <c r="G244" s="95" t="s">
        <v>2468</v>
      </c>
      <c r="H244" s="94" t="s">
        <v>2467</v>
      </c>
      <c r="I244" s="94" t="s">
        <v>300</v>
      </c>
      <c r="J244" s="91" t="s">
        <v>438</v>
      </c>
      <c r="K244" s="91" t="s">
        <v>244</v>
      </c>
      <c r="L244" s="94">
        <v>1100</v>
      </c>
      <c r="M244" s="93">
        <v>1100</v>
      </c>
      <c r="N244" s="92">
        <v>76</v>
      </c>
      <c r="O244" s="92">
        <f t="shared" si="20"/>
        <v>83600</v>
      </c>
      <c r="P244" s="91">
        <f t="shared" si="17"/>
        <v>836</v>
      </c>
      <c r="Q244" s="91">
        <f t="shared" si="18"/>
        <v>82764</v>
      </c>
      <c r="R244" s="91"/>
    </row>
    <row r="245" spans="2:18" ht="12" customHeight="1" x14ac:dyDescent="0.3">
      <c r="B245" s="98">
        <f t="shared" si="19"/>
        <v>242</v>
      </c>
      <c r="C245" s="97" t="str">
        <f t="shared" si="15"/>
        <v>Mar-26</v>
      </c>
      <c r="D245" s="96">
        <v>46107</v>
      </c>
      <c r="E245" s="95">
        <v>1591</v>
      </c>
      <c r="F245" s="95">
        <v>7275</v>
      </c>
      <c r="G245" s="95" t="s">
        <v>2465</v>
      </c>
      <c r="H245" s="94" t="s">
        <v>2465</v>
      </c>
      <c r="I245" s="94" t="s">
        <v>432</v>
      </c>
      <c r="J245" s="91" t="s">
        <v>2464</v>
      </c>
      <c r="K245" s="91" t="s">
        <v>2397</v>
      </c>
      <c r="L245" s="94">
        <v>6</v>
      </c>
      <c r="M245" s="93">
        <v>6</v>
      </c>
      <c r="N245" s="92"/>
      <c r="O245" s="92">
        <f t="shared" si="20"/>
        <v>0</v>
      </c>
      <c r="P245" s="91">
        <f t="shared" si="17"/>
        <v>0</v>
      </c>
      <c r="Q245" s="91">
        <f t="shared" si="18"/>
        <v>0</v>
      </c>
      <c r="R245" s="91"/>
    </row>
    <row r="246" spans="2:18" ht="12" customHeight="1" x14ac:dyDescent="0.3">
      <c r="B246" s="98">
        <f t="shared" si="19"/>
        <v>243</v>
      </c>
      <c r="C246" s="97" t="str">
        <f t="shared" si="15"/>
        <v>Mar-26</v>
      </c>
      <c r="D246" s="96">
        <v>46106</v>
      </c>
      <c r="E246" s="95">
        <v>1590</v>
      </c>
      <c r="F246" s="95">
        <v>2787</v>
      </c>
      <c r="G246" s="95" t="s">
        <v>2465</v>
      </c>
      <c r="H246" s="94" t="s">
        <v>2465</v>
      </c>
      <c r="I246" s="94" t="s">
        <v>432</v>
      </c>
      <c r="J246" s="91" t="s">
        <v>2464</v>
      </c>
      <c r="K246" s="91" t="s">
        <v>2397</v>
      </c>
      <c r="L246" s="94">
        <v>6</v>
      </c>
      <c r="M246" s="93">
        <v>6</v>
      </c>
      <c r="N246" s="92"/>
      <c r="O246" s="92">
        <f t="shared" si="20"/>
        <v>0</v>
      </c>
      <c r="P246" s="91">
        <f t="shared" si="17"/>
        <v>0</v>
      </c>
      <c r="Q246" s="91">
        <f t="shared" si="18"/>
        <v>0</v>
      </c>
      <c r="R246" s="91"/>
    </row>
    <row r="247" spans="2:18" ht="12" customHeight="1" x14ac:dyDescent="0.3">
      <c r="B247" s="98">
        <f t="shared" si="19"/>
        <v>244</v>
      </c>
      <c r="C247" s="97" t="str">
        <f t="shared" si="15"/>
        <v>Mar-26</v>
      </c>
      <c r="D247" s="96">
        <v>46106</v>
      </c>
      <c r="E247" s="95"/>
      <c r="F247" s="95" t="s">
        <v>2472</v>
      </c>
      <c r="G247" s="95" t="s">
        <v>2415</v>
      </c>
      <c r="H247" s="94" t="s">
        <v>2414</v>
      </c>
      <c r="I247" s="94" t="s">
        <v>2440</v>
      </c>
      <c r="J247" s="91" t="s">
        <v>303</v>
      </c>
      <c r="K247" s="91" t="s">
        <v>244</v>
      </c>
      <c r="L247" s="94">
        <v>1800</v>
      </c>
      <c r="M247" s="93">
        <v>1800</v>
      </c>
      <c r="N247" s="92">
        <v>76</v>
      </c>
      <c r="O247" s="92">
        <f t="shared" si="20"/>
        <v>136800</v>
      </c>
      <c r="P247" s="91">
        <f t="shared" si="17"/>
        <v>1368</v>
      </c>
      <c r="Q247" s="91">
        <f t="shared" si="18"/>
        <v>135432</v>
      </c>
      <c r="R247" s="91"/>
    </row>
    <row r="248" spans="2:18" ht="12" customHeight="1" x14ac:dyDescent="0.3">
      <c r="B248" s="98">
        <f t="shared" si="19"/>
        <v>245</v>
      </c>
      <c r="C248" s="97" t="str">
        <f t="shared" si="15"/>
        <v>Mar-26</v>
      </c>
      <c r="D248" s="96">
        <v>46105</v>
      </c>
      <c r="E248" s="95">
        <v>7403</v>
      </c>
      <c r="F248" s="95" t="s">
        <v>2471</v>
      </c>
      <c r="G248" s="95" t="s">
        <v>2468</v>
      </c>
      <c r="H248" s="94" t="s">
        <v>2467</v>
      </c>
      <c r="I248" s="94" t="s">
        <v>257</v>
      </c>
      <c r="J248" s="91" t="s">
        <v>257</v>
      </c>
      <c r="K248" s="91" t="s">
        <v>244</v>
      </c>
      <c r="L248" s="94">
        <v>1100</v>
      </c>
      <c r="M248" s="93">
        <v>1100</v>
      </c>
      <c r="N248" s="92">
        <v>76</v>
      </c>
      <c r="O248" s="92">
        <f t="shared" si="20"/>
        <v>83600</v>
      </c>
      <c r="P248" s="91">
        <f t="shared" si="17"/>
        <v>836</v>
      </c>
      <c r="Q248" s="91">
        <f t="shared" si="18"/>
        <v>82764</v>
      </c>
      <c r="R248" s="91"/>
    </row>
    <row r="249" spans="2:18" ht="12" customHeight="1" x14ac:dyDescent="0.3">
      <c r="B249" s="98">
        <f t="shared" si="19"/>
        <v>246</v>
      </c>
      <c r="C249" s="97" t="str">
        <f t="shared" si="15"/>
        <v>Mar-26</v>
      </c>
      <c r="D249" s="96">
        <v>46105</v>
      </c>
      <c r="E249" s="95">
        <v>1586</v>
      </c>
      <c r="F249" s="95" t="s">
        <v>2470</v>
      </c>
      <c r="G249" s="95" t="s">
        <v>2465</v>
      </c>
      <c r="H249" s="94" t="s">
        <v>2465</v>
      </c>
      <c r="I249" s="94" t="s">
        <v>432</v>
      </c>
      <c r="J249" s="91" t="s">
        <v>2464</v>
      </c>
      <c r="K249" s="91" t="s">
        <v>2397</v>
      </c>
      <c r="L249" s="94">
        <v>6</v>
      </c>
      <c r="M249" s="93">
        <v>6</v>
      </c>
      <c r="N249" s="92"/>
      <c r="O249" s="92">
        <f t="shared" si="20"/>
        <v>0</v>
      </c>
      <c r="P249" s="91">
        <f t="shared" si="17"/>
        <v>0</v>
      </c>
      <c r="Q249" s="91">
        <f t="shared" si="18"/>
        <v>0</v>
      </c>
      <c r="R249" s="91"/>
    </row>
    <row r="250" spans="2:18" ht="12" customHeight="1" x14ac:dyDescent="0.3">
      <c r="B250" s="98">
        <f t="shared" si="19"/>
        <v>247</v>
      </c>
      <c r="C250" s="97" t="str">
        <f t="shared" si="15"/>
        <v>Mar-26</v>
      </c>
      <c r="D250" s="96">
        <v>46105</v>
      </c>
      <c r="E250" s="95">
        <v>7401</v>
      </c>
      <c r="F250" s="95" t="s">
        <v>2469</v>
      </c>
      <c r="G250" s="95" t="s">
        <v>2468</v>
      </c>
      <c r="H250" s="94" t="s">
        <v>2467</v>
      </c>
      <c r="I250" s="94" t="s">
        <v>257</v>
      </c>
      <c r="J250" s="91" t="s">
        <v>257</v>
      </c>
      <c r="K250" s="91" t="s">
        <v>244</v>
      </c>
      <c r="L250" s="94">
        <v>1100</v>
      </c>
      <c r="M250" s="93">
        <v>1100</v>
      </c>
      <c r="N250" s="92">
        <v>76</v>
      </c>
      <c r="O250" s="92">
        <f t="shared" si="20"/>
        <v>83600</v>
      </c>
      <c r="P250" s="91">
        <f t="shared" si="17"/>
        <v>836</v>
      </c>
      <c r="Q250" s="91">
        <f t="shared" si="18"/>
        <v>82764</v>
      </c>
      <c r="R250" s="91"/>
    </row>
    <row r="251" spans="2:18" ht="12" customHeight="1" x14ac:dyDescent="0.3">
      <c r="B251" s="98">
        <f t="shared" si="19"/>
        <v>248</v>
      </c>
      <c r="C251" s="97" t="str">
        <f t="shared" si="15"/>
        <v>Mar-26</v>
      </c>
      <c r="D251" s="96">
        <v>46105</v>
      </c>
      <c r="E251" s="95">
        <v>953</v>
      </c>
      <c r="F251" s="95" t="s">
        <v>2447</v>
      </c>
      <c r="G251" s="95" t="s">
        <v>2435</v>
      </c>
      <c r="H251" s="94" t="s">
        <v>2434</v>
      </c>
      <c r="I251" s="94" t="s">
        <v>675</v>
      </c>
      <c r="J251" s="91" t="s">
        <v>2466</v>
      </c>
      <c r="K251" s="91" t="s">
        <v>2397</v>
      </c>
      <c r="L251" s="94">
        <v>6.5</v>
      </c>
      <c r="M251" s="93">
        <v>6.5</v>
      </c>
      <c r="N251" s="92"/>
      <c r="O251" s="92">
        <f t="shared" si="20"/>
        <v>0</v>
      </c>
      <c r="P251" s="91">
        <f t="shared" si="17"/>
        <v>0</v>
      </c>
      <c r="Q251" s="91">
        <f t="shared" si="18"/>
        <v>0</v>
      </c>
      <c r="R251" s="91"/>
    </row>
    <row r="252" spans="2:18" ht="12" customHeight="1" x14ac:dyDescent="0.3">
      <c r="B252" s="98">
        <f t="shared" si="19"/>
        <v>249</v>
      </c>
      <c r="C252" s="97" t="str">
        <f t="shared" si="15"/>
        <v>Mar-26</v>
      </c>
      <c r="D252" s="96">
        <v>46105</v>
      </c>
      <c r="E252" s="95">
        <v>952</v>
      </c>
      <c r="F252" s="95" t="s">
        <v>2453</v>
      </c>
      <c r="G252" s="95" t="s">
        <v>2435</v>
      </c>
      <c r="H252" s="94" t="s">
        <v>2434</v>
      </c>
      <c r="I252" s="94" t="s">
        <v>675</v>
      </c>
      <c r="J252" s="91" t="s">
        <v>2352</v>
      </c>
      <c r="K252" s="91" t="s">
        <v>2397</v>
      </c>
      <c r="L252" s="94">
        <v>6</v>
      </c>
      <c r="M252" s="93">
        <v>6</v>
      </c>
      <c r="N252" s="92"/>
      <c r="O252" s="92">
        <f t="shared" si="20"/>
        <v>0</v>
      </c>
      <c r="P252" s="91">
        <f t="shared" si="17"/>
        <v>0</v>
      </c>
      <c r="Q252" s="91">
        <f t="shared" si="18"/>
        <v>0</v>
      </c>
      <c r="R252" s="91"/>
    </row>
    <row r="253" spans="2:18" ht="12" customHeight="1" x14ac:dyDescent="0.3">
      <c r="B253" s="98">
        <f t="shared" si="19"/>
        <v>250</v>
      </c>
      <c r="C253" s="97" t="str">
        <f t="shared" si="15"/>
        <v>Mar-26</v>
      </c>
      <c r="D253" s="96">
        <v>46105</v>
      </c>
      <c r="E253" s="95">
        <v>298</v>
      </c>
      <c r="F253" s="95" t="s">
        <v>2453</v>
      </c>
      <c r="G253" s="95" t="s">
        <v>2435</v>
      </c>
      <c r="H253" s="94" t="s">
        <v>2434</v>
      </c>
      <c r="I253" s="94" t="s">
        <v>675</v>
      </c>
      <c r="J253" s="91" t="s">
        <v>2433</v>
      </c>
      <c r="K253" s="91" t="s">
        <v>2397</v>
      </c>
      <c r="L253" s="94">
        <v>6</v>
      </c>
      <c r="M253" s="93">
        <v>6</v>
      </c>
      <c r="N253" s="92"/>
      <c r="O253" s="92">
        <f t="shared" si="20"/>
        <v>0</v>
      </c>
      <c r="P253" s="91">
        <f t="shared" si="17"/>
        <v>0</v>
      </c>
      <c r="Q253" s="91">
        <f t="shared" si="18"/>
        <v>0</v>
      </c>
      <c r="R253" s="91"/>
    </row>
    <row r="254" spans="2:18" ht="12" customHeight="1" x14ac:dyDescent="0.3">
      <c r="B254" s="98">
        <f t="shared" si="19"/>
        <v>251</v>
      </c>
      <c r="C254" s="97" t="str">
        <f t="shared" si="15"/>
        <v>Mar-26</v>
      </c>
      <c r="D254" s="96">
        <v>46105</v>
      </c>
      <c r="E254" s="95">
        <v>295</v>
      </c>
      <c r="F254" s="95" t="s">
        <v>2447</v>
      </c>
      <c r="G254" s="95" t="s">
        <v>2435</v>
      </c>
      <c r="H254" s="94" t="s">
        <v>2434</v>
      </c>
      <c r="I254" s="94" t="s">
        <v>675</v>
      </c>
      <c r="J254" s="91" t="s">
        <v>2433</v>
      </c>
      <c r="K254" s="91" t="s">
        <v>2397</v>
      </c>
      <c r="L254" s="94">
        <v>6</v>
      </c>
      <c r="M254" s="93">
        <v>6</v>
      </c>
      <c r="N254" s="92"/>
      <c r="O254" s="92">
        <f t="shared" si="20"/>
        <v>0</v>
      </c>
      <c r="P254" s="91">
        <f t="shared" si="17"/>
        <v>0</v>
      </c>
      <c r="Q254" s="91">
        <f t="shared" si="18"/>
        <v>0</v>
      </c>
      <c r="R254" s="91"/>
    </row>
    <row r="255" spans="2:18" ht="12" customHeight="1" x14ac:dyDescent="0.3">
      <c r="B255" s="98">
        <f t="shared" si="19"/>
        <v>252</v>
      </c>
      <c r="C255" s="97" t="str">
        <f t="shared" si="15"/>
        <v>Mar-26</v>
      </c>
      <c r="D255" s="96">
        <v>46105</v>
      </c>
      <c r="E255" s="95">
        <v>1585</v>
      </c>
      <c r="F255" s="95">
        <v>2787</v>
      </c>
      <c r="G255" s="95" t="s">
        <v>2465</v>
      </c>
      <c r="H255" s="94" t="s">
        <v>2465</v>
      </c>
      <c r="I255" s="94" t="s">
        <v>432</v>
      </c>
      <c r="J255" s="91" t="s">
        <v>2464</v>
      </c>
      <c r="K255" s="91" t="s">
        <v>2397</v>
      </c>
      <c r="L255" s="94">
        <v>6</v>
      </c>
      <c r="M255" s="93">
        <v>6</v>
      </c>
      <c r="N255" s="92"/>
      <c r="O255" s="92">
        <f t="shared" si="20"/>
        <v>0</v>
      </c>
      <c r="P255" s="91">
        <f t="shared" si="17"/>
        <v>0</v>
      </c>
      <c r="Q255" s="91">
        <f t="shared" si="18"/>
        <v>0</v>
      </c>
      <c r="R255" s="91"/>
    </row>
    <row r="256" spans="2:18" ht="12" customHeight="1" x14ac:dyDescent="0.3">
      <c r="B256" s="98">
        <f t="shared" si="19"/>
        <v>253</v>
      </c>
      <c r="C256" s="97" t="str">
        <f t="shared" si="15"/>
        <v>Mar-26</v>
      </c>
      <c r="D256" s="96">
        <v>46104</v>
      </c>
      <c r="E256" s="95"/>
      <c r="F256" s="95"/>
      <c r="G256" s="95" t="s">
        <v>2415</v>
      </c>
      <c r="H256" s="94" t="s">
        <v>2414</v>
      </c>
      <c r="I256" s="94" t="s">
        <v>2440</v>
      </c>
      <c r="J256" s="91" t="s">
        <v>303</v>
      </c>
      <c r="K256" s="91" t="s">
        <v>244</v>
      </c>
      <c r="L256" s="94">
        <v>1800</v>
      </c>
      <c r="M256" s="93">
        <v>1800</v>
      </c>
      <c r="N256" s="92"/>
      <c r="O256" s="92">
        <f t="shared" si="20"/>
        <v>0</v>
      </c>
      <c r="P256" s="91">
        <f t="shared" si="17"/>
        <v>0</v>
      </c>
      <c r="Q256" s="91">
        <f t="shared" si="18"/>
        <v>0</v>
      </c>
      <c r="R256" s="91"/>
    </row>
    <row r="257" spans="2:18" ht="12" customHeight="1" x14ac:dyDescent="0.3">
      <c r="B257" s="98">
        <f t="shared" si="19"/>
        <v>254</v>
      </c>
      <c r="C257" s="97" t="str">
        <f t="shared" si="15"/>
        <v>Mar-26</v>
      </c>
      <c r="D257" s="96">
        <v>46102</v>
      </c>
      <c r="E257" s="95">
        <v>266</v>
      </c>
      <c r="F257" s="95" t="s">
        <v>2453</v>
      </c>
      <c r="G257" s="95" t="s">
        <v>2435</v>
      </c>
      <c r="H257" s="94" t="s">
        <v>2434</v>
      </c>
      <c r="I257" s="94" t="s">
        <v>675</v>
      </c>
      <c r="J257" s="91" t="s">
        <v>2433</v>
      </c>
      <c r="K257" s="91" t="s">
        <v>2397</v>
      </c>
      <c r="L257" s="94">
        <v>6</v>
      </c>
      <c r="M257" s="93">
        <v>6</v>
      </c>
      <c r="N257" s="92"/>
      <c r="O257" s="92">
        <f t="shared" si="20"/>
        <v>0</v>
      </c>
      <c r="P257" s="91">
        <f t="shared" si="17"/>
        <v>0</v>
      </c>
      <c r="Q257" s="91">
        <f t="shared" si="18"/>
        <v>0</v>
      </c>
      <c r="R257" s="91"/>
    </row>
    <row r="258" spans="2:18" ht="12" customHeight="1" x14ac:dyDescent="0.3">
      <c r="B258" s="98">
        <f t="shared" si="19"/>
        <v>255</v>
      </c>
      <c r="C258" s="97" t="str">
        <f t="shared" si="15"/>
        <v>Mar-26</v>
      </c>
      <c r="D258" s="96">
        <v>46102</v>
      </c>
      <c r="E258" s="95">
        <v>268</v>
      </c>
      <c r="F258" s="95" t="s">
        <v>2446</v>
      </c>
      <c r="G258" s="95" t="s">
        <v>2435</v>
      </c>
      <c r="H258" s="94" t="s">
        <v>2434</v>
      </c>
      <c r="I258" s="94" t="s">
        <v>675</v>
      </c>
      <c r="J258" s="91" t="s">
        <v>2452</v>
      </c>
      <c r="K258" s="91" t="s">
        <v>2397</v>
      </c>
      <c r="L258" s="94">
        <v>6</v>
      </c>
      <c r="M258" s="93">
        <v>6</v>
      </c>
      <c r="N258" s="92"/>
      <c r="O258" s="92">
        <f t="shared" si="20"/>
        <v>0</v>
      </c>
      <c r="P258" s="91">
        <f t="shared" si="17"/>
        <v>0</v>
      </c>
      <c r="Q258" s="91">
        <f t="shared" si="18"/>
        <v>0</v>
      </c>
      <c r="R258" s="91"/>
    </row>
    <row r="259" spans="2:18" ht="12" customHeight="1" x14ac:dyDescent="0.3">
      <c r="B259" s="98">
        <f t="shared" si="19"/>
        <v>256</v>
      </c>
      <c r="C259" s="97" t="str">
        <f t="shared" si="15"/>
        <v>Mar-26</v>
      </c>
      <c r="D259" s="96">
        <v>46102</v>
      </c>
      <c r="E259" s="95">
        <v>263</v>
      </c>
      <c r="F259" s="95" t="s">
        <v>2446</v>
      </c>
      <c r="G259" s="95" t="s">
        <v>2435</v>
      </c>
      <c r="H259" s="94" t="s">
        <v>2434</v>
      </c>
      <c r="I259" s="94" t="s">
        <v>675</v>
      </c>
      <c r="J259" s="91" t="s">
        <v>2452</v>
      </c>
      <c r="K259" s="91" t="s">
        <v>2397</v>
      </c>
      <c r="L259" s="94">
        <v>6</v>
      </c>
      <c r="M259" s="93">
        <v>6</v>
      </c>
      <c r="N259" s="92"/>
      <c r="O259" s="92">
        <f t="shared" si="20"/>
        <v>0</v>
      </c>
      <c r="P259" s="91">
        <f t="shared" si="17"/>
        <v>0</v>
      </c>
      <c r="Q259" s="91">
        <f t="shared" si="18"/>
        <v>0</v>
      </c>
      <c r="R259" s="91"/>
    </row>
    <row r="260" spans="2:18" ht="12" customHeight="1" x14ac:dyDescent="0.3">
      <c r="B260" s="98">
        <f t="shared" si="19"/>
        <v>257</v>
      </c>
      <c r="C260" s="97" t="str">
        <f t="shared" ref="C260:C323" si="21">CONCATENATE(TEXT(D260,"mmm"),"-",TEXT(D260,"yy"))</f>
        <v>Mar-26</v>
      </c>
      <c r="D260" s="96">
        <v>46102</v>
      </c>
      <c r="E260" s="95">
        <v>262</v>
      </c>
      <c r="F260" s="95" t="s">
        <v>2453</v>
      </c>
      <c r="G260" s="95" t="s">
        <v>2435</v>
      </c>
      <c r="H260" s="94" t="s">
        <v>2434</v>
      </c>
      <c r="I260" s="94" t="s">
        <v>675</v>
      </c>
      <c r="J260" s="91" t="s">
        <v>2433</v>
      </c>
      <c r="K260" s="91" t="s">
        <v>2397</v>
      </c>
      <c r="L260" s="94">
        <v>6</v>
      </c>
      <c r="M260" s="93">
        <v>6</v>
      </c>
      <c r="N260" s="92"/>
      <c r="O260" s="92">
        <f t="shared" si="20"/>
        <v>0</v>
      </c>
      <c r="P260" s="91">
        <f t="shared" ref="P260:P323" si="22">O260*1%</f>
        <v>0</v>
      </c>
      <c r="Q260" s="91">
        <f t="shared" ref="Q260:Q323" si="23">O260-P260</f>
        <v>0</v>
      </c>
      <c r="R260" s="91"/>
    </row>
    <row r="261" spans="2:18" ht="12" customHeight="1" x14ac:dyDescent="0.3">
      <c r="B261" s="98">
        <f t="shared" ref="B261:B324" si="24">+B260+1</f>
        <v>258</v>
      </c>
      <c r="C261" s="97" t="str">
        <f t="shared" si="21"/>
        <v>Mar-26</v>
      </c>
      <c r="D261" s="96">
        <v>46099</v>
      </c>
      <c r="E261" s="95">
        <v>3157</v>
      </c>
      <c r="F261" s="95">
        <v>4440</v>
      </c>
      <c r="G261" s="95" t="s">
        <v>2432</v>
      </c>
      <c r="H261" s="94" t="s">
        <v>2449</v>
      </c>
      <c r="I261" s="94" t="s">
        <v>257</v>
      </c>
      <c r="J261" s="91" t="s">
        <v>2456</v>
      </c>
      <c r="K261" s="91" t="s">
        <v>2397</v>
      </c>
      <c r="L261" s="94">
        <v>6</v>
      </c>
      <c r="M261" s="93">
        <v>6</v>
      </c>
      <c r="N261" s="92"/>
      <c r="O261" s="92">
        <f t="shared" si="20"/>
        <v>0</v>
      </c>
      <c r="P261" s="91">
        <f t="shared" si="22"/>
        <v>0</v>
      </c>
      <c r="Q261" s="91">
        <f t="shared" si="23"/>
        <v>0</v>
      </c>
      <c r="R261" s="91"/>
    </row>
    <row r="262" spans="2:18" ht="12" customHeight="1" x14ac:dyDescent="0.3">
      <c r="B262" s="98">
        <f t="shared" si="24"/>
        <v>259</v>
      </c>
      <c r="C262" s="97" t="str">
        <f t="shared" si="21"/>
        <v>Mar-26</v>
      </c>
      <c r="D262" s="96">
        <v>46099</v>
      </c>
      <c r="E262" s="95">
        <v>1579</v>
      </c>
      <c r="F262" s="95" t="s">
        <v>2443</v>
      </c>
      <c r="G262" s="95" t="s">
        <v>2438</v>
      </c>
      <c r="H262" s="94" t="s">
        <v>2437</v>
      </c>
      <c r="I262" s="94" t="s">
        <v>322</v>
      </c>
      <c r="J262" s="91" t="s">
        <v>2463</v>
      </c>
      <c r="K262" s="91" t="s">
        <v>2397</v>
      </c>
      <c r="L262" s="94">
        <v>6</v>
      </c>
      <c r="M262" s="93">
        <v>6</v>
      </c>
      <c r="N262" s="92"/>
      <c r="O262" s="92">
        <f t="shared" si="20"/>
        <v>0</v>
      </c>
      <c r="P262" s="91">
        <f t="shared" si="22"/>
        <v>0</v>
      </c>
      <c r="Q262" s="91">
        <f t="shared" si="23"/>
        <v>0</v>
      </c>
      <c r="R262" s="91"/>
    </row>
    <row r="263" spans="2:18" ht="12" customHeight="1" x14ac:dyDescent="0.3">
      <c r="B263" s="98">
        <f t="shared" si="24"/>
        <v>260</v>
      </c>
      <c r="C263" s="97" t="str">
        <f t="shared" si="21"/>
        <v>Mar-26</v>
      </c>
      <c r="D263" s="96">
        <v>46099</v>
      </c>
      <c r="E263" s="95">
        <v>1576</v>
      </c>
      <c r="F263" s="95" t="s">
        <v>2439</v>
      </c>
      <c r="G263" s="95" t="s">
        <v>2438</v>
      </c>
      <c r="H263" s="94" t="s">
        <v>2437</v>
      </c>
      <c r="I263" s="94" t="s">
        <v>322</v>
      </c>
      <c r="J263" s="91" t="s">
        <v>2462</v>
      </c>
      <c r="K263" s="91" t="s">
        <v>2397</v>
      </c>
      <c r="L263" s="94">
        <v>6</v>
      </c>
      <c r="M263" s="93">
        <v>6</v>
      </c>
      <c r="N263" s="92"/>
      <c r="O263" s="92">
        <f t="shared" si="20"/>
        <v>0</v>
      </c>
      <c r="P263" s="91">
        <f t="shared" si="22"/>
        <v>0</v>
      </c>
      <c r="Q263" s="91">
        <f t="shared" si="23"/>
        <v>0</v>
      </c>
      <c r="R263" s="91"/>
    </row>
    <row r="264" spans="2:18" ht="12" customHeight="1" x14ac:dyDescent="0.3">
      <c r="B264" s="98">
        <f t="shared" si="24"/>
        <v>261</v>
      </c>
      <c r="C264" s="97" t="str">
        <f t="shared" si="21"/>
        <v>Mar-26</v>
      </c>
      <c r="D264" s="96">
        <v>46098</v>
      </c>
      <c r="E264" s="95">
        <v>1573</v>
      </c>
      <c r="F264" s="95" t="s">
        <v>2443</v>
      </c>
      <c r="G264" s="95" t="s">
        <v>2438</v>
      </c>
      <c r="H264" s="94" t="s">
        <v>2437</v>
      </c>
      <c r="I264" s="94" t="s">
        <v>322</v>
      </c>
      <c r="J264" s="91" t="s">
        <v>2461</v>
      </c>
      <c r="K264" s="91" t="s">
        <v>2397</v>
      </c>
      <c r="L264" s="94">
        <v>6</v>
      </c>
      <c r="M264" s="93">
        <v>6</v>
      </c>
      <c r="N264" s="92"/>
      <c r="O264" s="92">
        <f t="shared" si="20"/>
        <v>0</v>
      </c>
      <c r="P264" s="91">
        <f t="shared" si="22"/>
        <v>0</v>
      </c>
      <c r="Q264" s="91">
        <f t="shared" si="23"/>
        <v>0</v>
      </c>
      <c r="R264" s="91"/>
    </row>
    <row r="265" spans="2:18" ht="12" customHeight="1" x14ac:dyDescent="0.3">
      <c r="B265" s="98">
        <f t="shared" si="24"/>
        <v>262</v>
      </c>
      <c r="C265" s="97" t="str">
        <f t="shared" si="21"/>
        <v>Mar-26</v>
      </c>
      <c r="D265" s="96">
        <v>46098</v>
      </c>
      <c r="E265" s="95">
        <v>1570</v>
      </c>
      <c r="F265" s="95" t="s">
        <v>2444</v>
      </c>
      <c r="G265" s="95" t="s">
        <v>2438</v>
      </c>
      <c r="H265" s="94" t="s">
        <v>2437</v>
      </c>
      <c r="I265" s="94" t="s">
        <v>322</v>
      </c>
      <c r="J265" s="91" t="s">
        <v>2461</v>
      </c>
      <c r="K265" s="91" t="s">
        <v>2397</v>
      </c>
      <c r="L265" s="94">
        <v>6</v>
      </c>
      <c r="M265" s="93">
        <v>6</v>
      </c>
      <c r="N265" s="92"/>
      <c r="O265" s="92">
        <f t="shared" si="20"/>
        <v>0</v>
      </c>
      <c r="P265" s="91">
        <f t="shared" si="22"/>
        <v>0</v>
      </c>
      <c r="Q265" s="91">
        <f t="shared" si="23"/>
        <v>0</v>
      </c>
      <c r="R265" s="91"/>
    </row>
    <row r="266" spans="2:18" ht="12" customHeight="1" x14ac:dyDescent="0.3">
      <c r="B266" s="98">
        <f t="shared" si="24"/>
        <v>263</v>
      </c>
      <c r="C266" s="97" t="str">
        <f t="shared" si="21"/>
        <v>Mar-26</v>
      </c>
      <c r="D266" s="96">
        <v>46097</v>
      </c>
      <c r="E266" s="95">
        <v>9800</v>
      </c>
      <c r="F266" s="95" t="s">
        <v>2460</v>
      </c>
      <c r="G266" s="95" t="s">
        <v>2459</v>
      </c>
      <c r="H266" s="94" t="s">
        <v>2458</v>
      </c>
      <c r="I266" s="94" t="s">
        <v>300</v>
      </c>
      <c r="J266" s="91" t="s">
        <v>438</v>
      </c>
      <c r="K266" s="91" t="s">
        <v>2457</v>
      </c>
      <c r="L266" s="94">
        <v>28.41</v>
      </c>
      <c r="M266" s="93">
        <v>28.41</v>
      </c>
      <c r="N266" s="92"/>
      <c r="O266" s="92">
        <f t="shared" si="20"/>
        <v>0</v>
      </c>
      <c r="P266" s="91">
        <f t="shared" si="22"/>
        <v>0</v>
      </c>
      <c r="Q266" s="91">
        <f t="shared" si="23"/>
        <v>0</v>
      </c>
      <c r="R266" s="91"/>
    </row>
    <row r="267" spans="2:18" ht="12" customHeight="1" x14ac:dyDescent="0.3">
      <c r="B267" s="98">
        <f t="shared" si="24"/>
        <v>264</v>
      </c>
      <c r="C267" s="97" t="str">
        <f t="shared" si="21"/>
        <v>Mar-26</v>
      </c>
      <c r="D267" s="96">
        <v>46097</v>
      </c>
      <c r="E267" s="95">
        <v>3131</v>
      </c>
      <c r="F267" s="95">
        <v>4309</v>
      </c>
      <c r="G267" s="95" t="s">
        <v>2432</v>
      </c>
      <c r="H267" s="94" t="s">
        <v>2449</v>
      </c>
      <c r="I267" s="94" t="s">
        <v>257</v>
      </c>
      <c r="J267" s="91" t="s">
        <v>2456</v>
      </c>
      <c r="K267" s="91" t="s">
        <v>2397</v>
      </c>
      <c r="L267" s="94">
        <v>6</v>
      </c>
      <c r="M267" s="93">
        <v>6</v>
      </c>
      <c r="N267" s="92"/>
      <c r="O267" s="92">
        <f t="shared" si="20"/>
        <v>0</v>
      </c>
      <c r="P267" s="91">
        <f t="shared" si="22"/>
        <v>0</v>
      </c>
      <c r="Q267" s="91">
        <f t="shared" si="23"/>
        <v>0</v>
      </c>
      <c r="R267" s="91"/>
    </row>
    <row r="268" spans="2:18" ht="12" customHeight="1" x14ac:dyDescent="0.3">
      <c r="B268" s="98">
        <f t="shared" si="24"/>
        <v>265</v>
      </c>
      <c r="C268" s="97" t="str">
        <f t="shared" si="21"/>
        <v>Mar-26</v>
      </c>
      <c r="D268" s="96">
        <v>46097</v>
      </c>
      <c r="E268" s="95">
        <v>3122</v>
      </c>
      <c r="F268" s="95">
        <v>4310</v>
      </c>
      <c r="G268" s="95" t="s">
        <v>2432</v>
      </c>
      <c r="H268" s="94" t="s">
        <v>2449</v>
      </c>
      <c r="I268" s="94" t="s">
        <v>257</v>
      </c>
      <c r="J268" s="91" t="s">
        <v>2456</v>
      </c>
      <c r="K268" s="91" t="s">
        <v>2397</v>
      </c>
      <c r="L268" s="94">
        <v>6</v>
      </c>
      <c r="M268" s="93">
        <v>6</v>
      </c>
      <c r="N268" s="92"/>
      <c r="O268" s="92">
        <f t="shared" si="20"/>
        <v>0</v>
      </c>
      <c r="P268" s="91">
        <f t="shared" si="22"/>
        <v>0</v>
      </c>
      <c r="Q268" s="91">
        <f t="shared" si="23"/>
        <v>0</v>
      </c>
      <c r="R268" s="91"/>
    </row>
    <row r="269" spans="2:18" ht="12" customHeight="1" x14ac:dyDescent="0.3">
      <c r="B269" s="98">
        <f t="shared" si="24"/>
        <v>266</v>
      </c>
      <c r="C269" s="97" t="str">
        <f t="shared" si="21"/>
        <v>Mar-26</v>
      </c>
      <c r="D269" s="96">
        <v>46096</v>
      </c>
      <c r="E269" s="95">
        <v>1833</v>
      </c>
      <c r="F269" s="95" t="s">
        <v>2455</v>
      </c>
      <c r="G269" s="94" t="s">
        <v>99</v>
      </c>
      <c r="H269" s="94" t="s">
        <v>2423</v>
      </c>
      <c r="I269" s="94" t="s">
        <v>2440</v>
      </c>
      <c r="J269" s="91" t="s">
        <v>303</v>
      </c>
      <c r="K269" s="91" t="s">
        <v>244</v>
      </c>
      <c r="L269" s="94">
        <v>400</v>
      </c>
      <c r="M269" s="93">
        <v>400</v>
      </c>
      <c r="N269" s="92"/>
      <c r="O269" s="92">
        <f t="shared" si="20"/>
        <v>0</v>
      </c>
      <c r="P269" s="91">
        <f t="shared" si="22"/>
        <v>0</v>
      </c>
      <c r="Q269" s="91">
        <f t="shared" si="23"/>
        <v>0</v>
      </c>
      <c r="R269" s="91"/>
    </row>
    <row r="270" spans="2:18" ht="12" customHeight="1" x14ac:dyDescent="0.3">
      <c r="B270" s="98">
        <f t="shared" si="24"/>
        <v>267</v>
      </c>
      <c r="C270" s="97" t="str">
        <f t="shared" si="21"/>
        <v>Mar-26</v>
      </c>
      <c r="D270" s="96">
        <v>46097</v>
      </c>
      <c r="E270" s="95">
        <v>3109</v>
      </c>
      <c r="F270" s="95">
        <v>4312</v>
      </c>
      <c r="G270" s="95" t="s">
        <v>2432</v>
      </c>
      <c r="H270" s="94" t="s">
        <v>2449</v>
      </c>
      <c r="I270" s="94" t="s">
        <v>257</v>
      </c>
      <c r="J270" s="91" t="s">
        <v>257</v>
      </c>
      <c r="K270" s="91" t="s">
        <v>2397</v>
      </c>
      <c r="L270" s="94">
        <v>6</v>
      </c>
      <c r="M270" s="93">
        <v>6</v>
      </c>
      <c r="N270" s="92"/>
      <c r="O270" s="92">
        <f t="shared" si="20"/>
        <v>0</v>
      </c>
      <c r="P270" s="91">
        <f t="shared" si="22"/>
        <v>0</v>
      </c>
      <c r="Q270" s="91">
        <f t="shared" si="23"/>
        <v>0</v>
      </c>
      <c r="R270" s="91"/>
    </row>
    <row r="271" spans="2:18" ht="12" customHeight="1" x14ac:dyDescent="0.3">
      <c r="B271" s="98">
        <f t="shared" si="24"/>
        <v>268</v>
      </c>
      <c r="C271" s="97" t="str">
        <f t="shared" si="21"/>
        <v>Mar-26</v>
      </c>
      <c r="D271" s="96">
        <v>46096</v>
      </c>
      <c r="E271" s="95">
        <v>174</v>
      </c>
      <c r="F271" s="95" t="s">
        <v>2436</v>
      </c>
      <c r="G271" s="95" t="s">
        <v>2435</v>
      </c>
      <c r="H271" s="94" t="s">
        <v>2434</v>
      </c>
      <c r="I271" s="94" t="s">
        <v>675</v>
      </c>
      <c r="J271" s="91" t="s">
        <v>2433</v>
      </c>
      <c r="K271" s="91" t="s">
        <v>2397</v>
      </c>
      <c r="L271" s="94">
        <v>6</v>
      </c>
      <c r="M271" s="93">
        <v>6</v>
      </c>
      <c r="N271" s="92"/>
      <c r="O271" s="92">
        <f t="shared" si="20"/>
        <v>0</v>
      </c>
      <c r="P271" s="91">
        <f t="shared" si="22"/>
        <v>0</v>
      </c>
      <c r="Q271" s="91">
        <f t="shared" si="23"/>
        <v>0</v>
      </c>
      <c r="R271" s="91"/>
    </row>
    <row r="272" spans="2:18" ht="12" customHeight="1" x14ac:dyDescent="0.3">
      <c r="B272" s="98">
        <f t="shared" si="24"/>
        <v>269</v>
      </c>
      <c r="C272" s="97" t="str">
        <f t="shared" si="21"/>
        <v>Mar-26</v>
      </c>
      <c r="D272" s="96">
        <v>46096</v>
      </c>
      <c r="E272" s="95">
        <v>171</v>
      </c>
      <c r="F272" s="95" t="s">
        <v>2446</v>
      </c>
      <c r="G272" s="95" t="s">
        <v>2435</v>
      </c>
      <c r="H272" s="94" t="s">
        <v>2434</v>
      </c>
      <c r="I272" s="94" t="s">
        <v>675</v>
      </c>
      <c r="J272" s="91" t="s">
        <v>2433</v>
      </c>
      <c r="K272" s="91" t="s">
        <v>2397</v>
      </c>
      <c r="L272" s="94">
        <v>6</v>
      </c>
      <c r="M272" s="93">
        <v>6</v>
      </c>
      <c r="N272" s="92"/>
      <c r="O272" s="92">
        <f t="shared" si="20"/>
        <v>0</v>
      </c>
      <c r="P272" s="91">
        <f t="shared" si="22"/>
        <v>0</v>
      </c>
      <c r="Q272" s="91">
        <f t="shared" si="23"/>
        <v>0</v>
      </c>
      <c r="R272" s="91"/>
    </row>
    <row r="273" spans="2:18" ht="12" customHeight="1" x14ac:dyDescent="0.3">
      <c r="B273" s="98">
        <f t="shared" si="24"/>
        <v>270</v>
      </c>
      <c r="C273" s="97" t="str">
        <f t="shared" si="21"/>
        <v>Mar-26</v>
      </c>
      <c r="D273" s="96">
        <v>46096</v>
      </c>
      <c r="E273" s="95">
        <v>164</v>
      </c>
      <c r="F273" s="95" t="s">
        <v>2453</v>
      </c>
      <c r="G273" s="95" t="s">
        <v>2435</v>
      </c>
      <c r="H273" s="94" t="s">
        <v>2434</v>
      </c>
      <c r="I273" s="94" t="s">
        <v>675</v>
      </c>
      <c r="J273" s="91" t="s">
        <v>2352</v>
      </c>
      <c r="K273" s="91" t="s">
        <v>2397</v>
      </c>
      <c r="L273" s="94">
        <v>6</v>
      </c>
      <c r="M273" s="93">
        <v>6</v>
      </c>
      <c r="N273" s="92"/>
      <c r="O273" s="92">
        <f t="shared" si="20"/>
        <v>0</v>
      </c>
      <c r="P273" s="91">
        <f t="shared" si="22"/>
        <v>0</v>
      </c>
      <c r="Q273" s="91">
        <f t="shared" si="23"/>
        <v>0</v>
      </c>
      <c r="R273" s="91"/>
    </row>
    <row r="274" spans="2:18" ht="12" customHeight="1" x14ac:dyDescent="0.3">
      <c r="B274" s="98">
        <f t="shared" si="24"/>
        <v>271</v>
      </c>
      <c r="C274" s="97" t="str">
        <f t="shared" si="21"/>
        <v>Mar-26</v>
      </c>
      <c r="D274" s="96">
        <v>46096</v>
      </c>
      <c r="E274" s="95">
        <v>3101</v>
      </c>
      <c r="F274" s="95">
        <v>4310</v>
      </c>
      <c r="G274" s="95" t="s">
        <v>2432</v>
      </c>
      <c r="H274" s="94" t="s">
        <v>2449</v>
      </c>
      <c r="I274" s="94" t="s">
        <v>257</v>
      </c>
      <c r="J274" s="91" t="s">
        <v>2454</v>
      </c>
      <c r="K274" s="91" t="s">
        <v>2397</v>
      </c>
      <c r="L274" s="94">
        <v>6</v>
      </c>
      <c r="M274" s="93">
        <v>6</v>
      </c>
      <c r="N274" s="92"/>
      <c r="O274" s="92">
        <f t="shared" si="20"/>
        <v>0</v>
      </c>
      <c r="P274" s="91">
        <f t="shared" si="22"/>
        <v>0</v>
      </c>
      <c r="Q274" s="91">
        <f t="shared" si="23"/>
        <v>0</v>
      </c>
      <c r="R274" s="91"/>
    </row>
    <row r="275" spans="2:18" ht="12" customHeight="1" x14ac:dyDescent="0.3">
      <c r="B275" s="98">
        <f t="shared" si="24"/>
        <v>272</v>
      </c>
      <c r="C275" s="97" t="str">
        <f t="shared" si="21"/>
        <v>Mar-26</v>
      </c>
      <c r="D275" s="96">
        <v>46094</v>
      </c>
      <c r="E275" s="95">
        <v>145</v>
      </c>
      <c r="F275" s="95" t="s">
        <v>2453</v>
      </c>
      <c r="G275" s="95" t="s">
        <v>2435</v>
      </c>
      <c r="H275" s="94" t="s">
        <v>2434</v>
      </c>
      <c r="I275" s="94" t="s">
        <v>675</v>
      </c>
      <c r="J275" s="91" t="s">
        <v>2352</v>
      </c>
      <c r="K275" s="91" t="s">
        <v>2397</v>
      </c>
      <c r="L275" s="94">
        <v>6</v>
      </c>
      <c r="M275" s="93">
        <v>6</v>
      </c>
      <c r="N275" s="92"/>
      <c r="O275" s="92">
        <f t="shared" si="20"/>
        <v>0</v>
      </c>
      <c r="P275" s="91">
        <f t="shared" si="22"/>
        <v>0</v>
      </c>
      <c r="Q275" s="91">
        <f t="shared" si="23"/>
        <v>0</v>
      </c>
      <c r="R275" s="91"/>
    </row>
    <row r="276" spans="2:18" ht="12" customHeight="1" x14ac:dyDescent="0.3">
      <c r="B276" s="98">
        <f t="shared" si="24"/>
        <v>273</v>
      </c>
      <c r="C276" s="97" t="str">
        <f t="shared" si="21"/>
        <v>Mar-26</v>
      </c>
      <c r="D276" s="96">
        <v>46094</v>
      </c>
      <c r="E276" s="95">
        <v>144</v>
      </c>
      <c r="F276" s="95" t="s">
        <v>2447</v>
      </c>
      <c r="G276" s="95" t="s">
        <v>2435</v>
      </c>
      <c r="H276" s="94" t="s">
        <v>2434</v>
      </c>
      <c r="I276" s="94" t="s">
        <v>675</v>
      </c>
      <c r="J276" s="91" t="s">
        <v>2352</v>
      </c>
      <c r="K276" s="91" t="s">
        <v>2397</v>
      </c>
      <c r="L276" s="94">
        <v>6</v>
      </c>
      <c r="M276" s="93">
        <v>6</v>
      </c>
      <c r="N276" s="92"/>
      <c r="O276" s="92">
        <f t="shared" si="20"/>
        <v>0</v>
      </c>
      <c r="P276" s="91">
        <f t="shared" si="22"/>
        <v>0</v>
      </c>
      <c r="Q276" s="91">
        <f t="shared" si="23"/>
        <v>0</v>
      </c>
      <c r="R276" s="91"/>
    </row>
    <row r="277" spans="2:18" ht="12" customHeight="1" x14ac:dyDescent="0.3">
      <c r="B277" s="98">
        <f t="shared" si="24"/>
        <v>274</v>
      </c>
      <c r="C277" s="97" t="str">
        <f t="shared" si="21"/>
        <v>Mar-26</v>
      </c>
      <c r="D277" s="96">
        <v>46094</v>
      </c>
      <c r="E277" s="95">
        <v>1537</v>
      </c>
      <c r="F277" s="95" t="s">
        <v>2439</v>
      </c>
      <c r="G277" s="95" t="s">
        <v>2438</v>
      </c>
      <c r="H277" s="94" t="s">
        <v>2437</v>
      </c>
      <c r="I277" s="94" t="s">
        <v>322</v>
      </c>
      <c r="J277" s="91" t="s">
        <v>2442</v>
      </c>
      <c r="K277" s="91" t="s">
        <v>2397</v>
      </c>
      <c r="L277" s="94">
        <v>6</v>
      </c>
      <c r="M277" s="93">
        <v>6</v>
      </c>
      <c r="N277" s="92"/>
      <c r="O277" s="92">
        <f t="shared" si="20"/>
        <v>0</v>
      </c>
      <c r="P277" s="91">
        <f t="shared" si="22"/>
        <v>0</v>
      </c>
      <c r="Q277" s="91">
        <f t="shared" si="23"/>
        <v>0</v>
      </c>
      <c r="R277" s="91"/>
    </row>
    <row r="278" spans="2:18" ht="12" customHeight="1" x14ac:dyDescent="0.3">
      <c r="B278" s="98">
        <f t="shared" si="24"/>
        <v>275</v>
      </c>
      <c r="C278" s="97" t="str">
        <f t="shared" si="21"/>
        <v>Mar-26</v>
      </c>
      <c r="D278" s="96">
        <v>46094</v>
      </c>
      <c r="E278" s="95">
        <v>1536</v>
      </c>
      <c r="F278" s="95" t="s">
        <v>2443</v>
      </c>
      <c r="G278" s="95" t="s">
        <v>2438</v>
      </c>
      <c r="H278" s="94" t="s">
        <v>2437</v>
      </c>
      <c r="I278" s="94" t="s">
        <v>322</v>
      </c>
      <c r="J278" s="91" t="s">
        <v>2442</v>
      </c>
      <c r="K278" s="91" t="s">
        <v>2397</v>
      </c>
      <c r="L278" s="94">
        <v>6</v>
      </c>
      <c r="M278" s="93">
        <v>6</v>
      </c>
      <c r="N278" s="92"/>
      <c r="O278" s="92">
        <f t="shared" si="20"/>
        <v>0</v>
      </c>
      <c r="P278" s="91">
        <f t="shared" si="22"/>
        <v>0</v>
      </c>
      <c r="Q278" s="91">
        <f t="shared" si="23"/>
        <v>0</v>
      </c>
      <c r="R278" s="91"/>
    </row>
    <row r="279" spans="2:18" ht="12" customHeight="1" x14ac:dyDescent="0.3">
      <c r="B279" s="98">
        <f t="shared" si="24"/>
        <v>276</v>
      </c>
      <c r="C279" s="97" t="str">
        <f t="shared" si="21"/>
        <v>Mar-26</v>
      </c>
      <c r="D279" s="96">
        <v>46094</v>
      </c>
      <c r="E279" s="95">
        <v>1535</v>
      </c>
      <c r="F279" s="95" t="s">
        <v>2444</v>
      </c>
      <c r="G279" s="95" t="s">
        <v>2438</v>
      </c>
      <c r="H279" s="94" t="s">
        <v>2437</v>
      </c>
      <c r="I279" s="94" t="s">
        <v>322</v>
      </c>
      <c r="J279" s="91" t="s">
        <v>2442</v>
      </c>
      <c r="K279" s="91" t="s">
        <v>2397</v>
      </c>
      <c r="L279" s="94">
        <v>5.5</v>
      </c>
      <c r="M279" s="93">
        <v>5.5</v>
      </c>
      <c r="N279" s="92"/>
      <c r="O279" s="92">
        <f t="shared" si="20"/>
        <v>0</v>
      </c>
      <c r="P279" s="91">
        <f t="shared" si="22"/>
        <v>0</v>
      </c>
      <c r="Q279" s="91">
        <f t="shared" si="23"/>
        <v>0</v>
      </c>
      <c r="R279" s="91"/>
    </row>
    <row r="280" spans="2:18" ht="12" customHeight="1" x14ac:dyDescent="0.3">
      <c r="B280" s="98">
        <f t="shared" si="24"/>
        <v>277</v>
      </c>
      <c r="C280" s="97" t="str">
        <f t="shared" si="21"/>
        <v>Mar-26</v>
      </c>
      <c r="D280" s="96">
        <v>46093</v>
      </c>
      <c r="E280" s="95">
        <v>135</v>
      </c>
      <c r="F280" s="95" t="s">
        <v>2453</v>
      </c>
      <c r="G280" s="95" t="s">
        <v>2435</v>
      </c>
      <c r="H280" s="94" t="s">
        <v>2434</v>
      </c>
      <c r="I280" s="94" t="s">
        <v>675</v>
      </c>
      <c r="J280" s="91" t="s">
        <v>2452</v>
      </c>
      <c r="K280" s="91" t="s">
        <v>2397</v>
      </c>
      <c r="L280" s="94">
        <v>6</v>
      </c>
      <c r="M280" s="93">
        <v>6</v>
      </c>
      <c r="N280" s="92"/>
      <c r="O280" s="92">
        <f t="shared" si="20"/>
        <v>0</v>
      </c>
      <c r="P280" s="91">
        <f t="shared" si="22"/>
        <v>0</v>
      </c>
      <c r="Q280" s="91">
        <f t="shared" si="23"/>
        <v>0</v>
      </c>
      <c r="R280" s="91"/>
    </row>
    <row r="281" spans="2:18" ht="12" customHeight="1" x14ac:dyDescent="0.3">
      <c r="B281" s="98">
        <f t="shared" si="24"/>
        <v>278</v>
      </c>
      <c r="C281" s="97" t="str">
        <f t="shared" si="21"/>
        <v>Mar-26</v>
      </c>
      <c r="D281" s="96">
        <v>46093</v>
      </c>
      <c r="E281" s="95">
        <v>131</v>
      </c>
      <c r="F281" s="95" t="s">
        <v>2436</v>
      </c>
      <c r="G281" s="95" t="s">
        <v>2435</v>
      </c>
      <c r="H281" s="94" t="s">
        <v>2434</v>
      </c>
      <c r="I281" s="94" t="s">
        <v>675</v>
      </c>
      <c r="J281" s="91" t="s">
        <v>2452</v>
      </c>
      <c r="K281" s="91" t="s">
        <v>2397</v>
      </c>
      <c r="L281" s="94">
        <v>6</v>
      </c>
      <c r="M281" s="93">
        <v>6</v>
      </c>
      <c r="N281" s="92"/>
      <c r="O281" s="92">
        <f t="shared" si="20"/>
        <v>0</v>
      </c>
      <c r="P281" s="91">
        <f t="shared" si="22"/>
        <v>0</v>
      </c>
      <c r="Q281" s="91">
        <f t="shared" si="23"/>
        <v>0</v>
      </c>
      <c r="R281" s="91"/>
    </row>
    <row r="282" spans="2:18" ht="12" customHeight="1" x14ac:dyDescent="0.3">
      <c r="B282" s="98">
        <f t="shared" si="24"/>
        <v>279</v>
      </c>
      <c r="C282" s="97" t="str">
        <f t="shared" si="21"/>
        <v>Mar-26</v>
      </c>
      <c r="D282" s="96">
        <v>46093</v>
      </c>
      <c r="E282" s="95">
        <v>3067</v>
      </c>
      <c r="F282" s="95">
        <v>4440</v>
      </c>
      <c r="G282" s="95" t="s">
        <v>2432</v>
      </c>
      <c r="H282" s="94" t="s">
        <v>2449</v>
      </c>
      <c r="I282" s="94" t="s">
        <v>257</v>
      </c>
      <c r="J282" s="91" t="s">
        <v>2451</v>
      </c>
      <c r="K282" s="91" t="s">
        <v>2397</v>
      </c>
      <c r="L282" s="94">
        <v>6</v>
      </c>
      <c r="M282" s="93">
        <v>6</v>
      </c>
      <c r="N282" s="92"/>
      <c r="O282" s="92">
        <f t="shared" si="20"/>
        <v>0</v>
      </c>
      <c r="P282" s="91">
        <f t="shared" si="22"/>
        <v>0</v>
      </c>
      <c r="Q282" s="91">
        <f t="shared" si="23"/>
        <v>0</v>
      </c>
      <c r="R282" s="91"/>
    </row>
    <row r="283" spans="2:18" ht="12" customHeight="1" x14ac:dyDescent="0.3">
      <c r="B283" s="98">
        <f t="shared" si="24"/>
        <v>280</v>
      </c>
      <c r="C283" s="97" t="str">
        <f t="shared" si="21"/>
        <v>Mar-26</v>
      </c>
      <c r="D283" s="96">
        <v>46093</v>
      </c>
      <c r="E283" s="95">
        <v>3065</v>
      </c>
      <c r="F283" s="95">
        <v>4561</v>
      </c>
      <c r="G283" s="95" t="s">
        <v>2432</v>
      </c>
      <c r="H283" s="94" t="s">
        <v>2449</v>
      </c>
      <c r="I283" s="94" t="s">
        <v>257</v>
      </c>
      <c r="J283" s="91" t="s">
        <v>2450</v>
      </c>
      <c r="K283" s="91" t="s">
        <v>2397</v>
      </c>
      <c r="L283" s="94">
        <v>6</v>
      </c>
      <c r="M283" s="93">
        <v>6</v>
      </c>
      <c r="N283" s="92"/>
      <c r="O283" s="92">
        <f t="shared" si="20"/>
        <v>0</v>
      </c>
      <c r="P283" s="91">
        <f t="shared" si="22"/>
        <v>0</v>
      </c>
      <c r="Q283" s="91">
        <f t="shared" si="23"/>
        <v>0</v>
      </c>
      <c r="R283" s="91"/>
    </row>
    <row r="284" spans="2:18" ht="12" customHeight="1" x14ac:dyDescent="0.3">
      <c r="B284" s="98">
        <f t="shared" si="24"/>
        <v>281</v>
      </c>
      <c r="C284" s="97" t="str">
        <f t="shared" si="21"/>
        <v>Mar-26</v>
      </c>
      <c r="D284" s="96">
        <v>46093</v>
      </c>
      <c r="E284" s="95">
        <v>3063</v>
      </c>
      <c r="F284" s="95">
        <v>4312</v>
      </c>
      <c r="G284" s="95" t="s">
        <v>2432</v>
      </c>
      <c r="H284" s="94" t="s">
        <v>2449</v>
      </c>
      <c r="I284" s="94" t="s">
        <v>257</v>
      </c>
      <c r="J284" s="91" t="s">
        <v>2448</v>
      </c>
      <c r="K284" s="91" t="s">
        <v>2397</v>
      </c>
      <c r="L284" s="94">
        <v>6</v>
      </c>
      <c r="M284" s="93">
        <v>6</v>
      </c>
      <c r="N284" s="92"/>
      <c r="O284" s="92">
        <f t="shared" si="20"/>
        <v>0</v>
      </c>
      <c r="P284" s="91">
        <f t="shared" si="22"/>
        <v>0</v>
      </c>
      <c r="Q284" s="91">
        <f t="shared" si="23"/>
        <v>0</v>
      </c>
      <c r="R284" s="91"/>
    </row>
    <row r="285" spans="2:18" ht="12" customHeight="1" x14ac:dyDescent="0.3">
      <c r="B285" s="98">
        <f t="shared" si="24"/>
        <v>282</v>
      </c>
      <c r="C285" s="97" t="str">
        <f t="shared" si="21"/>
        <v>Mar-26</v>
      </c>
      <c r="D285" s="96">
        <v>46092</v>
      </c>
      <c r="E285" s="95">
        <v>126</v>
      </c>
      <c r="F285" s="95" t="s">
        <v>2447</v>
      </c>
      <c r="G285" s="95" t="s">
        <v>2435</v>
      </c>
      <c r="H285" s="94" t="s">
        <v>2434</v>
      </c>
      <c r="I285" s="94" t="s">
        <v>675</v>
      </c>
      <c r="J285" s="91" t="s">
        <v>2433</v>
      </c>
      <c r="K285" s="91" t="s">
        <v>2397</v>
      </c>
      <c r="L285" s="94">
        <v>6</v>
      </c>
      <c r="M285" s="93">
        <v>6</v>
      </c>
      <c r="N285" s="92"/>
      <c r="O285" s="92">
        <f t="shared" si="20"/>
        <v>0</v>
      </c>
      <c r="P285" s="91">
        <f t="shared" si="22"/>
        <v>0</v>
      </c>
      <c r="Q285" s="91">
        <f t="shared" si="23"/>
        <v>0</v>
      </c>
      <c r="R285" s="91"/>
    </row>
    <row r="286" spans="2:18" ht="12" customHeight="1" x14ac:dyDescent="0.3">
      <c r="B286" s="98">
        <f t="shared" si="24"/>
        <v>283</v>
      </c>
      <c r="C286" s="97" t="str">
        <f t="shared" si="21"/>
        <v>Mar-26</v>
      </c>
      <c r="D286" s="96">
        <v>46092</v>
      </c>
      <c r="E286" s="95">
        <v>122</v>
      </c>
      <c r="F286" s="95" t="s">
        <v>2446</v>
      </c>
      <c r="G286" s="95" t="s">
        <v>2435</v>
      </c>
      <c r="H286" s="94" t="s">
        <v>2434</v>
      </c>
      <c r="I286" s="94" t="s">
        <v>675</v>
      </c>
      <c r="J286" s="91" t="s">
        <v>2445</v>
      </c>
      <c r="K286" s="91" t="s">
        <v>2397</v>
      </c>
      <c r="L286" s="94">
        <v>6</v>
      </c>
      <c r="M286" s="93">
        <v>6</v>
      </c>
      <c r="N286" s="92"/>
      <c r="O286" s="92">
        <f t="shared" si="20"/>
        <v>0</v>
      </c>
      <c r="P286" s="91">
        <f t="shared" si="22"/>
        <v>0</v>
      </c>
      <c r="Q286" s="91">
        <f t="shared" si="23"/>
        <v>0</v>
      </c>
      <c r="R286" s="91"/>
    </row>
    <row r="287" spans="2:18" ht="12" customHeight="1" x14ac:dyDescent="0.3">
      <c r="B287" s="98">
        <f t="shared" si="24"/>
        <v>284</v>
      </c>
      <c r="C287" s="97" t="str">
        <f t="shared" si="21"/>
        <v>Mar-26</v>
      </c>
      <c r="D287" s="96">
        <v>46091</v>
      </c>
      <c r="E287" s="95">
        <v>1509</v>
      </c>
      <c r="F287" s="95" t="s">
        <v>2439</v>
      </c>
      <c r="G287" s="95" t="s">
        <v>2438</v>
      </c>
      <c r="H287" s="94" t="s">
        <v>2437</v>
      </c>
      <c r="I287" s="94" t="s">
        <v>322</v>
      </c>
      <c r="J287" s="91" t="s">
        <v>2442</v>
      </c>
      <c r="K287" s="91" t="s">
        <v>2397</v>
      </c>
      <c r="L287" s="94">
        <v>6.5</v>
      </c>
      <c r="M287" s="93">
        <v>6.5</v>
      </c>
      <c r="N287" s="92"/>
      <c r="O287" s="92">
        <f t="shared" si="20"/>
        <v>0</v>
      </c>
      <c r="P287" s="91">
        <f t="shared" si="22"/>
        <v>0</v>
      </c>
      <c r="Q287" s="91">
        <f t="shared" si="23"/>
        <v>0</v>
      </c>
      <c r="R287" s="91"/>
    </row>
    <row r="288" spans="2:18" ht="12" customHeight="1" x14ac:dyDescent="0.3">
      <c r="B288" s="98">
        <f t="shared" si="24"/>
        <v>285</v>
      </c>
      <c r="C288" s="97" t="str">
        <f t="shared" si="21"/>
        <v>Mar-26</v>
      </c>
      <c r="D288" s="96">
        <v>46091</v>
      </c>
      <c r="E288" s="95">
        <v>1506</v>
      </c>
      <c r="F288" s="95" t="s">
        <v>2444</v>
      </c>
      <c r="G288" s="95" t="s">
        <v>2438</v>
      </c>
      <c r="H288" s="94" t="s">
        <v>2437</v>
      </c>
      <c r="I288" s="94" t="s">
        <v>322</v>
      </c>
      <c r="J288" s="91" t="s">
        <v>2442</v>
      </c>
      <c r="K288" s="91" t="s">
        <v>2397</v>
      </c>
      <c r="L288" s="94">
        <v>5</v>
      </c>
      <c r="M288" s="93">
        <v>5</v>
      </c>
      <c r="N288" s="92"/>
      <c r="O288" s="92">
        <f t="shared" si="20"/>
        <v>0</v>
      </c>
      <c r="P288" s="91">
        <f t="shared" si="22"/>
        <v>0</v>
      </c>
      <c r="Q288" s="91">
        <f t="shared" si="23"/>
        <v>0</v>
      </c>
      <c r="R288" s="91"/>
    </row>
    <row r="289" spans="2:18" ht="12" customHeight="1" x14ac:dyDescent="0.3">
      <c r="B289" s="98">
        <f t="shared" si="24"/>
        <v>286</v>
      </c>
      <c r="C289" s="97" t="str">
        <f t="shared" si="21"/>
        <v>Mar-26</v>
      </c>
      <c r="D289" s="96">
        <v>46091</v>
      </c>
      <c r="E289" s="95">
        <v>1504</v>
      </c>
      <c r="F289" s="95" t="s">
        <v>2443</v>
      </c>
      <c r="G289" s="95" t="s">
        <v>2438</v>
      </c>
      <c r="H289" s="94" t="s">
        <v>2437</v>
      </c>
      <c r="I289" s="94" t="s">
        <v>322</v>
      </c>
      <c r="J289" s="91" t="s">
        <v>2442</v>
      </c>
      <c r="K289" s="91" t="s">
        <v>2397</v>
      </c>
      <c r="L289" s="94">
        <v>6</v>
      </c>
      <c r="M289" s="93">
        <v>6</v>
      </c>
      <c r="N289" s="92"/>
      <c r="O289" s="92">
        <f t="shared" si="20"/>
        <v>0</v>
      </c>
      <c r="P289" s="91">
        <f t="shared" si="22"/>
        <v>0</v>
      </c>
      <c r="Q289" s="91">
        <f t="shared" si="23"/>
        <v>0</v>
      </c>
      <c r="R289" s="91"/>
    </row>
    <row r="290" spans="2:18" ht="12" customHeight="1" x14ac:dyDescent="0.3">
      <c r="B290" s="98">
        <f t="shared" si="24"/>
        <v>287</v>
      </c>
      <c r="C290" s="97" t="str">
        <f t="shared" si="21"/>
        <v>Mar-26</v>
      </c>
      <c r="D290" s="96">
        <v>46090</v>
      </c>
      <c r="E290" s="95">
        <v>1684</v>
      </c>
      <c r="F290" s="95" t="s">
        <v>2441</v>
      </c>
      <c r="G290" s="94" t="s">
        <v>99</v>
      </c>
      <c r="H290" s="94" t="s">
        <v>2423</v>
      </c>
      <c r="I290" s="94" t="s">
        <v>2440</v>
      </c>
      <c r="J290" s="91" t="s">
        <v>303</v>
      </c>
      <c r="K290" s="91" t="s">
        <v>244</v>
      </c>
      <c r="L290" s="94">
        <v>800</v>
      </c>
      <c r="M290" s="93">
        <v>800</v>
      </c>
      <c r="N290" s="92"/>
      <c r="O290" s="92">
        <f t="shared" ref="O290:O353" si="25">SUM(N290*M290)</f>
        <v>0</v>
      </c>
      <c r="P290" s="91">
        <f t="shared" si="22"/>
        <v>0</v>
      </c>
      <c r="Q290" s="91">
        <f t="shared" si="23"/>
        <v>0</v>
      </c>
      <c r="R290" s="91"/>
    </row>
    <row r="291" spans="2:18" ht="12" customHeight="1" x14ac:dyDescent="0.3">
      <c r="B291" s="98">
        <f t="shared" si="24"/>
        <v>288</v>
      </c>
      <c r="C291" s="97" t="str">
        <f t="shared" si="21"/>
        <v>Mar-26</v>
      </c>
      <c r="D291" s="96">
        <v>46090</v>
      </c>
      <c r="E291" s="95">
        <v>1683</v>
      </c>
      <c r="F291" s="95" t="s">
        <v>2441</v>
      </c>
      <c r="G291" s="94" t="s">
        <v>99</v>
      </c>
      <c r="H291" s="94" t="s">
        <v>2423</v>
      </c>
      <c r="I291" s="94" t="s">
        <v>2440</v>
      </c>
      <c r="J291" s="91" t="s">
        <v>303</v>
      </c>
      <c r="K291" s="91" t="s">
        <v>244</v>
      </c>
      <c r="L291" s="94">
        <v>400</v>
      </c>
      <c r="M291" s="93">
        <v>400</v>
      </c>
      <c r="N291" s="92"/>
      <c r="O291" s="92">
        <f t="shared" si="25"/>
        <v>0</v>
      </c>
      <c r="P291" s="91">
        <f t="shared" si="22"/>
        <v>0</v>
      </c>
      <c r="Q291" s="91">
        <f t="shared" si="23"/>
        <v>0</v>
      </c>
      <c r="R291" s="91"/>
    </row>
    <row r="292" spans="2:18" ht="12" customHeight="1" x14ac:dyDescent="0.3">
      <c r="B292" s="98">
        <f t="shared" si="24"/>
        <v>289</v>
      </c>
      <c r="C292" s="97" t="str">
        <f t="shared" si="21"/>
        <v>Mar-26</v>
      </c>
      <c r="D292" s="96">
        <v>46090</v>
      </c>
      <c r="E292" s="95">
        <v>1502</v>
      </c>
      <c r="F292" s="95" t="s">
        <v>2439</v>
      </c>
      <c r="G292" s="95" t="s">
        <v>2438</v>
      </c>
      <c r="H292" s="94" t="s">
        <v>2437</v>
      </c>
      <c r="I292" s="94" t="s">
        <v>322</v>
      </c>
      <c r="J292" s="91" t="s">
        <v>322</v>
      </c>
      <c r="K292" s="91" t="s">
        <v>2397</v>
      </c>
      <c r="L292" s="94">
        <v>6</v>
      </c>
      <c r="M292" s="93">
        <v>6</v>
      </c>
      <c r="N292" s="92"/>
      <c r="O292" s="92">
        <f t="shared" si="25"/>
        <v>0</v>
      </c>
      <c r="P292" s="91">
        <f t="shared" si="22"/>
        <v>0</v>
      </c>
      <c r="Q292" s="91">
        <f t="shared" si="23"/>
        <v>0</v>
      </c>
      <c r="R292" s="91"/>
    </row>
    <row r="293" spans="2:18" ht="12" customHeight="1" x14ac:dyDescent="0.3">
      <c r="B293" s="98">
        <f t="shared" si="24"/>
        <v>290</v>
      </c>
      <c r="C293" s="97" t="str">
        <f t="shared" si="21"/>
        <v>Mar-26</v>
      </c>
      <c r="D293" s="96">
        <v>46090</v>
      </c>
      <c r="E293" s="95">
        <v>85</v>
      </c>
      <c r="F293" s="95" t="s">
        <v>2436</v>
      </c>
      <c r="G293" s="95" t="s">
        <v>2435</v>
      </c>
      <c r="H293" s="94" t="s">
        <v>2434</v>
      </c>
      <c r="I293" s="94" t="s">
        <v>675</v>
      </c>
      <c r="J293" s="91" t="s">
        <v>2433</v>
      </c>
      <c r="K293" s="91" t="s">
        <v>2397</v>
      </c>
      <c r="L293" s="94">
        <v>6</v>
      </c>
      <c r="M293" s="93">
        <v>6</v>
      </c>
      <c r="N293" s="92"/>
      <c r="O293" s="92">
        <f t="shared" si="25"/>
        <v>0</v>
      </c>
      <c r="P293" s="91">
        <f t="shared" si="22"/>
        <v>0</v>
      </c>
      <c r="Q293" s="91">
        <f t="shared" si="23"/>
        <v>0</v>
      </c>
      <c r="R293" s="91"/>
    </row>
    <row r="294" spans="2:18" ht="12" customHeight="1" x14ac:dyDescent="0.3">
      <c r="B294" s="98">
        <f t="shared" si="24"/>
        <v>291</v>
      </c>
      <c r="C294" s="97" t="str">
        <f t="shared" si="21"/>
        <v>Mar-26</v>
      </c>
      <c r="D294" s="96">
        <v>46090</v>
      </c>
      <c r="E294" s="95">
        <v>3020</v>
      </c>
      <c r="F294" s="95">
        <v>4561</v>
      </c>
      <c r="G294" s="95" t="s">
        <v>2432</v>
      </c>
      <c r="H294" s="94"/>
      <c r="I294" s="94"/>
      <c r="J294" s="91"/>
      <c r="K294" s="91"/>
      <c r="L294" s="94"/>
      <c r="M294" s="93"/>
      <c r="N294" s="92"/>
      <c r="O294" s="92">
        <f t="shared" si="25"/>
        <v>0</v>
      </c>
      <c r="P294" s="91">
        <f t="shared" si="22"/>
        <v>0</v>
      </c>
      <c r="Q294" s="91">
        <f t="shared" si="23"/>
        <v>0</v>
      </c>
      <c r="R294" s="91"/>
    </row>
    <row r="295" spans="2:18" ht="12" customHeight="1" x14ac:dyDescent="0.3">
      <c r="B295" s="98">
        <f t="shared" si="24"/>
        <v>292</v>
      </c>
      <c r="C295" s="97" t="str">
        <f t="shared" si="21"/>
        <v>Mar-26</v>
      </c>
      <c r="D295" s="96">
        <v>46105</v>
      </c>
      <c r="E295" s="95" t="s">
        <v>2429</v>
      </c>
      <c r="F295" s="95"/>
      <c r="G295" s="95" t="s">
        <v>2426</v>
      </c>
      <c r="H295" s="94" t="s">
        <v>2425</v>
      </c>
      <c r="I295" s="94" t="s">
        <v>352</v>
      </c>
      <c r="J295" s="91" t="s">
        <v>2431</v>
      </c>
      <c r="K295" s="91" t="s">
        <v>2427</v>
      </c>
      <c r="L295" s="94">
        <v>1</v>
      </c>
      <c r="M295" s="93">
        <v>1</v>
      </c>
      <c r="N295" s="92">
        <v>58500</v>
      </c>
      <c r="O295" s="92">
        <f t="shared" si="25"/>
        <v>58500</v>
      </c>
      <c r="P295" s="91">
        <f t="shared" si="22"/>
        <v>585</v>
      </c>
      <c r="Q295" s="91">
        <f t="shared" si="23"/>
        <v>57915</v>
      </c>
      <c r="R295" s="91"/>
    </row>
    <row r="296" spans="2:18" ht="12" customHeight="1" x14ac:dyDescent="0.3">
      <c r="B296" s="98">
        <f t="shared" si="24"/>
        <v>293</v>
      </c>
      <c r="C296" s="97" t="str">
        <f t="shared" si="21"/>
        <v>Mar-26</v>
      </c>
      <c r="D296" s="96">
        <v>46105</v>
      </c>
      <c r="E296" s="95" t="s">
        <v>2429</v>
      </c>
      <c r="F296" s="95"/>
      <c r="G296" s="95" t="s">
        <v>2426</v>
      </c>
      <c r="H296" s="94" t="s">
        <v>2425</v>
      </c>
      <c r="I296" s="94" t="s">
        <v>352</v>
      </c>
      <c r="J296" s="91" t="s">
        <v>2430</v>
      </c>
      <c r="K296" s="91" t="s">
        <v>2427</v>
      </c>
      <c r="L296" s="94">
        <v>2.5</v>
      </c>
      <c r="M296" s="93">
        <v>2.5</v>
      </c>
      <c r="N296" s="92">
        <v>58500</v>
      </c>
      <c r="O296" s="92">
        <f t="shared" si="25"/>
        <v>146250</v>
      </c>
      <c r="P296" s="91">
        <f t="shared" si="22"/>
        <v>1462.5</v>
      </c>
      <c r="Q296" s="91">
        <f t="shared" si="23"/>
        <v>144787.5</v>
      </c>
      <c r="R296" s="91"/>
    </row>
    <row r="297" spans="2:18" ht="12" customHeight="1" x14ac:dyDescent="0.3">
      <c r="B297" s="98">
        <f t="shared" si="24"/>
        <v>294</v>
      </c>
      <c r="C297" s="97" t="str">
        <f t="shared" si="21"/>
        <v>Mar-26</v>
      </c>
      <c r="D297" s="96">
        <v>46105</v>
      </c>
      <c r="E297" s="95" t="s">
        <v>2429</v>
      </c>
      <c r="F297" s="95"/>
      <c r="G297" s="95" t="s">
        <v>2426</v>
      </c>
      <c r="H297" s="94" t="s">
        <v>2425</v>
      </c>
      <c r="I297" s="94" t="s">
        <v>352</v>
      </c>
      <c r="J297" s="91" t="s">
        <v>2428</v>
      </c>
      <c r="K297" s="91" t="s">
        <v>2427</v>
      </c>
      <c r="L297" s="94">
        <v>3.5</v>
      </c>
      <c r="M297" s="93">
        <v>3.5</v>
      </c>
      <c r="N297" s="92">
        <v>800</v>
      </c>
      <c r="O297" s="92">
        <f t="shared" si="25"/>
        <v>2800</v>
      </c>
      <c r="P297" s="91">
        <f t="shared" si="22"/>
        <v>28</v>
      </c>
      <c r="Q297" s="91">
        <f t="shared" si="23"/>
        <v>2772</v>
      </c>
      <c r="R297" s="91"/>
    </row>
    <row r="298" spans="2:18" ht="12" customHeight="1" x14ac:dyDescent="0.3">
      <c r="B298" s="98">
        <f t="shared" si="24"/>
        <v>295</v>
      </c>
      <c r="C298" s="97" t="str">
        <f t="shared" si="21"/>
        <v>Mar-26</v>
      </c>
      <c r="D298" s="96">
        <v>46103</v>
      </c>
      <c r="E298" s="95" t="s">
        <v>353</v>
      </c>
      <c r="F298" s="95"/>
      <c r="G298" s="95" t="s">
        <v>2426</v>
      </c>
      <c r="H298" s="94" t="s">
        <v>2425</v>
      </c>
      <c r="I298" s="94"/>
      <c r="J298" s="91"/>
      <c r="K298" s="91"/>
      <c r="L298" s="94"/>
      <c r="M298" s="93"/>
      <c r="N298" s="92"/>
      <c r="O298" s="92">
        <f t="shared" si="25"/>
        <v>0</v>
      </c>
      <c r="P298" s="91">
        <f t="shared" si="22"/>
        <v>0</v>
      </c>
      <c r="Q298" s="91">
        <f t="shared" si="23"/>
        <v>0</v>
      </c>
      <c r="R298" s="91"/>
    </row>
    <row r="299" spans="2:18" ht="12" customHeight="1" x14ac:dyDescent="0.3">
      <c r="B299" s="98">
        <f t="shared" si="24"/>
        <v>296</v>
      </c>
      <c r="C299" s="97" t="str">
        <f t="shared" si="21"/>
        <v>May-26</v>
      </c>
      <c r="D299" s="96">
        <v>46162</v>
      </c>
      <c r="E299" s="95"/>
      <c r="F299" s="95"/>
      <c r="G299" s="95" t="s">
        <v>99</v>
      </c>
      <c r="H299" s="94" t="s">
        <v>2423</v>
      </c>
      <c r="I299" s="94" t="s">
        <v>316</v>
      </c>
      <c r="J299" s="91" t="s">
        <v>2424</v>
      </c>
      <c r="K299" s="91" t="s">
        <v>244</v>
      </c>
      <c r="L299" s="94">
        <v>1350</v>
      </c>
      <c r="M299" s="93">
        <v>1350</v>
      </c>
      <c r="N299" s="92">
        <v>80</v>
      </c>
      <c r="O299" s="92">
        <f t="shared" si="25"/>
        <v>108000</v>
      </c>
      <c r="P299" s="91">
        <f t="shared" si="22"/>
        <v>1080</v>
      </c>
      <c r="Q299" s="91">
        <f t="shared" si="23"/>
        <v>106920</v>
      </c>
      <c r="R299" s="91"/>
    </row>
    <row r="300" spans="2:18" ht="12" customHeight="1" x14ac:dyDescent="0.3">
      <c r="B300" s="98">
        <f t="shared" si="24"/>
        <v>297</v>
      </c>
      <c r="C300" s="97" t="str">
        <f t="shared" si="21"/>
        <v>May-26</v>
      </c>
      <c r="D300" s="96">
        <v>46161</v>
      </c>
      <c r="E300" s="95"/>
      <c r="F300" s="95"/>
      <c r="G300" s="95" t="s">
        <v>99</v>
      </c>
      <c r="H300" s="94" t="s">
        <v>2423</v>
      </c>
      <c r="I300" s="94" t="s">
        <v>313</v>
      </c>
      <c r="J300" s="91" t="s">
        <v>313</v>
      </c>
      <c r="K300" s="91" t="s">
        <v>244</v>
      </c>
      <c r="L300" s="94">
        <v>1350</v>
      </c>
      <c r="M300" s="93">
        <v>1350</v>
      </c>
      <c r="N300" s="92">
        <v>78</v>
      </c>
      <c r="O300" s="92">
        <f t="shared" si="25"/>
        <v>105300</v>
      </c>
      <c r="P300" s="91">
        <f t="shared" si="22"/>
        <v>1053</v>
      </c>
      <c r="Q300" s="91">
        <f t="shared" si="23"/>
        <v>104247</v>
      </c>
      <c r="R300" s="91"/>
    </row>
    <row r="301" spans="2:18" ht="12" customHeight="1" x14ac:dyDescent="0.3">
      <c r="B301" s="98">
        <f t="shared" si="24"/>
        <v>298</v>
      </c>
      <c r="C301" s="97" t="str">
        <f t="shared" si="21"/>
        <v>May-26</v>
      </c>
      <c r="D301" s="96">
        <v>46161</v>
      </c>
      <c r="E301" s="95"/>
      <c r="F301" s="95" t="s">
        <v>2422</v>
      </c>
      <c r="G301" s="95" t="s">
        <v>163</v>
      </c>
      <c r="H301" s="94" t="s">
        <v>163</v>
      </c>
      <c r="I301" s="94" t="s">
        <v>270</v>
      </c>
      <c r="J301" s="91" t="s">
        <v>2421</v>
      </c>
      <c r="K301" s="91" t="s">
        <v>244</v>
      </c>
      <c r="L301" s="94">
        <v>700</v>
      </c>
      <c r="M301" s="93">
        <v>700</v>
      </c>
      <c r="N301" s="92">
        <v>76</v>
      </c>
      <c r="O301" s="92">
        <f t="shared" si="25"/>
        <v>53200</v>
      </c>
      <c r="P301" s="91">
        <f t="shared" si="22"/>
        <v>532</v>
      </c>
      <c r="Q301" s="91">
        <f t="shared" si="23"/>
        <v>52668</v>
      </c>
      <c r="R301" s="91"/>
    </row>
    <row r="302" spans="2:18" ht="12" customHeight="1" x14ac:dyDescent="0.3">
      <c r="B302" s="98">
        <f t="shared" si="24"/>
        <v>299</v>
      </c>
      <c r="C302" s="97" t="str">
        <f t="shared" si="21"/>
        <v>May-26</v>
      </c>
      <c r="D302" s="96">
        <v>46161</v>
      </c>
      <c r="E302" s="95"/>
      <c r="F302" s="95" t="s">
        <v>2420</v>
      </c>
      <c r="G302" s="95" t="s">
        <v>163</v>
      </c>
      <c r="H302" s="94" t="s">
        <v>163</v>
      </c>
      <c r="I302" s="94" t="s">
        <v>2407</v>
      </c>
      <c r="J302" s="94" t="s">
        <v>2407</v>
      </c>
      <c r="K302" s="91" t="s">
        <v>244</v>
      </c>
      <c r="L302" s="94">
        <v>700</v>
      </c>
      <c r="M302" s="93">
        <v>700</v>
      </c>
      <c r="N302" s="92">
        <v>76</v>
      </c>
      <c r="O302" s="92">
        <f t="shared" si="25"/>
        <v>53200</v>
      </c>
      <c r="P302" s="91">
        <f t="shared" si="22"/>
        <v>532</v>
      </c>
      <c r="Q302" s="91">
        <f t="shared" si="23"/>
        <v>52668</v>
      </c>
      <c r="R302" s="91"/>
    </row>
    <row r="303" spans="2:18" ht="12" customHeight="1" x14ac:dyDescent="0.3">
      <c r="B303" s="98">
        <f t="shared" si="24"/>
        <v>300</v>
      </c>
      <c r="C303" s="97" t="str">
        <f t="shared" si="21"/>
        <v>May-26</v>
      </c>
      <c r="D303" s="96">
        <v>46161</v>
      </c>
      <c r="E303" s="95"/>
      <c r="F303" s="95" t="s">
        <v>2419</v>
      </c>
      <c r="G303" s="95" t="s">
        <v>163</v>
      </c>
      <c r="H303" s="94" t="s">
        <v>163</v>
      </c>
      <c r="I303" s="94" t="s">
        <v>2330</v>
      </c>
      <c r="J303" s="91" t="s">
        <v>298</v>
      </c>
      <c r="K303" s="91" t="s">
        <v>244</v>
      </c>
      <c r="L303" s="94">
        <v>700</v>
      </c>
      <c r="M303" s="93">
        <v>700</v>
      </c>
      <c r="N303" s="92">
        <v>76</v>
      </c>
      <c r="O303" s="92">
        <f t="shared" si="25"/>
        <v>53200</v>
      </c>
      <c r="P303" s="91">
        <f t="shared" si="22"/>
        <v>532</v>
      </c>
      <c r="Q303" s="91">
        <f t="shared" si="23"/>
        <v>52668</v>
      </c>
      <c r="R303" s="91"/>
    </row>
    <row r="304" spans="2:18" ht="12" customHeight="1" x14ac:dyDescent="0.3">
      <c r="B304" s="98">
        <f t="shared" si="24"/>
        <v>301</v>
      </c>
      <c r="C304" s="97" t="str">
        <f t="shared" si="21"/>
        <v>May-26</v>
      </c>
      <c r="D304" s="96">
        <v>46161</v>
      </c>
      <c r="E304" s="95">
        <v>3532</v>
      </c>
      <c r="F304" s="95">
        <v>1133</v>
      </c>
      <c r="G304" s="95" t="s">
        <v>422</v>
      </c>
      <c r="H304" s="94" t="s">
        <v>2399</v>
      </c>
      <c r="I304" s="94" t="s">
        <v>993</v>
      </c>
      <c r="J304" s="91" t="s">
        <v>2398</v>
      </c>
      <c r="K304" s="91" t="s">
        <v>2397</v>
      </c>
      <c r="L304" s="94">
        <v>6</v>
      </c>
      <c r="M304" s="93">
        <v>6</v>
      </c>
      <c r="N304" s="92"/>
      <c r="O304" s="92">
        <f t="shared" si="25"/>
        <v>0</v>
      </c>
      <c r="P304" s="91">
        <f t="shared" si="22"/>
        <v>0</v>
      </c>
      <c r="Q304" s="91">
        <f t="shared" si="23"/>
        <v>0</v>
      </c>
      <c r="R304" s="91"/>
    </row>
    <row r="305" spans="2:18" ht="12" customHeight="1" x14ac:dyDescent="0.3">
      <c r="B305" s="98">
        <f t="shared" si="24"/>
        <v>302</v>
      </c>
      <c r="C305" s="97" t="str">
        <f t="shared" si="21"/>
        <v>May-26</v>
      </c>
      <c r="D305" s="96">
        <v>46161</v>
      </c>
      <c r="E305" s="95">
        <v>582</v>
      </c>
      <c r="F305" s="95">
        <v>6519</v>
      </c>
      <c r="G305" s="95" t="s">
        <v>2402</v>
      </c>
      <c r="H305" s="94" t="s">
        <v>2401</v>
      </c>
      <c r="I305" s="94" t="s">
        <v>990</v>
      </c>
      <c r="J305" s="94" t="s">
        <v>990</v>
      </c>
      <c r="K305" s="91" t="s">
        <v>2397</v>
      </c>
      <c r="L305" s="94">
        <v>6</v>
      </c>
      <c r="M305" s="93">
        <v>6</v>
      </c>
      <c r="N305" s="92"/>
      <c r="O305" s="92">
        <f t="shared" si="25"/>
        <v>0</v>
      </c>
      <c r="P305" s="91">
        <f t="shared" si="22"/>
        <v>0</v>
      </c>
      <c r="Q305" s="91">
        <f t="shared" si="23"/>
        <v>0</v>
      </c>
      <c r="R305" s="91"/>
    </row>
    <row r="306" spans="2:18" ht="12" customHeight="1" x14ac:dyDescent="0.3">
      <c r="B306" s="98">
        <f t="shared" si="24"/>
        <v>303</v>
      </c>
      <c r="C306" s="97" t="str">
        <f t="shared" si="21"/>
        <v>May-26</v>
      </c>
      <c r="D306" s="96">
        <v>46161</v>
      </c>
      <c r="E306" s="95">
        <v>6497</v>
      </c>
      <c r="F306" s="95" t="s">
        <v>2418</v>
      </c>
      <c r="G306" s="95" t="s">
        <v>2417</v>
      </c>
      <c r="H306" s="95" t="s">
        <v>2417</v>
      </c>
      <c r="I306" s="94" t="s">
        <v>990</v>
      </c>
      <c r="J306" s="91" t="s">
        <v>2412</v>
      </c>
      <c r="K306" s="91" t="s">
        <v>2397</v>
      </c>
      <c r="L306" s="94">
        <v>6</v>
      </c>
      <c r="M306" s="93">
        <v>6</v>
      </c>
      <c r="N306" s="92"/>
      <c r="O306" s="92">
        <f t="shared" si="25"/>
        <v>0</v>
      </c>
      <c r="P306" s="91">
        <f t="shared" si="22"/>
        <v>0</v>
      </c>
      <c r="Q306" s="91">
        <f t="shared" si="23"/>
        <v>0</v>
      </c>
      <c r="R306" s="91"/>
    </row>
    <row r="307" spans="2:18" ht="12" customHeight="1" x14ac:dyDescent="0.3">
      <c r="B307" s="98">
        <f t="shared" si="24"/>
        <v>304</v>
      </c>
      <c r="C307" s="97" t="str">
        <f t="shared" si="21"/>
        <v>May-26</v>
      </c>
      <c r="D307" s="96">
        <v>46161</v>
      </c>
      <c r="E307" s="95"/>
      <c r="F307" s="95" t="s">
        <v>2416</v>
      </c>
      <c r="G307" s="95" t="s">
        <v>2415</v>
      </c>
      <c r="H307" s="94" t="s">
        <v>2414</v>
      </c>
      <c r="I307" s="94" t="s">
        <v>300</v>
      </c>
      <c r="J307" s="91" t="s">
        <v>2413</v>
      </c>
      <c r="K307" s="91" t="s">
        <v>244</v>
      </c>
      <c r="L307" s="94">
        <v>1800</v>
      </c>
      <c r="M307" s="93">
        <v>1800</v>
      </c>
      <c r="N307" s="92">
        <v>76</v>
      </c>
      <c r="O307" s="92">
        <f t="shared" si="25"/>
        <v>136800</v>
      </c>
      <c r="P307" s="91">
        <f t="shared" si="22"/>
        <v>1368</v>
      </c>
      <c r="Q307" s="91">
        <f t="shared" si="23"/>
        <v>135432</v>
      </c>
      <c r="R307" s="91"/>
    </row>
    <row r="308" spans="2:18" ht="12" customHeight="1" x14ac:dyDescent="0.3">
      <c r="B308" s="98">
        <f t="shared" si="24"/>
        <v>305</v>
      </c>
      <c r="C308" s="97" t="str">
        <f t="shared" si="21"/>
        <v>May-26</v>
      </c>
      <c r="D308" s="96">
        <v>46161</v>
      </c>
      <c r="E308" s="95"/>
      <c r="F308" s="95"/>
      <c r="G308" s="95" t="s">
        <v>163</v>
      </c>
      <c r="H308" s="94" t="s">
        <v>163</v>
      </c>
      <c r="I308" s="94" t="s">
        <v>2330</v>
      </c>
      <c r="J308" s="91" t="s">
        <v>298</v>
      </c>
      <c r="K308" s="91" t="s">
        <v>253</v>
      </c>
      <c r="L308" s="94">
        <v>1000</v>
      </c>
      <c r="M308" s="93">
        <v>1000</v>
      </c>
      <c r="N308" s="92"/>
      <c r="O308" s="92">
        <f t="shared" si="25"/>
        <v>0</v>
      </c>
      <c r="P308" s="91">
        <f t="shared" si="22"/>
        <v>0</v>
      </c>
      <c r="Q308" s="91">
        <f t="shared" si="23"/>
        <v>0</v>
      </c>
      <c r="R308" s="91"/>
    </row>
    <row r="309" spans="2:18" ht="12" customHeight="1" x14ac:dyDescent="0.3">
      <c r="B309" s="98">
        <f t="shared" si="24"/>
        <v>306</v>
      </c>
      <c r="C309" s="97" t="str">
        <f t="shared" si="21"/>
        <v>May-26</v>
      </c>
      <c r="D309" s="96">
        <v>46160</v>
      </c>
      <c r="E309" s="95">
        <v>1242</v>
      </c>
      <c r="F309" s="95">
        <v>359</v>
      </c>
      <c r="G309" s="95" t="s">
        <v>2402</v>
      </c>
      <c r="H309" s="94" t="s">
        <v>2401</v>
      </c>
      <c r="I309" s="94" t="s">
        <v>990</v>
      </c>
      <c r="J309" s="91" t="s">
        <v>2412</v>
      </c>
      <c r="K309" s="91" t="s">
        <v>2397</v>
      </c>
      <c r="L309" s="94">
        <v>6</v>
      </c>
      <c r="M309" s="93">
        <v>6</v>
      </c>
      <c r="N309" s="92"/>
      <c r="O309" s="92">
        <f t="shared" si="25"/>
        <v>0</v>
      </c>
      <c r="P309" s="91">
        <f t="shared" si="22"/>
        <v>0</v>
      </c>
      <c r="Q309" s="91">
        <f t="shared" si="23"/>
        <v>0</v>
      </c>
      <c r="R309" s="91"/>
    </row>
    <row r="310" spans="2:18" ht="12" customHeight="1" x14ac:dyDescent="0.3">
      <c r="B310" s="98">
        <f t="shared" si="24"/>
        <v>307</v>
      </c>
      <c r="C310" s="97" t="str">
        <f t="shared" si="21"/>
        <v>May-26</v>
      </c>
      <c r="D310" s="96">
        <v>46160</v>
      </c>
      <c r="E310" s="95"/>
      <c r="F310" s="95" t="s">
        <v>2411</v>
      </c>
      <c r="G310" s="95" t="s">
        <v>163</v>
      </c>
      <c r="H310" s="94" t="s">
        <v>163</v>
      </c>
      <c r="I310" s="94" t="s">
        <v>257</v>
      </c>
      <c r="J310" s="91" t="s">
        <v>257</v>
      </c>
      <c r="K310" s="91" t="s">
        <v>244</v>
      </c>
      <c r="L310" s="94">
        <v>700</v>
      </c>
      <c r="M310" s="93">
        <v>700</v>
      </c>
      <c r="N310" s="92"/>
      <c r="O310" s="92">
        <f t="shared" si="25"/>
        <v>0</v>
      </c>
      <c r="P310" s="91">
        <f t="shared" si="22"/>
        <v>0</v>
      </c>
      <c r="Q310" s="91">
        <f t="shared" si="23"/>
        <v>0</v>
      </c>
      <c r="R310" s="91"/>
    </row>
    <row r="311" spans="2:18" ht="12" customHeight="1" x14ac:dyDescent="0.3">
      <c r="B311" s="98">
        <f t="shared" si="24"/>
        <v>308</v>
      </c>
      <c r="C311" s="97" t="str">
        <f t="shared" si="21"/>
        <v>May-26</v>
      </c>
      <c r="D311" s="96">
        <v>46159</v>
      </c>
      <c r="E311" s="95"/>
      <c r="F311" s="95" t="s">
        <v>2411</v>
      </c>
      <c r="G311" s="95" t="s">
        <v>163</v>
      </c>
      <c r="H311" s="94" t="s">
        <v>163</v>
      </c>
      <c r="I311" s="94" t="s">
        <v>257</v>
      </c>
      <c r="J311" s="91" t="s">
        <v>257</v>
      </c>
      <c r="K311" s="91" t="s">
        <v>253</v>
      </c>
      <c r="L311" s="94">
        <v>1000</v>
      </c>
      <c r="M311" s="93">
        <v>1000</v>
      </c>
      <c r="N311" s="92"/>
      <c r="O311" s="92">
        <f t="shared" si="25"/>
        <v>0</v>
      </c>
      <c r="P311" s="91">
        <f t="shared" si="22"/>
        <v>0</v>
      </c>
      <c r="Q311" s="91">
        <f t="shared" si="23"/>
        <v>0</v>
      </c>
      <c r="R311" s="91"/>
    </row>
    <row r="312" spans="2:18" ht="12" customHeight="1" x14ac:dyDescent="0.3">
      <c r="B312" s="98">
        <f t="shared" si="24"/>
        <v>309</v>
      </c>
      <c r="C312" s="97" t="str">
        <f t="shared" si="21"/>
        <v>May-26</v>
      </c>
      <c r="D312" s="96">
        <v>46159</v>
      </c>
      <c r="E312" s="95">
        <v>580</v>
      </c>
      <c r="F312" s="95">
        <v>6519</v>
      </c>
      <c r="G312" s="95" t="s">
        <v>2402</v>
      </c>
      <c r="H312" s="94" t="s">
        <v>2401</v>
      </c>
      <c r="I312" s="94"/>
      <c r="J312" s="91" t="s">
        <v>2410</v>
      </c>
      <c r="K312" s="91" t="s">
        <v>2397</v>
      </c>
      <c r="L312" s="94">
        <v>6</v>
      </c>
      <c r="M312" s="93">
        <v>6</v>
      </c>
      <c r="N312" s="92"/>
      <c r="O312" s="92">
        <f t="shared" si="25"/>
        <v>0</v>
      </c>
      <c r="P312" s="91">
        <f t="shared" si="22"/>
        <v>0</v>
      </c>
      <c r="Q312" s="91">
        <f t="shared" si="23"/>
        <v>0</v>
      </c>
      <c r="R312" s="91"/>
    </row>
    <row r="313" spans="2:18" ht="12" customHeight="1" x14ac:dyDescent="0.3">
      <c r="B313" s="98">
        <f t="shared" si="24"/>
        <v>310</v>
      </c>
      <c r="C313" s="97" t="str">
        <f t="shared" si="21"/>
        <v>May-26</v>
      </c>
      <c r="D313" s="96">
        <v>46159</v>
      </c>
      <c r="E313" s="95">
        <v>579</v>
      </c>
      <c r="F313" s="95">
        <v>408</v>
      </c>
      <c r="G313" s="95" t="s">
        <v>2402</v>
      </c>
      <c r="H313" s="94" t="s">
        <v>2401</v>
      </c>
      <c r="I313" s="94"/>
      <c r="J313" s="91" t="s">
        <v>2410</v>
      </c>
      <c r="K313" s="91" t="s">
        <v>2397</v>
      </c>
      <c r="L313" s="94">
        <v>6</v>
      </c>
      <c r="M313" s="93">
        <v>6</v>
      </c>
      <c r="N313" s="92"/>
      <c r="O313" s="92">
        <f t="shared" si="25"/>
        <v>0</v>
      </c>
      <c r="P313" s="91">
        <f t="shared" si="22"/>
        <v>0</v>
      </c>
      <c r="Q313" s="91">
        <f t="shared" si="23"/>
        <v>0</v>
      </c>
      <c r="R313" s="91"/>
    </row>
    <row r="314" spans="2:18" ht="12" customHeight="1" x14ac:dyDescent="0.3">
      <c r="B314" s="98">
        <f t="shared" si="24"/>
        <v>311</v>
      </c>
      <c r="C314" s="97" t="str">
        <f t="shared" si="21"/>
        <v>May-26</v>
      </c>
      <c r="D314" s="96">
        <v>46159</v>
      </c>
      <c r="E314" s="95">
        <v>578</v>
      </c>
      <c r="F314" s="95">
        <v>6519</v>
      </c>
      <c r="G314" s="95" t="s">
        <v>2402</v>
      </c>
      <c r="H314" s="94" t="s">
        <v>2401</v>
      </c>
      <c r="I314" s="94"/>
      <c r="J314" s="91" t="s">
        <v>2410</v>
      </c>
      <c r="K314" s="91" t="s">
        <v>2397</v>
      </c>
      <c r="L314" s="94">
        <v>6</v>
      </c>
      <c r="M314" s="93">
        <v>6</v>
      </c>
      <c r="N314" s="92"/>
      <c r="O314" s="92">
        <f t="shared" si="25"/>
        <v>0</v>
      </c>
      <c r="P314" s="91">
        <f t="shared" si="22"/>
        <v>0</v>
      </c>
      <c r="Q314" s="91">
        <f t="shared" si="23"/>
        <v>0</v>
      </c>
      <c r="R314" s="91"/>
    </row>
    <row r="315" spans="2:18" ht="12" customHeight="1" x14ac:dyDescent="0.3">
      <c r="B315" s="98">
        <f t="shared" si="24"/>
        <v>312</v>
      </c>
      <c r="C315" s="97" t="str">
        <f t="shared" si="21"/>
        <v>Apr-26</v>
      </c>
      <c r="D315" s="96">
        <v>46117</v>
      </c>
      <c r="E315" s="95"/>
      <c r="F315" s="95"/>
      <c r="G315" s="95" t="s">
        <v>2402</v>
      </c>
      <c r="H315" s="94" t="s">
        <v>2409</v>
      </c>
      <c r="I315" s="94" t="s">
        <v>316</v>
      </c>
      <c r="J315" s="91" t="s">
        <v>2424</v>
      </c>
      <c r="K315" s="91" t="s">
        <v>2397</v>
      </c>
      <c r="L315" s="94">
        <v>6</v>
      </c>
      <c r="M315" s="93">
        <v>6</v>
      </c>
      <c r="N315" s="92">
        <v>4700</v>
      </c>
      <c r="O315" s="92">
        <f t="shared" si="25"/>
        <v>28200</v>
      </c>
      <c r="P315" s="91">
        <f t="shared" si="22"/>
        <v>282</v>
      </c>
      <c r="Q315" s="91">
        <f t="shared" si="23"/>
        <v>27918</v>
      </c>
      <c r="R315" s="91"/>
    </row>
    <row r="316" spans="2:18" ht="12" customHeight="1" x14ac:dyDescent="0.3">
      <c r="B316" s="98">
        <f t="shared" si="24"/>
        <v>313</v>
      </c>
      <c r="C316" s="97" t="str">
        <f t="shared" si="21"/>
        <v>Apr-26</v>
      </c>
      <c r="D316" s="96">
        <v>46117</v>
      </c>
      <c r="E316" s="95"/>
      <c r="F316" s="95"/>
      <c r="G316" s="95" t="s">
        <v>2402</v>
      </c>
      <c r="H316" s="94" t="s">
        <v>2409</v>
      </c>
      <c r="I316" s="94" t="s">
        <v>316</v>
      </c>
      <c r="J316" s="91" t="s">
        <v>2424</v>
      </c>
      <c r="K316" s="91" t="s">
        <v>2397</v>
      </c>
      <c r="L316" s="94">
        <v>6</v>
      </c>
      <c r="M316" s="93">
        <v>6</v>
      </c>
      <c r="N316" s="92">
        <v>4700</v>
      </c>
      <c r="O316" s="92">
        <f t="shared" si="25"/>
        <v>28200</v>
      </c>
      <c r="P316" s="91">
        <f t="shared" si="22"/>
        <v>282</v>
      </c>
      <c r="Q316" s="91">
        <f t="shared" si="23"/>
        <v>27918</v>
      </c>
      <c r="R316" s="91"/>
    </row>
    <row r="317" spans="2:18" ht="12" customHeight="1" x14ac:dyDescent="0.3">
      <c r="B317" s="106">
        <f t="shared" si="24"/>
        <v>314</v>
      </c>
      <c r="C317" s="105" t="str">
        <f t="shared" si="21"/>
        <v>May-26</v>
      </c>
      <c r="D317" s="104">
        <v>46158</v>
      </c>
      <c r="E317" s="103"/>
      <c r="F317" s="103" t="s">
        <v>2408</v>
      </c>
      <c r="G317" s="103" t="s">
        <v>163</v>
      </c>
      <c r="H317" s="101" t="s">
        <v>163</v>
      </c>
      <c r="I317" s="101" t="s">
        <v>2407</v>
      </c>
      <c r="J317" s="102" t="s">
        <v>2406</v>
      </c>
      <c r="K317" s="102" t="s">
        <v>244</v>
      </c>
      <c r="L317" s="101">
        <v>1000</v>
      </c>
      <c r="M317" s="100">
        <v>1000</v>
      </c>
      <c r="N317" s="99"/>
      <c r="O317" s="99">
        <f t="shared" si="25"/>
        <v>0</v>
      </c>
      <c r="P317" s="91">
        <f t="shared" si="22"/>
        <v>0</v>
      </c>
      <c r="Q317" s="91">
        <f t="shared" si="23"/>
        <v>0</v>
      </c>
      <c r="R317" s="91"/>
    </row>
    <row r="318" spans="2:18" ht="12" customHeight="1" x14ac:dyDescent="0.3">
      <c r="B318" s="98">
        <f t="shared" si="24"/>
        <v>315</v>
      </c>
      <c r="C318" s="97" t="str">
        <f t="shared" si="21"/>
        <v>May-26</v>
      </c>
      <c r="D318" s="96">
        <v>46158</v>
      </c>
      <c r="E318" s="95">
        <v>3477</v>
      </c>
      <c r="F318" s="95">
        <v>1166</v>
      </c>
      <c r="G318" s="95" t="s">
        <v>422</v>
      </c>
      <c r="H318" s="94" t="s">
        <v>2399</v>
      </c>
      <c r="I318" s="94" t="s">
        <v>991</v>
      </c>
      <c r="J318" s="94" t="s">
        <v>991</v>
      </c>
      <c r="K318" s="91" t="s">
        <v>2397</v>
      </c>
      <c r="L318" s="94">
        <v>6</v>
      </c>
      <c r="M318" s="93">
        <v>6</v>
      </c>
      <c r="N318" s="92"/>
      <c r="O318" s="92">
        <f t="shared" si="25"/>
        <v>0</v>
      </c>
      <c r="P318" s="91">
        <f t="shared" si="22"/>
        <v>0</v>
      </c>
      <c r="Q318" s="91">
        <f t="shared" si="23"/>
        <v>0</v>
      </c>
      <c r="R318" s="91"/>
    </row>
    <row r="319" spans="2:18" ht="12" customHeight="1" x14ac:dyDescent="0.3">
      <c r="B319" s="98">
        <f t="shared" si="24"/>
        <v>316</v>
      </c>
      <c r="C319" s="97" t="str">
        <f t="shared" si="21"/>
        <v>May-26</v>
      </c>
      <c r="D319" s="96">
        <v>46158</v>
      </c>
      <c r="E319" s="95">
        <v>3476</v>
      </c>
      <c r="F319" s="95">
        <v>1155</v>
      </c>
      <c r="G319" s="95" t="s">
        <v>422</v>
      </c>
      <c r="H319" s="94" t="s">
        <v>2399</v>
      </c>
      <c r="I319" s="94" t="s">
        <v>993</v>
      </c>
      <c r="J319" s="91" t="s">
        <v>2398</v>
      </c>
      <c r="K319" s="91" t="s">
        <v>2397</v>
      </c>
      <c r="L319" s="94">
        <v>6</v>
      </c>
      <c r="M319" s="93">
        <v>6</v>
      </c>
      <c r="N319" s="92"/>
      <c r="O319" s="92">
        <f t="shared" si="25"/>
        <v>0</v>
      </c>
      <c r="P319" s="91">
        <f t="shared" si="22"/>
        <v>0</v>
      </c>
      <c r="Q319" s="91">
        <f t="shared" si="23"/>
        <v>0</v>
      </c>
      <c r="R319" s="91"/>
    </row>
    <row r="320" spans="2:18" ht="12" customHeight="1" x14ac:dyDescent="0.3">
      <c r="B320" s="98">
        <f t="shared" si="24"/>
        <v>317</v>
      </c>
      <c r="C320" s="97" t="str">
        <f t="shared" si="21"/>
        <v>May-26</v>
      </c>
      <c r="D320" s="96">
        <v>46158</v>
      </c>
      <c r="E320" s="95">
        <v>3466</v>
      </c>
      <c r="F320" s="95">
        <v>1166</v>
      </c>
      <c r="G320" s="95" t="s">
        <v>422</v>
      </c>
      <c r="H320" s="94" t="s">
        <v>2399</v>
      </c>
      <c r="I320" s="94"/>
      <c r="J320" s="91" t="s">
        <v>2405</v>
      </c>
      <c r="K320" s="91" t="s">
        <v>2397</v>
      </c>
      <c r="L320" s="94">
        <v>6</v>
      </c>
      <c r="M320" s="93">
        <v>6</v>
      </c>
      <c r="N320" s="92"/>
      <c r="O320" s="92">
        <f t="shared" si="25"/>
        <v>0</v>
      </c>
      <c r="P320" s="91">
        <f t="shared" si="22"/>
        <v>0</v>
      </c>
      <c r="Q320" s="91">
        <f t="shared" si="23"/>
        <v>0</v>
      </c>
      <c r="R320" s="91"/>
    </row>
    <row r="321" spans="2:18" ht="12" customHeight="1" x14ac:dyDescent="0.3">
      <c r="B321" s="98">
        <f t="shared" si="24"/>
        <v>318</v>
      </c>
      <c r="C321" s="97" t="str">
        <f t="shared" si="21"/>
        <v>May-26</v>
      </c>
      <c r="D321" s="96">
        <v>46158</v>
      </c>
      <c r="E321" s="95">
        <v>3467</v>
      </c>
      <c r="F321" s="95">
        <v>1155</v>
      </c>
      <c r="G321" s="95" t="s">
        <v>422</v>
      </c>
      <c r="H321" s="94" t="s">
        <v>2399</v>
      </c>
      <c r="I321" s="94" t="s">
        <v>443</v>
      </c>
      <c r="J321" s="91" t="s">
        <v>2403</v>
      </c>
      <c r="K321" s="91" t="s">
        <v>2397</v>
      </c>
      <c r="L321" s="94">
        <v>6</v>
      </c>
      <c r="M321" s="93">
        <v>6</v>
      </c>
      <c r="N321" s="92"/>
      <c r="O321" s="92">
        <f t="shared" si="25"/>
        <v>0</v>
      </c>
      <c r="P321" s="91">
        <f t="shared" si="22"/>
        <v>0</v>
      </c>
      <c r="Q321" s="91">
        <f t="shared" si="23"/>
        <v>0</v>
      </c>
      <c r="R321" s="91"/>
    </row>
    <row r="322" spans="2:18" ht="12" customHeight="1" x14ac:dyDescent="0.3">
      <c r="B322" s="98">
        <f t="shared" si="24"/>
        <v>319</v>
      </c>
      <c r="C322" s="97" t="str">
        <f t="shared" si="21"/>
        <v>May-26</v>
      </c>
      <c r="D322" s="96">
        <v>46158</v>
      </c>
      <c r="E322" s="95">
        <v>164</v>
      </c>
      <c r="F322" s="95">
        <v>6519</v>
      </c>
      <c r="G322" s="95" t="s">
        <v>2402</v>
      </c>
      <c r="H322" s="94" t="s">
        <v>2401</v>
      </c>
      <c r="I322" s="94" t="s">
        <v>990</v>
      </c>
      <c r="J322" s="91" t="s">
        <v>990</v>
      </c>
      <c r="K322" s="91" t="s">
        <v>2397</v>
      </c>
      <c r="L322" s="94">
        <v>6</v>
      </c>
      <c r="M322" s="93">
        <v>6</v>
      </c>
      <c r="N322" s="92"/>
      <c r="O322" s="92">
        <f t="shared" si="25"/>
        <v>0</v>
      </c>
      <c r="P322" s="91">
        <f t="shared" si="22"/>
        <v>0</v>
      </c>
      <c r="Q322" s="91">
        <f t="shared" si="23"/>
        <v>0</v>
      </c>
      <c r="R322" s="91"/>
    </row>
    <row r="323" spans="2:18" ht="12" customHeight="1" x14ac:dyDescent="0.3">
      <c r="B323" s="98">
        <f t="shared" si="24"/>
        <v>320</v>
      </c>
      <c r="C323" s="97" t="str">
        <f t="shared" si="21"/>
        <v>May-26</v>
      </c>
      <c r="D323" s="96">
        <v>46158</v>
      </c>
      <c r="E323" s="95">
        <v>3462</v>
      </c>
      <c r="F323" s="95">
        <v>1144</v>
      </c>
      <c r="G323" s="95" t="s">
        <v>422</v>
      </c>
      <c r="H323" s="94" t="s">
        <v>2399</v>
      </c>
      <c r="I323" s="94" t="s">
        <v>443</v>
      </c>
      <c r="J323" s="91" t="s">
        <v>2403</v>
      </c>
      <c r="K323" s="91" t="s">
        <v>2397</v>
      </c>
      <c r="L323" s="94">
        <v>6</v>
      </c>
      <c r="M323" s="93">
        <v>6</v>
      </c>
      <c r="N323" s="92"/>
      <c r="O323" s="92">
        <f t="shared" si="25"/>
        <v>0</v>
      </c>
      <c r="P323" s="91">
        <f t="shared" si="22"/>
        <v>0</v>
      </c>
      <c r="Q323" s="91">
        <f t="shared" si="23"/>
        <v>0</v>
      </c>
      <c r="R323" s="91"/>
    </row>
    <row r="324" spans="2:18" ht="12" customHeight="1" x14ac:dyDescent="0.3">
      <c r="B324" s="98">
        <f t="shared" si="24"/>
        <v>321</v>
      </c>
      <c r="C324" s="97" t="str">
        <f t="shared" ref="C324:C387" si="26">CONCATENATE(TEXT(D324,"mmm"),"-",TEXT(D324,"yy"))</f>
        <v>May-26</v>
      </c>
      <c r="D324" s="96">
        <v>46158</v>
      </c>
      <c r="E324" s="95">
        <v>22584</v>
      </c>
      <c r="F324" s="95">
        <v>4646</v>
      </c>
      <c r="G324" s="95" t="s">
        <v>422</v>
      </c>
      <c r="H324" s="94" t="s">
        <v>2399</v>
      </c>
      <c r="I324" s="94"/>
      <c r="J324" s="91" t="s">
        <v>2398</v>
      </c>
      <c r="K324" s="91" t="s">
        <v>2397</v>
      </c>
      <c r="L324" s="94">
        <v>6</v>
      </c>
      <c r="M324" s="93">
        <v>6</v>
      </c>
      <c r="N324" s="92"/>
      <c r="O324" s="92">
        <f t="shared" si="25"/>
        <v>0</v>
      </c>
      <c r="P324" s="91">
        <f t="shared" ref="P324:P387" si="27">O324*1%</f>
        <v>0</v>
      </c>
      <c r="Q324" s="91">
        <f t="shared" ref="Q324:Q387" si="28">O324-P324</f>
        <v>0</v>
      </c>
      <c r="R324" s="91"/>
    </row>
    <row r="325" spans="2:18" ht="12" customHeight="1" x14ac:dyDescent="0.3">
      <c r="B325" s="98">
        <f t="shared" ref="B325:B388" si="29">+B324+1</f>
        <v>322</v>
      </c>
      <c r="C325" s="97" t="str">
        <f t="shared" si="26"/>
        <v>May-26</v>
      </c>
      <c r="D325" s="96">
        <v>46158</v>
      </c>
      <c r="E325" s="95">
        <v>3451</v>
      </c>
      <c r="F325" s="95">
        <v>1166</v>
      </c>
      <c r="G325" s="95" t="s">
        <v>422</v>
      </c>
      <c r="H325" s="94" t="s">
        <v>2399</v>
      </c>
      <c r="I325" s="94" t="s">
        <v>498</v>
      </c>
      <c r="J325" s="91" t="s">
        <v>498</v>
      </c>
      <c r="K325" s="91" t="s">
        <v>2397</v>
      </c>
      <c r="L325" s="94">
        <v>6</v>
      </c>
      <c r="M325" s="93">
        <v>6</v>
      </c>
      <c r="N325" s="92"/>
      <c r="O325" s="92">
        <f t="shared" si="25"/>
        <v>0</v>
      </c>
      <c r="P325" s="91">
        <f t="shared" si="27"/>
        <v>0</v>
      </c>
      <c r="Q325" s="91">
        <f t="shared" si="28"/>
        <v>0</v>
      </c>
      <c r="R325" s="91"/>
    </row>
    <row r="326" spans="2:18" ht="12" customHeight="1" x14ac:dyDescent="0.3">
      <c r="B326" s="98">
        <f t="shared" si="29"/>
        <v>323</v>
      </c>
      <c r="C326" s="97" t="str">
        <f t="shared" si="26"/>
        <v>May-26</v>
      </c>
      <c r="D326" s="96">
        <v>46158</v>
      </c>
      <c r="E326" s="95">
        <v>163</v>
      </c>
      <c r="F326" s="95">
        <v>408</v>
      </c>
      <c r="G326" s="95" t="s">
        <v>2402</v>
      </c>
      <c r="H326" s="94" t="s">
        <v>2401</v>
      </c>
      <c r="I326" s="94"/>
      <c r="J326" s="91" t="s">
        <v>2404</v>
      </c>
      <c r="K326" s="91" t="s">
        <v>2397</v>
      </c>
      <c r="L326" s="94">
        <v>6</v>
      </c>
      <c r="M326" s="93">
        <v>6</v>
      </c>
      <c r="N326" s="92"/>
      <c r="O326" s="92">
        <f t="shared" si="25"/>
        <v>0</v>
      </c>
      <c r="P326" s="91">
        <f t="shared" si="27"/>
        <v>0</v>
      </c>
      <c r="Q326" s="91">
        <f t="shared" si="28"/>
        <v>0</v>
      </c>
      <c r="R326" s="91"/>
    </row>
    <row r="327" spans="2:18" ht="12" customHeight="1" x14ac:dyDescent="0.3">
      <c r="B327" s="98">
        <f t="shared" si="29"/>
        <v>324</v>
      </c>
      <c r="C327" s="97" t="str">
        <f t="shared" si="26"/>
        <v>May-26</v>
      </c>
      <c r="D327" s="96">
        <v>46158</v>
      </c>
      <c r="E327" s="95">
        <v>162</v>
      </c>
      <c r="F327" s="95">
        <v>408</v>
      </c>
      <c r="G327" s="95" t="s">
        <v>2402</v>
      </c>
      <c r="H327" s="94" t="s">
        <v>2401</v>
      </c>
      <c r="I327" s="94"/>
      <c r="J327" s="91" t="s">
        <v>2404</v>
      </c>
      <c r="K327" s="91" t="s">
        <v>2397</v>
      </c>
      <c r="L327" s="94">
        <v>6</v>
      </c>
      <c r="M327" s="93">
        <v>6</v>
      </c>
      <c r="N327" s="92"/>
      <c r="O327" s="92">
        <f t="shared" si="25"/>
        <v>0</v>
      </c>
      <c r="P327" s="91">
        <f t="shared" si="27"/>
        <v>0</v>
      </c>
      <c r="Q327" s="91">
        <f t="shared" si="28"/>
        <v>0</v>
      </c>
      <c r="R327" s="91"/>
    </row>
    <row r="328" spans="2:18" ht="12" customHeight="1" x14ac:dyDescent="0.3">
      <c r="B328" s="98">
        <f t="shared" si="29"/>
        <v>325</v>
      </c>
      <c r="C328" s="97" t="str">
        <f t="shared" si="26"/>
        <v>May-26</v>
      </c>
      <c r="D328" s="96">
        <v>46158</v>
      </c>
      <c r="E328" s="95">
        <v>3456</v>
      </c>
      <c r="F328" s="95">
        <v>1155</v>
      </c>
      <c r="G328" s="95" t="s">
        <v>422</v>
      </c>
      <c r="H328" s="94" t="s">
        <v>2399</v>
      </c>
      <c r="I328" s="94" t="s">
        <v>443</v>
      </c>
      <c r="J328" s="91" t="s">
        <v>2403</v>
      </c>
      <c r="K328" s="91" t="s">
        <v>2397</v>
      </c>
      <c r="L328" s="94">
        <v>6</v>
      </c>
      <c r="M328" s="93">
        <v>6</v>
      </c>
      <c r="N328" s="92"/>
      <c r="O328" s="92">
        <f t="shared" si="25"/>
        <v>0</v>
      </c>
      <c r="P328" s="91">
        <f t="shared" si="27"/>
        <v>0</v>
      </c>
      <c r="Q328" s="91">
        <f t="shared" si="28"/>
        <v>0</v>
      </c>
      <c r="R328" s="91"/>
    </row>
    <row r="329" spans="2:18" ht="12" customHeight="1" x14ac:dyDescent="0.3">
      <c r="B329" s="98">
        <f t="shared" si="29"/>
        <v>326</v>
      </c>
      <c r="C329" s="97" t="str">
        <f t="shared" si="26"/>
        <v>May-26</v>
      </c>
      <c r="D329" s="96">
        <v>46158</v>
      </c>
      <c r="E329" s="95">
        <v>161</v>
      </c>
      <c r="F329" s="95">
        <v>6519</v>
      </c>
      <c r="G329" s="95" t="s">
        <v>2402</v>
      </c>
      <c r="H329" s="94" t="s">
        <v>2401</v>
      </c>
      <c r="I329" s="94" t="s">
        <v>990</v>
      </c>
      <c r="J329" s="91" t="s">
        <v>2400</v>
      </c>
      <c r="K329" s="91" t="s">
        <v>2397</v>
      </c>
      <c r="L329" s="94">
        <v>6</v>
      </c>
      <c r="M329" s="93">
        <v>6</v>
      </c>
      <c r="N329" s="92"/>
      <c r="O329" s="92">
        <f t="shared" si="25"/>
        <v>0</v>
      </c>
      <c r="P329" s="91">
        <f t="shared" si="27"/>
        <v>0</v>
      </c>
      <c r="Q329" s="91">
        <f t="shared" si="28"/>
        <v>0</v>
      </c>
      <c r="R329" s="91"/>
    </row>
    <row r="330" spans="2:18" ht="12" customHeight="1" x14ac:dyDescent="0.3">
      <c r="B330" s="98">
        <f t="shared" si="29"/>
        <v>327</v>
      </c>
      <c r="C330" s="97" t="str">
        <f t="shared" si="26"/>
        <v>May-26</v>
      </c>
      <c r="D330" s="96">
        <v>46158</v>
      </c>
      <c r="E330" s="95">
        <v>3452</v>
      </c>
      <c r="F330" s="95">
        <v>1133</v>
      </c>
      <c r="G330" s="95" t="s">
        <v>422</v>
      </c>
      <c r="H330" s="94" t="s">
        <v>2399</v>
      </c>
      <c r="I330" s="94"/>
      <c r="J330" s="91" t="s">
        <v>2398</v>
      </c>
      <c r="K330" s="91" t="s">
        <v>2397</v>
      </c>
      <c r="L330" s="94">
        <v>6</v>
      </c>
      <c r="M330" s="93">
        <v>6</v>
      </c>
      <c r="N330" s="92"/>
      <c r="O330" s="92">
        <f t="shared" si="25"/>
        <v>0</v>
      </c>
      <c r="P330" s="91">
        <f t="shared" si="27"/>
        <v>0</v>
      </c>
      <c r="Q330" s="91">
        <f t="shared" si="28"/>
        <v>0</v>
      </c>
      <c r="R330" s="91"/>
    </row>
    <row r="331" spans="2:18" ht="12" customHeight="1" x14ac:dyDescent="0.3">
      <c r="B331" s="98">
        <f t="shared" si="29"/>
        <v>328</v>
      </c>
      <c r="C331" s="97" t="str">
        <f t="shared" si="26"/>
        <v>Jan-00</v>
      </c>
      <c r="D331" s="96"/>
      <c r="E331" s="95"/>
      <c r="F331" s="95"/>
      <c r="G331" s="95"/>
      <c r="H331" s="94"/>
      <c r="I331" s="94"/>
      <c r="J331" s="91"/>
      <c r="K331" s="91"/>
      <c r="L331" s="94"/>
      <c r="M331" s="93"/>
      <c r="N331" s="92"/>
      <c r="O331" s="92">
        <f t="shared" si="25"/>
        <v>0</v>
      </c>
      <c r="P331" s="91">
        <f t="shared" si="27"/>
        <v>0</v>
      </c>
      <c r="Q331" s="91">
        <f t="shared" si="28"/>
        <v>0</v>
      </c>
      <c r="R331" s="91"/>
    </row>
    <row r="332" spans="2:18" ht="12" customHeight="1" x14ac:dyDescent="0.3">
      <c r="B332" s="98">
        <f t="shared" si="29"/>
        <v>329</v>
      </c>
      <c r="C332" s="97" t="str">
        <f t="shared" si="26"/>
        <v>Jan-00</v>
      </c>
      <c r="D332" s="96"/>
      <c r="E332" s="95"/>
      <c r="F332" s="95"/>
      <c r="G332" s="95"/>
      <c r="H332" s="94"/>
      <c r="I332" s="94"/>
      <c r="J332" s="91"/>
      <c r="K332" s="91"/>
      <c r="L332" s="94"/>
      <c r="M332" s="93"/>
      <c r="N332" s="92"/>
      <c r="O332" s="92">
        <f t="shared" si="25"/>
        <v>0</v>
      </c>
      <c r="P332" s="91">
        <f t="shared" si="27"/>
        <v>0</v>
      </c>
      <c r="Q332" s="91">
        <f t="shared" si="28"/>
        <v>0</v>
      </c>
      <c r="R332" s="91"/>
    </row>
    <row r="333" spans="2:18" ht="12" customHeight="1" x14ac:dyDescent="0.3">
      <c r="B333" s="98">
        <f t="shared" si="29"/>
        <v>330</v>
      </c>
      <c r="C333" s="97" t="str">
        <f t="shared" si="26"/>
        <v>Jan-00</v>
      </c>
      <c r="D333" s="96"/>
      <c r="E333" s="95"/>
      <c r="F333" s="95"/>
      <c r="G333" s="95"/>
      <c r="H333" s="94"/>
      <c r="I333" s="94"/>
      <c r="J333" s="91"/>
      <c r="K333" s="91"/>
      <c r="L333" s="94"/>
      <c r="M333" s="93"/>
      <c r="N333" s="92"/>
      <c r="O333" s="92">
        <f t="shared" si="25"/>
        <v>0</v>
      </c>
      <c r="P333" s="91">
        <f t="shared" si="27"/>
        <v>0</v>
      </c>
      <c r="Q333" s="91">
        <f t="shared" si="28"/>
        <v>0</v>
      </c>
      <c r="R333" s="91"/>
    </row>
    <row r="334" spans="2:18" ht="12" customHeight="1" x14ac:dyDescent="0.3">
      <c r="B334" s="98">
        <f t="shared" si="29"/>
        <v>331</v>
      </c>
      <c r="C334" s="97" t="str">
        <f t="shared" si="26"/>
        <v>Jan-00</v>
      </c>
      <c r="D334" s="96"/>
      <c r="E334" s="95"/>
      <c r="F334" s="95"/>
      <c r="G334" s="95"/>
      <c r="H334" s="94"/>
      <c r="I334" s="94"/>
      <c r="J334" s="91"/>
      <c r="K334" s="91"/>
      <c r="L334" s="94"/>
      <c r="M334" s="93"/>
      <c r="N334" s="92"/>
      <c r="O334" s="92">
        <f t="shared" si="25"/>
        <v>0</v>
      </c>
      <c r="P334" s="91">
        <f t="shared" si="27"/>
        <v>0</v>
      </c>
      <c r="Q334" s="91">
        <f t="shared" si="28"/>
        <v>0</v>
      </c>
      <c r="R334" s="91"/>
    </row>
    <row r="335" spans="2:18" ht="12" customHeight="1" x14ac:dyDescent="0.3">
      <c r="B335" s="98">
        <f t="shared" si="29"/>
        <v>332</v>
      </c>
      <c r="C335" s="97" t="str">
        <f t="shared" si="26"/>
        <v>Jan-00</v>
      </c>
      <c r="D335" s="96"/>
      <c r="E335" s="95"/>
      <c r="F335" s="95"/>
      <c r="G335" s="95"/>
      <c r="H335" s="94"/>
      <c r="I335" s="94"/>
      <c r="J335" s="91"/>
      <c r="K335" s="91"/>
      <c r="L335" s="94"/>
      <c r="M335" s="93"/>
      <c r="N335" s="92"/>
      <c r="O335" s="92">
        <f t="shared" si="25"/>
        <v>0</v>
      </c>
      <c r="P335" s="91">
        <f t="shared" si="27"/>
        <v>0</v>
      </c>
      <c r="Q335" s="91">
        <f t="shared" si="28"/>
        <v>0</v>
      </c>
      <c r="R335" s="91"/>
    </row>
    <row r="336" spans="2:18" ht="12" customHeight="1" x14ac:dyDescent="0.3">
      <c r="B336" s="98">
        <f t="shared" si="29"/>
        <v>333</v>
      </c>
      <c r="C336" s="97" t="str">
        <f t="shared" si="26"/>
        <v>Jan-00</v>
      </c>
      <c r="D336" s="96"/>
      <c r="E336" s="95"/>
      <c r="F336" s="95"/>
      <c r="G336" s="95"/>
      <c r="H336" s="94"/>
      <c r="I336" s="94"/>
      <c r="J336" s="91"/>
      <c r="K336" s="91"/>
      <c r="L336" s="94"/>
      <c r="M336" s="93"/>
      <c r="N336" s="92"/>
      <c r="O336" s="92">
        <f t="shared" si="25"/>
        <v>0</v>
      </c>
      <c r="P336" s="91">
        <f t="shared" si="27"/>
        <v>0</v>
      </c>
      <c r="Q336" s="91">
        <f t="shared" si="28"/>
        <v>0</v>
      </c>
      <c r="R336" s="91"/>
    </row>
    <row r="337" spans="2:18" ht="12" customHeight="1" x14ac:dyDescent="0.3">
      <c r="B337" s="98">
        <f t="shared" si="29"/>
        <v>334</v>
      </c>
      <c r="C337" s="97" t="str">
        <f t="shared" si="26"/>
        <v>Jan-00</v>
      </c>
      <c r="D337" s="96"/>
      <c r="E337" s="95"/>
      <c r="F337" s="95"/>
      <c r="G337" s="95"/>
      <c r="H337" s="94"/>
      <c r="I337" s="94"/>
      <c r="J337" s="91"/>
      <c r="K337" s="91"/>
      <c r="L337" s="94"/>
      <c r="M337" s="93"/>
      <c r="N337" s="92"/>
      <c r="O337" s="92">
        <f t="shared" si="25"/>
        <v>0</v>
      </c>
      <c r="P337" s="91">
        <f t="shared" si="27"/>
        <v>0</v>
      </c>
      <c r="Q337" s="91">
        <f t="shared" si="28"/>
        <v>0</v>
      </c>
      <c r="R337" s="91"/>
    </row>
    <row r="338" spans="2:18" ht="12" customHeight="1" x14ac:dyDescent="0.3">
      <c r="B338" s="98">
        <f t="shared" si="29"/>
        <v>335</v>
      </c>
      <c r="C338" s="97" t="str">
        <f t="shared" si="26"/>
        <v>Jan-00</v>
      </c>
      <c r="D338" s="96"/>
      <c r="E338" s="95"/>
      <c r="F338" s="95"/>
      <c r="G338" s="95"/>
      <c r="H338" s="94"/>
      <c r="I338" s="94"/>
      <c r="J338" s="91"/>
      <c r="K338" s="91"/>
      <c r="L338" s="94"/>
      <c r="M338" s="93"/>
      <c r="N338" s="92"/>
      <c r="O338" s="92">
        <f t="shared" si="25"/>
        <v>0</v>
      </c>
      <c r="P338" s="91">
        <f t="shared" si="27"/>
        <v>0</v>
      </c>
      <c r="Q338" s="91">
        <f t="shared" si="28"/>
        <v>0</v>
      </c>
      <c r="R338" s="91"/>
    </row>
    <row r="339" spans="2:18" ht="12" customHeight="1" x14ac:dyDescent="0.3">
      <c r="B339" s="98">
        <f t="shared" si="29"/>
        <v>336</v>
      </c>
      <c r="C339" s="97" t="str">
        <f t="shared" si="26"/>
        <v>Jan-00</v>
      </c>
      <c r="D339" s="96"/>
      <c r="E339" s="95"/>
      <c r="F339" s="95"/>
      <c r="G339" s="95"/>
      <c r="H339" s="94"/>
      <c r="I339" s="94"/>
      <c r="J339" s="91"/>
      <c r="K339" s="91"/>
      <c r="L339" s="94"/>
      <c r="M339" s="93"/>
      <c r="N339" s="92"/>
      <c r="O339" s="92">
        <f t="shared" si="25"/>
        <v>0</v>
      </c>
      <c r="P339" s="91">
        <f t="shared" si="27"/>
        <v>0</v>
      </c>
      <c r="Q339" s="91">
        <f t="shared" si="28"/>
        <v>0</v>
      </c>
      <c r="R339" s="91"/>
    </row>
    <row r="340" spans="2:18" ht="12" customHeight="1" x14ac:dyDescent="0.3">
      <c r="B340" s="98">
        <f t="shared" si="29"/>
        <v>337</v>
      </c>
      <c r="C340" s="97" t="str">
        <f t="shared" si="26"/>
        <v>Jan-00</v>
      </c>
      <c r="D340" s="96"/>
      <c r="E340" s="95"/>
      <c r="F340" s="95"/>
      <c r="G340" s="95"/>
      <c r="H340" s="94"/>
      <c r="I340" s="94"/>
      <c r="J340" s="91"/>
      <c r="K340" s="91"/>
      <c r="L340" s="94"/>
      <c r="M340" s="93"/>
      <c r="N340" s="92"/>
      <c r="O340" s="92">
        <f t="shared" si="25"/>
        <v>0</v>
      </c>
      <c r="P340" s="91">
        <f t="shared" si="27"/>
        <v>0</v>
      </c>
      <c r="Q340" s="91">
        <f t="shared" si="28"/>
        <v>0</v>
      </c>
      <c r="R340" s="91"/>
    </row>
    <row r="341" spans="2:18" ht="12" customHeight="1" x14ac:dyDescent="0.3">
      <c r="B341" s="98">
        <f t="shared" si="29"/>
        <v>338</v>
      </c>
      <c r="C341" s="97" t="str">
        <f t="shared" si="26"/>
        <v>Jan-00</v>
      </c>
      <c r="D341" s="96"/>
      <c r="E341" s="95"/>
      <c r="F341" s="95"/>
      <c r="G341" s="95"/>
      <c r="H341" s="94"/>
      <c r="I341" s="94"/>
      <c r="J341" s="91"/>
      <c r="K341" s="91"/>
      <c r="L341" s="94"/>
      <c r="M341" s="93"/>
      <c r="N341" s="92"/>
      <c r="O341" s="92">
        <f t="shared" si="25"/>
        <v>0</v>
      </c>
      <c r="P341" s="91">
        <f t="shared" si="27"/>
        <v>0</v>
      </c>
      <c r="Q341" s="91">
        <f t="shared" si="28"/>
        <v>0</v>
      </c>
      <c r="R341" s="91"/>
    </row>
    <row r="342" spans="2:18" ht="12" customHeight="1" x14ac:dyDescent="0.3">
      <c r="B342" s="98">
        <f t="shared" si="29"/>
        <v>339</v>
      </c>
      <c r="C342" s="97" t="str">
        <f t="shared" si="26"/>
        <v>Jan-00</v>
      </c>
      <c r="D342" s="96"/>
      <c r="E342" s="95"/>
      <c r="F342" s="95"/>
      <c r="G342" s="95"/>
      <c r="H342" s="94"/>
      <c r="I342" s="94"/>
      <c r="J342" s="91"/>
      <c r="K342" s="91"/>
      <c r="L342" s="94"/>
      <c r="M342" s="93"/>
      <c r="N342" s="92"/>
      <c r="O342" s="92">
        <f t="shared" si="25"/>
        <v>0</v>
      </c>
      <c r="P342" s="91">
        <f t="shared" si="27"/>
        <v>0</v>
      </c>
      <c r="Q342" s="91">
        <f t="shared" si="28"/>
        <v>0</v>
      </c>
      <c r="R342" s="91"/>
    </row>
    <row r="343" spans="2:18" ht="12" customHeight="1" x14ac:dyDescent="0.3">
      <c r="B343" s="98">
        <f t="shared" si="29"/>
        <v>340</v>
      </c>
      <c r="C343" s="97" t="str">
        <f t="shared" si="26"/>
        <v>Jan-00</v>
      </c>
      <c r="D343" s="96"/>
      <c r="E343" s="95"/>
      <c r="F343" s="95"/>
      <c r="G343" s="95"/>
      <c r="H343" s="94"/>
      <c r="I343" s="94"/>
      <c r="J343" s="91"/>
      <c r="K343" s="91"/>
      <c r="L343" s="94"/>
      <c r="M343" s="93"/>
      <c r="N343" s="92"/>
      <c r="O343" s="92">
        <f t="shared" si="25"/>
        <v>0</v>
      </c>
      <c r="P343" s="91">
        <f t="shared" si="27"/>
        <v>0</v>
      </c>
      <c r="Q343" s="91">
        <f t="shared" si="28"/>
        <v>0</v>
      </c>
      <c r="R343" s="91"/>
    </row>
    <row r="344" spans="2:18" ht="12" customHeight="1" x14ac:dyDescent="0.3">
      <c r="B344" s="98">
        <f t="shared" si="29"/>
        <v>341</v>
      </c>
      <c r="C344" s="97" t="str">
        <f t="shared" si="26"/>
        <v>Jan-00</v>
      </c>
      <c r="D344" s="96"/>
      <c r="E344" s="95"/>
      <c r="F344" s="95"/>
      <c r="G344" s="95"/>
      <c r="H344" s="94"/>
      <c r="I344" s="94"/>
      <c r="J344" s="91"/>
      <c r="K344" s="91"/>
      <c r="L344" s="94"/>
      <c r="M344" s="93"/>
      <c r="N344" s="92"/>
      <c r="O344" s="92">
        <f t="shared" si="25"/>
        <v>0</v>
      </c>
      <c r="P344" s="91">
        <f t="shared" si="27"/>
        <v>0</v>
      </c>
      <c r="Q344" s="91">
        <f t="shared" si="28"/>
        <v>0</v>
      </c>
      <c r="R344" s="91"/>
    </row>
    <row r="345" spans="2:18" ht="12" customHeight="1" x14ac:dyDescent="0.3">
      <c r="B345" s="98">
        <f t="shared" si="29"/>
        <v>342</v>
      </c>
      <c r="C345" s="97" t="str">
        <f t="shared" si="26"/>
        <v>Jan-00</v>
      </c>
      <c r="D345" s="96"/>
      <c r="E345" s="95"/>
      <c r="F345" s="95"/>
      <c r="G345" s="95"/>
      <c r="H345" s="94"/>
      <c r="I345" s="94"/>
      <c r="J345" s="91"/>
      <c r="K345" s="91"/>
      <c r="L345" s="94"/>
      <c r="M345" s="93"/>
      <c r="N345" s="92"/>
      <c r="O345" s="92">
        <f t="shared" si="25"/>
        <v>0</v>
      </c>
      <c r="P345" s="91">
        <f t="shared" si="27"/>
        <v>0</v>
      </c>
      <c r="Q345" s="91">
        <f t="shared" si="28"/>
        <v>0</v>
      </c>
      <c r="R345" s="91"/>
    </row>
    <row r="346" spans="2:18" ht="12" customHeight="1" x14ac:dyDescent="0.3">
      <c r="B346" s="98">
        <f t="shared" si="29"/>
        <v>343</v>
      </c>
      <c r="C346" s="97" t="str">
        <f t="shared" si="26"/>
        <v>Jan-00</v>
      </c>
      <c r="D346" s="96"/>
      <c r="E346" s="95"/>
      <c r="F346" s="95"/>
      <c r="G346" s="95"/>
      <c r="H346" s="94"/>
      <c r="I346" s="94"/>
      <c r="J346" s="91"/>
      <c r="K346" s="91"/>
      <c r="L346" s="94"/>
      <c r="M346" s="93"/>
      <c r="N346" s="92"/>
      <c r="O346" s="92">
        <f t="shared" si="25"/>
        <v>0</v>
      </c>
      <c r="P346" s="91">
        <f t="shared" si="27"/>
        <v>0</v>
      </c>
      <c r="Q346" s="91">
        <f t="shared" si="28"/>
        <v>0</v>
      </c>
      <c r="R346" s="91"/>
    </row>
    <row r="347" spans="2:18" ht="12" customHeight="1" x14ac:dyDescent="0.3">
      <c r="B347" s="98">
        <f t="shared" si="29"/>
        <v>344</v>
      </c>
      <c r="C347" s="97" t="str">
        <f t="shared" si="26"/>
        <v>Jan-00</v>
      </c>
      <c r="D347" s="96"/>
      <c r="E347" s="95"/>
      <c r="F347" s="95"/>
      <c r="G347" s="95"/>
      <c r="H347" s="94"/>
      <c r="I347" s="94"/>
      <c r="J347" s="91"/>
      <c r="K347" s="91"/>
      <c r="L347" s="94"/>
      <c r="M347" s="93"/>
      <c r="N347" s="92"/>
      <c r="O347" s="92">
        <f t="shared" si="25"/>
        <v>0</v>
      </c>
      <c r="P347" s="91">
        <f t="shared" si="27"/>
        <v>0</v>
      </c>
      <c r="Q347" s="91">
        <f t="shared" si="28"/>
        <v>0</v>
      </c>
      <c r="R347" s="91"/>
    </row>
    <row r="348" spans="2:18" ht="12" customHeight="1" x14ac:dyDescent="0.3">
      <c r="B348" s="98">
        <f t="shared" si="29"/>
        <v>345</v>
      </c>
      <c r="C348" s="97" t="str">
        <f t="shared" si="26"/>
        <v>Jan-00</v>
      </c>
      <c r="D348" s="96"/>
      <c r="E348" s="95"/>
      <c r="F348" s="95"/>
      <c r="G348" s="95"/>
      <c r="H348" s="94"/>
      <c r="I348" s="94"/>
      <c r="J348" s="91"/>
      <c r="K348" s="91"/>
      <c r="L348" s="94"/>
      <c r="M348" s="93"/>
      <c r="N348" s="92"/>
      <c r="O348" s="92">
        <f t="shared" si="25"/>
        <v>0</v>
      </c>
      <c r="P348" s="91">
        <f t="shared" si="27"/>
        <v>0</v>
      </c>
      <c r="Q348" s="91">
        <f t="shared" si="28"/>
        <v>0</v>
      </c>
      <c r="R348" s="91"/>
    </row>
    <row r="349" spans="2:18" ht="12" customHeight="1" x14ac:dyDescent="0.3">
      <c r="B349" s="98">
        <f t="shared" si="29"/>
        <v>346</v>
      </c>
      <c r="C349" s="97" t="str">
        <f t="shared" si="26"/>
        <v>Jan-00</v>
      </c>
      <c r="D349" s="96"/>
      <c r="E349" s="95"/>
      <c r="F349" s="95"/>
      <c r="G349" s="95"/>
      <c r="H349" s="94"/>
      <c r="I349" s="94"/>
      <c r="J349" s="91"/>
      <c r="K349" s="91"/>
      <c r="L349" s="94"/>
      <c r="M349" s="93"/>
      <c r="N349" s="92"/>
      <c r="O349" s="92">
        <f t="shared" si="25"/>
        <v>0</v>
      </c>
      <c r="P349" s="91">
        <f t="shared" si="27"/>
        <v>0</v>
      </c>
      <c r="Q349" s="91">
        <f t="shared" si="28"/>
        <v>0</v>
      </c>
      <c r="R349" s="91"/>
    </row>
    <row r="350" spans="2:18" ht="12" customHeight="1" x14ac:dyDescent="0.3">
      <c r="B350" s="98">
        <f t="shared" si="29"/>
        <v>347</v>
      </c>
      <c r="C350" s="97" t="str">
        <f t="shared" si="26"/>
        <v>Jan-00</v>
      </c>
      <c r="D350" s="96"/>
      <c r="E350" s="95"/>
      <c r="F350" s="95"/>
      <c r="G350" s="95"/>
      <c r="H350" s="94"/>
      <c r="I350" s="94"/>
      <c r="J350" s="91"/>
      <c r="K350" s="91"/>
      <c r="L350" s="94"/>
      <c r="M350" s="93"/>
      <c r="N350" s="92"/>
      <c r="O350" s="92">
        <f t="shared" si="25"/>
        <v>0</v>
      </c>
      <c r="P350" s="91">
        <f t="shared" si="27"/>
        <v>0</v>
      </c>
      <c r="Q350" s="91">
        <f t="shared" si="28"/>
        <v>0</v>
      </c>
      <c r="R350" s="91"/>
    </row>
    <row r="351" spans="2:18" ht="12" customHeight="1" x14ac:dyDescent="0.3">
      <c r="B351" s="98">
        <f t="shared" si="29"/>
        <v>348</v>
      </c>
      <c r="C351" s="97" t="str">
        <f t="shared" si="26"/>
        <v>Jan-00</v>
      </c>
      <c r="D351" s="96"/>
      <c r="E351" s="95"/>
      <c r="F351" s="95"/>
      <c r="G351" s="95"/>
      <c r="H351" s="94"/>
      <c r="I351" s="94"/>
      <c r="J351" s="91"/>
      <c r="K351" s="91"/>
      <c r="L351" s="94"/>
      <c r="M351" s="93"/>
      <c r="N351" s="92"/>
      <c r="O351" s="92">
        <f t="shared" si="25"/>
        <v>0</v>
      </c>
      <c r="P351" s="91">
        <f t="shared" si="27"/>
        <v>0</v>
      </c>
      <c r="Q351" s="91">
        <f t="shared" si="28"/>
        <v>0</v>
      </c>
      <c r="R351" s="91"/>
    </row>
    <row r="352" spans="2:18" ht="12" customHeight="1" x14ac:dyDescent="0.3">
      <c r="B352" s="98">
        <f t="shared" si="29"/>
        <v>349</v>
      </c>
      <c r="C352" s="97" t="str">
        <f t="shared" si="26"/>
        <v>Jan-00</v>
      </c>
      <c r="D352" s="96"/>
      <c r="E352" s="95"/>
      <c r="F352" s="95"/>
      <c r="G352" s="95"/>
      <c r="H352" s="94"/>
      <c r="I352" s="94"/>
      <c r="J352" s="91"/>
      <c r="K352" s="91"/>
      <c r="L352" s="94"/>
      <c r="M352" s="93"/>
      <c r="N352" s="92"/>
      <c r="O352" s="92">
        <f t="shared" si="25"/>
        <v>0</v>
      </c>
      <c r="P352" s="91">
        <f t="shared" si="27"/>
        <v>0</v>
      </c>
      <c r="Q352" s="91">
        <f t="shared" si="28"/>
        <v>0</v>
      </c>
      <c r="R352" s="91"/>
    </row>
    <row r="353" spans="2:18" ht="12" customHeight="1" x14ac:dyDescent="0.3">
      <c r="B353" s="98">
        <f t="shared" si="29"/>
        <v>350</v>
      </c>
      <c r="C353" s="97" t="str">
        <f t="shared" si="26"/>
        <v>Jan-00</v>
      </c>
      <c r="D353" s="96"/>
      <c r="E353" s="95"/>
      <c r="F353" s="95"/>
      <c r="G353" s="95"/>
      <c r="H353" s="94"/>
      <c r="I353" s="94"/>
      <c r="J353" s="91"/>
      <c r="K353" s="91"/>
      <c r="L353" s="94"/>
      <c r="M353" s="93"/>
      <c r="N353" s="92"/>
      <c r="O353" s="92">
        <f t="shared" si="25"/>
        <v>0</v>
      </c>
      <c r="P353" s="91">
        <f t="shared" si="27"/>
        <v>0</v>
      </c>
      <c r="Q353" s="91">
        <f t="shared" si="28"/>
        <v>0</v>
      </c>
      <c r="R353" s="91"/>
    </row>
    <row r="354" spans="2:18" ht="12" customHeight="1" x14ac:dyDescent="0.3">
      <c r="B354" s="98">
        <f t="shared" si="29"/>
        <v>351</v>
      </c>
      <c r="C354" s="97" t="str">
        <f t="shared" si="26"/>
        <v>Jan-00</v>
      </c>
      <c r="D354" s="96"/>
      <c r="E354" s="95"/>
      <c r="F354" s="95"/>
      <c r="G354" s="95"/>
      <c r="H354" s="94"/>
      <c r="I354" s="94"/>
      <c r="J354" s="91"/>
      <c r="K354" s="91"/>
      <c r="L354" s="94"/>
      <c r="M354" s="93"/>
      <c r="N354" s="92"/>
      <c r="O354" s="92">
        <f t="shared" ref="O354:O417" si="30">SUM(N354*M354)</f>
        <v>0</v>
      </c>
      <c r="P354" s="91">
        <f t="shared" si="27"/>
        <v>0</v>
      </c>
      <c r="Q354" s="91">
        <f t="shared" si="28"/>
        <v>0</v>
      </c>
      <c r="R354" s="91"/>
    </row>
    <row r="355" spans="2:18" ht="12" customHeight="1" x14ac:dyDescent="0.3">
      <c r="B355" s="98">
        <f t="shared" si="29"/>
        <v>352</v>
      </c>
      <c r="C355" s="97" t="str">
        <f t="shared" si="26"/>
        <v>Jan-00</v>
      </c>
      <c r="D355" s="96"/>
      <c r="E355" s="95"/>
      <c r="F355" s="95"/>
      <c r="G355" s="95"/>
      <c r="H355" s="94"/>
      <c r="I355" s="94"/>
      <c r="J355" s="91"/>
      <c r="K355" s="91"/>
      <c r="L355" s="94"/>
      <c r="M355" s="93"/>
      <c r="N355" s="92"/>
      <c r="O355" s="92">
        <f t="shared" si="30"/>
        <v>0</v>
      </c>
      <c r="P355" s="91">
        <f t="shared" si="27"/>
        <v>0</v>
      </c>
      <c r="Q355" s="91">
        <f t="shared" si="28"/>
        <v>0</v>
      </c>
      <c r="R355" s="91"/>
    </row>
    <row r="356" spans="2:18" ht="12" customHeight="1" x14ac:dyDescent="0.3">
      <c r="B356" s="98">
        <f t="shared" si="29"/>
        <v>353</v>
      </c>
      <c r="C356" s="97" t="str">
        <f t="shared" si="26"/>
        <v>Jan-00</v>
      </c>
      <c r="D356" s="96"/>
      <c r="E356" s="95"/>
      <c r="F356" s="95"/>
      <c r="G356" s="95"/>
      <c r="H356" s="94"/>
      <c r="I356" s="94"/>
      <c r="J356" s="91"/>
      <c r="K356" s="91"/>
      <c r="L356" s="94"/>
      <c r="M356" s="93"/>
      <c r="N356" s="92"/>
      <c r="O356" s="92">
        <f t="shared" si="30"/>
        <v>0</v>
      </c>
      <c r="P356" s="91">
        <f t="shared" si="27"/>
        <v>0</v>
      </c>
      <c r="Q356" s="91">
        <f t="shared" si="28"/>
        <v>0</v>
      </c>
      <c r="R356" s="91"/>
    </row>
    <row r="357" spans="2:18" ht="12" customHeight="1" x14ac:dyDescent="0.3">
      <c r="B357" s="98">
        <f t="shared" si="29"/>
        <v>354</v>
      </c>
      <c r="C357" s="97" t="str">
        <f t="shared" si="26"/>
        <v>Jan-00</v>
      </c>
      <c r="D357" s="96"/>
      <c r="E357" s="95"/>
      <c r="F357" s="95"/>
      <c r="G357" s="95"/>
      <c r="H357" s="94"/>
      <c r="I357" s="94"/>
      <c r="J357" s="91"/>
      <c r="K357" s="91"/>
      <c r="L357" s="94"/>
      <c r="M357" s="93"/>
      <c r="N357" s="92"/>
      <c r="O357" s="92">
        <f t="shared" si="30"/>
        <v>0</v>
      </c>
      <c r="P357" s="91">
        <f t="shared" si="27"/>
        <v>0</v>
      </c>
      <c r="Q357" s="91">
        <f t="shared" si="28"/>
        <v>0</v>
      </c>
      <c r="R357" s="91"/>
    </row>
    <row r="358" spans="2:18" ht="12" customHeight="1" x14ac:dyDescent="0.3">
      <c r="B358" s="98">
        <f t="shared" si="29"/>
        <v>355</v>
      </c>
      <c r="C358" s="97" t="str">
        <f t="shared" si="26"/>
        <v>Jan-00</v>
      </c>
      <c r="D358" s="96"/>
      <c r="E358" s="95"/>
      <c r="F358" s="95"/>
      <c r="G358" s="95"/>
      <c r="H358" s="94"/>
      <c r="I358" s="94"/>
      <c r="J358" s="91"/>
      <c r="K358" s="91"/>
      <c r="L358" s="94"/>
      <c r="M358" s="93"/>
      <c r="N358" s="92"/>
      <c r="O358" s="92">
        <f t="shared" si="30"/>
        <v>0</v>
      </c>
      <c r="P358" s="91">
        <f t="shared" si="27"/>
        <v>0</v>
      </c>
      <c r="Q358" s="91">
        <f t="shared" si="28"/>
        <v>0</v>
      </c>
      <c r="R358" s="91"/>
    </row>
    <row r="359" spans="2:18" ht="12" customHeight="1" x14ac:dyDescent="0.3">
      <c r="B359" s="98">
        <f t="shared" si="29"/>
        <v>356</v>
      </c>
      <c r="C359" s="97" t="str">
        <f t="shared" si="26"/>
        <v>Jan-00</v>
      </c>
      <c r="D359" s="96"/>
      <c r="E359" s="95"/>
      <c r="F359" s="95"/>
      <c r="G359" s="95"/>
      <c r="H359" s="94"/>
      <c r="I359" s="94"/>
      <c r="J359" s="91"/>
      <c r="K359" s="91"/>
      <c r="L359" s="94"/>
      <c r="M359" s="93"/>
      <c r="N359" s="92"/>
      <c r="O359" s="92">
        <f t="shared" si="30"/>
        <v>0</v>
      </c>
      <c r="P359" s="91">
        <f t="shared" si="27"/>
        <v>0</v>
      </c>
      <c r="Q359" s="91">
        <f t="shared" si="28"/>
        <v>0</v>
      </c>
      <c r="R359" s="91"/>
    </row>
    <row r="360" spans="2:18" ht="12" customHeight="1" x14ac:dyDescent="0.3">
      <c r="B360" s="98">
        <f t="shared" si="29"/>
        <v>357</v>
      </c>
      <c r="C360" s="97" t="str">
        <f t="shared" si="26"/>
        <v>Jan-00</v>
      </c>
      <c r="D360" s="96"/>
      <c r="E360" s="95"/>
      <c r="F360" s="95"/>
      <c r="G360" s="95"/>
      <c r="H360" s="94"/>
      <c r="I360" s="94"/>
      <c r="J360" s="91"/>
      <c r="K360" s="91"/>
      <c r="L360" s="94"/>
      <c r="M360" s="93"/>
      <c r="N360" s="92"/>
      <c r="O360" s="92">
        <f t="shared" si="30"/>
        <v>0</v>
      </c>
      <c r="P360" s="91">
        <f t="shared" si="27"/>
        <v>0</v>
      </c>
      <c r="Q360" s="91">
        <f t="shared" si="28"/>
        <v>0</v>
      </c>
      <c r="R360" s="91"/>
    </row>
    <row r="361" spans="2:18" ht="12" customHeight="1" x14ac:dyDescent="0.3">
      <c r="B361" s="98">
        <f t="shared" si="29"/>
        <v>358</v>
      </c>
      <c r="C361" s="97" t="str">
        <f t="shared" si="26"/>
        <v>Jan-00</v>
      </c>
      <c r="D361" s="96"/>
      <c r="E361" s="95"/>
      <c r="F361" s="95"/>
      <c r="G361" s="95"/>
      <c r="H361" s="94"/>
      <c r="I361" s="94"/>
      <c r="J361" s="91"/>
      <c r="K361" s="91"/>
      <c r="L361" s="94"/>
      <c r="M361" s="93"/>
      <c r="N361" s="92"/>
      <c r="O361" s="92">
        <f t="shared" si="30"/>
        <v>0</v>
      </c>
      <c r="P361" s="91">
        <f t="shared" si="27"/>
        <v>0</v>
      </c>
      <c r="Q361" s="91">
        <f t="shared" si="28"/>
        <v>0</v>
      </c>
      <c r="R361" s="91"/>
    </row>
    <row r="362" spans="2:18" ht="12" customHeight="1" x14ac:dyDescent="0.3">
      <c r="B362" s="98">
        <f t="shared" si="29"/>
        <v>359</v>
      </c>
      <c r="C362" s="97" t="str">
        <f t="shared" si="26"/>
        <v>Jan-00</v>
      </c>
      <c r="D362" s="96"/>
      <c r="E362" s="95"/>
      <c r="F362" s="95"/>
      <c r="G362" s="95"/>
      <c r="H362" s="94"/>
      <c r="I362" s="94"/>
      <c r="J362" s="91"/>
      <c r="K362" s="91"/>
      <c r="L362" s="94"/>
      <c r="M362" s="93"/>
      <c r="N362" s="92"/>
      <c r="O362" s="92">
        <f t="shared" si="30"/>
        <v>0</v>
      </c>
      <c r="P362" s="91">
        <f t="shared" si="27"/>
        <v>0</v>
      </c>
      <c r="Q362" s="91">
        <f t="shared" si="28"/>
        <v>0</v>
      </c>
      <c r="R362" s="91"/>
    </row>
    <row r="363" spans="2:18" ht="12" customHeight="1" x14ac:dyDescent="0.3">
      <c r="B363" s="98">
        <f t="shared" si="29"/>
        <v>360</v>
      </c>
      <c r="C363" s="97" t="str">
        <f t="shared" si="26"/>
        <v>Jan-00</v>
      </c>
      <c r="D363" s="96"/>
      <c r="E363" s="95"/>
      <c r="F363" s="95"/>
      <c r="G363" s="95"/>
      <c r="H363" s="94"/>
      <c r="I363" s="94"/>
      <c r="J363" s="91"/>
      <c r="K363" s="91"/>
      <c r="L363" s="94"/>
      <c r="M363" s="93"/>
      <c r="N363" s="92"/>
      <c r="O363" s="92">
        <f t="shared" si="30"/>
        <v>0</v>
      </c>
      <c r="P363" s="91">
        <f t="shared" si="27"/>
        <v>0</v>
      </c>
      <c r="Q363" s="91">
        <f t="shared" si="28"/>
        <v>0</v>
      </c>
      <c r="R363" s="91"/>
    </row>
    <row r="364" spans="2:18" ht="12" customHeight="1" x14ac:dyDescent="0.3">
      <c r="B364" s="98">
        <f t="shared" si="29"/>
        <v>361</v>
      </c>
      <c r="C364" s="97" t="str">
        <f t="shared" si="26"/>
        <v>Jan-00</v>
      </c>
      <c r="D364" s="96"/>
      <c r="E364" s="95"/>
      <c r="F364" s="95"/>
      <c r="G364" s="95"/>
      <c r="H364" s="94"/>
      <c r="I364" s="94"/>
      <c r="J364" s="91"/>
      <c r="K364" s="91"/>
      <c r="L364" s="94"/>
      <c r="M364" s="93"/>
      <c r="N364" s="92"/>
      <c r="O364" s="92">
        <f t="shared" si="30"/>
        <v>0</v>
      </c>
      <c r="P364" s="91">
        <f t="shared" si="27"/>
        <v>0</v>
      </c>
      <c r="Q364" s="91">
        <f t="shared" si="28"/>
        <v>0</v>
      </c>
      <c r="R364" s="91"/>
    </row>
    <row r="365" spans="2:18" ht="12" customHeight="1" x14ac:dyDescent="0.3">
      <c r="B365" s="98">
        <f t="shared" si="29"/>
        <v>362</v>
      </c>
      <c r="C365" s="97" t="str">
        <f t="shared" si="26"/>
        <v>Jan-00</v>
      </c>
      <c r="D365" s="96"/>
      <c r="E365" s="95"/>
      <c r="F365" s="95"/>
      <c r="G365" s="95"/>
      <c r="H365" s="94"/>
      <c r="I365" s="94"/>
      <c r="J365" s="91"/>
      <c r="K365" s="91"/>
      <c r="L365" s="94"/>
      <c r="M365" s="93"/>
      <c r="N365" s="92"/>
      <c r="O365" s="92">
        <f t="shared" si="30"/>
        <v>0</v>
      </c>
      <c r="P365" s="91">
        <f t="shared" si="27"/>
        <v>0</v>
      </c>
      <c r="Q365" s="91">
        <f t="shared" si="28"/>
        <v>0</v>
      </c>
      <c r="R365" s="91"/>
    </row>
    <row r="366" spans="2:18" ht="12" customHeight="1" x14ac:dyDescent="0.3">
      <c r="B366" s="98">
        <f t="shared" si="29"/>
        <v>363</v>
      </c>
      <c r="C366" s="97" t="str">
        <f t="shared" si="26"/>
        <v>Jan-00</v>
      </c>
      <c r="D366" s="96"/>
      <c r="E366" s="95"/>
      <c r="F366" s="95"/>
      <c r="G366" s="95"/>
      <c r="H366" s="94"/>
      <c r="I366" s="94"/>
      <c r="J366" s="91"/>
      <c r="K366" s="91"/>
      <c r="L366" s="94"/>
      <c r="M366" s="93"/>
      <c r="N366" s="92"/>
      <c r="O366" s="92">
        <f t="shared" si="30"/>
        <v>0</v>
      </c>
      <c r="P366" s="91">
        <f t="shared" si="27"/>
        <v>0</v>
      </c>
      <c r="Q366" s="91">
        <f t="shared" si="28"/>
        <v>0</v>
      </c>
      <c r="R366" s="91"/>
    </row>
    <row r="367" spans="2:18" ht="12" customHeight="1" x14ac:dyDescent="0.3">
      <c r="B367" s="98">
        <f t="shared" si="29"/>
        <v>364</v>
      </c>
      <c r="C367" s="97" t="str">
        <f t="shared" si="26"/>
        <v>Jan-00</v>
      </c>
      <c r="D367" s="96"/>
      <c r="E367" s="95"/>
      <c r="F367" s="95"/>
      <c r="G367" s="95"/>
      <c r="H367" s="94"/>
      <c r="I367" s="94"/>
      <c r="J367" s="91"/>
      <c r="K367" s="91"/>
      <c r="L367" s="94"/>
      <c r="M367" s="93"/>
      <c r="N367" s="92"/>
      <c r="O367" s="92">
        <f t="shared" si="30"/>
        <v>0</v>
      </c>
      <c r="P367" s="91">
        <f t="shared" si="27"/>
        <v>0</v>
      </c>
      <c r="Q367" s="91">
        <f t="shared" si="28"/>
        <v>0</v>
      </c>
      <c r="R367" s="91"/>
    </row>
    <row r="368" spans="2:18" ht="12" customHeight="1" x14ac:dyDescent="0.3">
      <c r="B368" s="98">
        <f t="shared" si="29"/>
        <v>365</v>
      </c>
      <c r="C368" s="97" t="str">
        <f t="shared" si="26"/>
        <v>Jan-00</v>
      </c>
      <c r="D368" s="96"/>
      <c r="E368" s="95"/>
      <c r="F368" s="95"/>
      <c r="G368" s="95"/>
      <c r="H368" s="94"/>
      <c r="I368" s="94"/>
      <c r="J368" s="91"/>
      <c r="K368" s="91"/>
      <c r="L368" s="94"/>
      <c r="M368" s="93"/>
      <c r="N368" s="92"/>
      <c r="O368" s="92">
        <f t="shared" si="30"/>
        <v>0</v>
      </c>
      <c r="P368" s="91">
        <f t="shared" si="27"/>
        <v>0</v>
      </c>
      <c r="Q368" s="91">
        <f t="shared" si="28"/>
        <v>0</v>
      </c>
      <c r="R368" s="91"/>
    </row>
    <row r="369" spans="2:18" ht="12" customHeight="1" x14ac:dyDescent="0.3">
      <c r="B369" s="98">
        <f t="shared" si="29"/>
        <v>366</v>
      </c>
      <c r="C369" s="97" t="str">
        <f t="shared" si="26"/>
        <v>Jan-00</v>
      </c>
      <c r="D369" s="96"/>
      <c r="E369" s="95"/>
      <c r="F369" s="95"/>
      <c r="G369" s="95"/>
      <c r="H369" s="94"/>
      <c r="I369" s="94"/>
      <c r="J369" s="91"/>
      <c r="K369" s="91"/>
      <c r="L369" s="94"/>
      <c r="M369" s="93"/>
      <c r="N369" s="92"/>
      <c r="O369" s="92">
        <f t="shared" si="30"/>
        <v>0</v>
      </c>
      <c r="P369" s="91">
        <f t="shared" si="27"/>
        <v>0</v>
      </c>
      <c r="Q369" s="91">
        <f t="shared" si="28"/>
        <v>0</v>
      </c>
      <c r="R369" s="91"/>
    </row>
    <row r="370" spans="2:18" ht="12" customHeight="1" x14ac:dyDescent="0.3">
      <c r="B370" s="98">
        <f t="shared" si="29"/>
        <v>367</v>
      </c>
      <c r="C370" s="97" t="str">
        <f t="shared" si="26"/>
        <v>Jan-00</v>
      </c>
      <c r="D370" s="96"/>
      <c r="E370" s="95"/>
      <c r="F370" s="95"/>
      <c r="G370" s="95"/>
      <c r="H370" s="94"/>
      <c r="I370" s="94"/>
      <c r="J370" s="91"/>
      <c r="K370" s="91"/>
      <c r="L370" s="94"/>
      <c r="M370" s="93"/>
      <c r="N370" s="92"/>
      <c r="O370" s="92">
        <f t="shared" si="30"/>
        <v>0</v>
      </c>
      <c r="P370" s="91">
        <f t="shared" si="27"/>
        <v>0</v>
      </c>
      <c r="Q370" s="91">
        <f t="shared" si="28"/>
        <v>0</v>
      </c>
      <c r="R370" s="91"/>
    </row>
    <row r="371" spans="2:18" ht="12" customHeight="1" x14ac:dyDescent="0.3">
      <c r="B371" s="98">
        <f t="shared" si="29"/>
        <v>368</v>
      </c>
      <c r="C371" s="97" t="str">
        <f t="shared" si="26"/>
        <v>Jan-00</v>
      </c>
      <c r="D371" s="96"/>
      <c r="E371" s="95"/>
      <c r="F371" s="95"/>
      <c r="G371" s="95"/>
      <c r="H371" s="94"/>
      <c r="I371" s="94"/>
      <c r="J371" s="91"/>
      <c r="K371" s="91"/>
      <c r="L371" s="94"/>
      <c r="M371" s="93"/>
      <c r="N371" s="92"/>
      <c r="O371" s="92">
        <f t="shared" si="30"/>
        <v>0</v>
      </c>
      <c r="P371" s="91">
        <f t="shared" si="27"/>
        <v>0</v>
      </c>
      <c r="Q371" s="91">
        <f t="shared" si="28"/>
        <v>0</v>
      </c>
      <c r="R371" s="91"/>
    </row>
    <row r="372" spans="2:18" ht="12" customHeight="1" x14ac:dyDescent="0.3">
      <c r="B372" s="98">
        <f t="shared" si="29"/>
        <v>369</v>
      </c>
      <c r="C372" s="97" t="str">
        <f t="shared" si="26"/>
        <v>Jan-00</v>
      </c>
      <c r="D372" s="96"/>
      <c r="E372" s="95"/>
      <c r="F372" s="95"/>
      <c r="G372" s="95"/>
      <c r="H372" s="94"/>
      <c r="I372" s="94"/>
      <c r="J372" s="91"/>
      <c r="K372" s="91"/>
      <c r="L372" s="94"/>
      <c r="M372" s="93"/>
      <c r="N372" s="92"/>
      <c r="O372" s="92">
        <f t="shared" si="30"/>
        <v>0</v>
      </c>
      <c r="P372" s="91">
        <f t="shared" si="27"/>
        <v>0</v>
      </c>
      <c r="Q372" s="91">
        <f t="shared" si="28"/>
        <v>0</v>
      </c>
      <c r="R372" s="91"/>
    </row>
    <row r="373" spans="2:18" ht="12" customHeight="1" x14ac:dyDescent="0.3">
      <c r="B373" s="98">
        <f t="shared" si="29"/>
        <v>370</v>
      </c>
      <c r="C373" s="97" t="str">
        <f t="shared" si="26"/>
        <v>Jan-00</v>
      </c>
      <c r="D373" s="96"/>
      <c r="E373" s="95"/>
      <c r="F373" s="95"/>
      <c r="G373" s="95"/>
      <c r="H373" s="94"/>
      <c r="I373" s="94"/>
      <c r="J373" s="91"/>
      <c r="K373" s="91"/>
      <c r="L373" s="94"/>
      <c r="M373" s="93"/>
      <c r="N373" s="92"/>
      <c r="O373" s="92">
        <f t="shared" si="30"/>
        <v>0</v>
      </c>
      <c r="P373" s="91">
        <f t="shared" si="27"/>
        <v>0</v>
      </c>
      <c r="Q373" s="91">
        <f t="shared" si="28"/>
        <v>0</v>
      </c>
      <c r="R373" s="91"/>
    </row>
    <row r="374" spans="2:18" ht="12" customHeight="1" x14ac:dyDescent="0.3">
      <c r="B374" s="98">
        <f t="shared" si="29"/>
        <v>371</v>
      </c>
      <c r="C374" s="97" t="str">
        <f t="shared" si="26"/>
        <v>Jan-00</v>
      </c>
      <c r="D374" s="96"/>
      <c r="E374" s="95"/>
      <c r="F374" s="95"/>
      <c r="G374" s="95"/>
      <c r="H374" s="94"/>
      <c r="I374" s="94"/>
      <c r="J374" s="91"/>
      <c r="K374" s="91"/>
      <c r="L374" s="94"/>
      <c r="M374" s="93"/>
      <c r="N374" s="92"/>
      <c r="O374" s="92">
        <f t="shared" si="30"/>
        <v>0</v>
      </c>
      <c r="P374" s="91">
        <f t="shared" si="27"/>
        <v>0</v>
      </c>
      <c r="Q374" s="91">
        <f t="shared" si="28"/>
        <v>0</v>
      </c>
      <c r="R374" s="91"/>
    </row>
    <row r="375" spans="2:18" ht="12" customHeight="1" x14ac:dyDescent="0.3">
      <c r="B375" s="98">
        <f t="shared" si="29"/>
        <v>372</v>
      </c>
      <c r="C375" s="97" t="str">
        <f t="shared" si="26"/>
        <v>Jan-00</v>
      </c>
      <c r="D375" s="96"/>
      <c r="E375" s="95"/>
      <c r="F375" s="95"/>
      <c r="G375" s="95"/>
      <c r="H375" s="94"/>
      <c r="I375" s="94"/>
      <c r="J375" s="91"/>
      <c r="K375" s="91"/>
      <c r="L375" s="94"/>
      <c r="M375" s="93"/>
      <c r="N375" s="92"/>
      <c r="O375" s="92">
        <f t="shared" si="30"/>
        <v>0</v>
      </c>
      <c r="P375" s="91">
        <f t="shared" si="27"/>
        <v>0</v>
      </c>
      <c r="Q375" s="91">
        <f t="shared" si="28"/>
        <v>0</v>
      </c>
      <c r="R375" s="91"/>
    </row>
    <row r="376" spans="2:18" ht="12" customHeight="1" x14ac:dyDescent="0.3">
      <c r="B376" s="98">
        <f t="shared" si="29"/>
        <v>373</v>
      </c>
      <c r="C376" s="97" t="str">
        <f t="shared" si="26"/>
        <v>Jan-00</v>
      </c>
      <c r="D376" s="96"/>
      <c r="E376" s="95"/>
      <c r="F376" s="95"/>
      <c r="G376" s="95"/>
      <c r="H376" s="94"/>
      <c r="I376" s="94"/>
      <c r="J376" s="91"/>
      <c r="K376" s="91"/>
      <c r="L376" s="94"/>
      <c r="M376" s="93"/>
      <c r="N376" s="92"/>
      <c r="O376" s="92">
        <f t="shared" si="30"/>
        <v>0</v>
      </c>
      <c r="P376" s="91">
        <f t="shared" si="27"/>
        <v>0</v>
      </c>
      <c r="Q376" s="91">
        <f t="shared" si="28"/>
        <v>0</v>
      </c>
      <c r="R376" s="91"/>
    </row>
    <row r="377" spans="2:18" ht="12" customHeight="1" x14ac:dyDescent="0.3">
      <c r="B377" s="98">
        <f t="shared" si="29"/>
        <v>374</v>
      </c>
      <c r="C377" s="97" t="str">
        <f t="shared" si="26"/>
        <v>Jan-00</v>
      </c>
      <c r="D377" s="96"/>
      <c r="E377" s="95"/>
      <c r="F377" s="95"/>
      <c r="G377" s="95"/>
      <c r="H377" s="94"/>
      <c r="I377" s="94"/>
      <c r="J377" s="91"/>
      <c r="K377" s="91"/>
      <c r="L377" s="94"/>
      <c r="M377" s="93"/>
      <c r="N377" s="92"/>
      <c r="O377" s="92">
        <f t="shared" si="30"/>
        <v>0</v>
      </c>
      <c r="P377" s="91">
        <f t="shared" si="27"/>
        <v>0</v>
      </c>
      <c r="Q377" s="91">
        <f t="shared" si="28"/>
        <v>0</v>
      </c>
      <c r="R377" s="91"/>
    </row>
    <row r="378" spans="2:18" ht="12" customHeight="1" x14ac:dyDescent="0.3">
      <c r="B378" s="98">
        <f t="shared" si="29"/>
        <v>375</v>
      </c>
      <c r="C378" s="97" t="str">
        <f t="shared" si="26"/>
        <v>Jan-00</v>
      </c>
      <c r="D378" s="96"/>
      <c r="E378" s="95"/>
      <c r="F378" s="95"/>
      <c r="G378" s="95"/>
      <c r="H378" s="94"/>
      <c r="I378" s="94"/>
      <c r="J378" s="91"/>
      <c r="K378" s="91"/>
      <c r="L378" s="94"/>
      <c r="M378" s="93"/>
      <c r="N378" s="92"/>
      <c r="O378" s="92">
        <f t="shared" si="30"/>
        <v>0</v>
      </c>
      <c r="P378" s="91">
        <f t="shared" si="27"/>
        <v>0</v>
      </c>
      <c r="Q378" s="91">
        <f t="shared" si="28"/>
        <v>0</v>
      </c>
      <c r="R378" s="91"/>
    </row>
    <row r="379" spans="2:18" ht="12" customHeight="1" x14ac:dyDescent="0.3">
      <c r="B379" s="98">
        <f t="shared" si="29"/>
        <v>376</v>
      </c>
      <c r="C379" s="97" t="str">
        <f t="shared" si="26"/>
        <v>Jan-00</v>
      </c>
      <c r="D379" s="96"/>
      <c r="E379" s="95"/>
      <c r="F379" s="95"/>
      <c r="G379" s="95"/>
      <c r="H379" s="94"/>
      <c r="I379" s="94"/>
      <c r="J379" s="91"/>
      <c r="K379" s="91"/>
      <c r="L379" s="94"/>
      <c r="M379" s="93"/>
      <c r="N379" s="92"/>
      <c r="O379" s="92">
        <f t="shared" si="30"/>
        <v>0</v>
      </c>
      <c r="P379" s="91">
        <f t="shared" si="27"/>
        <v>0</v>
      </c>
      <c r="Q379" s="91">
        <f t="shared" si="28"/>
        <v>0</v>
      </c>
      <c r="R379" s="91"/>
    </row>
    <row r="380" spans="2:18" ht="12" customHeight="1" x14ac:dyDescent="0.3">
      <c r="B380" s="98">
        <f t="shared" si="29"/>
        <v>377</v>
      </c>
      <c r="C380" s="97" t="str">
        <f t="shared" si="26"/>
        <v>Jan-00</v>
      </c>
      <c r="D380" s="96"/>
      <c r="E380" s="95"/>
      <c r="F380" s="95"/>
      <c r="G380" s="95"/>
      <c r="H380" s="94"/>
      <c r="I380" s="94"/>
      <c r="J380" s="91"/>
      <c r="K380" s="91"/>
      <c r="L380" s="94"/>
      <c r="M380" s="93"/>
      <c r="N380" s="92"/>
      <c r="O380" s="92">
        <f t="shared" si="30"/>
        <v>0</v>
      </c>
      <c r="P380" s="91">
        <f t="shared" si="27"/>
        <v>0</v>
      </c>
      <c r="Q380" s="91">
        <f t="shared" si="28"/>
        <v>0</v>
      </c>
      <c r="R380" s="91"/>
    </row>
    <row r="381" spans="2:18" ht="12" customHeight="1" x14ac:dyDescent="0.3">
      <c r="B381" s="98">
        <f t="shared" si="29"/>
        <v>378</v>
      </c>
      <c r="C381" s="97" t="str">
        <f t="shared" si="26"/>
        <v>Jan-00</v>
      </c>
      <c r="D381" s="96"/>
      <c r="E381" s="95"/>
      <c r="F381" s="95"/>
      <c r="G381" s="95"/>
      <c r="H381" s="94"/>
      <c r="I381" s="94"/>
      <c r="J381" s="91"/>
      <c r="K381" s="91"/>
      <c r="L381" s="94"/>
      <c r="M381" s="93"/>
      <c r="N381" s="92"/>
      <c r="O381" s="92">
        <f t="shared" si="30"/>
        <v>0</v>
      </c>
      <c r="P381" s="91">
        <f t="shared" si="27"/>
        <v>0</v>
      </c>
      <c r="Q381" s="91">
        <f t="shared" si="28"/>
        <v>0</v>
      </c>
      <c r="R381" s="91"/>
    </row>
    <row r="382" spans="2:18" ht="12" customHeight="1" x14ac:dyDescent="0.3">
      <c r="B382" s="98">
        <f t="shared" si="29"/>
        <v>379</v>
      </c>
      <c r="C382" s="97" t="str">
        <f t="shared" si="26"/>
        <v>Jan-00</v>
      </c>
      <c r="D382" s="96"/>
      <c r="E382" s="95"/>
      <c r="F382" s="95"/>
      <c r="G382" s="95"/>
      <c r="H382" s="94"/>
      <c r="I382" s="94"/>
      <c r="J382" s="91"/>
      <c r="K382" s="91"/>
      <c r="L382" s="94"/>
      <c r="M382" s="93"/>
      <c r="N382" s="92"/>
      <c r="O382" s="92">
        <f t="shared" si="30"/>
        <v>0</v>
      </c>
      <c r="P382" s="91">
        <f t="shared" si="27"/>
        <v>0</v>
      </c>
      <c r="Q382" s="91">
        <f t="shared" si="28"/>
        <v>0</v>
      </c>
      <c r="R382" s="91"/>
    </row>
    <row r="383" spans="2:18" ht="12" customHeight="1" x14ac:dyDescent="0.3">
      <c r="B383" s="98">
        <f t="shared" si="29"/>
        <v>380</v>
      </c>
      <c r="C383" s="97" t="str">
        <f t="shared" si="26"/>
        <v>Jan-00</v>
      </c>
      <c r="D383" s="96"/>
      <c r="E383" s="95"/>
      <c r="F383" s="95"/>
      <c r="G383" s="95"/>
      <c r="H383" s="94"/>
      <c r="I383" s="94"/>
      <c r="J383" s="91"/>
      <c r="K383" s="91"/>
      <c r="L383" s="94"/>
      <c r="M383" s="93"/>
      <c r="N383" s="92"/>
      <c r="O383" s="92">
        <f t="shared" si="30"/>
        <v>0</v>
      </c>
      <c r="P383" s="91">
        <f t="shared" si="27"/>
        <v>0</v>
      </c>
      <c r="Q383" s="91">
        <f t="shared" si="28"/>
        <v>0</v>
      </c>
      <c r="R383" s="91"/>
    </row>
    <row r="384" spans="2:18" ht="12" customHeight="1" x14ac:dyDescent="0.3">
      <c r="B384" s="98">
        <f t="shared" si="29"/>
        <v>381</v>
      </c>
      <c r="C384" s="97" t="str">
        <f t="shared" si="26"/>
        <v>Jan-00</v>
      </c>
      <c r="D384" s="96"/>
      <c r="E384" s="95"/>
      <c r="F384" s="95"/>
      <c r="G384" s="95"/>
      <c r="H384" s="94"/>
      <c r="I384" s="94"/>
      <c r="J384" s="91"/>
      <c r="K384" s="91"/>
      <c r="L384" s="94"/>
      <c r="M384" s="93"/>
      <c r="N384" s="92"/>
      <c r="O384" s="92">
        <f t="shared" si="30"/>
        <v>0</v>
      </c>
      <c r="P384" s="91">
        <f t="shared" si="27"/>
        <v>0</v>
      </c>
      <c r="Q384" s="91">
        <f t="shared" si="28"/>
        <v>0</v>
      </c>
      <c r="R384" s="91"/>
    </row>
    <row r="385" spans="2:18" ht="12" customHeight="1" x14ac:dyDescent="0.3">
      <c r="B385" s="98">
        <f t="shared" si="29"/>
        <v>382</v>
      </c>
      <c r="C385" s="97" t="str">
        <f t="shared" si="26"/>
        <v>Jan-00</v>
      </c>
      <c r="D385" s="96"/>
      <c r="E385" s="95"/>
      <c r="F385" s="95"/>
      <c r="G385" s="95"/>
      <c r="H385" s="94"/>
      <c r="I385" s="94"/>
      <c r="J385" s="91"/>
      <c r="K385" s="91"/>
      <c r="L385" s="94"/>
      <c r="M385" s="93"/>
      <c r="N385" s="92"/>
      <c r="O385" s="92">
        <f t="shared" si="30"/>
        <v>0</v>
      </c>
      <c r="P385" s="91">
        <f t="shared" si="27"/>
        <v>0</v>
      </c>
      <c r="Q385" s="91">
        <f t="shared" si="28"/>
        <v>0</v>
      </c>
      <c r="R385" s="91"/>
    </row>
    <row r="386" spans="2:18" ht="12" customHeight="1" x14ac:dyDescent="0.3">
      <c r="B386" s="98">
        <f t="shared" si="29"/>
        <v>383</v>
      </c>
      <c r="C386" s="97" t="str">
        <f t="shared" si="26"/>
        <v>Jan-00</v>
      </c>
      <c r="D386" s="96"/>
      <c r="E386" s="95"/>
      <c r="F386" s="95"/>
      <c r="G386" s="95"/>
      <c r="H386" s="94"/>
      <c r="I386" s="94"/>
      <c r="J386" s="91"/>
      <c r="K386" s="91"/>
      <c r="L386" s="94"/>
      <c r="M386" s="93"/>
      <c r="N386" s="92"/>
      <c r="O386" s="92">
        <f t="shared" si="30"/>
        <v>0</v>
      </c>
      <c r="P386" s="91">
        <f t="shared" si="27"/>
        <v>0</v>
      </c>
      <c r="Q386" s="91">
        <f t="shared" si="28"/>
        <v>0</v>
      </c>
      <c r="R386" s="91"/>
    </row>
    <row r="387" spans="2:18" ht="12" customHeight="1" x14ac:dyDescent="0.3">
      <c r="B387" s="98">
        <f t="shared" si="29"/>
        <v>384</v>
      </c>
      <c r="C387" s="97" t="str">
        <f t="shared" si="26"/>
        <v>Jan-00</v>
      </c>
      <c r="D387" s="96"/>
      <c r="E387" s="95"/>
      <c r="F387" s="95"/>
      <c r="G387" s="95"/>
      <c r="H387" s="94"/>
      <c r="I387" s="94"/>
      <c r="J387" s="91"/>
      <c r="K387" s="91"/>
      <c r="L387" s="94"/>
      <c r="M387" s="93"/>
      <c r="N387" s="92"/>
      <c r="O387" s="92">
        <f t="shared" si="30"/>
        <v>0</v>
      </c>
      <c r="P387" s="91">
        <f t="shared" si="27"/>
        <v>0</v>
      </c>
      <c r="Q387" s="91">
        <f t="shared" si="28"/>
        <v>0</v>
      </c>
      <c r="R387" s="91"/>
    </row>
    <row r="388" spans="2:18" ht="12" customHeight="1" x14ac:dyDescent="0.3">
      <c r="B388" s="98">
        <f t="shared" si="29"/>
        <v>385</v>
      </c>
      <c r="C388" s="97" t="str">
        <f t="shared" ref="C388:C451" si="31">CONCATENATE(TEXT(D388,"mmm"),"-",TEXT(D388,"yy"))</f>
        <v>Jan-00</v>
      </c>
      <c r="D388" s="96"/>
      <c r="E388" s="95"/>
      <c r="F388" s="95"/>
      <c r="G388" s="95"/>
      <c r="H388" s="94"/>
      <c r="I388" s="94"/>
      <c r="J388" s="91"/>
      <c r="K388" s="91"/>
      <c r="L388" s="94"/>
      <c r="M388" s="93"/>
      <c r="N388" s="92"/>
      <c r="O388" s="92">
        <f t="shared" si="30"/>
        <v>0</v>
      </c>
      <c r="P388" s="91">
        <f t="shared" ref="P388:P451" si="32">O388*1%</f>
        <v>0</v>
      </c>
      <c r="Q388" s="91">
        <f t="shared" ref="Q388:Q451" si="33">O388-P388</f>
        <v>0</v>
      </c>
      <c r="R388" s="91"/>
    </row>
    <row r="389" spans="2:18" ht="12" customHeight="1" x14ac:dyDescent="0.3">
      <c r="B389" s="98">
        <f t="shared" ref="B389:B452" si="34">+B388+1</f>
        <v>386</v>
      </c>
      <c r="C389" s="97" t="str">
        <f t="shared" si="31"/>
        <v>Jan-00</v>
      </c>
      <c r="D389" s="96"/>
      <c r="E389" s="95"/>
      <c r="F389" s="95"/>
      <c r="G389" s="95"/>
      <c r="H389" s="94"/>
      <c r="I389" s="94"/>
      <c r="J389" s="91"/>
      <c r="K389" s="91"/>
      <c r="L389" s="94"/>
      <c r="M389" s="93"/>
      <c r="N389" s="92"/>
      <c r="O389" s="92">
        <f t="shared" si="30"/>
        <v>0</v>
      </c>
      <c r="P389" s="91">
        <f t="shared" si="32"/>
        <v>0</v>
      </c>
      <c r="Q389" s="91">
        <f t="shared" si="33"/>
        <v>0</v>
      </c>
      <c r="R389" s="91"/>
    </row>
    <row r="390" spans="2:18" ht="12" customHeight="1" x14ac:dyDescent="0.3">
      <c r="B390" s="98">
        <f t="shared" si="34"/>
        <v>387</v>
      </c>
      <c r="C390" s="97" t="str">
        <f t="shared" si="31"/>
        <v>Jan-00</v>
      </c>
      <c r="D390" s="96"/>
      <c r="E390" s="95"/>
      <c r="F390" s="95"/>
      <c r="G390" s="95"/>
      <c r="H390" s="94"/>
      <c r="I390" s="94"/>
      <c r="J390" s="91"/>
      <c r="K390" s="91"/>
      <c r="L390" s="94"/>
      <c r="M390" s="93"/>
      <c r="N390" s="92"/>
      <c r="O390" s="92">
        <f t="shared" si="30"/>
        <v>0</v>
      </c>
      <c r="P390" s="91">
        <f t="shared" si="32"/>
        <v>0</v>
      </c>
      <c r="Q390" s="91">
        <f t="shared" si="33"/>
        <v>0</v>
      </c>
      <c r="R390" s="91"/>
    </row>
    <row r="391" spans="2:18" ht="12" customHeight="1" x14ac:dyDescent="0.3">
      <c r="B391" s="98">
        <f t="shared" si="34"/>
        <v>388</v>
      </c>
      <c r="C391" s="97" t="str">
        <f t="shared" si="31"/>
        <v>Jan-00</v>
      </c>
      <c r="D391" s="96"/>
      <c r="E391" s="95"/>
      <c r="F391" s="95"/>
      <c r="G391" s="95"/>
      <c r="H391" s="94"/>
      <c r="I391" s="94"/>
      <c r="J391" s="91"/>
      <c r="K391" s="91"/>
      <c r="L391" s="94"/>
      <c r="M391" s="93"/>
      <c r="N391" s="92"/>
      <c r="O391" s="92">
        <f t="shared" si="30"/>
        <v>0</v>
      </c>
      <c r="P391" s="91">
        <f t="shared" si="32"/>
        <v>0</v>
      </c>
      <c r="Q391" s="91">
        <f t="shared" si="33"/>
        <v>0</v>
      </c>
      <c r="R391" s="91"/>
    </row>
    <row r="392" spans="2:18" ht="12" customHeight="1" x14ac:dyDescent="0.3">
      <c r="B392" s="98">
        <f t="shared" si="34"/>
        <v>389</v>
      </c>
      <c r="C392" s="97" t="str">
        <f t="shared" si="31"/>
        <v>Jan-00</v>
      </c>
      <c r="D392" s="96"/>
      <c r="E392" s="95"/>
      <c r="F392" s="95"/>
      <c r="G392" s="95"/>
      <c r="H392" s="94"/>
      <c r="I392" s="94"/>
      <c r="J392" s="91"/>
      <c r="K392" s="91"/>
      <c r="L392" s="94"/>
      <c r="M392" s="93"/>
      <c r="N392" s="92"/>
      <c r="O392" s="92">
        <f t="shared" si="30"/>
        <v>0</v>
      </c>
      <c r="P392" s="91">
        <f t="shared" si="32"/>
        <v>0</v>
      </c>
      <c r="Q392" s="91">
        <f t="shared" si="33"/>
        <v>0</v>
      </c>
      <c r="R392" s="91"/>
    </row>
    <row r="393" spans="2:18" ht="12" customHeight="1" x14ac:dyDescent="0.3">
      <c r="B393" s="98">
        <f t="shared" si="34"/>
        <v>390</v>
      </c>
      <c r="C393" s="97" t="str">
        <f t="shared" si="31"/>
        <v>Jan-00</v>
      </c>
      <c r="D393" s="96"/>
      <c r="E393" s="95"/>
      <c r="F393" s="95"/>
      <c r="G393" s="95"/>
      <c r="H393" s="94"/>
      <c r="I393" s="94"/>
      <c r="J393" s="91"/>
      <c r="K393" s="91"/>
      <c r="L393" s="94"/>
      <c r="M393" s="93"/>
      <c r="N393" s="92"/>
      <c r="O393" s="92">
        <f t="shared" si="30"/>
        <v>0</v>
      </c>
      <c r="P393" s="91">
        <f t="shared" si="32"/>
        <v>0</v>
      </c>
      <c r="Q393" s="91">
        <f t="shared" si="33"/>
        <v>0</v>
      </c>
      <c r="R393" s="91"/>
    </row>
    <row r="394" spans="2:18" ht="12" customHeight="1" x14ac:dyDescent="0.3">
      <c r="B394" s="98">
        <f t="shared" si="34"/>
        <v>391</v>
      </c>
      <c r="C394" s="97" t="str">
        <f t="shared" si="31"/>
        <v>Jan-00</v>
      </c>
      <c r="D394" s="96"/>
      <c r="E394" s="95"/>
      <c r="F394" s="95"/>
      <c r="G394" s="95"/>
      <c r="H394" s="94"/>
      <c r="I394" s="94"/>
      <c r="J394" s="91"/>
      <c r="K394" s="91"/>
      <c r="L394" s="94"/>
      <c r="M394" s="93"/>
      <c r="N394" s="92"/>
      <c r="O394" s="92">
        <f t="shared" si="30"/>
        <v>0</v>
      </c>
      <c r="P394" s="91">
        <f t="shared" si="32"/>
        <v>0</v>
      </c>
      <c r="Q394" s="91">
        <f t="shared" si="33"/>
        <v>0</v>
      </c>
      <c r="R394" s="91"/>
    </row>
    <row r="395" spans="2:18" ht="12" customHeight="1" x14ac:dyDescent="0.3">
      <c r="B395" s="98">
        <f t="shared" si="34"/>
        <v>392</v>
      </c>
      <c r="C395" s="97" t="str">
        <f t="shared" si="31"/>
        <v>Jan-00</v>
      </c>
      <c r="D395" s="96"/>
      <c r="E395" s="95"/>
      <c r="F395" s="95"/>
      <c r="G395" s="95"/>
      <c r="H395" s="94"/>
      <c r="I395" s="94"/>
      <c r="J395" s="91"/>
      <c r="K395" s="91"/>
      <c r="L395" s="94"/>
      <c r="M395" s="93"/>
      <c r="N395" s="92"/>
      <c r="O395" s="92">
        <f t="shared" si="30"/>
        <v>0</v>
      </c>
      <c r="P395" s="91">
        <f t="shared" si="32"/>
        <v>0</v>
      </c>
      <c r="Q395" s="91">
        <f t="shared" si="33"/>
        <v>0</v>
      </c>
      <c r="R395" s="91"/>
    </row>
    <row r="396" spans="2:18" ht="12" customHeight="1" x14ac:dyDescent="0.3">
      <c r="B396" s="98">
        <f t="shared" si="34"/>
        <v>393</v>
      </c>
      <c r="C396" s="97" t="str">
        <f t="shared" si="31"/>
        <v>Jan-00</v>
      </c>
      <c r="D396" s="96"/>
      <c r="E396" s="95"/>
      <c r="F396" s="95"/>
      <c r="G396" s="95"/>
      <c r="H396" s="94"/>
      <c r="I396" s="94"/>
      <c r="J396" s="91"/>
      <c r="K396" s="91"/>
      <c r="L396" s="94"/>
      <c r="M396" s="93"/>
      <c r="N396" s="92"/>
      <c r="O396" s="92">
        <f t="shared" si="30"/>
        <v>0</v>
      </c>
      <c r="P396" s="91">
        <f t="shared" si="32"/>
        <v>0</v>
      </c>
      <c r="Q396" s="91">
        <f t="shared" si="33"/>
        <v>0</v>
      </c>
      <c r="R396" s="91"/>
    </row>
    <row r="397" spans="2:18" ht="12" customHeight="1" x14ac:dyDescent="0.3">
      <c r="B397" s="98">
        <f t="shared" si="34"/>
        <v>394</v>
      </c>
      <c r="C397" s="97" t="str">
        <f t="shared" si="31"/>
        <v>Jan-00</v>
      </c>
      <c r="D397" s="96"/>
      <c r="E397" s="95"/>
      <c r="F397" s="95"/>
      <c r="G397" s="95"/>
      <c r="H397" s="94"/>
      <c r="I397" s="94"/>
      <c r="J397" s="91"/>
      <c r="K397" s="91"/>
      <c r="L397" s="94"/>
      <c r="M397" s="93"/>
      <c r="N397" s="92"/>
      <c r="O397" s="92">
        <f t="shared" si="30"/>
        <v>0</v>
      </c>
      <c r="P397" s="91">
        <f t="shared" si="32"/>
        <v>0</v>
      </c>
      <c r="Q397" s="91">
        <f t="shared" si="33"/>
        <v>0</v>
      </c>
      <c r="R397" s="91"/>
    </row>
    <row r="398" spans="2:18" ht="12" customHeight="1" x14ac:dyDescent="0.3">
      <c r="B398" s="98">
        <f t="shared" si="34"/>
        <v>395</v>
      </c>
      <c r="C398" s="97" t="str">
        <f t="shared" si="31"/>
        <v>Jan-00</v>
      </c>
      <c r="D398" s="96"/>
      <c r="E398" s="95"/>
      <c r="F398" s="95"/>
      <c r="G398" s="95"/>
      <c r="H398" s="94"/>
      <c r="I398" s="94"/>
      <c r="J398" s="91"/>
      <c r="K398" s="91"/>
      <c r="L398" s="94"/>
      <c r="M398" s="93"/>
      <c r="N398" s="92"/>
      <c r="O398" s="92">
        <f t="shared" si="30"/>
        <v>0</v>
      </c>
      <c r="P398" s="91">
        <f t="shared" si="32"/>
        <v>0</v>
      </c>
      <c r="Q398" s="91">
        <f t="shared" si="33"/>
        <v>0</v>
      </c>
      <c r="R398" s="91"/>
    </row>
    <row r="399" spans="2:18" ht="12" customHeight="1" x14ac:dyDescent="0.3">
      <c r="B399" s="98">
        <f t="shared" si="34"/>
        <v>396</v>
      </c>
      <c r="C399" s="97" t="str">
        <f t="shared" si="31"/>
        <v>Jan-00</v>
      </c>
      <c r="D399" s="96"/>
      <c r="E399" s="95"/>
      <c r="F399" s="95"/>
      <c r="G399" s="95"/>
      <c r="H399" s="94"/>
      <c r="I399" s="94"/>
      <c r="J399" s="91"/>
      <c r="K399" s="91"/>
      <c r="L399" s="94"/>
      <c r="M399" s="93"/>
      <c r="N399" s="92"/>
      <c r="O399" s="92">
        <f t="shared" si="30"/>
        <v>0</v>
      </c>
      <c r="P399" s="91">
        <f t="shared" si="32"/>
        <v>0</v>
      </c>
      <c r="Q399" s="91">
        <f t="shared" si="33"/>
        <v>0</v>
      </c>
      <c r="R399" s="91"/>
    </row>
    <row r="400" spans="2:18" ht="12" customHeight="1" x14ac:dyDescent="0.3">
      <c r="B400" s="98">
        <f t="shared" si="34"/>
        <v>397</v>
      </c>
      <c r="C400" s="97" t="str">
        <f t="shared" si="31"/>
        <v>Jan-00</v>
      </c>
      <c r="D400" s="96"/>
      <c r="E400" s="95"/>
      <c r="F400" s="95"/>
      <c r="G400" s="95"/>
      <c r="H400" s="94"/>
      <c r="I400" s="94"/>
      <c r="J400" s="91"/>
      <c r="K400" s="91"/>
      <c r="L400" s="94"/>
      <c r="M400" s="93"/>
      <c r="N400" s="92"/>
      <c r="O400" s="92">
        <f t="shared" si="30"/>
        <v>0</v>
      </c>
      <c r="P400" s="91">
        <f t="shared" si="32"/>
        <v>0</v>
      </c>
      <c r="Q400" s="91">
        <f t="shared" si="33"/>
        <v>0</v>
      </c>
      <c r="R400" s="91"/>
    </row>
    <row r="401" spans="2:18" ht="12" customHeight="1" x14ac:dyDescent="0.3">
      <c r="B401" s="98">
        <f t="shared" si="34"/>
        <v>398</v>
      </c>
      <c r="C401" s="97" t="str">
        <f t="shared" si="31"/>
        <v>Jan-00</v>
      </c>
      <c r="D401" s="96"/>
      <c r="E401" s="95"/>
      <c r="F401" s="95"/>
      <c r="G401" s="95"/>
      <c r="H401" s="94"/>
      <c r="I401" s="94"/>
      <c r="J401" s="91"/>
      <c r="K401" s="91"/>
      <c r="L401" s="94"/>
      <c r="M401" s="93"/>
      <c r="N401" s="92"/>
      <c r="O401" s="92">
        <f t="shared" si="30"/>
        <v>0</v>
      </c>
      <c r="P401" s="91">
        <f t="shared" si="32"/>
        <v>0</v>
      </c>
      <c r="Q401" s="91">
        <f t="shared" si="33"/>
        <v>0</v>
      </c>
      <c r="R401" s="91"/>
    </row>
    <row r="402" spans="2:18" ht="12" customHeight="1" x14ac:dyDescent="0.3">
      <c r="B402" s="98">
        <f t="shared" si="34"/>
        <v>399</v>
      </c>
      <c r="C402" s="97" t="str">
        <f t="shared" si="31"/>
        <v>Jan-00</v>
      </c>
      <c r="D402" s="96"/>
      <c r="E402" s="95"/>
      <c r="F402" s="95"/>
      <c r="G402" s="95"/>
      <c r="H402" s="94"/>
      <c r="I402" s="94"/>
      <c r="J402" s="91"/>
      <c r="K402" s="91"/>
      <c r="L402" s="94"/>
      <c r="M402" s="93"/>
      <c r="N402" s="92"/>
      <c r="O402" s="92">
        <f t="shared" si="30"/>
        <v>0</v>
      </c>
      <c r="P402" s="91">
        <f t="shared" si="32"/>
        <v>0</v>
      </c>
      <c r="Q402" s="91">
        <f t="shared" si="33"/>
        <v>0</v>
      </c>
      <c r="R402" s="91"/>
    </row>
    <row r="403" spans="2:18" ht="12" customHeight="1" x14ac:dyDescent="0.3">
      <c r="B403" s="98">
        <f t="shared" si="34"/>
        <v>400</v>
      </c>
      <c r="C403" s="97" t="str">
        <f t="shared" si="31"/>
        <v>Jan-00</v>
      </c>
      <c r="D403" s="96"/>
      <c r="E403" s="95"/>
      <c r="F403" s="95"/>
      <c r="G403" s="95"/>
      <c r="H403" s="94"/>
      <c r="I403" s="94"/>
      <c r="J403" s="91"/>
      <c r="K403" s="91"/>
      <c r="L403" s="94"/>
      <c r="M403" s="93"/>
      <c r="N403" s="92"/>
      <c r="O403" s="92">
        <f t="shared" si="30"/>
        <v>0</v>
      </c>
      <c r="P403" s="91">
        <f t="shared" si="32"/>
        <v>0</v>
      </c>
      <c r="Q403" s="91">
        <f t="shared" si="33"/>
        <v>0</v>
      </c>
      <c r="R403" s="91"/>
    </row>
    <row r="404" spans="2:18" ht="12" customHeight="1" x14ac:dyDescent="0.3">
      <c r="B404" s="98">
        <f t="shared" si="34"/>
        <v>401</v>
      </c>
      <c r="C404" s="97" t="str">
        <f t="shared" si="31"/>
        <v>Jan-00</v>
      </c>
      <c r="D404" s="96"/>
      <c r="E404" s="95"/>
      <c r="F404" s="95"/>
      <c r="G404" s="95"/>
      <c r="H404" s="94"/>
      <c r="I404" s="94"/>
      <c r="J404" s="91"/>
      <c r="K404" s="91"/>
      <c r="L404" s="94"/>
      <c r="M404" s="93"/>
      <c r="N404" s="92"/>
      <c r="O404" s="92">
        <f t="shared" si="30"/>
        <v>0</v>
      </c>
      <c r="P404" s="91">
        <f t="shared" si="32"/>
        <v>0</v>
      </c>
      <c r="Q404" s="91">
        <f t="shared" si="33"/>
        <v>0</v>
      </c>
      <c r="R404" s="91"/>
    </row>
    <row r="405" spans="2:18" ht="12" customHeight="1" x14ac:dyDescent="0.3">
      <c r="B405" s="98">
        <f t="shared" si="34"/>
        <v>402</v>
      </c>
      <c r="C405" s="97" t="str">
        <f t="shared" si="31"/>
        <v>Jan-00</v>
      </c>
      <c r="D405" s="96"/>
      <c r="E405" s="95"/>
      <c r="F405" s="95"/>
      <c r="G405" s="95"/>
      <c r="H405" s="94"/>
      <c r="I405" s="94"/>
      <c r="J405" s="91"/>
      <c r="K405" s="91"/>
      <c r="L405" s="94"/>
      <c r="M405" s="93"/>
      <c r="N405" s="92"/>
      <c r="O405" s="92">
        <f t="shared" si="30"/>
        <v>0</v>
      </c>
      <c r="P405" s="91">
        <f t="shared" si="32"/>
        <v>0</v>
      </c>
      <c r="Q405" s="91">
        <f t="shared" si="33"/>
        <v>0</v>
      </c>
      <c r="R405" s="91"/>
    </row>
    <row r="406" spans="2:18" ht="12" customHeight="1" x14ac:dyDescent="0.3">
      <c r="B406" s="98">
        <f t="shared" si="34"/>
        <v>403</v>
      </c>
      <c r="C406" s="97" t="str">
        <f t="shared" si="31"/>
        <v>Jan-00</v>
      </c>
      <c r="D406" s="96"/>
      <c r="E406" s="95"/>
      <c r="F406" s="95"/>
      <c r="G406" s="95"/>
      <c r="H406" s="94"/>
      <c r="I406" s="94"/>
      <c r="J406" s="91"/>
      <c r="K406" s="91"/>
      <c r="L406" s="94"/>
      <c r="M406" s="93"/>
      <c r="N406" s="92"/>
      <c r="O406" s="92">
        <f t="shared" si="30"/>
        <v>0</v>
      </c>
      <c r="P406" s="91">
        <f t="shared" si="32"/>
        <v>0</v>
      </c>
      <c r="Q406" s="91">
        <f t="shared" si="33"/>
        <v>0</v>
      </c>
      <c r="R406" s="91"/>
    </row>
    <row r="407" spans="2:18" ht="12" customHeight="1" x14ac:dyDescent="0.3">
      <c r="B407" s="98">
        <f t="shared" si="34"/>
        <v>404</v>
      </c>
      <c r="C407" s="97" t="str">
        <f t="shared" si="31"/>
        <v>Jan-00</v>
      </c>
      <c r="D407" s="96"/>
      <c r="E407" s="95"/>
      <c r="F407" s="95"/>
      <c r="G407" s="95"/>
      <c r="H407" s="94"/>
      <c r="I407" s="94"/>
      <c r="J407" s="91"/>
      <c r="K407" s="91"/>
      <c r="L407" s="94"/>
      <c r="M407" s="93"/>
      <c r="N407" s="92"/>
      <c r="O407" s="92">
        <f t="shared" si="30"/>
        <v>0</v>
      </c>
      <c r="P407" s="91">
        <f t="shared" si="32"/>
        <v>0</v>
      </c>
      <c r="Q407" s="91">
        <f t="shared" si="33"/>
        <v>0</v>
      </c>
      <c r="R407" s="91"/>
    </row>
    <row r="408" spans="2:18" ht="12" customHeight="1" x14ac:dyDescent="0.3">
      <c r="B408" s="98">
        <f t="shared" si="34"/>
        <v>405</v>
      </c>
      <c r="C408" s="97" t="str">
        <f t="shared" si="31"/>
        <v>Jan-00</v>
      </c>
      <c r="D408" s="96"/>
      <c r="E408" s="95"/>
      <c r="F408" s="95"/>
      <c r="G408" s="95"/>
      <c r="H408" s="94"/>
      <c r="I408" s="94"/>
      <c r="J408" s="91"/>
      <c r="K408" s="91"/>
      <c r="L408" s="94"/>
      <c r="M408" s="93"/>
      <c r="N408" s="92"/>
      <c r="O408" s="92">
        <f t="shared" si="30"/>
        <v>0</v>
      </c>
      <c r="P408" s="91">
        <f t="shared" si="32"/>
        <v>0</v>
      </c>
      <c r="Q408" s="91">
        <f t="shared" si="33"/>
        <v>0</v>
      </c>
      <c r="R408" s="91"/>
    </row>
    <row r="409" spans="2:18" ht="12" customHeight="1" x14ac:dyDescent="0.3">
      <c r="B409" s="98">
        <f t="shared" si="34"/>
        <v>406</v>
      </c>
      <c r="C409" s="97" t="str">
        <f t="shared" si="31"/>
        <v>Jan-00</v>
      </c>
      <c r="D409" s="96"/>
      <c r="E409" s="95"/>
      <c r="F409" s="95"/>
      <c r="G409" s="95"/>
      <c r="H409" s="94"/>
      <c r="I409" s="94"/>
      <c r="J409" s="91"/>
      <c r="K409" s="91"/>
      <c r="L409" s="94"/>
      <c r="M409" s="93"/>
      <c r="N409" s="92"/>
      <c r="O409" s="92">
        <f t="shared" si="30"/>
        <v>0</v>
      </c>
      <c r="P409" s="91">
        <f t="shared" si="32"/>
        <v>0</v>
      </c>
      <c r="Q409" s="91">
        <f t="shared" si="33"/>
        <v>0</v>
      </c>
      <c r="R409" s="91"/>
    </row>
    <row r="410" spans="2:18" ht="12" customHeight="1" x14ac:dyDescent="0.3">
      <c r="B410" s="98">
        <f t="shared" si="34"/>
        <v>407</v>
      </c>
      <c r="C410" s="97" t="str">
        <f t="shared" si="31"/>
        <v>Jan-00</v>
      </c>
      <c r="D410" s="96"/>
      <c r="E410" s="95"/>
      <c r="F410" s="95"/>
      <c r="G410" s="95"/>
      <c r="H410" s="94"/>
      <c r="I410" s="94"/>
      <c r="J410" s="91"/>
      <c r="K410" s="91"/>
      <c r="L410" s="94"/>
      <c r="M410" s="93"/>
      <c r="N410" s="92"/>
      <c r="O410" s="92">
        <f t="shared" si="30"/>
        <v>0</v>
      </c>
      <c r="P410" s="91">
        <f t="shared" si="32"/>
        <v>0</v>
      </c>
      <c r="Q410" s="91">
        <f t="shared" si="33"/>
        <v>0</v>
      </c>
      <c r="R410" s="91"/>
    </row>
    <row r="411" spans="2:18" ht="12" customHeight="1" x14ac:dyDescent="0.3">
      <c r="B411" s="98">
        <f t="shared" si="34"/>
        <v>408</v>
      </c>
      <c r="C411" s="97" t="str">
        <f t="shared" si="31"/>
        <v>Jan-00</v>
      </c>
      <c r="D411" s="96"/>
      <c r="E411" s="95"/>
      <c r="F411" s="95"/>
      <c r="G411" s="95"/>
      <c r="H411" s="94"/>
      <c r="I411" s="94"/>
      <c r="J411" s="91"/>
      <c r="K411" s="91"/>
      <c r="L411" s="94"/>
      <c r="M411" s="93"/>
      <c r="N411" s="92"/>
      <c r="O411" s="92">
        <f t="shared" si="30"/>
        <v>0</v>
      </c>
      <c r="P411" s="91">
        <f t="shared" si="32"/>
        <v>0</v>
      </c>
      <c r="Q411" s="91">
        <f t="shared" si="33"/>
        <v>0</v>
      </c>
      <c r="R411" s="91"/>
    </row>
    <row r="412" spans="2:18" ht="12" customHeight="1" x14ac:dyDescent="0.3">
      <c r="B412" s="98">
        <f t="shared" si="34"/>
        <v>409</v>
      </c>
      <c r="C412" s="97" t="str">
        <f t="shared" si="31"/>
        <v>Jan-00</v>
      </c>
      <c r="D412" s="96"/>
      <c r="E412" s="95"/>
      <c r="F412" s="95"/>
      <c r="G412" s="95"/>
      <c r="H412" s="94"/>
      <c r="I412" s="94"/>
      <c r="J412" s="91"/>
      <c r="K412" s="91"/>
      <c r="L412" s="94"/>
      <c r="M412" s="93"/>
      <c r="N412" s="92"/>
      <c r="O412" s="92">
        <f t="shared" si="30"/>
        <v>0</v>
      </c>
      <c r="P412" s="91">
        <f t="shared" si="32"/>
        <v>0</v>
      </c>
      <c r="Q412" s="91">
        <f t="shared" si="33"/>
        <v>0</v>
      </c>
      <c r="R412" s="91"/>
    </row>
    <row r="413" spans="2:18" ht="12" customHeight="1" x14ac:dyDescent="0.3">
      <c r="B413" s="98">
        <f t="shared" si="34"/>
        <v>410</v>
      </c>
      <c r="C413" s="97" t="str">
        <f t="shared" si="31"/>
        <v>Jan-00</v>
      </c>
      <c r="D413" s="96"/>
      <c r="E413" s="95"/>
      <c r="F413" s="95"/>
      <c r="G413" s="95"/>
      <c r="H413" s="94"/>
      <c r="I413" s="94"/>
      <c r="J413" s="91"/>
      <c r="K413" s="91"/>
      <c r="L413" s="94"/>
      <c r="M413" s="93"/>
      <c r="N413" s="92"/>
      <c r="O413" s="92">
        <f t="shared" si="30"/>
        <v>0</v>
      </c>
      <c r="P413" s="91">
        <f t="shared" si="32"/>
        <v>0</v>
      </c>
      <c r="Q413" s="91">
        <f t="shared" si="33"/>
        <v>0</v>
      </c>
      <c r="R413" s="91"/>
    </row>
    <row r="414" spans="2:18" ht="12" customHeight="1" x14ac:dyDescent="0.3">
      <c r="B414" s="98">
        <f t="shared" si="34"/>
        <v>411</v>
      </c>
      <c r="C414" s="97" t="str">
        <f t="shared" si="31"/>
        <v>Jan-00</v>
      </c>
      <c r="D414" s="96"/>
      <c r="E414" s="95"/>
      <c r="F414" s="95"/>
      <c r="G414" s="95"/>
      <c r="H414" s="94"/>
      <c r="I414" s="94"/>
      <c r="J414" s="91"/>
      <c r="K414" s="91"/>
      <c r="L414" s="94"/>
      <c r="M414" s="93"/>
      <c r="N414" s="92"/>
      <c r="O414" s="92">
        <f t="shared" si="30"/>
        <v>0</v>
      </c>
      <c r="P414" s="91">
        <f t="shared" si="32"/>
        <v>0</v>
      </c>
      <c r="Q414" s="91">
        <f t="shared" si="33"/>
        <v>0</v>
      </c>
      <c r="R414" s="91"/>
    </row>
    <row r="415" spans="2:18" ht="12" customHeight="1" x14ac:dyDescent="0.3">
      <c r="B415" s="98">
        <f t="shared" si="34"/>
        <v>412</v>
      </c>
      <c r="C415" s="97" t="str">
        <f t="shared" si="31"/>
        <v>Jan-00</v>
      </c>
      <c r="D415" s="96"/>
      <c r="E415" s="95"/>
      <c r="F415" s="95"/>
      <c r="G415" s="95"/>
      <c r="H415" s="94"/>
      <c r="I415" s="94"/>
      <c r="J415" s="91"/>
      <c r="K415" s="91"/>
      <c r="L415" s="94"/>
      <c r="M415" s="93"/>
      <c r="N415" s="92"/>
      <c r="O415" s="92">
        <f t="shared" si="30"/>
        <v>0</v>
      </c>
      <c r="P415" s="91">
        <f t="shared" si="32"/>
        <v>0</v>
      </c>
      <c r="Q415" s="91">
        <f t="shared" si="33"/>
        <v>0</v>
      </c>
      <c r="R415" s="91"/>
    </row>
    <row r="416" spans="2:18" ht="12" customHeight="1" x14ac:dyDescent="0.3">
      <c r="B416" s="98">
        <f t="shared" si="34"/>
        <v>413</v>
      </c>
      <c r="C416" s="97" t="str">
        <f t="shared" si="31"/>
        <v>Jan-00</v>
      </c>
      <c r="D416" s="96"/>
      <c r="E416" s="95"/>
      <c r="F416" s="95"/>
      <c r="G416" s="95"/>
      <c r="H416" s="94"/>
      <c r="I416" s="94"/>
      <c r="J416" s="91"/>
      <c r="K416" s="91"/>
      <c r="L416" s="94"/>
      <c r="M416" s="93"/>
      <c r="N416" s="92"/>
      <c r="O416" s="92">
        <f t="shared" si="30"/>
        <v>0</v>
      </c>
      <c r="P416" s="91">
        <f t="shared" si="32"/>
        <v>0</v>
      </c>
      <c r="Q416" s="91">
        <f t="shared" si="33"/>
        <v>0</v>
      </c>
      <c r="R416" s="91"/>
    </row>
    <row r="417" spans="2:18" ht="12" customHeight="1" x14ac:dyDescent="0.3">
      <c r="B417" s="98">
        <f t="shared" si="34"/>
        <v>414</v>
      </c>
      <c r="C417" s="97" t="str">
        <f t="shared" si="31"/>
        <v>Jan-00</v>
      </c>
      <c r="D417" s="96"/>
      <c r="E417" s="95"/>
      <c r="F417" s="95"/>
      <c r="G417" s="95"/>
      <c r="H417" s="94"/>
      <c r="I417" s="94"/>
      <c r="J417" s="91"/>
      <c r="K417" s="91"/>
      <c r="L417" s="94"/>
      <c r="M417" s="93"/>
      <c r="N417" s="92"/>
      <c r="O417" s="92">
        <f t="shared" si="30"/>
        <v>0</v>
      </c>
      <c r="P417" s="91">
        <f t="shared" si="32"/>
        <v>0</v>
      </c>
      <c r="Q417" s="91">
        <f t="shared" si="33"/>
        <v>0</v>
      </c>
      <c r="R417" s="91"/>
    </row>
    <row r="418" spans="2:18" ht="12" customHeight="1" x14ac:dyDescent="0.3">
      <c r="B418" s="98">
        <f t="shared" si="34"/>
        <v>415</v>
      </c>
      <c r="C418" s="97" t="str">
        <f t="shared" si="31"/>
        <v>Jan-00</v>
      </c>
      <c r="D418" s="96"/>
      <c r="E418" s="95"/>
      <c r="F418" s="95"/>
      <c r="G418" s="95"/>
      <c r="H418" s="94"/>
      <c r="I418" s="94"/>
      <c r="J418" s="91"/>
      <c r="K418" s="91"/>
      <c r="L418" s="94"/>
      <c r="M418" s="93"/>
      <c r="N418" s="92"/>
      <c r="O418" s="92">
        <f t="shared" ref="O418:O481" si="35">SUM(N418*M418)</f>
        <v>0</v>
      </c>
      <c r="P418" s="91">
        <f t="shared" si="32"/>
        <v>0</v>
      </c>
      <c r="Q418" s="91">
        <f t="shared" si="33"/>
        <v>0</v>
      </c>
      <c r="R418" s="91"/>
    </row>
    <row r="419" spans="2:18" ht="12" customHeight="1" x14ac:dyDescent="0.3">
      <c r="B419" s="98">
        <f t="shared" si="34"/>
        <v>416</v>
      </c>
      <c r="C419" s="97" t="str">
        <f t="shared" si="31"/>
        <v>Jan-00</v>
      </c>
      <c r="D419" s="96"/>
      <c r="E419" s="95"/>
      <c r="F419" s="95"/>
      <c r="G419" s="95"/>
      <c r="H419" s="94"/>
      <c r="I419" s="94"/>
      <c r="J419" s="91"/>
      <c r="K419" s="91"/>
      <c r="L419" s="94"/>
      <c r="M419" s="93"/>
      <c r="N419" s="92"/>
      <c r="O419" s="92">
        <f t="shared" si="35"/>
        <v>0</v>
      </c>
      <c r="P419" s="91">
        <f t="shared" si="32"/>
        <v>0</v>
      </c>
      <c r="Q419" s="91">
        <f t="shared" si="33"/>
        <v>0</v>
      </c>
      <c r="R419" s="91"/>
    </row>
    <row r="420" spans="2:18" ht="12" customHeight="1" x14ac:dyDescent="0.3">
      <c r="B420" s="98">
        <f t="shared" si="34"/>
        <v>417</v>
      </c>
      <c r="C420" s="97" t="str">
        <f t="shared" si="31"/>
        <v>Jan-00</v>
      </c>
      <c r="D420" s="96"/>
      <c r="E420" s="95"/>
      <c r="F420" s="95"/>
      <c r="G420" s="95"/>
      <c r="H420" s="94"/>
      <c r="I420" s="94"/>
      <c r="J420" s="91"/>
      <c r="K420" s="91"/>
      <c r="L420" s="94"/>
      <c r="M420" s="93"/>
      <c r="N420" s="92"/>
      <c r="O420" s="92">
        <f t="shared" si="35"/>
        <v>0</v>
      </c>
      <c r="P420" s="91">
        <f t="shared" si="32"/>
        <v>0</v>
      </c>
      <c r="Q420" s="91">
        <f t="shared" si="33"/>
        <v>0</v>
      </c>
      <c r="R420" s="91"/>
    </row>
    <row r="421" spans="2:18" ht="12" customHeight="1" x14ac:dyDescent="0.3">
      <c r="B421" s="98">
        <f t="shared" si="34"/>
        <v>418</v>
      </c>
      <c r="C421" s="97" t="str">
        <f t="shared" si="31"/>
        <v>Jan-00</v>
      </c>
      <c r="D421" s="96"/>
      <c r="E421" s="95"/>
      <c r="F421" s="95"/>
      <c r="G421" s="95"/>
      <c r="H421" s="94"/>
      <c r="I421" s="94"/>
      <c r="J421" s="91"/>
      <c r="K421" s="91"/>
      <c r="L421" s="94"/>
      <c r="M421" s="93"/>
      <c r="N421" s="92"/>
      <c r="O421" s="92">
        <f t="shared" si="35"/>
        <v>0</v>
      </c>
      <c r="P421" s="91">
        <f t="shared" si="32"/>
        <v>0</v>
      </c>
      <c r="Q421" s="91">
        <f t="shared" si="33"/>
        <v>0</v>
      </c>
      <c r="R421" s="91"/>
    </row>
    <row r="422" spans="2:18" ht="12" customHeight="1" x14ac:dyDescent="0.3">
      <c r="B422" s="98">
        <f t="shared" si="34"/>
        <v>419</v>
      </c>
      <c r="C422" s="97" t="str">
        <f t="shared" si="31"/>
        <v>Jan-00</v>
      </c>
      <c r="D422" s="96"/>
      <c r="E422" s="95"/>
      <c r="F422" s="95"/>
      <c r="G422" s="95"/>
      <c r="H422" s="94"/>
      <c r="I422" s="94"/>
      <c r="J422" s="91"/>
      <c r="K422" s="91"/>
      <c r="L422" s="94"/>
      <c r="M422" s="93"/>
      <c r="N422" s="92"/>
      <c r="O422" s="92">
        <f t="shared" si="35"/>
        <v>0</v>
      </c>
      <c r="P422" s="91">
        <f t="shared" si="32"/>
        <v>0</v>
      </c>
      <c r="Q422" s="91">
        <f t="shared" si="33"/>
        <v>0</v>
      </c>
      <c r="R422" s="91"/>
    </row>
    <row r="423" spans="2:18" ht="12" customHeight="1" x14ac:dyDescent="0.3">
      <c r="B423" s="98">
        <f t="shared" si="34"/>
        <v>420</v>
      </c>
      <c r="C423" s="97" t="str">
        <f t="shared" si="31"/>
        <v>Jan-00</v>
      </c>
      <c r="D423" s="96"/>
      <c r="E423" s="95"/>
      <c r="F423" s="95"/>
      <c r="G423" s="95"/>
      <c r="H423" s="94"/>
      <c r="I423" s="94"/>
      <c r="J423" s="91"/>
      <c r="K423" s="91"/>
      <c r="L423" s="94"/>
      <c r="M423" s="93"/>
      <c r="N423" s="92"/>
      <c r="O423" s="92">
        <f t="shared" si="35"/>
        <v>0</v>
      </c>
      <c r="P423" s="91">
        <f t="shared" si="32"/>
        <v>0</v>
      </c>
      <c r="Q423" s="91">
        <f t="shared" si="33"/>
        <v>0</v>
      </c>
      <c r="R423" s="91"/>
    </row>
    <row r="424" spans="2:18" ht="12" customHeight="1" x14ac:dyDescent="0.3">
      <c r="B424" s="98">
        <f t="shared" si="34"/>
        <v>421</v>
      </c>
      <c r="C424" s="97" t="str">
        <f t="shared" si="31"/>
        <v>Jan-00</v>
      </c>
      <c r="D424" s="96"/>
      <c r="E424" s="95"/>
      <c r="F424" s="95"/>
      <c r="G424" s="95"/>
      <c r="H424" s="94"/>
      <c r="I424" s="94"/>
      <c r="J424" s="91"/>
      <c r="K424" s="91"/>
      <c r="L424" s="94"/>
      <c r="M424" s="93"/>
      <c r="N424" s="92"/>
      <c r="O424" s="92">
        <f t="shared" si="35"/>
        <v>0</v>
      </c>
      <c r="P424" s="91">
        <f t="shared" si="32"/>
        <v>0</v>
      </c>
      <c r="Q424" s="91">
        <f t="shared" si="33"/>
        <v>0</v>
      </c>
      <c r="R424" s="91"/>
    </row>
    <row r="425" spans="2:18" ht="12" customHeight="1" x14ac:dyDescent="0.3">
      <c r="B425" s="98">
        <f t="shared" si="34"/>
        <v>422</v>
      </c>
      <c r="C425" s="97" t="str">
        <f t="shared" si="31"/>
        <v>Jan-00</v>
      </c>
      <c r="D425" s="96"/>
      <c r="E425" s="95"/>
      <c r="F425" s="95"/>
      <c r="G425" s="95"/>
      <c r="H425" s="94"/>
      <c r="I425" s="94"/>
      <c r="J425" s="91"/>
      <c r="K425" s="91"/>
      <c r="L425" s="94"/>
      <c r="M425" s="93"/>
      <c r="N425" s="92"/>
      <c r="O425" s="92">
        <f t="shared" si="35"/>
        <v>0</v>
      </c>
      <c r="P425" s="91">
        <f t="shared" si="32"/>
        <v>0</v>
      </c>
      <c r="Q425" s="91">
        <f t="shared" si="33"/>
        <v>0</v>
      </c>
      <c r="R425" s="91"/>
    </row>
    <row r="426" spans="2:18" ht="12" customHeight="1" x14ac:dyDescent="0.3">
      <c r="B426" s="98">
        <f t="shared" si="34"/>
        <v>423</v>
      </c>
      <c r="C426" s="97" t="str">
        <f t="shared" si="31"/>
        <v>Jan-00</v>
      </c>
      <c r="D426" s="96"/>
      <c r="E426" s="95"/>
      <c r="F426" s="95"/>
      <c r="G426" s="95"/>
      <c r="H426" s="94"/>
      <c r="I426" s="94"/>
      <c r="J426" s="91"/>
      <c r="K426" s="91"/>
      <c r="L426" s="94"/>
      <c r="M426" s="93"/>
      <c r="N426" s="92"/>
      <c r="O426" s="92">
        <f t="shared" si="35"/>
        <v>0</v>
      </c>
      <c r="P426" s="91">
        <f t="shared" si="32"/>
        <v>0</v>
      </c>
      <c r="Q426" s="91">
        <f t="shared" si="33"/>
        <v>0</v>
      </c>
      <c r="R426" s="91"/>
    </row>
    <row r="427" spans="2:18" ht="12" customHeight="1" x14ac:dyDescent="0.3">
      <c r="B427" s="98">
        <f t="shared" si="34"/>
        <v>424</v>
      </c>
      <c r="C427" s="97" t="str">
        <f t="shared" si="31"/>
        <v>Jan-00</v>
      </c>
      <c r="D427" s="96"/>
      <c r="E427" s="95"/>
      <c r="F427" s="95"/>
      <c r="G427" s="95"/>
      <c r="H427" s="94"/>
      <c r="I427" s="94"/>
      <c r="J427" s="91"/>
      <c r="K427" s="91"/>
      <c r="L427" s="94"/>
      <c r="M427" s="93"/>
      <c r="N427" s="92"/>
      <c r="O427" s="92">
        <f t="shared" si="35"/>
        <v>0</v>
      </c>
      <c r="P427" s="91">
        <f t="shared" si="32"/>
        <v>0</v>
      </c>
      <c r="Q427" s="91">
        <f t="shared" si="33"/>
        <v>0</v>
      </c>
      <c r="R427" s="91"/>
    </row>
    <row r="428" spans="2:18" ht="12" customHeight="1" x14ac:dyDescent="0.3">
      <c r="B428" s="98">
        <f t="shared" si="34"/>
        <v>425</v>
      </c>
      <c r="C428" s="97" t="str">
        <f t="shared" si="31"/>
        <v>Jan-00</v>
      </c>
      <c r="D428" s="96"/>
      <c r="E428" s="95"/>
      <c r="F428" s="95"/>
      <c r="G428" s="95"/>
      <c r="H428" s="94"/>
      <c r="I428" s="94"/>
      <c r="J428" s="91"/>
      <c r="K428" s="91"/>
      <c r="L428" s="94"/>
      <c r="M428" s="93"/>
      <c r="N428" s="92"/>
      <c r="O428" s="92">
        <f t="shared" si="35"/>
        <v>0</v>
      </c>
      <c r="P428" s="91">
        <f t="shared" si="32"/>
        <v>0</v>
      </c>
      <c r="Q428" s="91">
        <f t="shared" si="33"/>
        <v>0</v>
      </c>
      <c r="R428" s="91"/>
    </row>
    <row r="429" spans="2:18" ht="12" customHeight="1" x14ac:dyDescent="0.3">
      <c r="B429" s="98">
        <f t="shared" si="34"/>
        <v>426</v>
      </c>
      <c r="C429" s="97" t="str">
        <f t="shared" si="31"/>
        <v>Jan-00</v>
      </c>
      <c r="D429" s="96"/>
      <c r="E429" s="95"/>
      <c r="F429" s="95"/>
      <c r="G429" s="95"/>
      <c r="H429" s="94"/>
      <c r="I429" s="94"/>
      <c r="J429" s="91"/>
      <c r="K429" s="91"/>
      <c r="L429" s="94"/>
      <c r="M429" s="93"/>
      <c r="N429" s="92"/>
      <c r="O429" s="92">
        <f t="shared" si="35"/>
        <v>0</v>
      </c>
      <c r="P429" s="91">
        <f t="shared" si="32"/>
        <v>0</v>
      </c>
      <c r="Q429" s="91">
        <f t="shared" si="33"/>
        <v>0</v>
      </c>
      <c r="R429" s="91"/>
    </row>
    <row r="430" spans="2:18" ht="12" customHeight="1" x14ac:dyDescent="0.3">
      <c r="B430" s="98">
        <f t="shared" si="34"/>
        <v>427</v>
      </c>
      <c r="C430" s="97" t="str">
        <f t="shared" si="31"/>
        <v>Jan-00</v>
      </c>
      <c r="D430" s="96"/>
      <c r="E430" s="95"/>
      <c r="F430" s="95"/>
      <c r="G430" s="95"/>
      <c r="H430" s="94"/>
      <c r="I430" s="94"/>
      <c r="J430" s="91"/>
      <c r="K430" s="91"/>
      <c r="L430" s="94"/>
      <c r="M430" s="93"/>
      <c r="N430" s="92"/>
      <c r="O430" s="92">
        <f t="shared" si="35"/>
        <v>0</v>
      </c>
      <c r="P430" s="91">
        <f t="shared" si="32"/>
        <v>0</v>
      </c>
      <c r="Q430" s="91">
        <f t="shared" si="33"/>
        <v>0</v>
      </c>
      <c r="R430" s="91"/>
    </row>
    <row r="431" spans="2:18" ht="12" customHeight="1" x14ac:dyDescent="0.3">
      <c r="B431" s="98">
        <f t="shared" si="34"/>
        <v>428</v>
      </c>
      <c r="C431" s="97" t="str">
        <f t="shared" si="31"/>
        <v>Jan-00</v>
      </c>
      <c r="D431" s="96"/>
      <c r="E431" s="95"/>
      <c r="F431" s="95"/>
      <c r="G431" s="95"/>
      <c r="H431" s="94"/>
      <c r="I431" s="94"/>
      <c r="J431" s="91"/>
      <c r="K431" s="91"/>
      <c r="L431" s="94"/>
      <c r="M431" s="93"/>
      <c r="N431" s="92"/>
      <c r="O431" s="92">
        <f t="shared" si="35"/>
        <v>0</v>
      </c>
      <c r="P431" s="91">
        <f t="shared" si="32"/>
        <v>0</v>
      </c>
      <c r="Q431" s="91">
        <f t="shared" si="33"/>
        <v>0</v>
      </c>
      <c r="R431" s="91"/>
    </row>
    <row r="432" spans="2:18" ht="12" customHeight="1" x14ac:dyDescent="0.3">
      <c r="B432" s="98">
        <f t="shared" si="34"/>
        <v>429</v>
      </c>
      <c r="C432" s="97" t="str">
        <f t="shared" si="31"/>
        <v>Jan-00</v>
      </c>
      <c r="D432" s="96"/>
      <c r="E432" s="95"/>
      <c r="F432" s="95"/>
      <c r="G432" s="95"/>
      <c r="H432" s="94"/>
      <c r="I432" s="94"/>
      <c r="J432" s="91"/>
      <c r="K432" s="91"/>
      <c r="L432" s="94"/>
      <c r="M432" s="93"/>
      <c r="N432" s="92"/>
      <c r="O432" s="92">
        <f t="shared" si="35"/>
        <v>0</v>
      </c>
      <c r="P432" s="91">
        <f t="shared" si="32"/>
        <v>0</v>
      </c>
      <c r="Q432" s="91">
        <f t="shared" si="33"/>
        <v>0</v>
      </c>
      <c r="R432" s="91"/>
    </row>
    <row r="433" spans="2:18" ht="12" customHeight="1" x14ac:dyDescent="0.3">
      <c r="B433" s="98">
        <f t="shared" si="34"/>
        <v>430</v>
      </c>
      <c r="C433" s="97" t="str">
        <f t="shared" si="31"/>
        <v>Jan-00</v>
      </c>
      <c r="D433" s="96"/>
      <c r="E433" s="95"/>
      <c r="F433" s="95"/>
      <c r="G433" s="95"/>
      <c r="H433" s="94"/>
      <c r="I433" s="94"/>
      <c r="J433" s="91"/>
      <c r="K433" s="91"/>
      <c r="L433" s="94"/>
      <c r="M433" s="93"/>
      <c r="N433" s="92"/>
      <c r="O433" s="92">
        <f t="shared" si="35"/>
        <v>0</v>
      </c>
      <c r="P433" s="91">
        <f t="shared" si="32"/>
        <v>0</v>
      </c>
      <c r="Q433" s="91">
        <f t="shared" si="33"/>
        <v>0</v>
      </c>
      <c r="R433" s="91"/>
    </row>
    <row r="434" spans="2:18" ht="12" customHeight="1" x14ac:dyDescent="0.3">
      <c r="B434" s="98">
        <f t="shared" si="34"/>
        <v>431</v>
      </c>
      <c r="C434" s="97" t="str">
        <f t="shared" si="31"/>
        <v>Jan-00</v>
      </c>
      <c r="D434" s="96"/>
      <c r="E434" s="95"/>
      <c r="F434" s="95"/>
      <c r="G434" s="95"/>
      <c r="H434" s="94"/>
      <c r="I434" s="94"/>
      <c r="J434" s="91"/>
      <c r="K434" s="91"/>
      <c r="L434" s="94"/>
      <c r="M434" s="93"/>
      <c r="N434" s="92"/>
      <c r="O434" s="92">
        <f t="shared" si="35"/>
        <v>0</v>
      </c>
      <c r="P434" s="91">
        <f t="shared" si="32"/>
        <v>0</v>
      </c>
      <c r="Q434" s="91">
        <f t="shared" si="33"/>
        <v>0</v>
      </c>
      <c r="R434" s="91"/>
    </row>
    <row r="435" spans="2:18" ht="12" customHeight="1" x14ac:dyDescent="0.3">
      <c r="B435" s="98">
        <f t="shared" si="34"/>
        <v>432</v>
      </c>
      <c r="C435" s="97" t="str">
        <f t="shared" si="31"/>
        <v>Jan-00</v>
      </c>
      <c r="D435" s="96"/>
      <c r="E435" s="95"/>
      <c r="F435" s="95"/>
      <c r="G435" s="95"/>
      <c r="H435" s="94"/>
      <c r="I435" s="94"/>
      <c r="J435" s="91"/>
      <c r="K435" s="91"/>
      <c r="L435" s="94"/>
      <c r="M435" s="93"/>
      <c r="N435" s="92"/>
      <c r="O435" s="92">
        <f t="shared" si="35"/>
        <v>0</v>
      </c>
      <c r="P435" s="91">
        <f t="shared" si="32"/>
        <v>0</v>
      </c>
      <c r="Q435" s="91">
        <f t="shared" si="33"/>
        <v>0</v>
      </c>
      <c r="R435" s="91"/>
    </row>
    <row r="436" spans="2:18" ht="12" customHeight="1" x14ac:dyDescent="0.3">
      <c r="B436" s="98">
        <f t="shared" si="34"/>
        <v>433</v>
      </c>
      <c r="C436" s="97" t="str">
        <f t="shared" si="31"/>
        <v>Jan-00</v>
      </c>
      <c r="D436" s="96"/>
      <c r="E436" s="95"/>
      <c r="F436" s="95"/>
      <c r="G436" s="95"/>
      <c r="H436" s="94"/>
      <c r="I436" s="94"/>
      <c r="J436" s="91"/>
      <c r="K436" s="91"/>
      <c r="L436" s="94"/>
      <c r="M436" s="93"/>
      <c r="N436" s="92"/>
      <c r="O436" s="92">
        <f t="shared" si="35"/>
        <v>0</v>
      </c>
      <c r="P436" s="91">
        <f t="shared" si="32"/>
        <v>0</v>
      </c>
      <c r="Q436" s="91">
        <f t="shared" si="33"/>
        <v>0</v>
      </c>
      <c r="R436" s="91"/>
    </row>
    <row r="437" spans="2:18" ht="12" customHeight="1" x14ac:dyDescent="0.3">
      <c r="B437" s="98">
        <f t="shared" si="34"/>
        <v>434</v>
      </c>
      <c r="C437" s="97" t="str">
        <f t="shared" si="31"/>
        <v>Jan-00</v>
      </c>
      <c r="D437" s="96"/>
      <c r="E437" s="95"/>
      <c r="F437" s="95"/>
      <c r="G437" s="95"/>
      <c r="H437" s="94"/>
      <c r="I437" s="94"/>
      <c r="J437" s="91"/>
      <c r="K437" s="91"/>
      <c r="L437" s="94"/>
      <c r="M437" s="93"/>
      <c r="N437" s="92"/>
      <c r="O437" s="92">
        <f t="shared" si="35"/>
        <v>0</v>
      </c>
      <c r="P437" s="91">
        <f t="shared" si="32"/>
        <v>0</v>
      </c>
      <c r="Q437" s="91">
        <f t="shared" si="33"/>
        <v>0</v>
      </c>
      <c r="R437" s="91"/>
    </row>
    <row r="438" spans="2:18" ht="12" customHeight="1" x14ac:dyDescent="0.3">
      <c r="B438" s="98">
        <f t="shared" si="34"/>
        <v>435</v>
      </c>
      <c r="C438" s="97" t="str">
        <f t="shared" si="31"/>
        <v>Jan-00</v>
      </c>
      <c r="D438" s="96"/>
      <c r="E438" s="95"/>
      <c r="F438" s="95"/>
      <c r="G438" s="95"/>
      <c r="H438" s="94"/>
      <c r="I438" s="94"/>
      <c r="J438" s="91"/>
      <c r="K438" s="91"/>
      <c r="L438" s="94"/>
      <c r="M438" s="93"/>
      <c r="N438" s="92"/>
      <c r="O438" s="92">
        <f t="shared" si="35"/>
        <v>0</v>
      </c>
      <c r="P438" s="91">
        <f t="shared" si="32"/>
        <v>0</v>
      </c>
      <c r="Q438" s="91">
        <f t="shared" si="33"/>
        <v>0</v>
      </c>
      <c r="R438" s="91"/>
    </row>
    <row r="439" spans="2:18" ht="12" customHeight="1" x14ac:dyDescent="0.3">
      <c r="B439" s="98">
        <f t="shared" si="34"/>
        <v>436</v>
      </c>
      <c r="C439" s="97" t="str">
        <f t="shared" si="31"/>
        <v>Jan-00</v>
      </c>
      <c r="D439" s="96"/>
      <c r="E439" s="95"/>
      <c r="F439" s="95"/>
      <c r="G439" s="95"/>
      <c r="H439" s="94"/>
      <c r="I439" s="94"/>
      <c r="J439" s="91"/>
      <c r="K439" s="91"/>
      <c r="L439" s="94"/>
      <c r="M439" s="93"/>
      <c r="N439" s="92"/>
      <c r="O439" s="92">
        <f t="shared" si="35"/>
        <v>0</v>
      </c>
      <c r="P439" s="91">
        <f t="shared" si="32"/>
        <v>0</v>
      </c>
      <c r="Q439" s="91">
        <f t="shared" si="33"/>
        <v>0</v>
      </c>
      <c r="R439" s="91"/>
    </row>
    <row r="440" spans="2:18" ht="12" customHeight="1" x14ac:dyDescent="0.3">
      <c r="B440" s="98">
        <f t="shared" si="34"/>
        <v>437</v>
      </c>
      <c r="C440" s="97" t="str">
        <f t="shared" si="31"/>
        <v>Jan-00</v>
      </c>
      <c r="D440" s="96"/>
      <c r="E440" s="95"/>
      <c r="F440" s="95"/>
      <c r="G440" s="95"/>
      <c r="H440" s="94"/>
      <c r="I440" s="94"/>
      <c r="J440" s="91"/>
      <c r="K440" s="91"/>
      <c r="L440" s="94"/>
      <c r="M440" s="93"/>
      <c r="N440" s="92"/>
      <c r="O440" s="92">
        <f t="shared" si="35"/>
        <v>0</v>
      </c>
      <c r="P440" s="91">
        <f t="shared" si="32"/>
        <v>0</v>
      </c>
      <c r="Q440" s="91">
        <f t="shared" si="33"/>
        <v>0</v>
      </c>
      <c r="R440" s="91"/>
    </row>
    <row r="441" spans="2:18" ht="12" customHeight="1" x14ac:dyDescent="0.3">
      <c r="B441" s="98">
        <f t="shared" si="34"/>
        <v>438</v>
      </c>
      <c r="C441" s="97" t="str">
        <f t="shared" si="31"/>
        <v>Jan-00</v>
      </c>
      <c r="D441" s="96"/>
      <c r="E441" s="95"/>
      <c r="F441" s="95"/>
      <c r="G441" s="95"/>
      <c r="H441" s="94"/>
      <c r="I441" s="94"/>
      <c r="J441" s="91"/>
      <c r="K441" s="91"/>
      <c r="L441" s="94"/>
      <c r="M441" s="93"/>
      <c r="N441" s="92"/>
      <c r="O441" s="92">
        <f t="shared" si="35"/>
        <v>0</v>
      </c>
      <c r="P441" s="91">
        <f t="shared" si="32"/>
        <v>0</v>
      </c>
      <c r="Q441" s="91">
        <f t="shared" si="33"/>
        <v>0</v>
      </c>
      <c r="R441" s="91"/>
    </row>
    <row r="442" spans="2:18" ht="12" customHeight="1" x14ac:dyDescent="0.3">
      <c r="B442" s="98">
        <f t="shared" si="34"/>
        <v>439</v>
      </c>
      <c r="C442" s="97" t="str">
        <f t="shared" si="31"/>
        <v>Jan-00</v>
      </c>
      <c r="D442" s="96"/>
      <c r="E442" s="95"/>
      <c r="F442" s="95"/>
      <c r="G442" s="95"/>
      <c r="H442" s="94"/>
      <c r="I442" s="94"/>
      <c r="J442" s="91"/>
      <c r="K442" s="91"/>
      <c r="L442" s="94"/>
      <c r="M442" s="93"/>
      <c r="N442" s="92"/>
      <c r="O442" s="92">
        <f t="shared" si="35"/>
        <v>0</v>
      </c>
      <c r="P442" s="91">
        <f t="shared" si="32"/>
        <v>0</v>
      </c>
      <c r="Q442" s="91">
        <f t="shared" si="33"/>
        <v>0</v>
      </c>
      <c r="R442" s="91"/>
    </row>
    <row r="443" spans="2:18" ht="12" customHeight="1" x14ac:dyDescent="0.3">
      <c r="B443" s="98">
        <f t="shared" si="34"/>
        <v>440</v>
      </c>
      <c r="C443" s="97" t="str">
        <f t="shared" si="31"/>
        <v>Jan-00</v>
      </c>
      <c r="D443" s="96"/>
      <c r="E443" s="95"/>
      <c r="F443" s="95"/>
      <c r="G443" s="95"/>
      <c r="H443" s="94"/>
      <c r="I443" s="94"/>
      <c r="J443" s="91"/>
      <c r="K443" s="91"/>
      <c r="L443" s="94"/>
      <c r="M443" s="93"/>
      <c r="N443" s="92"/>
      <c r="O443" s="92">
        <f t="shared" si="35"/>
        <v>0</v>
      </c>
      <c r="P443" s="91">
        <f t="shared" si="32"/>
        <v>0</v>
      </c>
      <c r="Q443" s="91">
        <f t="shared" si="33"/>
        <v>0</v>
      </c>
      <c r="R443" s="91"/>
    </row>
    <row r="444" spans="2:18" ht="12" customHeight="1" x14ac:dyDescent="0.3">
      <c r="B444" s="98">
        <f t="shared" si="34"/>
        <v>441</v>
      </c>
      <c r="C444" s="97" t="str">
        <f t="shared" si="31"/>
        <v>Jan-00</v>
      </c>
      <c r="D444" s="96"/>
      <c r="E444" s="95"/>
      <c r="F444" s="95"/>
      <c r="G444" s="95"/>
      <c r="H444" s="94"/>
      <c r="I444" s="94"/>
      <c r="J444" s="91"/>
      <c r="K444" s="91"/>
      <c r="L444" s="94"/>
      <c r="M444" s="93"/>
      <c r="N444" s="92"/>
      <c r="O444" s="92">
        <f t="shared" si="35"/>
        <v>0</v>
      </c>
      <c r="P444" s="91">
        <f t="shared" si="32"/>
        <v>0</v>
      </c>
      <c r="Q444" s="91">
        <f t="shared" si="33"/>
        <v>0</v>
      </c>
      <c r="R444" s="91"/>
    </row>
    <row r="445" spans="2:18" ht="12" customHeight="1" x14ac:dyDescent="0.3">
      <c r="B445" s="98">
        <f t="shared" si="34"/>
        <v>442</v>
      </c>
      <c r="C445" s="97" t="str">
        <f t="shared" si="31"/>
        <v>Jan-00</v>
      </c>
      <c r="D445" s="96"/>
      <c r="E445" s="95"/>
      <c r="F445" s="95"/>
      <c r="G445" s="95"/>
      <c r="H445" s="94"/>
      <c r="I445" s="94"/>
      <c r="J445" s="91"/>
      <c r="K445" s="91"/>
      <c r="L445" s="94"/>
      <c r="M445" s="93"/>
      <c r="N445" s="92"/>
      <c r="O445" s="92">
        <f t="shared" si="35"/>
        <v>0</v>
      </c>
      <c r="P445" s="91">
        <f t="shared" si="32"/>
        <v>0</v>
      </c>
      <c r="Q445" s="91">
        <f t="shared" si="33"/>
        <v>0</v>
      </c>
      <c r="R445" s="91"/>
    </row>
    <row r="446" spans="2:18" ht="12" customHeight="1" x14ac:dyDescent="0.3">
      <c r="B446" s="98">
        <f t="shared" si="34"/>
        <v>443</v>
      </c>
      <c r="C446" s="97" t="str">
        <f t="shared" si="31"/>
        <v>Jan-00</v>
      </c>
      <c r="D446" s="96"/>
      <c r="E446" s="95"/>
      <c r="F446" s="95"/>
      <c r="G446" s="95"/>
      <c r="H446" s="94"/>
      <c r="I446" s="94"/>
      <c r="J446" s="91"/>
      <c r="K446" s="91"/>
      <c r="L446" s="94"/>
      <c r="M446" s="93"/>
      <c r="N446" s="92"/>
      <c r="O446" s="92">
        <f t="shared" si="35"/>
        <v>0</v>
      </c>
      <c r="P446" s="91">
        <f t="shared" si="32"/>
        <v>0</v>
      </c>
      <c r="Q446" s="91">
        <f t="shared" si="33"/>
        <v>0</v>
      </c>
      <c r="R446" s="91"/>
    </row>
    <row r="447" spans="2:18" ht="12" customHeight="1" x14ac:dyDescent="0.3">
      <c r="B447" s="98">
        <f t="shared" si="34"/>
        <v>444</v>
      </c>
      <c r="C447" s="97" t="str">
        <f t="shared" si="31"/>
        <v>Jan-00</v>
      </c>
      <c r="D447" s="96"/>
      <c r="E447" s="95"/>
      <c r="F447" s="95"/>
      <c r="G447" s="95"/>
      <c r="H447" s="94"/>
      <c r="I447" s="94"/>
      <c r="J447" s="91"/>
      <c r="K447" s="91"/>
      <c r="L447" s="94"/>
      <c r="M447" s="93"/>
      <c r="N447" s="92"/>
      <c r="O447" s="92">
        <f t="shared" si="35"/>
        <v>0</v>
      </c>
      <c r="P447" s="91">
        <f t="shared" si="32"/>
        <v>0</v>
      </c>
      <c r="Q447" s="91">
        <f t="shared" si="33"/>
        <v>0</v>
      </c>
      <c r="R447" s="91"/>
    </row>
    <row r="448" spans="2:18" ht="12" customHeight="1" x14ac:dyDescent="0.3">
      <c r="B448" s="98">
        <f t="shared" si="34"/>
        <v>445</v>
      </c>
      <c r="C448" s="97" t="str">
        <f t="shared" si="31"/>
        <v>Jan-00</v>
      </c>
      <c r="D448" s="96"/>
      <c r="E448" s="95"/>
      <c r="F448" s="95"/>
      <c r="G448" s="95"/>
      <c r="H448" s="94"/>
      <c r="I448" s="94"/>
      <c r="J448" s="91"/>
      <c r="K448" s="91"/>
      <c r="L448" s="94"/>
      <c r="M448" s="93"/>
      <c r="N448" s="92"/>
      <c r="O448" s="92">
        <f t="shared" si="35"/>
        <v>0</v>
      </c>
      <c r="P448" s="91">
        <f t="shared" si="32"/>
        <v>0</v>
      </c>
      <c r="Q448" s="91">
        <f t="shared" si="33"/>
        <v>0</v>
      </c>
      <c r="R448" s="91"/>
    </row>
    <row r="449" spans="2:18" ht="12" customHeight="1" x14ac:dyDescent="0.3">
      <c r="B449" s="98">
        <f t="shared" si="34"/>
        <v>446</v>
      </c>
      <c r="C449" s="97" t="str">
        <f t="shared" si="31"/>
        <v>Jan-00</v>
      </c>
      <c r="D449" s="96"/>
      <c r="E449" s="95"/>
      <c r="F449" s="95"/>
      <c r="G449" s="95"/>
      <c r="H449" s="94"/>
      <c r="I449" s="94"/>
      <c r="J449" s="91"/>
      <c r="K449" s="91"/>
      <c r="L449" s="94"/>
      <c r="M449" s="93"/>
      <c r="N449" s="92"/>
      <c r="O449" s="92">
        <f t="shared" si="35"/>
        <v>0</v>
      </c>
      <c r="P449" s="91">
        <f t="shared" si="32"/>
        <v>0</v>
      </c>
      <c r="Q449" s="91">
        <f t="shared" si="33"/>
        <v>0</v>
      </c>
      <c r="R449" s="91"/>
    </row>
    <row r="450" spans="2:18" ht="12" customHeight="1" x14ac:dyDescent="0.3">
      <c r="B450" s="98">
        <f t="shared" si="34"/>
        <v>447</v>
      </c>
      <c r="C450" s="97" t="str">
        <f t="shared" si="31"/>
        <v>Jan-00</v>
      </c>
      <c r="D450" s="96"/>
      <c r="E450" s="95"/>
      <c r="F450" s="95"/>
      <c r="G450" s="95"/>
      <c r="H450" s="94"/>
      <c r="I450" s="94"/>
      <c r="J450" s="91"/>
      <c r="K450" s="91"/>
      <c r="L450" s="94"/>
      <c r="M450" s="93"/>
      <c r="N450" s="92"/>
      <c r="O450" s="92">
        <f t="shared" si="35"/>
        <v>0</v>
      </c>
      <c r="P450" s="91">
        <f t="shared" si="32"/>
        <v>0</v>
      </c>
      <c r="Q450" s="91">
        <f t="shared" si="33"/>
        <v>0</v>
      </c>
      <c r="R450" s="91"/>
    </row>
    <row r="451" spans="2:18" ht="12" customHeight="1" x14ac:dyDescent="0.3">
      <c r="B451" s="98">
        <f t="shared" si="34"/>
        <v>448</v>
      </c>
      <c r="C451" s="97" t="str">
        <f t="shared" si="31"/>
        <v>Jan-00</v>
      </c>
      <c r="D451" s="96"/>
      <c r="E451" s="95"/>
      <c r="F451" s="95"/>
      <c r="G451" s="95"/>
      <c r="H451" s="94"/>
      <c r="I451" s="94"/>
      <c r="J451" s="91"/>
      <c r="K451" s="91"/>
      <c r="L451" s="94"/>
      <c r="M451" s="93"/>
      <c r="N451" s="92"/>
      <c r="O451" s="92">
        <f t="shared" si="35"/>
        <v>0</v>
      </c>
      <c r="P451" s="91">
        <f t="shared" si="32"/>
        <v>0</v>
      </c>
      <c r="Q451" s="91">
        <f t="shared" si="33"/>
        <v>0</v>
      </c>
      <c r="R451" s="91"/>
    </row>
    <row r="452" spans="2:18" ht="12" customHeight="1" x14ac:dyDescent="0.3">
      <c r="B452" s="98">
        <f t="shared" si="34"/>
        <v>449</v>
      </c>
      <c r="C452" s="97" t="str">
        <f t="shared" ref="C452:C515" si="36">CONCATENATE(TEXT(D452,"mmm"),"-",TEXT(D452,"yy"))</f>
        <v>Jan-00</v>
      </c>
      <c r="D452" s="96"/>
      <c r="E452" s="95"/>
      <c r="F452" s="95"/>
      <c r="G452" s="95"/>
      <c r="H452" s="94"/>
      <c r="I452" s="94"/>
      <c r="J452" s="91"/>
      <c r="K452" s="91"/>
      <c r="L452" s="94"/>
      <c r="M452" s="93"/>
      <c r="N452" s="92"/>
      <c r="O452" s="92">
        <f t="shared" si="35"/>
        <v>0</v>
      </c>
      <c r="P452" s="91">
        <f t="shared" ref="P452:P515" si="37">O452*1%</f>
        <v>0</v>
      </c>
      <c r="Q452" s="91">
        <f t="shared" ref="Q452:Q515" si="38">O452-P452</f>
        <v>0</v>
      </c>
      <c r="R452" s="91"/>
    </row>
    <row r="453" spans="2:18" ht="12" customHeight="1" x14ac:dyDescent="0.3">
      <c r="B453" s="98">
        <f t="shared" ref="B453:B516" si="39">+B452+1</f>
        <v>450</v>
      </c>
      <c r="C453" s="97" t="str">
        <f t="shared" si="36"/>
        <v>Jan-00</v>
      </c>
      <c r="D453" s="96"/>
      <c r="E453" s="95"/>
      <c r="F453" s="95"/>
      <c r="G453" s="95"/>
      <c r="H453" s="94"/>
      <c r="I453" s="94"/>
      <c r="J453" s="91"/>
      <c r="K453" s="91"/>
      <c r="L453" s="94"/>
      <c r="M453" s="93"/>
      <c r="N453" s="92"/>
      <c r="O453" s="92">
        <f t="shared" si="35"/>
        <v>0</v>
      </c>
      <c r="P453" s="91">
        <f t="shared" si="37"/>
        <v>0</v>
      </c>
      <c r="Q453" s="91">
        <f t="shared" si="38"/>
        <v>0</v>
      </c>
      <c r="R453" s="91"/>
    </row>
    <row r="454" spans="2:18" ht="12" customHeight="1" x14ac:dyDescent="0.3">
      <c r="B454" s="98">
        <f t="shared" si="39"/>
        <v>451</v>
      </c>
      <c r="C454" s="97" t="str">
        <f t="shared" si="36"/>
        <v>Jan-00</v>
      </c>
      <c r="D454" s="96"/>
      <c r="E454" s="95"/>
      <c r="F454" s="95"/>
      <c r="G454" s="95"/>
      <c r="H454" s="94"/>
      <c r="I454" s="94"/>
      <c r="J454" s="91"/>
      <c r="K454" s="91"/>
      <c r="L454" s="94"/>
      <c r="M454" s="93"/>
      <c r="N454" s="92"/>
      <c r="O454" s="92">
        <f t="shared" si="35"/>
        <v>0</v>
      </c>
      <c r="P454" s="91">
        <f t="shared" si="37"/>
        <v>0</v>
      </c>
      <c r="Q454" s="91">
        <f t="shared" si="38"/>
        <v>0</v>
      </c>
      <c r="R454" s="91"/>
    </row>
    <row r="455" spans="2:18" ht="12" customHeight="1" x14ac:dyDescent="0.3">
      <c r="B455" s="98">
        <f t="shared" si="39"/>
        <v>452</v>
      </c>
      <c r="C455" s="97" t="str">
        <f t="shared" si="36"/>
        <v>Jan-00</v>
      </c>
      <c r="D455" s="96"/>
      <c r="E455" s="95"/>
      <c r="F455" s="95"/>
      <c r="G455" s="95"/>
      <c r="H455" s="94"/>
      <c r="I455" s="94"/>
      <c r="J455" s="91"/>
      <c r="K455" s="91"/>
      <c r="L455" s="94"/>
      <c r="M455" s="93"/>
      <c r="N455" s="92"/>
      <c r="O455" s="92">
        <f t="shared" si="35"/>
        <v>0</v>
      </c>
      <c r="P455" s="91">
        <f t="shared" si="37"/>
        <v>0</v>
      </c>
      <c r="Q455" s="91">
        <f t="shared" si="38"/>
        <v>0</v>
      </c>
      <c r="R455" s="91"/>
    </row>
    <row r="456" spans="2:18" ht="12" customHeight="1" x14ac:dyDescent="0.3">
      <c r="B456" s="98">
        <f t="shared" si="39"/>
        <v>453</v>
      </c>
      <c r="C456" s="97" t="str">
        <f t="shared" si="36"/>
        <v>Jan-00</v>
      </c>
      <c r="D456" s="96"/>
      <c r="E456" s="95"/>
      <c r="F456" s="95"/>
      <c r="G456" s="95"/>
      <c r="H456" s="94"/>
      <c r="I456" s="94"/>
      <c r="J456" s="91"/>
      <c r="K456" s="91"/>
      <c r="L456" s="94"/>
      <c r="M456" s="93"/>
      <c r="N456" s="92"/>
      <c r="O456" s="92">
        <f t="shared" si="35"/>
        <v>0</v>
      </c>
      <c r="P456" s="91">
        <f t="shared" si="37"/>
        <v>0</v>
      </c>
      <c r="Q456" s="91">
        <f t="shared" si="38"/>
        <v>0</v>
      </c>
      <c r="R456" s="91"/>
    </row>
    <row r="457" spans="2:18" ht="12" customHeight="1" x14ac:dyDescent="0.3">
      <c r="B457" s="98">
        <f t="shared" si="39"/>
        <v>454</v>
      </c>
      <c r="C457" s="97" t="str">
        <f t="shared" si="36"/>
        <v>Jan-00</v>
      </c>
      <c r="D457" s="96"/>
      <c r="E457" s="95"/>
      <c r="F457" s="95"/>
      <c r="G457" s="95"/>
      <c r="H457" s="94"/>
      <c r="I457" s="94"/>
      <c r="J457" s="91"/>
      <c r="K457" s="91"/>
      <c r="L457" s="94"/>
      <c r="M457" s="93"/>
      <c r="N457" s="92"/>
      <c r="O457" s="92">
        <f t="shared" si="35"/>
        <v>0</v>
      </c>
      <c r="P457" s="91">
        <f t="shared" si="37"/>
        <v>0</v>
      </c>
      <c r="Q457" s="91">
        <f t="shared" si="38"/>
        <v>0</v>
      </c>
      <c r="R457" s="91"/>
    </row>
    <row r="458" spans="2:18" ht="12" customHeight="1" x14ac:dyDescent="0.3">
      <c r="B458" s="98">
        <f t="shared" si="39"/>
        <v>455</v>
      </c>
      <c r="C458" s="97" t="str">
        <f t="shared" si="36"/>
        <v>Jan-00</v>
      </c>
      <c r="D458" s="96"/>
      <c r="E458" s="95"/>
      <c r="F458" s="95"/>
      <c r="G458" s="95"/>
      <c r="H458" s="94"/>
      <c r="I458" s="94"/>
      <c r="J458" s="91"/>
      <c r="K458" s="91"/>
      <c r="L458" s="94"/>
      <c r="M458" s="93"/>
      <c r="N458" s="92"/>
      <c r="O458" s="92">
        <f t="shared" si="35"/>
        <v>0</v>
      </c>
      <c r="P458" s="91">
        <f t="shared" si="37"/>
        <v>0</v>
      </c>
      <c r="Q458" s="91">
        <f t="shared" si="38"/>
        <v>0</v>
      </c>
      <c r="R458" s="91"/>
    </row>
    <row r="459" spans="2:18" ht="12" customHeight="1" x14ac:dyDescent="0.3">
      <c r="B459" s="98">
        <f t="shared" si="39"/>
        <v>456</v>
      </c>
      <c r="C459" s="97" t="str">
        <f t="shared" si="36"/>
        <v>Jan-00</v>
      </c>
      <c r="D459" s="96"/>
      <c r="E459" s="95"/>
      <c r="F459" s="95"/>
      <c r="G459" s="95"/>
      <c r="H459" s="94"/>
      <c r="I459" s="94"/>
      <c r="J459" s="91"/>
      <c r="K459" s="91"/>
      <c r="L459" s="94"/>
      <c r="M459" s="93"/>
      <c r="N459" s="92"/>
      <c r="O459" s="92">
        <f t="shared" si="35"/>
        <v>0</v>
      </c>
      <c r="P459" s="91">
        <f t="shared" si="37"/>
        <v>0</v>
      </c>
      <c r="Q459" s="91">
        <f t="shared" si="38"/>
        <v>0</v>
      </c>
      <c r="R459" s="91"/>
    </row>
    <row r="460" spans="2:18" ht="12" customHeight="1" x14ac:dyDescent="0.3">
      <c r="B460" s="98">
        <f t="shared" si="39"/>
        <v>457</v>
      </c>
      <c r="C460" s="97" t="str">
        <f t="shared" si="36"/>
        <v>Jan-00</v>
      </c>
      <c r="D460" s="96"/>
      <c r="E460" s="95"/>
      <c r="F460" s="95"/>
      <c r="G460" s="95"/>
      <c r="H460" s="94"/>
      <c r="I460" s="94"/>
      <c r="J460" s="91"/>
      <c r="K460" s="91"/>
      <c r="L460" s="94"/>
      <c r="M460" s="93"/>
      <c r="N460" s="92"/>
      <c r="O460" s="92">
        <f t="shared" si="35"/>
        <v>0</v>
      </c>
      <c r="P460" s="91">
        <f t="shared" si="37"/>
        <v>0</v>
      </c>
      <c r="Q460" s="91">
        <f t="shared" si="38"/>
        <v>0</v>
      </c>
      <c r="R460" s="91"/>
    </row>
    <row r="461" spans="2:18" ht="12" customHeight="1" x14ac:dyDescent="0.3">
      <c r="B461" s="98">
        <f t="shared" si="39"/>
        <v>458</v>
      </c>
      <c r="C461" s="97" t="str">
        <f t="shared" si="36"/>
        <v>Jan-00</v>
      </c>
      <c r="D461" s="96"/>
      <c r="E461" s="95"/>
      <c r="F461" s="95"/>
      <c r="G461" s="95"/>
      <c r="H461" s="94"/>
      <c r="I461" s="94"/>
      <c r="J461" s="91"/>
      <c r="K461" s="91"/>
      <c r="L461" s="94"/>
      <c r="M461" s="93"/>
      <c r="N461" s="92"/>
      <c r="O461" s="92">
        <f t="shared" si="35"/>
        <v>0</v>
      </c>
      <c r="P461" s="91">
        <f t="shared" si="37"/>
        <v>0</v>
      </c>
      <c r="Q461" s="91">
        <f t="shared" si="38"/>
        <v>0</v>
      </c>
      <c r="R461" s="91"/>
    </row>
    <row r="462" spans="2:18" ht="12" customHeight="1" x14ac:dyDescent="0.3">
      <c r="B462" s="98">
        <f t="shared" si="39"/>
        <v>459</v>
      </c>
      <c r="C462" s="97" t="str">
        <f t="shared" si="36"/>
        <v>Jan-00</v>
      </c>
      <c r="D462" s="96"/>
      <c r="E462" s="95"/>
      <c r="F462" s="95"/>
      <c r="G462" s="95"/>
      <c r="H462" s="94"/>
      <c r="I462" s="94"/>
      <c r="J462" s="91"/>
      <c r="K462" s="91"/>
      <c r="L462" s="94"/>
      <c r="M462" s="93"/>
      <c r="N462" s="92"/>
      <c r="O462" s="92">
        <f t="shared" si="35"/>
        <v>0</v>
      </c>
      <c r="P462" s="91">
        <f t="shared" si="37"/>
        <v>0</v>
      </c>
      <c r="Q462" s="91">
        <f t="shared" si="38"/>
        <v>0</v>
      </c>
      <c r="R462" s="91"/>
    </row>
    <row r="463" spans="2:18" ht="12" customHeight="1" x14ac:dyDescent="0.3">
      <c r="B463" s="98">
        <f t="shared" si="39"/>
        <v>460</v>
      </c>
      <c r="C463" s="97" t="str">
        <f t="shared" si="36"/>
        <v>Jan-00</v>
      </c>
      <c r="D463" s="96"/>
      <c r="E463" s="95"/>
      <c r="F463" s="95"/>
      <c r="G463" s="95"/>
      <c r="H463" s="94"/>
      <c r="I463" s="94"/>
      <c r="J463" s="91"/>
      <c r="K463" s="91"/>
      <c r="L463" s="94"/>
      <c r="M463" s="93"/>
      <c r="N463" s="92"/>
      <c r="O463" s="92">
        <f t="shared" si="35"/>
        <v>0</v>
      </c>
      <c r="P463" s="91">
        <f t="shared" si="37"/>
        <v>0</v>
      </c>
      <c r="Q463" s="91">
        <f t="shared" si="38"/>
        <v>0</v>
      </c>
      <c r="R463" s="91"/>
    </row>
    <row r="464" spans="2:18" ht="12" customHeight="1" x14ac:dyDescent="0.3">
      <c r="B464" s="98">
        <f t="shared" si="39"/>
        <v>461</v>
      </c>
      <c r="C464" s="97" t="str">
        <f t="shared" si="36"/>
        <v>Jan-00</v>
      </c>
      <c r="D464" s="96"/>
      <c r="E464" s="95"/>
      <c r="F464" s="95"/>
      <c r="G464" s="95"/>
      <c r="H464" s="94"/>
      <c r="I464" s="94"/>
      <c r="J464" s="91"/>
      <c r="K464" s="91"/>
      <c r="L464" s="94"/>
      <c r="M464" s="93"/>
      <c r="N464" s="92"/>
      <c r="O464" s="92">
        <f t="shared" si="35"/>
        <v>0</v>
      </c>
      <c r="P464" s="91">
        <f t="shared" si="37"/>
        <v>0</v>
      </c>
      <c r="Q464" s="91">
        <f t="shared" si="38"/>
        <v>0</v>
      </c>
      <c r="R464" s="91"/>
    </row>
    <row r="465" spans="2:18" ht="12" customHeight="1" x14ac:dyDescent="0.3">
      <c r="B465" s="98">
        <f t="shared" si="39"/>
        <v>462</v>
      </c>
      <c r="C465" s="97" t="str">
        <f t="shared" si="36"/>
        <v>Jan-00</v>
      </c>
      <c r="D465" s="96"/>
      <c r="E465" s="95"/>
      <c r="F465" s="95"/>
      <c r="G465" s="95"/>
      <c r="H465" s="94"/>
      <c r="I465" s="94"/>
      <c r="J465" s="91"/>
      <c r="K465" s="91"/>
      <c r="L465" s="94"/>
      <c r="M465" s="93"/>
      <c r="N465" s="92"/>
      <c r="O465" s="92">
        <f t="shared" si="35"/>
        <v>0</v>
      </c>
      <c r="P465" s="91">
        <f t="shared" si="37"/>
        <v>0</v>
      </c>
      <c r="Q465" s="91">
        <f t="shared" si="38"/>
        <v>0</v>
      </c>
      <c r="R465" s="91"/>
    </row>
    <row r="466" spans="2:18" ht="12" customHeight="1" x14ac:dyDescent="0.3">
      <c r="B466" s="98">
        <f t="shared" si="39"/>
        <v>463</v>
      </c>
      <c r="C466" s="97" t="str">
        <f t="shared" si="36"/>
        <v>Jan-00</v>
      </c>
      <c r="D466" s="96"/>
      <c r="E466" s="95"/>
      <c r="F466" s="95"/>
      <c r="G466" s="95"/>
      <c r="H466" s="94"/>
      <c r="I466" s="94"/>
      <c r="J466" s="91"/>
      <c r="K466" s="91"/>
      <c r="L466" s="94"/>
      <c r="M466" s="93"/>
      <c r="N466" s="92"/>
      <c r="O466" s="92">
        <f t="shared" si="35"/>
        <v>0</v>
      </c>
      <c r="P466" s="91">
        <f t="shared" si="37"/>
        <v>0</v>
      </c>
      <c r="Q466" s="91">
        <f t="shared" si="38"/>
        <v>0</v>
      </c>
      <c r="R466" s="91"/>
    </row>
    <row r="467" spans="2:18" ht="12" customHeight="1" x14ac:dyDescent="0.3">
      <c r="B467" s="98">
        <f t="shared" si="39"/>
        <v>464</v>
      </c>
      <c r="C467" s="97" t="str">
        <f t="shared" si="36"/>
        <v>Jan-00</v>
      </c>
      <c r="D467" s="96"/>
      <c r="E467" s="95"/>
      <c r="F467" s="95"/>
      <c r="G467" s="95"/>
      <c r="H467" s="94"/>
      <c r="I467" s="94"/>
      <c r="J467" s="91"/>
      <c r="K467" s="91"/>
      <c r="L467" s="94"/>
      <c r="M467" s="93"/>
      <c r="N467" s="92"/>
      <c r="O467" s="92">
        <f t="shared" si="35"/>
        <v>0</v>
      </c>
      <c r="P467" s="91">
        <f t="shared" si="37"/>
        <v>0</v>
      </c>
      <c r="Q467" s="91">
        <f t="shared" si="38"/>
        <v>0</v>
      </c>
      <c r="R467" s="91"/>
    </row>
    <row r="468" spans="2:18" ht="12" customHeight="1" x14ac:dyDescent="0.3">
      <c r="B468" s="98">
        <f t="shared" si="39"/>
        <v>465</v>
      </c>
      <c r="C468" s="97" t="str">
        <f t="shared" si="36"/>
        <v>Jan-00</v>
      </c>
      <c r="D468" s="96"/>
      <c r="E468" s="95"/>
      <c r="F468" s="95"/>
      <c r="G468" s="95"/>
      <c r="H468" s="94"/>
      <c r="I468" s="94"/>
      <c r="J468" s="91"/>
      <c r="K468" s="91"/>
      <c r="L468" s="94"/>
      <c r="M468" s="93"/>
      <c r="N468" s="92"/>
      <c r="O468" s="92">
        <f t="shared" si="35"/>
        <v>0</v>
      </c>
      <c r="P468" s="91">
        <f t="shared" si="37"/>
        <v>0</v>
      </c>
      <c r="Q468" s="91">
        <f t="shared" si="38"/>
        <v>0</v>
      </c>
      <c r="R468" s="91"/>
    </row>
    <row r="469" spans="2:18" ht="12" customHeight="1" x14ac:dyDescent="0.3">
      <c r="B469" s="98">
        <f t="shared" si="39"/>
        <v>466</v>
      </c>
      <c r="C469" s="97" t="str">
        <f t="shared" si="36"/>
        <v>Jan-00</v>
      </c>
      <c r="D469" s="96"/>
      <c r="E469" s="95"/>
      <c r="F469" s="95"/>
      <c r="G469" s="95"/>
      <c r="H469" s="94"/>
      <c r="I469" s="94"/>
      <c r="J469" s="91"/>
      <c r="K469" s="91"/>
      <c r="L469" s="94"/>
      <c r="M469" s="93"/>
      <c r="N469" s="92"/>
      <c r="O469" s="92">
        <f t="shared" si="35"/>
        <v>0</v>
      </c>
      <c r="P469" s="91">
        <f t="shared" si="37"/>
        <v>0</v>
      </c>
      <c r="Q469" s="91">
        <f t="shared" si="38"/>
        <v>0</v>
      </c>
      <c r="R469" s="91"/>
    </row>
    <row r="470" spans="2:18" ht="12" customHeight="1" x14ac:dyDescent="0.3">
      <c r="B470" s="98">
        <f t="shared" si="39"/>
        <v>467</v>
      </c>
      <c r="C470" s="97" t="str">
        <f t="shared" si="36"/>
        <v>Jan-00</v>
      </c>
      <c r="D470" s="96"/>
      <c r="E470" s="95"/>
      <c r="F470" s="95"/>
      <c r="G470" s="95"/>
      <c r="H470" s="94"/>
      <c r="I470" s="94"/>
      <c r="J470" s="91"/>
      <c r="K470" s="91"/>
      <c r="L470" s="94"/>
      <c r="M470" s="93"/>
      <c r="N470" s="92"/>
      <c r="O470" s="92">
        <f t="shared" si="35"/>
        <v>0</v>
      </c>
      <c r="P470" s="91">
        <f t="shared" si="37"/>
        <v>0</v>
      </c>
      <c r="Q470" s="91">
        <f t="shared" si="38"/>
        <v>0</v>
      </c>
      <c r="R470" s="91"/>
    </row>
    <row r="471" spans="2:18" ht="12" customHeight="1" x14ac:dyDescent="0.3">
      <c r="B471" s="98">
        <f t="shared" si="39"/>
        <v>468</v>
      </c>
      <c r="C471" s="97" t="str">
        <f t="shared" si="36"/>
        <v>Jan-00</v>
      </c>
      <c r="D471" s="96"/>
      <c r="E471" s="95"/>
      <c r="F471" s="95"/>
      <c r="G471" s="95"/>
      <c r="H471" s="94"/>
      <c r="I471" s="94"/>
      <c r="J471" s="91"/>
      <c r="K471" s="91"/>
      <c r="L471" s="94"/>
      <c r="M471" s="93"/>
      <c r="N471" s="92"/>
      <c r="O471" s="92">
        <f t="shared" si="35"/>
        <v>0</v>
      </c>
      <c r="P471" s="91">
        <f t="shared" si="37"/>
        <v>0</v>
      </c>
      <c r="Q471" s="91">
        <f t="shared" si="38"/>
        <v>0</v>
      </c>
      <c r="R471" s="91"/>
    </row>
    <row r="472" spans="2:18" ht="12" customHeight="1" x14ac:dyDescent="0.3">
      <c r="B472" s="98">
        <f t="shared" si="39"/>
        <v>469</v>
      </c>
      <c r="C472" s="97" t="str">
        <f t="shared" si="36"/>
        <v>Jan-00</v>
      </c>
      <c r="D472" s="96"/>
      <c r="E472" s="95"/>
      <c r="F472" s="95"/>
      <c r="G472" s="95"/>
      <c r="H472" s="94"/>
      <c r="I472" s="94"/>
      <c r="J472" s="91"/>
      <c r="K472" s="91"/>
      <c r="L472" s="94"/>
      <c r="M472" s="93"/>
      <c r="N472" s="92"/>
      <c r="O472" s="92">
        <f t="shared" si="35"/>
        <v>0</v>
      </c>
      <c r="P472" s="91">
        <f t="shared" si="37"/>
        <v>0</v>
      </c>
      <c r="Q472" s="91">
        <f t="shared" si="38"/>
        <v>0</v>
      </c>
      <c r="R472" s="91"/>
    </row>
    <row r="473" spans="2:18" ht="12" customHeight="1" x14ac:dyDescent="0.3">
      <c r="B473" s="98">
        <f t="shared" si="39"/>
        <v>470</v>
      </c>
      <c r="C473" s="97" t="str">
        <f t="shared" si="36"/>
        <v>Jan-00</v>
      </c>
      <c r="D473" s="96"/>
      <c r="E473" s="95"/>
      <c r="F473" s="95"/>
      <c r="G473" s="95"/>
      <c r="H473" s="94"/>
      <c r="I473" s="94"/>
      <c r="J473" s="91"/>
      <c r="K473" s="91"/>
      <c r="L473" s="94"/>
      <c r="M473" s="93"/>
      <c r="N473" s="92"/>
      <c r="O473" s="92">
        <f t="shared" si="35"/>
        <v>0</v>
      </c>
      <c r="P473" s="91">
        <f t="shared" si="37"/>
        <v>0</v>
      </c>
      <c r="Q473" s="91">
        <f t="shared" si="38"/>
        <v>0</v>
      </c>
      <c r="R473" s="91"/>
    </row>
    <row r="474" spans="2:18" ht="12" customHeight="1" x14ac:dyDescent="0.3">
      <c r="B474" s="98">
        <f t="shared" si="39"/>
        <v>471</v>
      </c>
      <c r="C474" s="97" t="str">
        <f t="shared" si="36"/>
        <v>Jan-00</v>
      </c>
      <c r="D474" s="96"/>
      <c r="E474" s="95"/>
      <c r="F474" s="95"/>
      <c r="G474" s="95"/>
      <c r="H474" s="94"/>
      <c r="I474" s="94"/>
      <c r="J474" s="91"/>
      <c r="K474" s="91"/>
      <c r="L474" s="94"/>
      <c r="M474" s="93"/>
      <c r="N474" s="92"/>
      <c r="O474" s="92">
        <f t="shared" si="35"/>
        <v>0</v>
      </c>
      <c r="P474" s="91">
        <f t="shared" si="37"/>
        <v>0</v>
      </c>
      <c r="Q474" s="91">
        <f t="shared" si="38"/>
        <v>0</v>
      </c>
      <c r="R474" s="91"/>
    </row>
    <row r="475" spans="2:18" ht="12" customHeight="1" x14ac:dyDescent="0.3">
      <c r="B475" s="98">
        <f t="shared" si="39"/>
        <v>472</v>
      </c>
      <c r="C475" s="97" t="str">
        <f t="shared" si="36"/>
        <v>Jan-00</v>
      </c>
      <c r="D475" s="96"/>
      <c r="E475" s="95"/>
      <c r="F475" s="95"/>
      <c r="G475" s="95"/>
      <c r="H475" s="94"/>
      <c r="I475" s="94"/>
      <c r="J475" s="91"/>
      <c r="K475" s="91"/>
      <c r="L475" s="94"/>
      <c r="M475" s="93"/>
      <c r="N475" s="92"/>
      <c r="O475" s="92">
        <f t="shared" si="35"/>
        <v>0</v>
      </c>
      <c r="P475" s="91">
        <f t="shared" si="37"/>
        <v>0</v>
      </c>
      <c r="Q475" s="91">
        <f t="shared" si="38"/>
        <v>0</v>
      </c>
      <c r="R475" s="91"/>
    </row>
    <row r="476" spans="2:18" ht="12" customHeight="1" x14ac:dyDescent="0.3">
      <c r="B476" s="98">
        <f t="shared" si="39"/>
        <v>473</v>
      </c>
      <c r="C476" s="97" t="str">
        <f t="shared" si="36"/>
        <v>Jan-00</v>
      </c>
      <c r="D476" s="96"/>
      <c r="E476" s="95"/>
      <c r="F476" s="95"/>
      <c r="G476" s="95"/>
      <c r="H476" s="94"/>
      <c r="I476" s="94"/>
      <c r="J476" s="91"/>
      <c r="K476" s="91"/>
      <c r="L476" s="94"/>
      <c r="M476" s="93"/>
      <c r="N476" s="92"/>
      <c r="O476" s="92">
        <f t="shared" si="35"/>
        <v>0</v>
      </c>
      <c r="P476" s="91">
        <f t="shared" si="37"/>
        <v>0</v>
      </c>
      <c r="Q476" s="91">
        <f t="shared" si="38"/>
        <v>0</v>
      </c>
      <c r="R476" s="91"/>
    </row>
    <row r="477" spans="2:18" ht="12" customHeight="1" x14ac:dyDescent="0.3">
      <c r="B477" s="98">
        <f t="shared" si="39"/>
        <v>474</v>
      </c>
      <c r="C477" s="97" t="str">
        <f t="shared" si="36"/>
        <v>Jan-00</v>
      </c>
      <c r="D477" s="96"/>
      <c r="E477" s="95"/>
      <c r="F477" s="95"/>
      <c r="G477" s="95"/>
      <c r="H477" s="94"/>
      <c r="I477" s="94"/>
      <c r="J477" s="91"/>
      <c r="K477" s="91"/>
      <c r="L477" s="94"/>
      <c r="M477" s="93"/>
      <c r="N477" s="92"/>
      <c r="O477" s="92">
        <f t="shared" si="35"/>
        <v>0</v>
      </c>
      <c r="P477" s="91">
        <f t="shared" si="37"/>
        <v>0</v>
      </c>
      <c r="Q477" s="91">
        <f t="shared" si="38"/>
        <v>0</v>
      </c>
      <c r="R477" s="91"/>
    </row>
    <row r="478" spans="2:18" ht="12" customHeight="1" x14ac:dyDescent="0.3">
      <c r="B478" s="98">
        <f t="shared" si="39"/>
        <v>475</v>
      </c>
      <c r="C478" s="97" t="str">
        <f t="shared" si="36"/>
        <v>Jan-00</v>
      </c>
      <c r="D478" s="96"/>
      <c r="E478" s="95"/>
      <c r="F478" s="95"/>
      <c r="G478" s="95"/>
      <c r="H478" s="94"/>
      <c r="I478" s="94"/>
      <c r="J478" s="91"/>
      <c r="K478" s="91"/>
      <c r="L478" s="94"/>
      <c r="M478" s="93"/>
      <c r="N478" s="92"/>
      <c r="O478" s="92">
        <f t="shared" si="35"/>
        <v>0</v>
      </c>
      <c r="P478" s="91">
        <f t="shared" si="37"/>
        <v>0</v>
      </c>
      <c r="Q478" s="91">
        <f t="shared" si="38"/>
        <v>0</v>
      </c>
      <c r="R478" s="91"/>
    </row>
    <row r="479" spans="2:18" ht="12" customHeight="1" x14ac:dyDescent="0.3">
      <c r="B479" s="98">
        <f t="shared" si="39"/>
        <v>476</v>
      </c>
      <c r="C479" s="97" t="str">
        <f t="shared" si="36"/>
        <v>Jan-00</v>
      </c>
      <c r="D479" s="96"/>
      <c r="E479" s="95"/>
      <c r="F479" s="95"/>
      <c r="G479" s="95"/>
      <c r="H479" s="94"/>
      <c r="I479" s="94"/>
      <c r="J479" s="91"/>
      <c r="K479" s="91"/>
      <c r="L479" s="94"/>
      <c r="M479" s="93"/>
      <c r="N479" s="92"/>
      <c r="O479" s="92">
        <f t="shared" si="35"/>
        <v>0</v>
      </c>
      <c r="P479" s="91">
        <f t="shared" si="37"/>
        <v>0</v>
      </c>
      <c r="Q479" s="91">
        <f t="shared" si="38"/>
        <v>0</v>
      </c>
      <c r="R479" s="91"/>
    </row>
    <row r="480" spans="2:18" ht="12" customHeight="1" x14ac:dyDescent="0.3">
      <c r="B480" s="98">
        <f t="shared" si="39"/>
        <v>477</v>
      </c>
      <c r="C480" s="97" t="str">
        <f t="shared" si="36"/>
        <v>Jan-00</v>
      </c>
      <c r="D480" s="96"/>
      <c r="E480" s="95"/>
      <c r="F480" s="95"/>
      <c r="G480" s="95"/>
      <c r="H480" s="94"/>
      <c r="I480" s="94"/>
      <c r="J480" s="91"/>
      <c r="K480" s="91"/>
      <c r="L480" s="94"/>
      <c r="M480" s="93"/>
      <c r="N480" s="92"/>
      <c r="O480" s="92">
        <f t="shared" si="35"/>
        <v>0</v>
      </c>
      <c r="P480" s="91">
        <f t="shared" si="37"/>
        <v>0</v>
      </c>
      <c r="Q480" s="91">
        <f t="shared" si="38"/>
        <v>0</v>
      </c>
      <c r="R480" s="91"/>
    </row>
    <row r="481" spans="2:18" ht="12" customHeight="1" x14ac:dyDescent="0.3">
      <c r="B481" s="98">
        <f t="shared" si="39"/>
        <v>478</v>
      </c>
      <c r="C481" s="97" t="str">
        <f t="shared" si="36"/>
        <v>Jan-00</v>
      </c>
      <c r="D481" s="96"/>
      <c r="E481" s="95"/>
      <c r="F481" s="95"/>
      <c r="G481" s="95"/>
      <c r="H481" s="94"/>
      <c r="I481" s="94"/>
      <c r="J481" s="91"/>
      <c r="K481" s="91"/>
      <c r="L481" s="94"/>
      <c r="M481" s="93"/>
      <c r="N481" s="92"/>
      <c r="O481" s="92">
        <f t="shared" si="35"/>
        <v>0</v>
      </c>
      <c r="P481" s="91">
        <f t="shared" si="37"/>
        <v>0</v>
      </c>
      <c r="Q481" s="91">
        <f t="shared" si="38"/>
        <v>0</v>
      </c>
      <c r="R481" s="91"/>
    </row>
    <row r="482" spans="2:18" ht="12" customHeight="1" x14ac:dyDescent="0.3">
      <c r="B482" s="98">
        <f t="shared" si="39"/>
        <v>479</v>
      </c>
      <c r="C482" s="97" t="str">
        <f t="shared" si="36"/>
        <v>Jan-00</v>
      </c>
      <c r="D482" s="96"/>
      <c r="E482" s="95"/>
      <c r="F482" s="95"/>
      <c r="G482" s="95"/>
      <c r="H482" s="94"/>
      <c r="I482" s="94"/>
      <c r="J482" s="91"/>
      <c r="K482" s="91"/>
      <c r="L482" s="94"/>
      <c r="M482" s="93"/>
      <c r="N482" s="92"/>
      <c r="O482" s="92">
        <f t="shared" ref="O482:O545" si="40">SUM(N482*M482)</f>
        <v>0</v>
      </c>
      <c r="P482" s="91">
        <f t="shared" si="37"/>
        <v>0</v>
      </c>
      <c r="Q482" s="91">
        <f t="shared" si="38"/>
        <v>0</v>
      </c>
      <c r="R482" s="91"/>
    </row>
    <row r="483" spans="2:18" ht="12" customHeight="1" x14ac:dyDescent="0.3">
      <c r="B483" s="98">
        <f t="shared" si="39"/>
        <v>480</v>
      </c>
      <c r="C483" s="97" t="str">
        <f t="shared" si="36"/>
        <v>Jan-00</v>
      </c>
      <c r="D483" s="96"/>
      <c r="E483" s="95"/>
      <c r="F483" s="95"/>
      <c r="G483" s="95"/>
      <c r="H483" s="94"/>
      <c r="I483" s="94"/>
      <c r="J483" s="91"/>
      <c r="K483" s="91"/>
      <c r="L483" s="94"/>
      <c r="M483" s="93"/>
      <c r="N483" s="92"/>
      <c r="O483" s="92">
        <f t="shared" si="40"/>
        <v>0</v>
      </c>
      <c r="P483" s="91">
        <f t="shared" si="37"/>
        <v>0</v>
      </c>
      <c r="Q483" s="91">
        <f t="shared" si="38"/>
        <v>0</v>
      </c>
      <c r="R483" s="91"/>
    </row>
    <row r="484" spans="2:18" ht="12" customHeight="1" x14ac:dyDescent="0.3">
      <c r="B484" s="98">
        <f t="shared" si="39"/>
        <v>481</v>
      </c>
      <c r="C484" s="97" t="str">
        <f t="shared" si="36"/>
        <v>Jan-00</v>
      </c>
      <c r="D484" s="96"/>
      <c r="E484" s="95"/>
      <c r="F484" s="95"/>
      <c r="G484" s="95"/>
      <c r="H484" s="94"/>
      <c r="I484" s="94"/>
      <c r="J484" s="91"/>
      <c r="K484" s="91"/>
      <c r="L484" s="94"/>
      <c r="M484" s="93"/>
      <c r="N484" s="92"/>
      <c r="O484" s="92">
        <f t="shared" si="40"/>
        <v>0</v>
      </c>
      <c r="P484" s="91">
        <f t="shared" si="37"/>
        <v>0</v>
      </c>
      <c r="Q484" s="91">
        <f t="shared" si="38"/>
        <v>0</v>
      </c>
      <c r="R484" s="91"/>
    </row>
    <row r="485" spans="2:18" ht="12" customHeight="1" x14ac:dyDescent="0.3">
      <c r="B485" s="98">
        <f t="shared" si="39"/>
        <v>482</v>
      </c>
      <c r="C485" s="97" t="str">
        <f t="shared" si="36"/>
        <v>Jan-00</v>
      </c>
      <c r="D485" s="96"/>
      <c r="E485" s="95"/>
      <c r="F485" s="95"/>
      <c r="G485" s="95"/>
      <c r="H485" s="94"/>
      <c r="I485" s="94"/>
      <c r="J485" s="91"/>
      <c r="K485" s="91"/>
      <c r="L485" s="94"/>
      <c r="M485" s="93"/>
      <c r="N485" s="92"/>
      <c r="O485" s="92">
        <f t="shared" si="40"/>
        <v>0</v>
      </c>
      <c r="P485" s="91">
        <f t="shared" si="37"/>
        <v>0</v>
      </c>
      <c r="Q485" s="91">
        <f t="shared" si="38"/>
        <v>0</v>
      </c>
      <c r="R485" s="91"/>
    </row>
    <row r="486" spans="2:18" ht="12" customHeight="1" x14ac:dyDescent="0.3">
      <c r="B486" s="98">
        <f t="shared" si="39"/>
        <v>483</v>
      </c>
      <c r="C486" s="97" t="str">
        <f t="shared" si="36"/>
        <v>Jan-00</v>
      </c>
      <c r="D486" s="96"/>
      <c r="E486" s="95"/>
      <c r="F486" s="95"/>
      <c r="G486" s="95"/>
      <c r="H486" s="94"/>
      <c r="I486" s="94"/>
      <c r="J486" s="91"/>
      <c r="K486" s="91"/>
      <c r="L486" s="94"/>
      <c r="M486" s="93"/>
      <c r="N486" s="92"/>
      <c r="O486" s="92">
        <f t="shared" si="40"/>
        <v>0</v>
      </c>
      <c r="P486" s="91">
        <f t="shared" si="37"/>
        <v>0</v>
      </c>
      <c r="Q486" s="91">
        <f t="shared" si="38"/>
        <v>0</v>
      </c>
      <c r="R486" s="91"/>
    </row>
    <row r="487" spans="2:18" ht="12" customHeight="1" x14ac:dyDescent="0.3">
      <c r="B487" s="98">
        <f t="shared" si="39"/>
        <v>484</v>
      </c>
      <c r="C487" s="97" t="str">
        <f t="shared" si="36"/>
        <v>Jan-00</v>
      </c>
      <c r="D487" s="96"/>
      <c r="E487" s="95"/>
      <c r="F487" s="95"/>
      <c r="G487" s="95"/>
      <c r="H487" s="94"/>
      <c r="I487" s="94"/>
      <c r="J487" s="91"/>
      <c r="K487" s="91"/>
      <c r="L487" s="94"/>
      <c r="M487" s="93"/>
      <c r="N487" s="92"/>
      <c r="O487" s="92">
        <f t="shared" si="40"/>
        <v>0</v>
      </c>
      <c r="P487" s="91">
        <f t="shared" si="37"/>
        <v>0</v>
      </c>
      <c r="Q487" s="91">
        <f t="shared" si="38"/>
        <v>0</v>
      </c>
      <c r="R487" s="91"/>
    </row>
    <row r="488" spans="2:18" ht="12" customHeight="1" x14ac:dyDescent="0.3">
      <c r="B488" s="98">
        <f t="shared" si="39"/>
        <v>485</v>
      </c>
      <c r="C488" s="97" t="str">
        <f t="shared" si="36"/>
        <v>Jan-00</v>
      </c>
      <c r="D488" s="96"/>
      <c r="E488" s="95"/>
      <c r="F488" s="95"/>
      <c r="G488" s="95"/>
      <c r="H488" s="94"/>
      <c r="I488" s="94"/>
      <c r="J488" s="91"/>
      <c r="K488" s="91"/>
      <c r="L488" s="94"/>
      <c r="M488" s="93"/>
      <c r="N488" s="92"/>
      <c r="O488" s="92">
        <f t="shared" si="40"/>
        <v>0</v>
      </c>
      <c r="P488" s="91">
        <f t="shared" si="37"/>
        <v>0</v>
      </c>
      <c r="Q488" s="91">
        <f t="shared" si="38"/>
        <v>0</v>
      </c>
      <c r="R488" s="91"/>
    </row>
    <row r="489" spans="2:18" ht="12" customHeight="1" x14ac:dyDescent="0.3">
      <c r="B489" s="98">
        <f t="shared" si="39"/>
        <v>486</v>
      </c>
      <c r="C489" s="97" t="str">
        <f t="shared" si="36"/>
        <v>Jan-00</v>
      </c>
      <c r="D489" s="96"/>
      <c r="E489" s="95"/>
      <c r="F489" s="95"/>
      <c r="G489" s="95"/>
      <c r="H489" s="94"/>
      <c r="I489" s="94"/>
      <c r="J489" s="91"/>
      <c r="K489" s="91"/>
      <c r="L489" s="94"/>
      <c r="M489" s="93"/>
      <c r="N489" s="92"/>
      <c r="O489" s="92">
        <f t="shared" si="40"/>
        <v>0</v>
      </c>
      <c r="P489" s="91">
        <f t="shared" si="37"/>
        <v>0</v>
      </c>
      <c r="Q489" s="91">
        <f t="shared" si="38"/>
        <v>0</v>
      </c>
      <c r="R489" s="91"/>
    </row>
    <row r="490" spans="2:18" ht="12" customHeight="1" x14ac:dyDescent="0.3">
      <c r="B490" s="98">
        <f t="shared" si="39"/>
        <v>487</v>
      </c>
      <c r="C490" s="97" t="str">
        <f t="shared" si="36"/>
        <v>Jan-00</v>
      </c>
      <c r="D490" s="96"/>
      <c r="E490" s="95"/>
      <c r="F490" s="95"/>
      <c r="G490" s="95"/>
      <c r="H490" s="94"/>
      <c r="I490" s="94"/>
      <c r="J490" s="91"/>
      <c r="K490" s="91"/>
      <c r="L490" s="94"/>
      <c r="M490" s="93"/>
      <c r="N490" s="92"/>
      <c r="O490" s="92">
        <f t="shared" si="40"/>
        <v>0</v>
      </c>
      <c r="P490" s="91">
        <f t="shared" si="37"/>
        <v>0</v>
      </c>
      <c r="Q490" s="91">
        <f t="shared" si="38"/>
        <v>0</v>
      </c>
      <c r="R490" s="91"/>
    </row>
    <row r="491" spans="2:18" ht="12" customHeight="1" x14ac:dyDescent="0.3">
      <c r="B491" s="98">
        <f t="shared" si="39"/>
        <v>488</v>
      </c>
      <c r="C491" s="97" t="str">
        <f t="shared" si="36"/>
        <v>Jan-00</v>
      </c>
      <c r="D491" s="96"/>
      <c r="E491" s="95"/>
      <c r="F491" s="95"/>
      <c r="G491" s="95"/>
      <c r="H491" s="94"/>
      <c r="I491" s="94"/>
      <c r="J491" s="91"/>
      <c r="K491" s="91"/>
      <c r="L491" s="94"/>
      <c r="M491" s="93"/>
      <c r="N491" s="92"/>
      <c r="O491" s="92">
        <f t="shared" si="40"/>
        <v>0</v>
      </c>
      <c r="P491" s="91">
        <f t="shared" si="37"/>
        <v>0</v>
      </c>
      <c r="Q491" s="91">
        <f t="shared" si="38"/>
        <v>0</v>
      </c>
      <c r="R491" s="91"/>
    </row>
    <row r="492" spans="2:18" ht="12" customHeight="1" x14ac:dyDescent="0.3">
      <c r="B492" s="98">
        <f t="shared" si="39"/>
        <v>489</v>
      </c>
      <c r="C492" s="97" t="str">
        <f t="shared" si="36"/>
        <v>Jan-00</v>
      </c>
      <c r="D492" s="96"/>
      <c r="E492" s="95"/>
      <c r="F492" s="95"/>
      <c r="G492" s="95"/>
      <c r="H492" s="94"/>
      <c r="I492" s="94"/>
      <c r="J492" s="91"/>
      <c r="K492" s="91"/>
      <c r="L492" s="94"/>
      <c r="M492" s="93"/>
      <c r="N492" s="92"/>
      <c r="O492" s="92">
        <f t="shared" si="40"/>
        <v>0</v>
      </c>
      <c r="P492" s="91">
        <f t="shared" si="37"/>
        <v>0</v>
      </c>
      <c r="Q492" s="91">
        <f t="shared" si="38"/>
        <v>0</v>
      </c>
      <c r="R492" s="91"/>
    </row>
    <row r="493" spans="2:18" ht="12" customHeight="1" x14ac:dyDescent="0.3">
      <c r="B493" s="98">
        <f t="shared" si="39"/>
        <v>490</v>
      </c>
      <c r="C493" s="97" t="str">
        <f t="shared" si="36"/>
        <v>Jan-00</v>
      </c>
      <c r="D493" s="96"/>
      <c r="E493" s="95"/>
      <c r="F493" s="95"/>
      <c r="G493" s="95"/>
      <c r="H493" s="94"/>
      <c r="I493" s="94"/>
      <c r="J493" s="91"/>
      <c r="K493" s="91"/>
      <c r="L493" s="94"/>
      <c r="M493" s="93"/>
      <c r="N493" s="92"/>
      <c r="O493" s="92">
        <f t="shared" si="40"/>
        <v>0</v>
      </c>
      <c r="P493" s="91">
        <f t="shared" si="37"/>
        <v>0</v>
      </c>
      <c r="Q493" s="91">
        <f t="shared" si="38"/>
        <v>0</v>
      </c>
      <c r="R493" s="91"/>
    </row>
    <row r="494" spans="2:18" ht="12" customHeight="1" x14ac:dyDescent="0.3">
      <c r="B494" s="98">
        <f t="shared" si="39"/>
        <v>491</v>
      </c>
      <c r="C494" s="97" t="str">
        <f t="shared" si="36"/>
        <v>Jan-00</v>
      </c>
      <c r="D494" s="96"/>
      <c r="E494" s="95"/>
      <c r="F494" s="95"/>
      <c r="G494" s="95"/>
      <c r="H494" s="94"/>
      <c r="I494" s="94"/>
      <c r="J494" s="91"/>
      <c r="K494" s="91"/>
      <c r="L494" s="94"/>
      <c r="M494" s="93"/>
      <c r="N494" s="92"/>
      <c r="O494" s="92">
        <f t="shared" si="40"/>
        <v>0</v>
      </c>
      <c r="P494" s="91">
        <f t="shared" si="37"/>
        <v>0</v>
      </c>
      <c r="Q494" s="91">
        <f t="shared" si="38"/>
        <v>0</v>
      </c>
      <c r="R494" s="91"/>
    </row>
    <row r="495" spans="2:18" ht="12" customHeight="1" x14ac:dyDescent="0.3">
      <c r="B495" s="98">
        <f t="shared" si="39"/>
        <v>492</v>
      </c>
      <c r="C495" s="97" t="str">
        <f t="shared" si="36"/>
        <v>Jan-00</v>
      </c>
      <c r="D495" s="96"/>
      <c r="E495" s="95"/>
      <c r="F495" s="95"/>
      <c r="G495" s="95"/>
      <c r="H495" s="94"/>
      <c r="I495" s="94"/>
      <c r="J495" s="91"/>
      <c r="K495" s="91"/>
      <c r="L495" s="94"/>
      <c r="M495" s="93"/>
      <c r="N495" s="92"/>
      <c r="O495" s="92">
        <f t="shared" si="40"/>
        <v>0</v>
      </c>
      <c r="P495" s="91">
        <f t="shared" si="37"/>
        <v>0</v>
      </c>
      <c r="Q495" s="91">
        <f t="shared" si="38"/>
        <v>0</v>
      </c>
      <c r="R495" s="91"/>
    </row>
    <row r="496" spans="2:18" ht="12" customHeight="1" x14ac:dyDescent="0.3">
      <c r="B496" s="98">
        <f t="shared" si="39"/>
        <v>493</v>
      </c>
      <c r="C496" s="97" t="str">
        <f t="shared" si="36"/>
        <v>Jan-00</v>
      </c>
      <c r="D496" s="96"/>
      <c r="E496" s="95"/>
      <c r="F496" s="95"/>
      <c r="G496" s="95"/>
      <c r="H496" s="94"/>
      <c r="I496" s="94"/>
      <c r="J496" s="91"/>
      <c r="K496" s="91"/>
      <c r="L496" s="94"/>
      <c r="M496" s="93"/>
      <c r="N496" s="92"/>
      <c r="O496" s="92">
        <f t="shared" si="40"/>
        <v>0</v>
      </c>
      <c r="P496" s="91">
        <f t="shared" si="37"/>
        <v>0</v>
      </c>
      <c r="Q496" s="91">
        <f t="shared" si="38"/>
        <v>0</v>
      </c>
      <c r="R496" s="91"/>
    </row>
    <row r="497" spans="2:18" ht="12" customHeight="1" x14ac:dyDescent="0.3">
      <c r="B497" s="98">
        <f t="shared" si="39"/>
        <v>494</v>
      </c>
      <c r="C497" s="97" t="str">
        <f t="shared" si="36"/>
        <v>Jan-00</v>
      </c>
      <c r="D497" s="96"/>
      <c r="E497" s="95"/>
      <c r="F497" s="95"/>
      <c r="G497" s="95"/>
      <c r="H497" s="94"/>
      <c r="I497" s="94"/>
      <c r="J497" s="91"/>
      <c r="K497" s="91"/>
      <c r="L497" s="94"/>
      <c r="M497" s="93"/>
      <c r="N497" s="92"/>
      <c r="O497" s="92">
        <f t="shared" si="40"/>
        <v>0</v>
      </c>
      <c r="P497" s="91">
        <f t="shared" si="37"/>
        <v>0</v>
      </c>
      <c r="Q497" s="91">
        <f t="shared" si="38"/>
        <v>0</v>
      </c>
      <c r="R497" s="91"/>
    </row>
    <row r="498" spans="2:18" ht="12" customHeight="1" x14ac:dyDescent="0.3">
      <c r="B498" s="98">
        <f t="shared" si="39"/>
        <v>495</v>
      </c>
      <c r="C498" s="97" t="str">
        <f t="shared" si="36"/>
        <v>Jan-00</v>
      </c>
      <c r="D498" s="96"/>
      <c r="E498" s="95"/>
      <c r="F498" s="95"/>
      <c r="G498" s="95"/>
      <c r="H498" s="94"/>
      <c r="I498" s="94"/>
      <c r="J498" s="91"/>
      <c r="K498" s="91"/>
      <c r="L498" s="94"/>
      <c r="M498" s="93"/>
      <c r="N498" s="92"/>
      <c r="O498" s="92">
        <f t="shared" si="40"/>
        <v>0</v>
      </c>
      <c r="P498" s="91">
        <f t="shared" si="37"/>
        <v>0</v>
      </c>
      <c r="Q498" s="91">
        <f t="shared" si="38"/>
        <v>0</v>
      </c>
      <c r="R498" s="91"/>
    </row>
    <row r="499" spans="2:18" ht="12" customHeight="1" x14ac:dyDescent="0.3">
      <c r="B499" s="98">
        <f t="shared" si="39"/>
        <v>496</v>
      </c>
      <c r="C499" s="97" t="str">
        <f t="shared" si="36"/>
        <v>Jan-00</v>
      </c>
      <c r="D499" s="96"/>
      <c r="E499" s="95"/>
      <c r="F499" s="95"/>
      <c r="G499" s="95"/>
      <c r="H499" s="94"/>
      <c r="I499" s="94"/>
      <c r="J499" s="91"/>
      <c r="K499" s="91"/>
      <c r="L499" s="94"/>
      <c r="M499" s="93"/>
      <c r="N499" s="92"/>
      <c r="O499" s="92">
        <f t="shared" si="40"/>
        <v>0</v>
      </c>
      <c r="P499" s="91">
        <f t="shared" si="37"/>
        <v>0</v>
      </c>
      <c r="Q499" s="91">
        <f t="shared" si="38"/>
        <v>0</v>
      </c>
      <c r="R499" s="91"/>
    </row>
    <row r="500" spans="2:18" ht="12" customHeight="1" x14ac:dyDescent="0.3">
      <c r="B500" s="98">
        <f t="shared" si="39"/>
        <v>497</v>
      </c>
      <c r="C500" s="97" t="str">
        <f t="shared" si="36"/>
        <v>Jan-00</v>
      </c>
      <c r="D500" s="96"/>
      <c r="E500" s="95"/>
      <c r="F500" s="95"/>
      <c r="G500" s="95"/>
      <c r="H500" s="94"/>
      <c r="I500" s="94"/>
      <c r="J500" s="91"/>
      <c r="K500" s="91"/>
      <c r="L500" s="94"/>
      <c r="M500" s="93"/>
      <c r="N500" s="92"/>
      <c r="O500" s="92">
        <f t="shared" si="40"/>
        <v>0</v>
      </c>
      <c r="P500" s="91">
        <f t="shared" si="37"/>
        <v>0</v>
      </c>
      <c r="Q500" s="91">
        <f t="shared" si="38"/>
        <v>0</v>
      </c>
      <c r="R500" s="91"/>
    </row>
    <row r="501" spans="2:18" ht="12" customHeight="1" x14ac:dyDescent="0.3">
      <c r="B501" s="98">
        <f t="shared" si="39"/>
        <v>498</v>
      </c>
      <c r="C501" s="97" t="str">
        <f t="shared" si="36"/>
        <v>Jan-00</v>
      </c>
      <c r="D501" s="96"/>
      <c r="E501" s="95"/>
      <c r="F501" s="95"/>
      <c r="G501" s="95"/>
      <c r="H501" s="94"/>
      <c r="I501" s="94"/>
      <c r="J501" s="91"/>
      <c r="K501" s="91"/>
      <c r="L501" s="94"/>
      <c r="M501" s="93"/>
      <c r="N501" s="92"/>
      <c r="O501" s="92">
        <f t="shared" si="40"/>
        <v>0</v>
      </c>
      <c r="P501" s="91">
        <f t="shared" si="37"/>
        <v>0</v>
      </c>
      <c r="Q501" s="91">
        <f t="shared" si="38"/>
        <v>0</v>
      </c>
      <c r="R501" s="91"/>
    </row>
    <row r="502" spans="2:18" ht="12" customHeight="1" x14ac:dyDescent="0.3">
      <c r="B502" s="98">
        <f t="shared" si="39"/>
        <v>499</v>
      </c>
      <c r="C502" s="97" t="str">
        <f t="shared" si="36"/>
        <v>Jan-00</v>
      </c>
      <c r="D502" s="96"/>
      <c r="E502" s="95"/>
      <c r="F502" s="95"/>
      <c r="G502" s="95"/>
      <c r="H502" s="94"/>
      <c r="I502" s="94"/>
      <c r="J502" s="91"/>
      <c r="K502" s="91"/>
      <c r="L502" s="94"/>
      <c r="M502" s="93"/>
      <c r="N502" s="92"/>
      <c r="O502" s="92">
        <f t="shared" si="40"/>
        <v>0</v>
      </c>
      <c r="P502" s="91">
        <f t="shared" si="37"/>
        <v>0</v>
      </c>
      <c r="Q502" s="91">
        <f t="shared" si="38"/>
        <v>0</v>
      </c>
      <c r="R502" s="91"/>
    </row>
    <row r="503" spans="2:18" ht="12" customHeight="1" x14ac:dyDescent="0.3">
      <c r="B503" s="98">
        <f t="shared" si="39"/>
        <v>500</v>
      </c>
      <c r="C503" s="97" t="str">
        <f t="shared" si="36"/>
        <v>Jan-00</v>
      </c>
      <c r="D503" s="96"/>
      <c r="E503" s="95"/>
      <c r="F503" s="95"/>
      <c r="G503" s="95"/>
      <c r="H503" s="94"/>
      <c r="I503" s="94"/>
      <c r="J503" s="91"/>
      <c r="K503" s="91"/>
      <c r="L503" s="94"/>
      <c r="M503" s="93"/>
      <c r="N503" s="92"/>
      <c r="O503" s="92">
        <f t="shared" si="40"/>
        <v>0</v>
      </c>
      <c r="P503" s="91">
        <f t="shared" si="37"/>
        <v>0</v>
      </c>
      <c r="Q503" s="91">
        <f t="shared" si="38"/>
        <v>0</v>
      </c>
      <c r="R503" s="91"/>
    </row>
    <row r="504" spans="2:18" ht="12" customHeight="1" x14ac:dyDescent="0.3">
      <c r="B504" s="98">
        <f t="shared" si="39"/>
        <v>501</v>
      </c>
      <c r="C504" s="97" t="str">
        <f t="shared" si="36"/>
        <v>Jan-00</v>
      </c>
      <c r="D504" s="96"/>
      <c r="E504" s="95"/>
      <c r="F504" s="95"/>
      <c r="G504" s="95"/>
      <c r="H504" s="94"/>
      <c r="I504" s="94"/>
      <c r="J504" s="91"/>
      <c r="K504" s="91"/>
      <c r="L504" s="94"/>
      <c r="M504" s="93"/>
      <c r="N504" s="92"/>
      <c r="O504" s="92">
        <f t="shared" si="40"/>
        <v>0</v>
      </c>
      <c r="P504" s="91">
        <f t="shared" si="37"/>
        <v>0</v>
      </c>
      <c r="Q504" s="91">
        <f t="shared" si="38"/>
        <v>0</v>
      </c>
      <c r="R504" s="91"/>
    </row>
    <row r="505" spans="2:18" ht="12" customHeight="1" x14ac:dyDescent="0.3">
      <c r="B505" s="98">
        <f t="shared" si="39"/>
        <v>502</v>
      </c>
      <c r="C505" s="97" t="str">
        <f t="shared" si="36"/>
        <v>Jan-00</v>
      </c>
      <c r="D505" s="96"/>
      <c r="E505" s="95"/>
      <c r="F505" s="95"/>
      <c r="G505" s="95"/>
      <c r="H505" s="94"/>
      <c r="I505" s="94"/>
      <c r="J505" s="91"/>
      <c r="K505" s="91"/>
      <c r="L505" s="94"/>
      <c r="M505" s="93"/>
      <c r="N505" s="92"/>
      <c r="O505" s="92">
        <f t="shared" si="40"/>
        <v>0</v>
      </c>
      <c r="P505" s="91">
        <f t="shared" si="37"/>
        <v>0</v>
      </c>
      <c r="Q505" s="91">
        <f t="shared" si="38"/>
        <v>0</v>
      </c>
      <c r="R505" s="91"/>
    </row>
    <row r="506" spans="2:18" ht="12" customHeight="1" x14ac:dyDescent="0.3">
      <c r="B506" s="98">
        <f t="shared" si="39"/>
        <v>503</v>
      </c>
      <c r="C506" s="97" t="str">
        <f t="shared" si="36"/>
        <v>Jan-00</v>
      </c>
      <c r="D506" s="96"/>
      <c r="E506" s="95"/>
      <c r="F506" s="95"/>
      <c r="G506" s="95"/>
      <c r="H506" s="94"/>
      <c r="I506" s="94"/>
      <c r="J506" s="91"/>
      <c r="K506" s="91"/>
      <c r="L506" s="94"/>
      <c r="M506" s="93"/>
      <c r="N506" s="92"/>
      <c r="O506" s="92">
        <f t="shared" si="40"/>
        <v>0</v>
      </c>
      <c r="P506" s="91">
        <f t="shared" si="37"/>
        <v>0</v>
      </c>
      <c r="Q506" s="91">
        <f t="shared" si="38"/>
        <v>0</v>
      </c>
      <c r="R506" s="91"/>
    </row>
    <row r="507" spans="2:18" ht="12" customHeight="1" x14ac:dyDescent="0.3">
      <c r="B507" s="98">
        <f t="shared" si="39"/>
        <v>504</v>
      </c>
      <c r="C507" s="97" t="str">
        <f t="shared" si="36"/>
        <v>Jan-00</v>
      </c>
      <c r="D507" s="96"/>
      <c r="E507" s="95"/>
      <c r="F507" s="95"/>
      <c r="G507" s="95"/>
      <c r="H507" s="94"/>
      <c r="I507" s="94"/>
      <c r="J507" s="91"/>
      <c r="K507" s="91"/>
      <c r="L507" s="94"/>
      <c r="M507" s="93"/>
      <c r="N507" s="92"/>
      <c r="O507" s="92">
        <f t="shared" si="40"/>
        <v>0</v>
      </c>
      <c r="P507" s="91">
        <f t="shared" si="37"/>
        <v>0</v>
      </c>
      <c r="Q507" s="91">
        <f t="shared" si="38"/>
        <v>0</v>
      </c>
      <c r="R507" s="91"/>
    </row>
    <row r="508" spans="2:18" ht="12" customHeight="1" x14ac:dyDescent="0.3">
      <c r="B508" s="98">
        <f t="shared" si="39"/>
        <v>505</v>
      </c>
      <c r="C508" s="97" t="str">
        <f t="shared" si="36"/>
        <v>Jan-00</v>
      </c>
      <c r="D508" s="96"/>
      <c r="E508" s="95"/>
      <c r="F508" s="95"/>
      <c r="G508" s="95"/>
      <c r="H508" s="94"/>
      <c r="I508" s="94"/>
      <c r="J508" s="91"/>
      <c r="K508" s="91"/>
      <c r="L508" s="94"/>
      <c r="M508" s="93"/>
      <c r="N508" s="92"/>
      <c r="O508" s="92">
        <f t="shared" si="40"/>
        <v>0</v>
      </c>
      <c r="P508" s="91">
        <f t="shared" si="37"/>
        <v>0</v>
      </c>
      <c r="Q508" s="91">
        <f t="shared" si="38"/>
        <v>0</v>
      </c>
      <c r="R508" s="91"/>
    </row>
    <row r="509" spans="2:18" ht="12" customHeight="1" x14ac:dyDescent="0.3">
      <c r="B509" s="98">
        <f t="shared" si="39"/>
        <v>506</v>
      </c>
      <c r="C509" s="97" t="str">
        <f t="shared" si="36"/>
        <v>Jan-00</v>
      </c>
      <c r="D509" s="96"/>
      <c r="E509" s="95"/>
      <c r="F509" s="95"/>
      <c r="G509" s="95"/>
      <c r="H509" s="94"/>
      <c r="I509" s="94"/>
      <c r="J509" s="91"/>
      <c r="K509" s="91"/>
      <c r="L509" s="94"/>
      <c r="M509" s="93"/>
      <c r="N509" s="92"/>
      <c r="O509" s="92">
        <f t="shared" si="40"/>
        <v>0</v>
      </c>
      <c r="P509" s="91">
        <f t="shared" si="37"/>
        <v>0</v>
      </c>
      <c r="Q509" s="91">
        <f t="shared" si="38"/>
        <v>0</v>
      </c>
      <c r="R509" s="91"/>
    </row>
    <row r="510" spans="2:18" ht="12" customHeight="1" x14ac:dyDescent="0.3">
      <c r="B510" s="98">
        <f t="shared" si="39"/>
        <v>507</v>
      </c>
      <c r="C510" s="97" t="str">
        <f t="shared" si="36"/>
        <v>Jan-00</v>
      </c>
      <c r="D510" s="96"/>
      <c r="E510" s="95"/>
      <c r="F510" s="95"/>
      <c r="G510" s="95"/>
      <c r="H510" s="94"/>
      <c r="I510" s="94"/>
      <c r="J510" s="91"/>
      <c r="K510" s="91"/>
      <c r="L510" s="94"/>
      <c r="M510" s="93"/>
      <c r="N510" s="92"/>
      <c r="O510" s="92">
        <f t="shared" si="40"/>
        <v>0</v>
      </c>
      <c r="P510" s="91">
        <f t="shared" si="37"/>
        <v>0</v>
      </c>
      <c r="Q510" s="91">
        <f t="shared" si="38"/>
        <v>0</v>
      </c>
      <c r="R510" s="91"/>
    </row>
    <row r="511" spans="2:18" ht="12" customHeight="1" x14ac:dyDescent="0.3">
      <c r="B511" s="98">
        <f t="shared" si="39"/>
        <v>508</v>
      </c>
      <c r="C511" s="97" t="str">
        <f t="shared" si="36"/>
        <v>Jan-00</v>
      </c>
      <c r="D511" s="96"/>
      <c r="E511" s="95"/>
      <c r="F511" s="95"/>
      <c r="G511" s="95"/>
      <c r="H511" s="94"/>
      <c r="I511" s="94"/>
      <c r="J511" s="91"/>
      <c r="K511" s="91"/>
      <c r="L511" s="94"/>
      <c r="M511" s="93"/>
      <c r="N511" s="92"/>
      <c r="O511" s="92">
        <f t="shared" si="40"/>
        <v>0</v>
      </c>
      <c r="P511" s="91">
        <f t="shared" si="37"/>
        <v>0</v>
      </c>
      <c r="Q511" s="91">
        <f t="shared" si="38"/>
        <v>0</v>
      </c>
      <c r="R511" s="91"/>
    </row>
    <row r="512" spans="2:18" ht="12" customHeight="1" x14ac:dyDescent="0.3">
      <c r="B512" s="98">
        <f t="shared" si="39"/>
        <v>509</v>
      </c>
      <c r="C512" s="97" t="str">
        <f t="shared" si="36"/>
        <v>Jan-00</v>
      </c>
      <c r="D512" s="96"/>
      <c r="E512" s="95"/>
      <c r="F512" s="95"/>
      <c r="G512" s="95"/>
      <c r="H512" s="94"/>
      <c r="I512" s="94"/>
      <c r="J512" s="91"/>
      <c r="K512" s="91"/>
      <c r="L512" s="94"/>
      <c r="M512" s="93"/>
      <c r="N512" s="92"/>
      <c r="O512" s="92">
        <f t="shared" si="40"/>
        <v>0</v>
      </c>
      <c r="P512" s="91">
        <f t="shared" si="37"/>
        <v>0</v>
      </c>
      <c r="Q512" s="91">
        <f t="shared" si="38"/>
        <v>0</v>
      </c>
      <c r="R512" s="91"/>
    </row>
    <row r="513" spans="2:18" ht="12" customHeight="1" x14ac:dyDescent="0.3">
      <c r="B513" s="98">
        <f t="shared" si="39"/>
        <v>510</v>
      </c>
      <c r="C513" s="97" t="str">
        <f t="shared" si="36"/>
        <v>Jan-00</v>
      </c>
      <c r="D513" s="96"/>
      <c r="E513" s="95"/>
      <c r="F513" s="95"/>
      <c r="G513" s="95"/>
      <c r="H513" s="94"/>
      <c r="I513" s="94"/>
      <c r="J513" s="91"/>
      <c r="K513" s="91"/>
      <c r="L513" s="94"/>
      <c r="M513" s="93"/>
      <c r="N513" s="92"/>
      <c r="O513" s="92">
        <f t="shared" si="40"/>
        <v>0</v>
      </c>
      <c r="P513" s="91">
        <f t="shared" si="37"/>
        <v>0</v>
      </c>
      <c r="Q513" s="91">
        <f t="shared" si="38"/>
        <v>0</v>
      </c>
      <c r="R513" s="91"/>
    </row>
    <row r="514" spans="2:18" ht="12" customHeight="1" x14ac:dyDescent="0.3">
      <c r="B514" s="98">
        <f t="shared" si="39"/>
        <v>511</v>
      </c>
      <c r="C514" s="97" t="str">
        <f t="shared" si="36"/>
        <v>Jan-00</v>
      </c>
      <c r="D514" s="96"/>
      <c r="E514" s="95"/>
      <c r="F514" s="95"/>
      <c r="G514" s="95"/>
      <c r="H514" s="94"/>
      <c r="I514" s="94"/>
      <c r="J514" s="91"/>
      <c r="K514" s="91"/>
      <c r="L514" s="94"/>
      <c r="M514" s="93"/>
      <c r="N514" s="92"/>
      <c r="O514" s="92">
        <f t="shared" si="40"/>
        <v>0</v>
      </c>
      <c r="P514" s="91">
        <f t="shared" si="37"/>
        <v>0</v>
      </c>
      <c r="Q514" s="91">
        <f t="shared" si="38"/>
        <v>0</v>
      </c>
      <c r="R514" s="91"/>
    </row>
    <row r="515" spans="2:18" ht="12" customHeight="1" x14ac:dyDescent="0.3">
      <c r="B515" s="98">
        <f t="shared" si="39"/>
        <v>512</v>
      </c>
      <c r="C515" s="97" t="str">
        <f t="shared" si="36"/>
        <v>Jan-00</v>
      </c>
      <c r="D515" s="96"/>
      <c r="E515" s="95"/>
      <c r="F515" s="95"/>
      <c r="G515" s="95"/>
      <c r="H515" s="94"/>
      <c r="I515" s="94"/>
      <c r="J515" s="91"/>
      <c r="K515" s="91"/>
      <c r="L515" s="94"/>
      <c r="M515" s="93"/>
      <c r="N515" s="92"/>
      <c r="O515" s="92">
        <f t="shared" si="40"/>
        <v>0</v>
      </c>
      <c r="P515" s="91">
        <f t="shared" si="37"/>
        <v>0</v>
      </c>
      <c r="Q515" s="91">
        <f t="shared" si="38"/>
        <v>0</v>
      </c>
      <c r="R515" s="91"/>
    </row>
    <row r="516" spans="2:18" ht="12" customHeight="1" x14ac:dyDescent="0.3">
      <c r="B516" s="98">
        <f t="shared" si="39"/>
        <v>513</v>
      </c>
      <c r="C516" s="97" t="str">
        <f t="shared" ref="C516:C579" si="41">CONCATENATE(TEXT(D516,"mmm"),"-",TEXT(D516,"yy"))</f>
        <v>Jan-00</v>
      </c>
      <c r="D516" s="96"/>
      <c r="E516" s="95"/>
      <c r="F516" s="95"/>
      <c r="G516" s="95"/>
      <c r="H516" s="94"/>
      <c r="I516" s="94"/>
      <c r="J516" s="91"/>
      <c r="K516" s="91"/>
      <c r="L516" s="94"/>
      <c r="M516" s="93"/>
      <c r="N516" s="92"/>
      <c r="O516" s="92">
        <f t="shared" si="40"/>
        <v>0</v>
      </c>
      <c r="P516" s="91">
        <f t="shared" ref="P516:P579" si="42">O516*1%</f>
        <v>0</v>
      </c>
      <c r="Q516" s="91">
        <f t="shared" ref="Q516:Q579" si="43">O516-P516</f>
        <v>0</v>
      </c>
      <c r="R516" s="91"/>
    </row>
    <row r="517" spans="2:18" ht="12" customHeight="1" x14ac:dyDescent="0.3">
      <c r="B517" s="98">
        <f t="shared" ref="B517:B580" si="44">+B516+1</f>
        <v>514</v>
      </c>
      <c r="C517" s="97" t="str">
        <f t="shared" si="41"/>
        <v>Jan-00</v>
      </c>
      <c r="D517" s="96"/>
      <c r="E517" s="95"/>
      <c r="F517" s="95"/>
      <c r="G517" s="95"/>
      <c r="H517" s="94"/>
      <c r="I517" s="94"/>
      <c r="J517" s="91"/>
      <c r="K517" s="91"/>
      <c r="L517" s="94"/>
      <c r="M517" s="93"/>
      <c r="N517" s="92"/>
      <c r="O517" s="92">
        <f t="shared" si="40"/>
        <v>0</v>
      </c>
      <c r="P517" s="91">
        <f t="shared" si="42"/>
        <v>0</v>
      </c>
      <c r="Q517" s="91">
        <f t="shared" si="43"/>
        <v>0</v>
      </c>
      <c r="R517" s="91"/>
    </row>
    <row r="518" spans="2:18" ht="12" customHeight="1" x14ac:dyDescent="0.3">
      <c r="B518" s="98">
        <f t="shared" si="44"/>
        <v>515</v>
      </c>
      <c r="C518" s="97" t="str">
        <f t="shared" si="41"/>
        <v>Jan-00</v>
      </c>
      <c r="D518" s="96"/>
      <c r="E518" s="95"/>
      <c r="F518" s="95"/>
      <c r="G518" s="95"/>
      <c r="H518" s="94"/>
      <c r="I518" s="94"/>
      <c r="J518" s="91"/>
      <c r="K518" s="91"/>
      <c r="L518" s="94"/>
      <c r="M518" s="93"/>
      <c r="N518" s="92"/>
      <c r="O518" s="92">
        <f t="shared" si="40"/>
        <v>0</v>
      </c>
      <c r="P518" s="91">
        <f t="shared" si="42"/>
        <v>0</v>
      </c>
      <c r="Q518" s="91">
        <f t="shared" si="43"/>
        <v>0</v>
      </c>
      <c r="R518" s="91"/>
    </row>
    <row r="519" spans="2:18" ht="12" customHeight="1" x14ac:dyDescent="0.3">
      <c r="B519" s="98">
        <f t="shared" si="44"/>
        <v>516</v>
      </c>
      <c r="C519" s="97" t="str">
        <f t="shared" si="41"/>
        <v>Jan-00</v>
      </c>
      <c r="D519" s="96"/>
      <c r="E519" s="95"/>
      <c r="F519" s="95"/>
      <c r="G519" s="95"/>
      <c r="H519" s="94"/>
      <c r="I519" s="94"/>
      <c r="J519" s="91"/>
      <c r="K519" s="91"/>
      <c r="L519" s="94"/>
      <c r="M519" s="93"/>
      <c r="N519" s="92"/>
      <c r="O519" s="92">
        <f t="shared" si="40"/>
        <v>0</v>
      </c>
      <c r="P519" s="91">
        <f t="shared" si="42"/>
        <v>0</v>
      </c>
      <c r="Q519" s="91">
        <f t="shared" si="43"/>
        <v>0</v>
      </c>
      <c r="R519" s="91"/>
    </row>
    <row r="520" spans="2:18" ht="12" customHeight="1" x14ac:dyDescent="0.3">
      <c r="B520" s="98">
        <f t="shared" si="44"/>
        <v>517</v>
      </c>
      <c r="C520" s="97" t="str">
        <f t="shared" si="41"/>
        <v>Jan-00</v>
      </c>
      <c r="D520" s="96"/>
      <c r="E520" s="95"/>
      <c r="F520" s="95"/>
      <c r="G520" s="95"/>
      <c r="H520" s="94"/>
      <c r="I520" s="94"/>
      <c r="J520" s="91"/>
      <c r="K520" s="91"/>
      <c r="L520" s="94"/>
      <c r="M520" s="93"/>
      <c r="N520" s="92"/>
      <c r="O520" s="92">
        <f t="shared" si="40"/>
        <v>0</v>
      </c>
      <c r="P520" s="91">
        <f t="shared" si="42"/>
        <v>0</v>
      </c>
      <c r="Q520" s="91">
        <f t="shared" si="43"/>
        <v>0</v>
      </c>
      <c r="R520" s="91"/>
    </row>
    <row r="521" spans="2:18" ht="12" customHeight="1" x14ac:dyDescent="0.3">
      <c r="B521" s="98">
        <f t="shared" si="44"/>
        <v>518</v>
      </c>
      <c r="C521" s="97" t="str">
        <f t="shared" si="41"/>
        <v>Jan-00</v>
      </c>
      <c r="D521" s="96"/>
      <c r="E521" s="95"/>
      <c r="F521" s="95"/>
      <c r="G521" s="95"/>
      <c r="H521" s="94"/>
      <c r="I521" s="94"/>
      <c r="J521" s="91"/>
      <c r="K521" s="91"/>
      <c r="L521" s="94"/>
      <c r="M521" s="93"/>
      <c r="N521" s="92"/>
      <c r="O521" s="92">
        <f t="shared" si="40"/>
        <v>0</v>
      </c>
      <c r="P521" s="91">
        <f t="shared" si="42"/>
        <v>0</v>
      </c>
      <c r="Q521" s="91">
        <f t="shared" si="43"/>
        <v>0</v>
      </c>
      <c r="R521" s="91"/>
    </row>
    <row r="522" spans="2:18" ht="12" customHeight="1" x14ac:dyDescent="0.3">
      <c r="B522" s="98">
        <f t="shared" si="44"/>
        <v>519</v>
      </c>
      <c r="C522" s="97" t="str">
        <f t="shared" si="41"/>
        <v>Jan-00</v>
      </c>
      <c r="D522" s="96"/>
      <c r="E522" s="95"/>
      <c r="F522" s="95"/>
      <c r="G522" s="95"/>
      <c r="H522" s="94"/>
      <c r="I522" s="94"/>
      <c r="J522" s="91"/>
      <c r="K522" s="91"/>
      <c r="L522" s="94"/>
      <c r="M522" s="93"/>
      <c r="N522" s="92"/>
      <c r="O522" s="92">
        <f t="shared" si="40"/>
        <v>0</v>
      </c>
      <c r="P522" s="91">
        <f t="shared" si="42"/>
        <v>0</v>
      </c>
      <c r="Q522" s="91">
        <f t="shared" si="43"/>
        <v>0</v>
      </c>
      <c r="R522" s="91"/>
    </row>
    <row r="523" spans="2:18" ht="12" customHeight="1" x14ac:dyDescent="0.3">
      <c r="B523" s="98">
        <f t="shared" si="44"/>
        <v>520</v>
      </c>
      <c r="C523" s="97" t="str">
        <f t="shared" si="41"/>
        <v>Jan-00</v>
      </c>
      <c r="D523" s="96"/>
      <c r="E523" s="95"/>
      <c r="F523" s="95"/>
      <c r="G523" s="95"/>
      <c r="H523" s="94"/>
      <c r="I523" s="94"/>
      <c r="J523" s="91"/>
      <c r="K523" s="91"/>
      <c r="L523" s="94"/>
      <c r="M523" s="93"/>
      <c r="N523" s="92"/>
      <c r="O523" s="92">
        <f t="shared" si="40"/>
        <v>0</v>
      </c>
      <c r="P523" s="91">
        <f t="shared" si="42"/>
        <v>0</v>
      </c>
      <c r="Q523" s="91">
        <f t="shared" si="43"/>
        <v>0</v>
      </c>
      <c r="R523" s="91"/>
    </row>
    <row r="524" spans="2:18" ht="12" customHeight="1" x14ac:dyDescent="0.3">
      <c r="B524" s="98">
        <f t="shared" si="44"/>
        <v>521</v>
      </c>
      <c r="C524" s="97" t="str">
        <f t="shared" si="41"/>
        <v>Jan-00</v>
      </c>
      <c r="D524" s="96"/>
      <c r="E524" s="95"/>
      <c r="F524" s="95"/>
      <c r="G524" s="95"/>
      <c r="H524" s="94"/>
      <c r="I524" s="94"/>
      <c r="J524" s="91"/>
      <c r="K524" s="91"/>
      <c r="L524" s="94"/>
      <c r="M524" s="93"/>
      <c r="N524" s="92"/>
      <c r="O524" s="92">
        <f t="shared" si="40"/>
        <v>0</v>
      </c>
      <c r="P524" s="91">
        <f t="shared" si="42"/>
        <v>0</v>
      </c>
      <c r="Q524" s="91">
        <f t="shared" si="43"/>
        <v>0</v>
      </c>
      <c r="R524" s="91"/>
    </row>
    <row r="525" spans="2:18" ht="12" customHeight="1" x14ac:dyDescent="0.3">
      <c r="B525" s="98">
        <f t="shared" si="44"/>
        <v>522</v>
      </c>
      <c r="C525" s="97" t="str">
        <f t="shared" si="41"/>
        <v>Jan-00</v>
      </c>
      <c r="D525" s="96"/>
      <c r="E525" s="95"/>
      <c r="F525" s="95"/>
      <c r="G525" s="95"/>
      <c r="H525" s="94"/>
      <c r="I525" s="94"/>
      <c r="J525" s="91"/>
      <c r="K525" s="91"/>
      <c r="L525" s="94"/>
      <c r="M525" s="93"/>
      <c r="N525" s="92"/>
      <c r="O525" s="92">
        <f t="shared" si="40"/>
        <v>0</v>
      </c>
      <c r="P525" s="91">
        <f t="shared" si="42"/>
        <v>0</v>
      </c>
      <c r="Q525" s="91">
        <f t="shared" si="43"/>
        <v>0</v>
      </c>
      <c r="R525" s="91"/>
    </row>
    <row r="526" spans="2:18" ht="12" customHeight="1" x14ac:dyDescent="0.3">
      <c r="B526" s="98">
        <f t="shared" si="44"/>
        <v>523</v>
      </c>
      <c r="C526" s="97" t="str">
        <f t="shared" si="41"/>
        <v>Jan-00</v>
      </c>
      <c r="D526" s="96"/>
      <c r="E526" s="95"/>
      <c r="F526" s="95"/>
      <c r="G526" s="95"/>
      <c r="H526" s="94"/>
      <c r="I526" s="94"/>
      <c r="J526" s="91"/>
      <c r="K526" s="91"/>
      <c r="L526" s="94"/>
      <c r="M526" s="93"/>
      <c r="N526" s="92"/>
      <c r="O526" s="92">
        <f t="shared" si="40"/>
        <v>0</v>
      </c>
      <c r="P526" s="91">
        <f t="shared" si="42"/>
        <v>0</v>
      </c>
      <c r="Q526" s="91">
        <f t="shared" si="43"/>
        <v>0</v>
      </c>
      <c r="R526" s="91"/>
    </row>
    <row r="527" spans="2:18" ht="12" customHeight="1" x14ac:dyDescent="0.3">
      <c r="B527" s="98">
        <f t="shared" si="44"/>
        <v>524</v>
      </c>
      <c r="C527" s="97" t="str">
        <f t="shared" si="41"/>
        <v>Jan-00</v>
      </c>
      <c r="D527" s="96"/>
      <c r="E527" s="95"/>
      <c r="F527" s="95"/>
      <c r="G527" s="95"/>
      <c r="H527" s="94"/>
      <c r="I527" s="94"/>
      <c r="J527" s="91"/>
      <c r="K527" s="91"/>
      <c r="L527" s="94"/>
      <c r="M527" s="93"/>
      <c r="N527" s="92"/>
      <c r="O527" s="92">
        <f t="shared" si="40"/>
        <v>0</v>
      </c>
      <c r="P527" s="91">
        <f t="shared" si="42"/>
        <v>0</v>
      </c>
      <c r="Q527" s="91">
        <f t="shared" si="43"/>
        <v>0</v>
      </c>
      <c r="R527" s="91"/>
    </row>
    <row r="528" spans="2:18" ht="12" customHeight="1" x14ac:dyDescent="0.3">
      <c r="B528" s="98">
        <f t="shared" si="44"/>
        <v>525</v>
      </c>
      <c r="C528" s="97" t="str">
        <f t="shared" si="41"/>
        <v>Jan-00</v>
      </c>
      <c r="D528" s="96"/>
      <c r="E528" s="95"/>
      <c r="F528" s="95"/>
      <c r="G528" s="95"/>
      <c r="H528" s="94"/>
      <c r="I528" s="94"/>
      <c r="J528" s="91"/>
      <c r="K528" s="91"/>
      <c r="L528" s="94"/>
      <c r="M528" s="93"/>
      <c r="N528" s="92"/>
      <c r="O528" s="92">
        <f t="shared" si="40"/>
        <v>0</v>
      </c>
      <c r="P528" s="91">
        <f t="shared" si="42"/>
        <v>0</v>
      </c>
      <c r="Q528" s="91">
        <f t="shared" si="43"/>
        <v>0</v>
      </c>
      <c r="R528" s="91"/>
    </row>
    <row r="529" spans="2:18" ht="12" customHeight="1" x14ac:dyDescent="0.3">
      <c r="B529" s="98">
        <f t="shared" si="44"/>
        <v>526</v>
      </c>
      <c r="C529" s="97" t="str">
        <f t="shared" si="41"/>
        <v>Jan-00</v>
      </c>
      <c r="D529" s="96"/>
      <c r="E529" s="95"/>
      <c r="F529" s="95"/>
      <c r="G529" s="95"/>
      <c r="H529" s="94"/>
      <c r="I529" s="94"/>
      <c r="J529" s="91"/>
      <c r="K529" s="91"/>
      <c r="L529" s="94"/>
      <c r="M529" s="93"/>
      <c r="N529" s="92"/>
      <c r="O529" s="92">
        <f t="shared" si="40"/>
        <v>0</v>
      </c>
      <c r="P529" s="91">
        <f t="shared" si="42"/>
        <v>0</v>
      </c>
      <c r="Q529" s="91">
        <f t="shared" si="43"/>
        <v>0</v>
      </c>
      <c r="R529" s="91"/>
    </row>
    <row r="530" spans="2:18" ht="12" customHeight="1" x14ac:dyDescent="0.3">
      <c r="B530" s="98">
        <f t="shared" si="44"/>
        <v>527</v>
      </c>
      <c r="C530" s="97" t="str">
        <f t="shared" si="41"/>
        <v>Jan-00</v>
      </c>
      <c r="D530" s="96"/>
      <c r="E530" s="95"/>
      <c r="F530" s="95"/>
      <c r="G530" s="95"/>
      <c r="H530" s="94"/>
      <c r="I530" s="94"/>
      <c r="J530" s="91"/>
      <c r="K530" s="91"/>
      <c r="L530" s="94"/>
      <c r="M530" s="93"/>
      <c r="N530" s="92"/>
      <c r="O530" s="92">
        <f t="shared" si="40"/>
        <v>0</v>
      </c>
      <c r="P530" s="91">
        <f t="shared" si="42"/>
        <v>0</v>
      </c>
      <c r="Q530" s="91">
        <f t="shared" si="43"/>
        <v>0</v>
      </c>
      <c r="R530" s="91"/>
    </row>
    <row r="531" spans="2:18" ht="12" customHeight="1" x14ac:dyDescent="0.3">
      <c r="B531" s="98">
        <f t="shared" si="44"/>
        <v>528</v>
      </c>
      <c r="C531" s="97" t="str">
        <f t="shared" si="41"/>
        <v>Jan-00</v>
      </c>
      <c r="D531" s="96"/>
      <c r="E531" s="95"/>
      <c r="F531" s="95"/>
      <c r="G531" s="95"/>
      <c r="H531" s="94"/>
      <c r="I531" s="94"/>
      <c r="J531" s="91"/>
      <c r="K531" s="91"/>
      <c r="L531" s="94"/>
      <c r="M531" s="93"/>
      <c r="N531" s="92"/>
      <c r="O531" s="92">
        <f t="shared" si="40"/>
        <v>0</v>
      </c>
      <c r="P531" s="91">
        <f t="shared" si="42"/>
        <v>0</v>
      </c>
      <c r="Q531" s="91">
        <f t="shared" si="43"/>
        <v>0</v>
      </c>
      <c r="R531" s="91"/>
    </row>
    <row r="532" spans="2:18" ht="12" customHeight="1" x14ac:dyDescent="0.3">
      <c r="B532" s="98">
        <f t="shared" si="44"/>
        <v>529</v>
      </c>
      <c r="C532" s="97" t="str">
        <f t="shared" si="41"/>
        <v>Jan-00</v>
      </c>
      <c r="D532" s="96"/>
      <c r="E532" s="95"/>
      <c r="F532" s="95"/>
      <c r="G532" s="95"/>
      <c r="H532" s="94"/>
      <c r="I532" s="94"/>
      <c r="J532" s="91"/>
      <c r="K532" s="91"/>
      <c r="L532" s="94"/>
      <c r="M532" s="93"/>
      <c r="N532" s="92"/>
      <c r="O532" s="92">
        <f t="shared" si="40"/>
        <v>0</v>
      </c>
      <c r="P532" s="91">
        <f t="shared" si="42"/>
        <v>0</v>
      </c>
      <c r="Q532" s="91">
        <f t="shared" si="43"/>
        <v>0</v>
      </c>
      <c r="R532" s="91"/>
    </row>
    <row r="533" spans="2:18" ht="12" customHeight="1" x14ac:dyDescent="0.3">
      <c r="B533" s="98">
        <f t="shared" si="44"/>
        <v>530</v>
      </c>
      <c r="C533" s="97" t="str">
        <f t="shared" si="41"/>
        <v>Jan-00</v>
      </c>
      <c r="D533" s="96"/>
      <c r="E533" s="95"/>
      <c r="F533" s="95"/>
      <c r="G533" s="95"/>
      <c r="H533" s="94"/>
      <c r="I533" s="94"/>
      <c r="J533" s="91"/>
      <c r="K533" s="91"/>
      <c r="L533" s="94"/>
      <c r="M533" s="93"/>
      <c r="N533" s="92"/>
      <c r="O533" s="92">
        <f t="shared" si="40"/>
        <v>0</v>
      </c>
      <c r="P533" s="91">
        <f t="shared" si="42"/>
        <v>0</v>
      </c>
      <c r="Q533" s="91">
        <f t="shared" si="43"/>
        <v>0</v>
      </c>
      <c r="R533" s="91"/>
    </row>
    <row r="534" spans="2:18" ht="12" customHeight="1" x14ac:dyDescent="0.3">
      <c r="B534" s="98">
        <f t="shared" si="44"/>
        <v>531</v>
      </c>
      <c r="C534" s="97" t="str">
        <f t="shared" si="41"/>
        <v>Jan-00</v>
      </c>
      <c r="D534" s="96"/>
      <c r="E534" s="95"/>
      <c r="F534" s="95"/>
      <c r="G534" s="95"/>
      <c r="H534" s="94"/>
      <c r="I534" s="94"/>
      <c r="J534" s="91"/>
      <c r="K534" s="91"/>
      <c r="L534" s="94"/>
      <c r="M534" s="93"/>
      <c r="N534" s="92"/>
      <c r="O534" s="92">
        <f t="shared" si="40"/>
        <v>0</v>
      </c>
      <c r="P534" s="91">
        <f t="shared" si="42"/>
        <v>0</v>
      </c>
      <c r="Q534" s="91">
        <f t="shared" si="43"/>
        <v>0</v>
      </c>
      <c r="R534" s="91"/>
    </row>
    <row r="535" spans="2:18" ht="12" customHeight="1" x14ac:dyDescent="0.3">
      <c r="B535" s="98">
        <f t="shared" si="44"/>
        <v>532</v>
      </c>
      <c r="C535" s="97" t="str">
        <f t="shared" si="41"/>
        <v>Jan-00</v>
      </c>
      <c r="D535" s="96"/>
      <c r="E535" s="95"/>
      <c r="F535" s="95"/>
      <c r="G535" s="95"/>
      <c r="H535" s="94"/>
      <c r="I535" s="94"/>
      <c r="J535" s="91"/>
      <c r="K535" s="91"/>
      <c r="L535" s="94"/>
      <c r="M535" s="93"/>
      <c r="N535" s="92"/>
      <c r="O535" s="92">
        <f t="shared" si="40"/>
        <v>0</v>
      </c>
      <c r="P535" s="91">
        <f t="shared" si="42"/>
        <v>0</v>
      </c>
      <c r="Q535" s="91">
        <f t="shared" si="43"/>
        <v>0</v>
      </c>
      <c r="R535" s="91"/>
    </row>
    <row r="536" spans="2:18" ht="12" customHeight="1" x14ac:dyDescent="0.3">
      <c r="B536" s="98">
        <f t="shared" si="44"/>
        <v>533</v>
      </c>
      <c r="C536" s="97" t="str">
        <f t="shared" si="41"/>
        <v>Jan-00</v>
      </c>
      <c r="D536" s="96"/>
      <c r="E536" s="95"/>
      <c r="F536" s="95"/>
      <c r="G536" s="95"/>
      <c r="H536" s="94"/>
      <c r="I536" s="94"/>
      <c r="J536" s="91"/>
      <c r="K536" s="91"/>
      <c r="L536" s="94"/>
      <c r="M536" s="93"/>
      <c r="N536" s="92"/>
      <c r="O536" s="92">
        <f t="shared" si="40"/>
        <v>0</v>
      </c>
      <c r="P536" s="91">
        <f t="shared" si="42"/>
        <v>0</v>
      </c>
      <c r="Q536" s="91">
        <f t="shared" si="43"/>
        <v>0</v>
      </c>
      <c r="R536" s="91"/>
    </row>
    <row r="537" spans="2:18" ht="12" customHeight="1" x14ac:dyDescent="0.3">
      <c r="B537" s="98">
        <f t="shared" si="44"/>
        <v>534</v>
      </c>
      <c r="C537" s="97" t="str">
        <f t="shared" si="41"/>
        <v>Jan-00</v>
      </c>
      <c r="D537" s="96"/>
      <c r="E537" s="95"/>
      <c r="F537" s="95"/>
      <c r="G537" s="95"/>
      <c r="H537" s="94"/>
      <c r="I537" s="94"/>
      <c r="J537" s="91"/>
      <c r="K537" s="91"/>
      <c r="L537" s="94"/>
      <c r="M537" s="93"/>
      <c r="N537" s="92"/>
      <c r="O537" s="92">
        <f t="shared" si="40"/>
        <v>0</v>
      </c>
      <c r="P537" s="91">
        <f t="shared" si="42"/>
        <v>0</v>
      </c>
      <c r="Q537" s="91">
        <f t="shared" si="43"/>
        <v>0</v>
      </c>
      <c r="R537" s="91"/>
    </row>
    <row r="538" spans="2:18" ht="12" customHeight="1" x14ac:dyDescent="0.3">
      <c r="B538" s="98">
        <f t="shared" si="44"/>
        <v>535</v>
      </c>
      <c r="C538" s="97" t="str">
        <f t="shared" si="41"/>
        <v>Jan-00</v>
      </c>
      <c r="D538" s="96"/>
      <c r="E538" s="95"/>
      <c r="F538" s="95"/>
      <c r="G538" s="95"/>
      <c r="H538" s="94"/>
      <c r="I538" s="94"/>
      <c r="J538" s="91"/>
      <c r="K538" s="91"/>
      <c r="L538" s="94"/>
      <c r="M538" s="93"/>
      <c r="N538" s="92"/>
      <c r="O538" s="92">
        <f t="shared" si="40"/>
        <v>0</v>
      </c>
      <c r="P538" s="91">
        <f t="shared" si="42"/>
        <v>0</v>
      </c>
      <c r="Q538" s="91">
        <f t="shared" si="43"/>
        <v>0</v>
      </c>
      <c r="R538" s="91"/>
    </row>
    <row r="539" spans="2:18" ht="12" customHeight="1" x14ac:dyDescent="0.3">
      <c r="B539" s="98">
        <f t="shared" si="44"/>
        <v>536</v>
      </c>
      <c r="C539" s="97" t="str">
        <f t="shared" si="41"/>
        <v>Jan-00</v>
      </c>
      <c r="D539" s="96"/>
      <c r="E539" s="95"/>
      <c r="F539" s="95"/>
      <c r="G539" s="95"/>
      <c r="H539" s="94"/>
      <c r="I539" s="94"/>
      <c r="J539" s="91"/>
      <c r="K539" s="91"/>
      <c r="L539" s="94"/>
      <c r="M539" s="93"/>
      <c r="N539" s="92"/>
      <c r="O539" s="92">
        <f t="shared" si="40"/>
        <v>0</v>
      </c>
      <c r="P539" s="91">
        <f t="shared" si="42"/>
        <v>0</v>
      </c>
      <c r="Q539" s="91">
        <f t="shared" si="43"/>
        <v>0</v>
      </c>
      <c r="R539" s="91"/>
    </row>
    <row r="540" spans="2:18" ht="12" customHeight="1" x14ac:dyDescent="0.3">
      <c r="B540" s="98">
        <f t="shared" si="44"/>
        <v>537</v>
      </c>
      <c r="C540" s="97" t="str">
        <f t="shared" si="41"/>
        <v>Jan-00</v>
      </c>
      <c r="D540" s="96"/>
      <c r="E540" s="95"/>
      <c r="F540" s="95"/>
      <c r="G540" s="95"/>
      <c r="H540" s="94"/>
      <c r="I540" s="94"/>
      <c r="J540" s="91"/>
      <c r="K540" s="91"/>
      <c r="L540" s="94"/>
      <c r="M540" s="93"/>
      <c r="N540" s="92"/>
      <c r="O540" s="92">
        <f t="shared" si="40"/>
        <v>0</v>
      </c>
      <c r="P540" s="91">
        <f t="shared" si="42"/>
        <v>0</v>
      </c>
      <c r="Q540" s="91">
        <f t="shared" si="43"/>
        <v>0</v>
      </c>
      <c r="R540" s="91"/>
    </row>
    <row r="541" spans="2:18" ht="12" customHeight="1" x14ac:dyDescent="0.3">
      <c r="B541" s="98">
        <f t="shared" si="44"/>
        <v>538</v>
      </c>
      <c r="C541" s="97" t="str">
        <f t="shared" si="41"/>
        <v>Jan-00</v>
      </c>
      <c r="D541" s="96"/>
      <c r="E541" s="95"/>
      <c r="F541" s="95"/>
      <c r="G541" s="95"/>
      <c r="H541" s="94"/>
      <c r="I541" s="94"/>
      <c r="J541" s="91"/>
      <c r="K541" s="91"/>
      <c r="L541" s="94"/>
      <c r="M541" s="93"/>
      <c r="N541" s="92"/>
      <c r="O541" s="92">
        <f t="shared" si="40"/>
        <v>0</v>
      </c>
      <c r="P541" s="91">
        <f t="shared" si="42"/>
        <v>0</v>
      </c>
      <c r="Q541" s="91">
        <f t="shared" si="43"/>
        <v>0</v>
      </c>
      <c r="R541" s="91"/>
    </row>
    <row r="542" spans="2:18" ht="12" customHeight="1" x14ac:dyDescent="0.3">
      <c r="B542" s="98">
        <f t="shared" si="44"/>
        <v>539</v>
      </c>
      <c r="C542" s="97" t="str">
        <f t="shared" si="41"/>
        <v>Jan-00</v>
      </c>
      <c r="D542" s="96"/>
      <c r="E542" s="95"/>
      <c r="F542" s="95"/>
      <c r="G542" s="95"/>
      <c r="H542" s="94"/>
      <c r="I542" s="94"/>
      <c r="J542" s="91"/>
      <c r="K542" s="91"/>
      <c r="L542" s="94"/>
      <c r="M542" s="93"/>
      <c r="N542" s="92"/>
      <c r="O542" s="92">
        <f t="shared" si="40"/>
        <v>0</v>
      </c>
      <c r="P542" s="91">
        <f t="shared" si="42"/>
        <v>0</v>
      </c>
      <c r="Q542" s="91">
        <f t="shared" si="43"/>
        <v>0</v>
      </c>
      <c r="R542" s="91"/>
    </row>
    <row r="543" spans="2:18" ht="12" customHeight="1" x14ac:dyDescent="0.3">
      <c r="B543" s="98">
        <f t="shared" si="44"/>
        <v>540</v>
      </c>
      <c r="C543" s="97" t="str">
        <f t="shared" si="41"/>
        <v>Jan-00</v>
      </c>
      <c r="D543" s="96"/>
      <c r="E543" s="95"/>
      <c r="F543" s="95"/>
      <c r="G543" s="95"/>
      <c r="H543" s="94"/>
      <c r="I543" s="94"/>
      <c r="J543" s="91"/>
      <c r="K543" s="91"/>
      <c r="L543" s="94"/>
      <c r="M543" s="93"/>
      <c r="N543" s="92"/>
      <c r="O543" s="92">
        <f t="shared" si="40"/>
        <v>0</v>
      </c>
      <c r="P543" s="91">
        <f t="shared" si="42"/>
        <v>0</v>
      </c>
      <c r="Q543" s="91">
        <f t="shared" si="43"/>
        <v>0</v>
      </c>
      <c r="R543" s="91"/>
    </row>
    <row r="544" spans="2:18" ht="12" customHeight="1" x14ac:dyDescent="0.3">
      <c r="B544" s="98">
        <f t="shared" si="44"/>
        <v>541</v>
      </c>
      <c r="C544" s="97" t="str">
        <f t="shared" si="41"/>
        <v>Jan-00</v>
      </c>
      <c r="D544" s="96"/>
      <c r="E544" s="95"/>
      <c r="F544" s="95"/>
      <c r="G544" s="95"/>
      <c r="H544" s="94"/>
      <c r="I544" s="94"/>
      <c r="J544" s="91"/>
      <c r="K544" s="91"/>
      <c r="L544" s="94"/>
      <c r="M544" s="93"/>
      <c r="N544" s="92"/>
      <c r="O544" s="92">
        <f t="shared" si="40"/>
        <v>0</v>
      </c>
      <c r="P544" s="91">
        <f t="shared" si="42"/>
        <v>0</v>
      </c>
      <c r="Q544" s="91">
        <f t="shared" si="43"/>
        <v>0</v>
      </c>
      <c r="R544" s="91"/>
    </row>
    <row r="545" spans="2:18" ht="12" customHeight="1" x14ac:dyDescent="0.3">
      <c r="B545" s="98">
        <f t="shared" si="44"/>
        <v>542</v>
      </c>
      <c r="C545" s="97" t="str">
        <f t="shared" si="41"/>
        <v>Jan-00</v>
      </c>
      <c r="D545" s="96"/>
      <c r="E545" s="95"/>
      <c r="F545" s="95"/>
      <c r="G545" s="95"/>
      <c r="H545" s="94"/>
      <c r="I545" s="94"/>
      <c r="J545" s="91"/>
      <c r="K545" s="91"/>
      <c r="L545" s="94"/>
      <c r="M545" s="93"/>
      <c r="N545" s="92"/>
      <c r="O545" s="92">
        <f t="shared" si="40"/>
        <v>0</v>
      </c>
      <c r="P545" s="91">
        <f t="shared" si="42"/>
        <v>0</v>
      </c>
      <c r="Q545" s="91">
        <f t="shared" si="43"/>
        <v>0</v>
      </c>
      <c r="R545" s="91"/>
    </row>
    <row r="546" spans="2:18" ht="12" customHeight="1" x14ac:dyDescent="0.3">
      <c r="B546" s="98">
        <f t="shared" si="44"/>
        <v>543</v>
      </c>
      <c r="C546" s="97" t="str">
        <f t="shared" si="41"/>
        <v>Jan-00</v>
      </c>
      <c r="D546" s="96"/>
      <c r="E546" s="95"/>
      <c r="F546" s="95"/>
      <c r="G546" s="95"/>
      <c r="H546" s="94"/>
      <c r="I546" s="94"/>
      <c r="J546" s="91"/>
      <c r="K546" s="91"/>
      <c r="L546" s="94"/>
      <c r="M546" s="93"/>
      <c r="N546" s="92"/>
      <c r="O546" s="92">
        <f t="shared" ref="O546:O609" si="45">SUM(N546*M546)</f>
        <v>0</v>
      </c>
      <c r="P546" s="91">
        <f t="shared" si="42"/>
        <v>0</v>
      </c>
      <c r="Q546" s="91">
        <f t="shared" si="43"/>
        <v>0</v>
      </c>
      <c r="R546" s="91"/>
    </row>
    <row r="547" spans="2:18" ht="12" customHeight="1" x14ac:dyDescent="0.3">
      <c r="B547" s="98">
        <f t="shared" si="44"/>
        <v>544</v>
      </c>
      <c r="C547" s="97" t="str">
        <f t="shared" si="41"/>
        <v>Jan-00</v>
      </c>
      <c r="D547" s="96"/>
      <c r="E547" s="95"/>
      <c r="F547" s="95"/>
      <c r="G547" s="95"/>
      <c r="H547" s="94"/>
      <c r="I547" s="94"/>
      <c r="J547" s="91"/>
      <c r="K547" s="91"/>
      <c r="L547" s="94"/>
      <c r="M547" s="93"/>
      <c r="N547" s="92"/>
      <c r="O547" s="92">
        <f t="shared" si="45"/>
        <v>0</v>
      </c>
      <c r="P547" s="91">
        <f t="shared" si="42"/>
        <v>0</v>
      </c>
      <c r="Q547" s="91">
        <f t="shared" si="43"/>
        <v>0</v>
      </c>
      <c r="R547" s="91"/>
    </row>
    <row r="548" spans="2:18" ht="12" customHeight="1" x14ac:dyDescent="0.3">
      <c r="B548" s="98">
        <f t="shared" si="44"/>
        <v>545</v>
      </c>
      <c r="C548" s="97" t="str">
        <f t="shared" si="41"/>
        <v>Jan-00</v>
      </c>
      <c r="D548" s="96"/>
      <c r="E548" s="95"/>
      <c r="F548" s="95"/>
      <c r="G548" s="95"/>
      <c r="H548" s="94"/>
      <c r="I548" s="94"/>
      <c r="J548" s="91"/>
      <c r="K548" s="91"/>
      <c r="L548" s="94"/>
      <c r="M548" s="93"/>
      <c r="N548" s="92"/>
      <c r="O548" s="92">
        <f t="shared" si="45"/>
        <v>0</v>
      </c>
      <c r="P548" s="91">
        <f t="shared" si="42"/>
        <v>0</v>
      </c>
      <c r="Q548" s="91">
        <f t="shared" si="43"/>
        <v>0</v>
      </c>
      <c r="R548" s="91"/>
    </row>
    <row r="549" spans="2:18" ht="12" customHeight="1" x14ac:dyDescent="0.3">
      <c r="B549" s="98">
        <f t="shared" si="44"/>
        <v>546</v>
      </c>
      <c r="C549" s="97" t="str">
        <f t="shared" si="41"/>
        <v>Jan-00</v>
      </c>
      <c r="D549" s="96"/>
      <c r="E549" s="95"/>
      <c r="F549" s="95"/>
      <c r="G549" s="95"/>
      <c r="H549" s="94"/>
      <c r="I549" s="94"/>
      <c r="J549" s="91"/>
      <c r="K549" s="91"/>
      <c r="L549" s="94"/>
      <c r="M549" s="93"/>
      <c r="N549" s="92"/>
      <c r="O549" s="92">
        <f t="shared" si="45"/>
        <v>0</v>
      </c>
      <c r="P549" s="91">
        <f t="shared" si="42"/>
        <v>0</v>
      </c>
      <c r="Q549" s="91">
        <f t="shared" si="43"/>
        <v>0</v>
      </c>
      <c r="R549" s="91"/>
    </row>
    <row r="550" spans="2:18" ht="12" customHeight="1" x14ac:dyDescent="0.3">
      <c r="B550" s="98">
        <f t="shared" si="44"/>
        <v>547</v>
      </c>
      <c r="C550" s="97" t="str">
        <f t="shared" si="41"/>
        <v>Jan-00</v>
      </c>
      <c r="D550" s="96"/>
      <c r="E550" s="95"/>
      <c r="F550" s="95"/>
      <c r="G550" s="95"/>
      <c r="H550" s="94"/>
      <c r="I550" s="94"/>
      <c r="J550" s="91"/>
      <c r="K550" s="91"/>
      <c r="L550" s="94"/>
      <c r="M550" s="93"/>
      <c r="N550" s="92"/>
      <c r="O550" s="92">
        <f t="shared" si="45"/>
        <v>0</v>
      </c>
      <c r="P550" s="91">
        <f t="shared" si="42"/>
        <v>0</v>
      </c>
      <c r="Q550" s="91">
        <f t="shared" si="43"/>
        <v>0</v>
      </c>
      <c r="R550" s="91"/>
    </row>
    <row r="551" spans="2:18" ht="12" customHeight="1" x14ac:dyDescent="0.3">
      <c r="B551" s="98">
        <f t="shared" si="44"/>
        <v>548</v>
      </c>
      <c r="C551" s="97" t="str">
        <f t="shared" si="41"/>
        <v>Jan-00</v>
      </c>
      <c r="D551" s="96"/>
      <c r="E551" s="95"/>
      <c r="F551" s="95"/>
      <c r="G551" s="95"/>
      <c r="H551" s="94"/>
      <c r="I551" s="94"/>
      <c r="J551" s="91"/>
      <c r="K551" s="91"/>
      <c r="L551" s="94"/>
      <c r="M551" s="93"/>
      <c r="N551" s="92"/>
      <c r="O551" s="92">
        <f t="shared" si="45"/>
        <v>0</v>
      </c>
      <c r="P551" s="91">
        <f t="shared" si="42"/>
        <v>0</v>
      </c>
      <c r="Q551" s="91">
        <f t="shared" si="43"/>
        <v>0</v>
      </c>
      <c r="R551" s="91"/>
    </row>
    <row r="552" spans="2:18" ht="12" customHeight="1" x14ac:dyDescent="0.3">
      <c r="B552" s="98">
        <f t="shared" si="44"/>
        <v>549</v>
      </c>
      <c r="C552" s="97" t="str">
        <f t="shared" si="41"/>
        <v>Jan-00</v>
      </c>
      <c r="D552" s="96"/>
      <c r="E552" s="95"/>
      <c r="F552" s="95"/>
      <c r="G552" s="95"/>
      <c r="H552" s="94"/>
      <c r="I552" s="94"/>
      <c r="J552" s="91"/>
      <c r="K552" s="91"/>
      <c r="L552" s="94"/>
      <c r="M552" s="93"/>
      <c r="N552" s="92"/>
      <c r="O552" s="92">
        <f t="shared" si="45"/>
        <v>0</v>
      </c>
      <c r="P552" s="91">
        <f t="shared" si="42"/>
        <v>0</v>
      </c>
      <c r="Q552" s="91">
        <f t="shared" si="43"/>
        <v>0</v>
      </c>
      <c r="R552" s="91"/>
    </row>
    <row r="553" spans="2:18" ht="12" customHeight="1" x14ac:dyDescent="0.3">
      <c r="B553" s="98">
        <f t="shared" si="44"/>
        <v>550</v>
      </c>
      <c r="C553" s="97" t="str">
        <f t="shared" si="41"/>
        <v>Jan-00</v>
      </c>
      <c r="D553" s="96"/>
      <c r="E553" s="95"/>
      <c r="F553" s="95"/>
      <c r="G553" s="95"/>
      <c r="H553" s="94"/>
      <c r="I553" s="94"/>
      <c r="J553" s="91"/>
      <c r="K553" s="91"/>
      <c r="L553" s="94"/>
      <c r="M553" s="93"/>
      <c r="N553" s="92"/>
      <c r="O553" s="92">
        <f t="shared" si="45"/>
        <v>0</v>
      </c>
      <c r="P553" s="91">
        <f t="shared" si="42"/>
        <v>0</v>
      </c>
      <c r="Q553" s="91">
        <f t="shared" si="43"/>
        <v>0</v>
      </c>
      <c r="R553" s="91"/>
    </row>
    <row r="554" spans="2:18" ht="12" customHeight="1" x14ac:dyDescent="0.3">
      <c r="B554" s="98">
        <f t="shared" si="44"/>
        <v>551</v>
      </c>
      <c r="C554" s="97" t="str">
        <f t="shared" si="41"/>
        <v>Jan-00</v>
      </c>
      <c r="D554" s="96"/>
      <c r="E554" s="95"/>
      <c r="F554" s="95"/>
      <c r="G554" s="95"/>
      <c r="H554" s="94"/>
      <c r="I554" s="94"/>
      <c r="J554" s="91"/>
      <c r="K554" s="91"/>
      <c r="L554" s="94"/>
      <c r="M554" s="93"/>
      <c r="N554" s="92"/>
      <c r="O554" s="92">
        <f t="shared" si="45"/>
        <v>0</v>
      </c>
      <c r="P554" s="91">
        <f t="shared" si="42"/>
        <v>0</v>
      </c>
      <c r="Q554" s="91">
        <f t="shared" si="43"/>
        <v>0</v>
      </c>
      <c r="R554" s="91"/>
    </row>
    <row r="555" spans="2:18" ht="12" customHeight="1" x14ac:dyDescent="0.3">
      <c r="B555" s="98">
        <f t="shared" si="44"/>
        <v>552</v>
      </c>
      <c r="C555" s="97" t="str">
        <f t="shared" si="41"/>
        <v>Jan-00</v>
      </c>
      <c r="D555" s="96"/>
      <c r="E555" s="95"/>
      <c r="F555" s="95"/>
      <c r="G555" s="95"/>
      <c r="H555" s="94"/>
      <c r="I555" s="94"/>
      <c r="J555" s="91"/>
      <c r="K555" s="91"/>
      <c r="L555" s="94"/>
      <c r="M555" s="93"/>
      <c r="N555" s="92"/>
      <c r="O555" s="92">
        <f t="shared" si="45"/>
        <v>0</v>
      </c>
      <c r="P555" s="91">
        <f t="shared" si="42"/>
        <v>0</v>
      </c>
      <c r="Q555" s="91">
        <f t="shared" si="43"/>
        <v>0</v>
      </c>
      <c r="R555" s="91"/>
    </row>
    <row r="556" spans="2:18" ht="12" customHeight="1" x14ac:dyDescent="0.3">
      <c r="B556" s="98">
        <f t="shared" si="44"/>
        <v>553</v>
      </c>
      <c r="C556" s="97" t="str">
        <f t="shared" si="41"/>
        <v>Jan-00</v>
      </c>
      <c r="D556" s="96"/>
      <c r="E556" s="95"/>
      <c r="F556" s="95"/>
      <c r="G556" s="95"/>
      <c r="H556" s="94"/>
      <c r="I556" s="94"/>
      <c r="J556" s="91"/>
      <c r="K556" s="91"/>
      <c r="L556" s="94"/>
      <c r="M556" s="93"/>
      <c r="N556" s="92"/>
      <c r="O556" s="92">
        <f t="shared" si="45"/>
        <v>0</v>
      </c>
      <c r="P556" s="91">
        <f t="shared" si="42"/>
        <v>0</v>
      </c>
      <c r="Q556" s="91">
        <f t="shared" si="43"/>
        <v>0</v>
      </c>
      <c r="R556" s="91"/>
    </row>
    <row r="557" spans="2:18" ht="12" customHeight="1" x14ac:dyDescent="0.3">
      <c r="B557" s="98">
        <f t="shared" si="44"/>
        <v>554</v>
      </c>
      <c r="C557" s="97" t="str">
        <f t="shared" si="41"/>
        <v>Jan-00</v>
      </c>
      <c r="D557" s="96"/>
      <c r="E557" s="95"/>
      <c r="F557" s="95"/>
      <c r="G557" s="95"/>
      <c r="H557" s="94"/>
      <c r="I557" s="94"/>
      <c r="J557" s="91"/>
      <c r="K557" s="91"/>
      <c r="L557" s="94"/>
      <c r="M557" s="93"/>
      <c r="N557" s="92"/>
      <c r="O557" s="92">
        <f t="shared" si="45"/>
        <v>0</v>
      </c>
      <c r="P557" s="91">
        <f t="shared" si="42"/>
        <v>0</v>
      </c>
      <c r="Q557" s="91">
        <f t="shared" si="43"/>
        <v>0</v>
      </c>
      <c r="R557" s="91"/>
    </row>
    <row r="558" spans="2:18" ht="12" customHeight="1" x14ac:dyDescent="0.3">
      <c r="B558" s="98">
        <f t="shared" si="44"/>
        <v>555</v>
      </c>
      <c r="C558" s="97" t="str">
        <f t="shared" si="41"/>
        <v>Jan-00</v>
      </c>
      <c r="D558" s="96"/>
      <c r="E558" s="95"/>
      <c r="F558" s="95"/>
      <c r="G558" s="95"/>
      <c r="H558" s="94"/>
      <c r="I558" s="94"/>
      <c r="J558" s="91"/>
      <c r="K558" s="91"/>
      <c r="L558" s="94"/>
      <c r="M558" s="93"/>
      <c r="N558" s="92"/>
      <c r="O558" s="92">
        <f t="shared" si="45"/>
        <v>0</v>
      </c>
      <c r="P558" s="91">
        <f t="shared" si="42"/>
        <v>0</v>
      </c>
      <c r="Q558" s="91">
        <f t="shared" si="43"/>
        <v>0</v>
      </c>
      <c r="R558" s="91"/>
    </row>
    <row r="559" spans="2:18" ht="12" customHeight="1" x14ac:dyDescent="0.3">
      <c r="B559" s="98">
        <f t="shared" si="44"/>
        <v>556</v>
      </c>
      <c r="C559" s="97" t="str">
        <f t="shared" si="41"/>
        <v>Jan-00</v>
      </c>
      <c r="D559" s="96"/>
      <c r="E559" s="95"/>
      <c r="F559" s="95"/>
      <c r="G559" s="95"/>
      <c r="H559" s="94"/>
      <c r="I559" s="94"/>
      <c r="J559" s="91"/>
      <c r="K559" s="91"/>
      <c r="L559" s="94"/>
      <c r="M559" s="93"/>
      <c r="N559" s="92"/>
      <c r="O559" s="92">
        <f t="shared" si="45"/>
        <v>0</v>
      </c>
      <c r="P559" s="91">
        <f t="shared" si="42"/>
        <v>0</v>
      </c>
      <c r="Q559" s="91">
        <f t="shared" si="43"/>
        <v>0</v>
      </c>
      <c r="R559" s="91"/>
    </row>
    <row r="560" spans="2:18" ht="12" customHeight="1" x14ac:dyDescent="0.3">
      <c r="B560" s="98">
        <f t="shared" si="44"/>
        <v>557</v>
      </c>
      <c r="C560" s="97" t="str">
        <f t="shared" si="41"/>
        <v>Jan-00</v>
      </c>
      <c r="D560" s="96"/>
      <c r="E560" s="95"/>
      <c r="F560" s="95"/>
      <c r="G560" s="95"/>
      <c r="H560" s="94"/>
      <c r="I560" s="94"/>
      <c r="J560" s="91"/>
      <c r="K560" s="91"/>
      <c r="L560" s="94"/>
      <c r="M560" s="93"/>
      <c r="N560" s="92"/>
      <c r="O560" s="92">
        <f t="shared" si="45"/>
        <v>0</v>
      </c>
      <c r="P560" s="91">
        <f t="shared" si="42"/>
        <v>0</v>
      </c>
      <c r="Q560" s="91">
        <f t="shared" si="43"/>
        <v>0</v>
      </c>
      <c r="R560" s="91"/>
    </row>
    <row r="561" spans="2:18" ht="12" customHeight="1" x14ac:dyDescent="0.3">
      <c r="B561" s="98">
        <f t="shared" si="44"/>
        <v>558</v>
      </c>
      <c r="C561" s="97" t="str">
        <f t="shared" si="41"/>
        <v>Jan-00</v>
      </c>
      <c r="D561" s="96"/>
      <c r="E561" s="95"/>
      <c r="F561" s="95"/>
      <c r="G561" s="95"/>
      <c r="H561" s="94"/>
      <c r="I561" s="94"/>
      <c r="J561" s="91"/>
      <c r="K561" s="91"/>
      <c r="L561" s="94"/>
      <c r="M561" s="93"/>
      <c r="N561" s="92"/>
      <c r="O561" s="92">
        <f t="shared" si="45"/>
        <v>0</v>
      </c>
      <c r="P561" s="91">
        <f t="shared" si="42"/>
        <v>0</v>
      </c>
      <c r="Q561" s="91">
        <f t="shared" si="43"/>
        <v>0</v>
      </c>
      <c r="R561" s="91"/>
    </row>
    <row r="562" spans="2:18" ht="12" customHeight="1" x14ac:dyDescent="0.3">
      <c r="B562" s="98">
        <f t="shared" si="44"/>
        <v>559</v>
      </c>
      <c r="C562" s="97" t="str">
        <f t="shared" si="41"/>
        <v>Jan-00</v>
      </c>
      <c r="D562" s="96"/>
      <c r="E562" s="95"/>
      <c r="F562" s="95"/>
      <c r="G562" s="95"/>
      <c r="H562" s="94"/>
      <c r="I562" s="94"/>
      <c r="J562" s="91"/>
      <c r="K562" s="91"/>
      <c r="L562" s="94"/>
      <c r="M562" s="93"/>
      <c r="N562" s="92"/>
      <c r="O562" s="92">
        <f t="shared" si="45"/>
        <v>0</v>
      </c>
      <c r="P562" s="91">
        <f t="shared" si="42"/>
        <v>0</v>
      </c>
      <c r="Q562" s="91">
        <f t="shared" si="43"/>
        <v>0</v>
      </c>
      <c r="R562" s="91"/>
    </row>
    <row r="563" spans="2:18" ht="12" customHeight="1" x14ac:dyDescent="0.3">
      <c r="B563" s="98">
        <f t="shared" si="44"/>
        <v>560</v>
      </c>
      <c r="C563" s="97" t="str">
        <f t="shared" si="41"/>
        <v>Jan-00</v>
      </c>
      <c r="D563" s="96"/>
      <c r="E563" s="95"/>
      <c r="F563" s="95"/>
      <c r="G563" s="95"/>
      <c r="H563" s="94"/>
      <c r="I563" s="94"/>
      <c r="J563" s="91"/>
      <c r="K563" s="91"/>
      <c r="L563" s="94"/>
      <c r="M563" s="93"/>
      <c r="N563" s="92"/>
      <c r="O563" s="92">
        <f t="shared" si="45"/>
        <v>0</v>
      </c>
      <c r="P563" s="91">
        <f t="shared" si="42"/>
        <v>0</v>
      </c>
      <c r="Q563" s="91">
        <f t="shared" si="43"/>
        <v>0</v>
      </c>
      <c r="R563" s="91"/>
    </row>
    <row r="564" spans="2:18" ht="12" customHeight="1" x14ac:dyDescent="0.3">
      <c r="B564" s="98">
        <f t="shared" si="44"/>
        <v>561</v>
      </c>
      <c r="C564" s="97" t="str">
        <f t="shared" si="41"/>
        <v>Jan-00</v>
      </c>
      <c r="D564" s="96"/>
      <c r="E564" s="95"/>
      <c r="F564" s="95"/>
      <c r="G564" s="95"/>
      <c r="H564" s="94"/>
      <c r="I564" s="94"/>
      <c r="J564" s="91"/>
      <c r="K564" s="91"/>
      <c r="L564" s="94"/>
      <c r="M564" s="93"/>
      <c r="N564" s="92"/>
      <c r="O564" s="92">
        <f t="shared" si="45"/>
        <v>0</v>
      </c>
      <c r="P564" s="91">
        <f t="shared" si="42"/>
        <v>0</v>
      </c>
      <c r="Q564" s="91">
        <f t="shared" si="43"/>
        <v>0</v>
      </c>
      <c r="R564" s="91"/>
    </row>
    <row r="565" spans="2:18" ht="12" customHeight="1" x14ac:dyDescent="0.3">
      <c r="B565" s="98">
        <f t="shared" si="44"/>
        <v>562</v>
      </c>
      <c r="C565" s="97" t="str">
        <f t="shared" si="41"/>
        <v>Jan-00</v>
      </c>
      <c r="D565" s="96"/>
      <c r="E565" s="95"/>
      <c r="F565" s="95"/>
      <c r="G565" s="95"/>
      <c r="H565" s="94"/>
      <c r="I565" s="94"/>
      <c r="J565" s="91"/>
      <c r="K565" s="91"/>
      <c r="L565" s="94"/>
      <c r="M565" s="93"/>
      <c r="N565" s="92"/>
      <c r="O565" s="92">
        <f t="shared" si="45"/>
        <v>0</v>
      </c>
      <c r="P565" s="91">
        <f t="shared" si="42"/>
        <v>0</v>
      </c>
      <c r="Q565" s="91">
        <f t="shared" si="43"/>
        <v>0</v>
      </c>
      <c r="R565" s="91"/>
    </row>
    <row r="566" spans="2:18" ht="12" customHeight="1" x14ac:dyDescent="0.3">
      <c r="B566" s="98">
        <f t="shared" si="44"/>
        <v>563</v>
      </c>
      <c r="C566" s="97" t="str">
        <f t="shared" si="41"/>
        <v>Jan-00</v>
      </c>
      <c r="D566" s="96"/>
      <c r="E566" s="95"/>
      <c r="F566" s="95"/>
      <c r="G566" s="95"/>
      <c r="H566" s="94"/>
      <c r="I566" s="94"/>
      <c r="J566" s="91"/>
      <c r="K566" s="91"/>
      <c r="L566" s="94"/>
      <c r="M566" s="93"/>
      <c r="N566" s="92"/>
      <c r="O566" s="92">
        <f t="shared" si="45"/>
        <v>0</v>
      </c>
      <c r="P566" s="91">
        <f t="shared" si="42"/>
        <v>0</v>
      </c>
      <c r="Q566" s="91">
        <f t="shared" si="43"/>
        <v>0</v>
      </c>
      <c r="R566" s="91"/>
    </row>
    <row r="567" spans="2:18" ht="12" customHeight="1" x14ac:dyDescent="0.3">
      <c r="B567" s="98">
        <f t="shared" si="44"/>
        <v>564</v>
      </c>
      <c r="C567" s="97" t="str">
        <f t="shared" si="41"/>
        <v>Jan-00</v>
      </c>
      <c r="D567" s="96"/>
      <c r="E567" s="95"/>
      <c r="F567" s="95"/>
      <c r="G567" s="95"/>
      <c r="H567" s="94"/>
      <c r="I567" s="94"/>
      <c r="J567" s="91"/>
      <c r="K567" s="91"/>
      <c r="L567" s="94"/>
      <c r="M567" s="93"/>
      <c r="N567" s="92"/>
      <c r="O567" s="92">
        <f t="shared" si="45"/>
        <v>0</v>
      </c>
      <c r="P567" s="91">
        <f t="shared" si="42"/>
        <v>0</v>
      </c>
      <c r="Q567" s="91">
        <f t="shared" si="43"/>
        <v>0</v>
      </c>
      <c r="R567" s="91"/>
    </row>
    <row r="568" spans="2:18" ht="12" customHeight="1" x14ac:dyDescent="0.3">
      <c r="B568" s="98">
        <f t="shared" si="44"/>
        <v>565</v>
      </c>
      <c r="C568" s="97" t="str">
        <f t="shared" si="41"/>
        <v>Jan-00</v>
      </c>
      <c r="D568" s="96"/>
      <c r="E568" s="95"/>
      <c r="F568" s="95"/>
      <c r="G568" s="95"/>
      <c r="H568" s="94"/>
      <c r="I568" s="94"/>
      <c r="J568" s="91"/>
      <c r="K568" s="91"/>
      <c r="L568" s="94"/>
      <c r="M568" s="93"/>
      <c r="N568" s="92"/>
      <c r="O568" s="92">
        <f t="shared" si="45"/>
        <v>0</v>
      </c>
      <c r="P568" s="91">
        <f t="shared" si="42"/>
        <v>0</v>
      </c>
      <c r="Q568" s="91">
        <f t="shared" si="43"/>
        <v>0</v>
      </c>
      <c r="R568" s="91"/>
    </row>
    <row r="569" spans="2:18" ht="12" customHeight="1" x14ac:dyDescent="0.3">
      <c r="B569" s="98">
        <f t="shared" si="44"/>
        <v>566</v>
      </c>
      <c r="C569" s="97" t="str">
        <f t="shared" si="41"/>
        <v>Jan-00</v>
      </c>
      <c r="D569" s="96"/>
      <c r="E569" s="95"/>
      <c r="F569" s="95"/>
      <c r="G569" s="95"/>
      <c r="H569" s="94"/>
      <c r="I569" s="94"/>
      <c r="J569" s="91"/>
      <c r="K569" s="91"/>
      <c r="L569" s="94"/>
      <c r="M569" s="93"/>
      <c r="N569" s="92"/>
      <c r="O569" s="92">
        <f t="shared" si="45"/>
        <v>0</v>
      </c>
      <c r="P569" s="91">
        <f t="shared" si="42"/>
        <v>0</v>
      </c>
      <c r="Q569" s="91">
        <f t="shared" si="43"/>
        <v>0</v>
      </c>
      <c r="R569" s="91"/>
    </row>
    <row r="570" spans="2:18" ht="12" customHeight="1" x14ac:dyDescent="0.3">
      <c r="B570" s="98">
        <f t="shared" si="44"/>
        <v>567</v>
      </c>
      <c r="C570" s="97" t="str">
        <f t="shared" si="41"/>
        <v>Jan-00</v>
      </c>
      <c r="D570" s="96"/>
      <c r="E570" s="95"/>
      <c r="F570" s="95"/>
      <c r="G570" s="95"/>
      <c r="H570" s="94"/>
      <c r="I570" s="94"/>
      <c r="J570" s="91"/>
      <c r="K570" s="91"/>
      <c r="L570" s="94"/>
      <c r="M570" s="93"/>
      <c r="N570" s="92"/>
      <c r="O570" s="92">
        <f t="shared" si="45"/>
        <v>0</v>
      </c>
      <c r="P570" s="91">
        <f t="shared" si="42"/>
        <v>0</v>
      </c>
      <c r="Q570" s="91">
        <f t="shared" si="43"/>
        <v>0</v>
      </c>
      <c r="R570" s="91"/>
    </row>
    <row r="571" spans="2:18" ht="12" customHeight="1" x14ac:dyDescent="0.3">
      <c r="B571" s="98">
        <f t="shared" si="44"/>
        <v>568</v>
      </c>
      <c r="C571" s="97" t="str">
        <f t="shared" si="41"/>
        <v>Jan-00</v>
      </c>
      <c r="D571" s="96"/>
      <c r="E571" s="95"/>
      <c r="F571" s="95"/>
      <c r="G571" s="95"/>
      <c r="H571" s="94"/>
      <c r="I571" s="94"/>
      <c r="J571" s="91"/>
      <c r="K571" s="91"/>
      <c r="L571" s="94"/>
      <c r="M571" s="93"/>
      <c r="N571" s="92"/>
      <c r="O571" s="92">
        <f t="shared" si="45"/>
        <v>0</v>
      </c>
      <c r="P571" s="91">
        <f t="shared" si="42"/>
        <v>0</v>
      </c>
      <c r="Q571" s="91">
        <f t="shared" si="43"/>
        <v>0</v>
      </c>
      <c r="R571" s="91"/>
    </row>
    <row r="572" spans="2:18" ht="12" customHeight="1" x14ac:dyDescent="0.3">
      <c r="B572" s="98">
        <f t="shared" si="44"/>
        <v>569</v>
      </c>
      <c r="C572" s="97" t="str">
        <f t="shared" si="41"/>
        <v>Jan-00</v>
      </c>
      <c r="D572" s="96"/>
      <c r="E572" s="95"/>
      <c r="F572" s="95"/>
      <c r="G572" s="95"/>
      <c r="H572" s="94"/>
      <c r="I572" s="94"/>
      <c r="J572" s="91"/>
      <c r="K572" s="91"/>
      <c r="L572" s="94"/>
      <c r="M572" s="93"/>
      <c r="N572" s="92"/>
      <c r="O572" s="92">
        <f t="shared" si="45"/>
        <v>0</v>
      </c>
      <c r="P572" s="91">
        <f t="shared" si="42"/>
        <v>0</v>
      </c>
      <c r="Q572" s="91">
        <f t="shared" si="43"/>
        <v>0</v>
      </c>
      <c r="R572" s="91"/>
    </row>
    <row r="573" spans="2:18" ht="12" customHeight="1" x14ac:dyDescent="0.3">
      <c r="B573" s="98">
        <f t="shared" si="44"/>
        <v>570</v>
      </c>
      <c r="C573" s="97" t="str">
        <f t="shared" si="41"/>
        <v>Jan-00</v>
      </c>
      <c r="D573" s="96"/>
      <c r="E573" s="95"/>
      <c r="F573" s="95"/>
      <c r="G573" s="95"/>
      <c r="H573" s="94"/>
      <c r="I573" s="94"/>
      <c r="J573" s="91"/>
      <c r="K573" s="91"/>
      <c r="L573" s="94"/>
      <c r="M573" s="93"/>
      <c r="N573" s="92"/>
      <c r="O573" s="92">
        <f t="shared" si="45"/>
        <v>0</v>
      </c>
      <c r="P573" s="91">
        <f t="shared" si="42"/>
        <v>0</v>
      </c>
      <c r="Q573" s="91">
        <f t="shared" si="43"/>
        <v>0</v>
      </c>
      <c r="R573" s="91"/>
    </row>
    <row r="574" spans="2:18" ht="12" customHeight="1" x14ac:dyDescent="0.3">
      <c r="B574" s="98">
        <f t="shared" si="44"/>
        <v>571</v>
      </c>
      <c r="C574" s="97" t="str">
        <f t="shared" si="41"/>
        <v>Jan-00</v>
      </c>
      <c r="D574" s="96"/>
      <c r="E574" s="95"/>
      <c r="F574" s="95"/>
      <c r="G574" s="95"/>
      <c r="H574" s="94"/>
      <c r="I574" s="94"/>
      <c r="J574" s="91"/>
      <c r="K574" s="91"/>
      <c r="L574" s="94"/>
      <c r="M574" s="93"/>
      <c r="N574" s="92"/>
      <c r="O574" s="92">
        <f t="shared" si="45"/>
        <v>0</v>
      </c>
      <c r="P574" s="91">
        <f t="shared" si="42"/>
        <v>0</v>
      </c>
      <c r="Q574" s="91">
        <f t="shared" si="43"/>
        <v>0</v>
      </c>
      <c r="R574" s="91"/>
    </row>
    <row r="575" spans="2:18" ht="12" customHeight="1" x14ac:dyDescent="0.3">
      <c r="B575" s="98">
        <f t="shared" si="44"/>
        <v>572</v>
      </c>
      <c r="C575" s="97" t="str">
        <f t="shared" si="41"/>
        <v>Jan-00</v>
      </c>
      <c r="D575" s="96"/>
      <c r="E575" s="95"/>
      <c r="F575" s="95"/>
      <c r="G575" s="95"/>
      <c r="H575" s="94"/>
      <c r="I575" s="94"/>
      <c r="J575" s="91"/>
      <c r="K575" s="91"/>
      <c r="L575" s="94"/>
      <c r="M575" s="93"/>
      <c r="N575" s="92"/>
      <c r="O575" s="92">
        <f t="shared" si="45"/>
        <v>0</v>
      </c>
      <c r="P575" s="91">
        <f t="shared" si="42"/>
        <v>0</v>
      </c>
      <c r="Q575" s="91">
        <f t="shared" si="43"/>
        <v>0</v>
      </c>
      <c r="R575" s="91"/>
    </row>
    <row r="576" spans="2:18" ht="12" customHeight="1" x14ac:dyDescent="0.3">
      <c r="B576" s="98">
        <f t="shared" si="44"/>
        <v>573</v>
      </c>
      <c r="C576" s="97" t="str">
        <f t="shared" si="41"/>
        <v>Jan-00</v>
      </c>
      <c r="D576" s="96"/>
      <c r="E576" s="95"/>
      <c r="F576" s="95"/>
      <c r="G576" s="95"/>
      <c r="H576" s="94"/>
      <c r="I576" s="94"/>
      <c r="J576" s="91"/>
      <c r="K576" s="91"/>
      <c r="L576" s="94"/>
      <c r="M576" s="93"/>
      <c r="N576" s="92"/>
      <c r="O576" s="92">
        <f t="shared" si="45"/>
        <v>0</v>
      </c>
      <c r="P576" s="91">
        <f t="shared" si="42"/>
        <v>0</v>
      </c>
      <c r="Q576" s="91">
        <f t="shared" si="43"/>
        <v>0</v>
      </c>
      <c r="R576" s="91"/>
    </row>
    <row r="577" spans="2:18" ht="12" customHeight="1" x14ac:dyDescent="0.3">
      <c r="B577" s="98">
        <f t="shared" si="44"/>
        <v>574</v>
      </c>
      <c r="C577" s="97" t="str">
        <f t="shared" si="41"/>
        <v>Jan-00</v>
      </c>
      <c r="D577" s="96"/>
      <c r="E577" s="95"/>
      <c r="F577" s="95"/>
      <c r="G577" s="95"/>
      <c r="H577" s="94"/>
      <c r="I577" s="94"/>
      <c r="J577" s="91"/>
      <c r="K577" s="91"/>
      <c r="L577" s="94"/>
      <c r="M577" s="93"/>
      <c r="N577" s="92"/>
      <c r="O577" s="92">
        <f t="shared" si="45"/>
        <v>0</v>
      </c>
      <c r="P577" s="91">
        <f t="shared" si="42"/>
        <v>0</v>
      </c>
      <c r="Q577" s="91">
        <f t="shared" si="43"/>
        <v>0</v>
      </c>
      <c r="R577" s="91"/>
    </row>
    <row r="578" spans="2:18" ht="12" customHeight="1" x14ac:dyDescent="0.3">
      <c r="B578" s="98">
        <f t="shared" si="44"/>
        <v>575</v>
      </c>
      <c r="C578" s="97" t="str">
        <f t="shared" si="41"/>
        <v>Jan-00</v>
      </c>
      <c r="D578" s="96"/>
      <c r="E578" s="95"/>
      <c r="F578" s="95"/>
      <c r="G578" s="95"/>
      <c r="H578" s="94"/>
      <c r="I578" s="94"/>
      <c r="J578" s="91"/>
      <c r="K578" s="91"/>
      <c r="L578" s="94"/>
      <c r="M578" s="93"/>
      <c r="N578" s="92"/>
      <c r="O578" s="92">
        <f t="shared" si="45"/>
        <v>0</v>
      </c>
      <c r="P578" s="91">
        <f t="shared" si="42"/>
        <v>0</v>
      </c>
      <c r="Q578" s="91">
        <f t="shared" si="43"/>
        <v>0</v>
      </c>
      <c r="R578" s="91"/>
    </row>
    <row r="579" spans="2:18" ht="12" customHeight="1" x14ac:dyDescent="0.3">
      <c r="B579" s="98">
        <f t="shared" si="44"/>
        <v>576</v>
      </c>
      <c r="C579" s="97" t="str">
        <f t="shared" si="41"/>
        <v>Jan-00</v>
      </c>
      <c r="D579" s="96"/>
      <c r="E579" s="95"/>
      <c r="F579" s="95"/>
      <c r="G579" s="95"/>
      <c r="H579" s="94"/>
      <c r="I579" s="94"/>
      <c r="J579" s="91"/>
      <c r="K579" s="91"/>
      <c r="L579" s="94"/>
      <c r="M579" s="93"/>
      <c r="N579" s="92"/>
      <c r="O579" s="92">
        <f t="shared" si="45"/>
        <v>0</v>
      </c>
      <c r="P579" s="91">
        <f t="shared" si="42"/>
        <v>0</v>
      </c>
      <c r="Q579" s="91">
        <f t="shared" si="43"/>
        <v>0</v>
      </c>
      <c r="R579" s="91"/>
    </row>
    <row r="580" spans="2:18" ht="12" customHeight="1" x14ac:dyDescent="0.3">
      <c r="B580" s="98">
        <f t="shared" si="44"/>
        <v>577</v>
      </c>
      <c r="C580" s="97" t="str">
        <f t="shared" ref="C580:C643" si="46">CONCATENATE(TEXT(D580,"mmm"),"-",TEXT(D580,"yy"))</f>
        <v>Jan-00</v>
      </c>
      <c r="D580" s="96"/>
      <c r="E580" s="95"/>
      <c r="F580" s="95"/>
      <c r="G580" s="95"/>
      <c r="H580" s="94"/>
      <c r="I580" s="94"/>
      <c r="J580" s="91"/>
      <c r="K580" s="91"/>
      <c r="L580" s="94"/>
      <c r="M580" s="93"/>
      <c r="N580" s="92"/>
      <c r="O580" s="92">
        <f t="shared" si="45"/>
        <v>0</v>
      </c>
      <c r="P580" s="91">
        <f t="shared" ref="P580:P643" si="47">O580*1%</f>
        <v>0</v>
      </c>
      <c r="Q580" s="91">
        <f t="shared" ref="Q580:Q643" si="48">O580-P580</f>
        <v>0</v>
      </c>
      <c r="R580" s="91"/>
    </row>
    <row r="581" spans="2:18" ht="12" customHeight="1" x14ac:dyDescent="0.3">
      <c r="B581" s="98">
        <f t="shared" ref="B581:B644" si="49">+B580+1</f>
        <v>578</v>
      </c>
      <c r="C581" s="97" t="str">
        <f t="shared" si="46"/>
        <v>Jan-00</v>
      </c>
      <c r="D581" s="96"/>
      <c r="E581" s="95"/>
      <c r="F581" s="95"/>
      <c r="G581" s="95"/>
      <c r="H581" s="94"/>
      <c r="I581" s="94"/>
      <c r="J581" s="91"/>
      <c r="K581" s="91"/>
      <c r="L581" s="94"/>
      <c r="M581" s="93"/>
      <c r="N581" s="92"/>
      <c r="O581" s="92">
        <f t="shared" si="45"/>
        <v>0</v>
      </c>
      <c r="P581" s="91">
        <f t="shared" si="47"/>
        <v>0</v>
      </c>
      <c r="Q581" s="91">
        <f t="shared" si="48"/>
        <v>0</v>
      </c>
      <c r="R581" s="91"/>
    </row>
    <row r="582" spans="2:18" ht="12" customHeight="1" x14ac:dyDescent="0.3">
      <c r="B582" s="98">
        <f t="shared" si="49"/>
        <v>579</v>
      </c>
      <c r="C582" s="97" t="str">
        <f t="shared" si="46"/>
        <v>Jan-00</v>
      </c>
      <c r="D582" s="96"/>
      <c r="E582" s="95"/>
      <c r="F582" s="95"/>
      <c r="G582" s="95"/>
      <c r="H582" s="94"/>
      <c r="I582" s="94"/>
      <c r="J582" s="91"/>
      <c r="K582" s="91"/>
      <c r="L582" s="94"/>
      <c r="M582" s="93"/>
      <c r="N582" s="92"/>
      <c r="O582" s="92">
        <f t="shared" si="45"/>
        <v>0</v>
      </c>
      <c r="P582" s="91">
        <f t="shared" si="47"/>
        <v>0</v>
      </c>
      <c r="Q582" s="91">
        <f t="shared" si="48"/>
        <v>0</v>
      </c>
      <c r="R582" s="91"/>
    </row>
    <row r="583" spans="2:18" ht="12" customHeight="1" x14ac:dyDescent="0.3">
      <c r="B583" s="98">
        <f t="shared" si="49"/>
        <v>580</v>
      </c>
      <c r="C583" s="97" t="str">
        <f t="shared" si="46"/>
        <v>Jan-00</v>
      </c>
      <c r="D583" s="96"/>
      <c r="E583" s="95"/>
      <c r="F583" s="95"/>
      <c r="G583" s="95"/>
      <c r="H583" s="94"/>
      <c r="I583" s="94"/>
      <c r="J583" s="91"/>
      <c r="K583" s="91"/>
      <c r="L583" s="94"/>
      <c r="M583" s="93"/>
      <c r="N583" s="92"/>
      <c r="O583" s="92">
        <f t="shared" si="45"/>
        <v>0</v>
      </c>
      <c r="P583" s="91">
        <f t="shared" si="47"/>
        <v>0</v>
      </c>
      <c r="Q583" s="91">
        <f t="shared" si="48"/>
        <v>0</v>
      </c>
      <c r="R583" s="91"/>
    </row>
    <row r="584" spans="2:18" ht="12" customHeight="1" x14ac:dyDescent="0.3">
      <c r="B584" s="98">
        <f t="shared" si="49"/>
        <v>581</v>
      </c>
      <c r="C584" s="97" t="str">
        <f t="shared" si="46"/>
        <v>Jan-00</v>
      </c>
      <c r="D584" s="96"/>
      <c r="E584" s="95"/>
      <c r="F584" s="95"/>
      <c r="G584" s="95"/>
      <c r="H584" s="94"/>
      <c r="I584" s="94"/>
      <c r="J584" s="91"/>
      <c r="K584" s="91"/>
      <c r="L584" s="94"/>
      <c r="M584" s="93"/>
      <c r="N584" s="92"/>
      <c r="O584" s="92">
        <f t="shared" si="45"/>
        <v>0</v>
      </c>
      <c r="P584" s="91">
        <f t="shared" si="47"/>
        <v>0</v>
      </c>
      <c r="Q584" s="91">
        <f t="shared" si="48"/>
        <v>0</v>
      </c>
      <c r="R584" s="91"/>
    </row>
    <row r="585" spans="2:18" ht="12" customHeight="1" x14ac:dyDescent="0.3">
      <c r="B585" s="98">
        <f t="shared" si="49"/>
        <v>582</v>
      </c>
      <c r="C585" s="97" t="str">
        <f t="shared" si="46"/>
        <v>Jan-00</v>
      </c>
      <c r="D585" s="96"/>
      <c r="E585" s="95"/>
      <c r="F585" s="95"/>
      <c r="G585" s="95"/>
      <c r="H585" s="94"/>
      <c r="I585" s="94"/>
      <c r="J585" s="91"/>
      <c r="K585" s="91"/>
      <c r="L585" s="94"/>
      <c r="M585" s="93"/>
      <c r="N585" s="92"/>
      <c r="O585" s="92">
        <f t="shared" si="45"/>
        <v>0</v>
      </c>
      <c r="P585" s="91">
        <f t="shared" si="47"/>
        <v>0</v>
      </c>
      <c r="Q585" s="91">
        <f t="shared" si="48"/>
        <v>0</v>
      </c>
      <c r="R585" s="91"/>
    </row>
    <row r="586" spans="2:18" ht="12" customHeight="1" x14ac:dyDescent="0.3">
      <c r="B586" s="98">
        <f t="shared" si="49"/>
        <v>583</v>
      </c>
      <c r="C586" s="97" t="str">
        <f t="shared" si="46"/>
        <v>Jan-00</v>
      </c>
      <c r="D586" s="96"/>
      <c r="E586" s="95"/>
      <c r="F586" s="95"/>
      <c r="G586" s="95"/>
      <c r="H586" s="94"/>
      <c r="I586" s="94"/>
      <c r="J586" s="91"/>
      <c r="K586" s="91"/>
      <c r="L586" s="94"/>
      <c r="M586" s="93"/>
      <c r="N586" s="92"/>
      <c r="O586" s="92">
        <f t="shared" si="45"/>
        <v>0</v>
      </c>
      <c r="P586" s="91">
        <f t="shared" si="47"/>
        <v>0</v>
      </c>
      <c r="Q586" s="91">
        <f t="shared" si="48"/>
        <v>0</v>
      </c>
      <c r="R586" s="91"/>
    </row>
    <row r="587" spans="2:18" ht="12" customHeight="1" x14ac:dyDescent="0.3">
      <c r="B587" s="98">
        <f t="shared" si="49"/>
        <v>584</v>
      </c>
      <c r="C587" s="97" t="str">
        <f t="shared" si="46"/>
        <v>Jan-00</v>
      </c>
      <c r="D587" s="96"/>
      <c r="E587" s="95"/>
      <c r="F587" s="95"/>
      <c r="G587" s="95"/>
      <c r="H587" s="94"/>
      <c r="I587" s="94"/>
      <c r="J587" s="91"/>
      <c r="K587" s="91"/>
      <c r="L587" s="94"/>
      <c r="M587" s="93"/>
      <c r="N587" s="92"/>
      <c r="O587" s="92">
        <f t="shared" si="45"/>
        <v>0</v>
      </c>
      <c r="P587" s="91">
        <f t="shared" si="47"/>
        <v>0</v>
      </c>
      <c r="Q587" s="91">
        <f t="shared" si="48"/>
        <v>0</v>
      </c>
      <c r="R587" s="91"/>
    </row>
    <row r="588" spans="2:18" ht="12" customHeight="1" x14ac:dyDescent="0.3">
      <c r="B588" s="98">
        <f t="shared" si="49"/>
        <v>585</v>
      </c>
      <c r="C588" s="97" t="str">
        <f t="shared" si="46"/>
        <v>Jan-00</v>
      </c>
      <c r="D588" s="96"/>
      <c r="E588" s="95"/>
      <c r="F588" s="95"/>
      <c r="G588" s="95"/>
      <c r="H588" s="94"/>
      <c r="I588" s="94"/>
      <c r="J588" s="91"/>
      <c r="K588" s="91"/>
      <c r="L588" s="94"/>
      <c r="M588" s="93"/>
      <c r="N588" s="92"/>
      <c r="O588" s="92">
        <f t="shared" si="45"/>
        <v>0</v>
      </c>
      <c r="P588" s="91">
        <f t="shared" si="47"/>
        <v>0</v>
      </c>
      <c r="Q588" s="91">
        <f t="shared" si="48"/>
        <v>0</v>
      </c>
      <c r="R588" s="91"/>
    </row>
    <row r="589" spans="2:18" ht="12" customHeight="1" x14ac:dyDescent="0.3">
      <c r="B589" s="98">
        <f t="shared" si="49"/>
        <v>586</v>
      </c>
      <c r="C589" s="97" t="str">
        <f t="shared" si="46"/>
        <v>Jan-00</v>
      </c>
      <c r="D589" s="96"/>
      <c r="E589" s="95"/>
      <c r="F589" s="95"/>
      <c r="G589" s="95"/>
      <c r="H589" s="94"/>
      <c r="I589" s="94"/>
      <c r="J589" s="91"/>
      <c r="K589" s="91"/>
      <c r="L589" s="94"/>
      <c r="M589" s="93"/>
      <c r="N589" s="92"/>
      <c r="O589" s="92">
        <f t="shared" si="45"/>
        <v>0</v>
      </c>
      <c r="P589" s="91">
        <f t="shared" si="47"/>
        <v>0</v>
      </c>
      <c r="Q589" s="91">
        <f t="shared" si="48"/>
        <v>0</v>
      </c>
      <c r="R589" s="91"/>
    </row>
    <row r="590" spans="2:18" ht="12" customHeight="1" x14ac:dyDescent="0.3">
      <c r="B590" s="98">
        <f t="shared" si="49"/>
        <v>587</v>
      </c>
      <c r="C590" s="97" t="str">
        <f t="shared" si="46"/>
        <v>Jan-00</v>
      </c>
      <c r="D590" s="96"/>
      <c r="E590" s="95"/>
      <c r="F590" s="95"/>
      <c r="G590" s="95"/>
      <c r="H590" s="94"/>
      <c r="I590" s="94"/>
      <c r="J590" s="91"/>
      <c r="K590" s="91"/>
      <c r="L590" s="94"/>
      <c r="M590" s="93"/>
      <c r="N590" s="92"/>
      <c r="O590" s="92">
        <f t="shared" si="45"/>
        <v>0</v>
      </c>
      <c r="P590" s="91">
        <f t="shared" si="47"/>
        <v>0</v>
      </c>
      <c r="Q590" s="91">
        <f t="shared" si="48"/>
        <v>0</v>
      </c>
      <c r="R590" s="91"/>
    </row>
    <row r="591" spans="2:18" ht="12" customHeight="1" x14ac:dyDescent="0.3">
      <c r="B591" s="98">
        <f t="shared" si="49"/>
        <v>588</v>
      </c>
      <c r="C591" s="97" t="str">
        <f t="shared" si="46"/>
        <v>Jan-00</v>
      </c>
      <c r="D591" s="96"/>
      <c r="E591" s="95"/>
      <c r="F591" s="95"/>
      <c r="G591" s="95"/>
      <c r="H591" s="94"/>
      <c r="I591" s="94"/>
      <c r="J591" s="91"/>
      <c r="K591" s="91"/>
      <c r="L591" s="94"/>
      <c r="M591" s="93"/>
      <c r="N591" s="92"/>
      <c r="O591" s="92">
        <f t="shared" si="45"/>
        <v>0</v>
      </c>
      <c r="P591" s="91">
        <f t="shared" si="47"/>
        <v>0</v>
      </c>
      <c r="Q591" s="91">
        <f t="shared" si="48"/>
        <v>0</v>
      </c>
      <c r="R591" s="91"/>
    </row>
    <row r="592" spans="2:18" ht="12" customHeight="1" x14ac:dyDescent="0.3">
      <c r="B592" s="98">
        <f t="shared" si="49"/>
        <v>589</v>
      </c>
      <c r="C592" s="97" t="str">
        <f t="shared" si="46"/>
        <v>Jan-00</v>
      </c>
      <c r="D592" s="96"/>
      <c r="E592" s="95"/>
      <c r="F592" s="95"/>
      <c r="G592" s="95"/>
      <c r="H592" s="94"/>
      <c r="I592" s="94"/>
      <c r="J592" s="91"/>
      <c r="K592" s="91"/>
      <c r="L592" s="94"/>
      <c r="M592" s="93"/>
      <c r="N592" s="92"/>
      <c r="O592" s="92">
        <f t="shared" si="45"/>
        <v>0</v>
      </c>
      <c r="P592" s="91">
        <f t="shared" si="47"/>
        <v>0</v>
      </c>
      <c r="Q592" s="91">
        <f t="shared" si="48"/>
        <v>0</v>
      </c>
      <c r="R592" s="91"/>
    </row>
    <row r="593" spans="2:18" ht="12" customHeight="1" x14ac:dyDescent="0.3">
      <c r="B593" s="98">
        <f t="shared" si="49"/>
        <v>590</v>
      </c>
      <c r="C593" s="97" t="str">
        <f t="shared" si="46"/>
        <v>Jan-00</v>
      </c>
      <c r="D593" s="96"/>
      <c r="E593" s="95"/>
      <c r="F593" s="95"/>
      <c r="G593" s="95"/>
      <c r="H593" s="94"/>
      <c r="I593" s="94"/>
      <c r="J593" s="91"/>
      <c r="K593" s="91"/>
      <c r="L593" s="94"/>
      <c r="M593" s="93"/>
      <c r="N593" s="92"/>
      <c r="O593" s="92">
        <f t="shared" si="45"/>
        <v>0</v>
      </c>
      <c r="P593" s="91">
        <f t="shared" si="47"/>
        <v>0</v>
      </c>
      <c r="Q593" s="91">
        <f t="shared" si="48"/>
        <v>0</v>
      </c>
      <c r="R593" s="91"/>
    </row>
    <row r="594" spans="2:18" ht="12" customHeight="1" x14ac:dyDescent="0.3">
      <c r="B594" s="98">
        <f t="shared" si="49"/>
        <v>591</v>
      </c>
      <c r="C594" s="97" t="str">
        <f t="shared" si="46"/>
        <v>Jan-00</v>
      </c>
      <c r="D594" s="96"/>
      <c r="E594" s="95"/>
      <c r="F594" s="95"/>
      <c r="G594" s="95"/>
      <c r="H594" s="94"/>
      <c r="I594" s="94"/>
      <c r="J594" s="91"/>
      <c r="K594" s="91"/>
      <c r="L594" s="94"/>
      <c r="M594" s="93"/>
      <c r="N594" s="92"/>
      <c r="O594" s="92">
        <f t="shared" si="45"/>
        <v>0</v>
      </c>
      <c r="P594" s="91">
        <f t="shared" si="47"/>
        <v>0</v>
      </c>
      <c r="Q594" s="91">
        <f t="shared" si="48"/>
        <v>0</v>
      </c>
      <c r="R594" s="91"/>
    </row>
    <row r="595" spans="2:18" ht="12" customHeight="1" x14ac:dyDescent="0.3">
      <c r="B595" s="98">
        <f t="shared" si="49"/>
        <v>592</v>
      </c>
      <c r="C595" s="97" t="str">
        <f t="shared" si="46"/>
        <v>Jan-00</v>
      </c>
      <c r="D595" s="96"/>
      <c r="E595" s="95"/>
      <c r="F595" s="95"/>
      <c r="G595" s="95"/>
      <c r="H595" s="94"/>
      <c r="I595" s="94"/>
      <c r="J595" s="91"/>
      <c r="K595" s="91"/>
      <c r="L595" s="94"/>
      <c r="M595" s="93"/>
      <c r="N595" s="92"/>
      <c r="O595" s="92">
        <f t="shared" si="45"/>
        <v>0</v>
      </c>
      <c r="P595" s="91">
        <f t="shared" si="47"/>
        <v>0</v>
      </c>
      <c r="Q595" s="91">
        <f t="shared" si="48"/>
        <v>0</v>
      </c>
      <c r="R595" s="91"/>
    </row>
    <row r="596" spans="2:18" ht="12" customHeight="1" x14ac:dyDescent="0.3">
      <c r="B596" s="98">
        <f t="shared" si="49"/>
        <v>593</v>
      </c>
      <c r="C596" s="97" t="str">
        <f t="shared" si="46"/>
        <v>Jan-00</v>
      </c>
      <c r="D596" s="96"/>
      <c r="E596" s="95"/>
      <c r="F596" s="95"/>
      <c r="G596" s="95"/>
      <c r="H596" s="94"/>
      <c r="I596" s="94"/>
      <c r="J596" s="91"/>
      <c r="K596" s="91"/>
      <c r="L596" s="94"/>
      <c r="M596" s="93"/>
      <c r="N596" s="92"/>
      <c r="O596" s="92">
        <f t="shared" si="45"/>
        <v>0</v>
      </c>
      <c r="P596" s="91">
        <f t="shared" si="47"/>
        <v>0</v>
      </c>
      <c r="Q596" s="91">
        <f t="shared" si="48"/>
        <v>0</v>
      </c>
      <c r="R596" s="91"/>
    </row>
    <row r="597" spans="2:18" ht="12" customHeight="1" x14ac:dyDescent="0.3">
      <c r="B597" s="98">
        <f t="shared" si="49"/>
        <v>594</v>
      </c>
      <c r="C597" s="97" t="str">
        <f t="shared" si="46"/>
        <v>Jan-00</v>
      </c>
      <c r="D597" s="96"/>
      <c r="E597" s="95"/>
      <c r="F597" s="95"/>
      <c r="G597" s="95"/>
      <c r="H597" s="94"/>
      <c r="I597" s="94"/>
      <c r="J597" s="91"/>
      <c r="K597" s="91"/>
      <c r="L597" s="94"/>
      <c r="M597" s="93"/>
      <c r="N597" s="92"/>
      <c r="O597" s="92">
        <f t="shared" si="45"/>
        <v>0</v>
      </c>
      <c r="P597" s="91">
        <f t="shared" si="47"/>
        <v>0</v>
      </c>
      <c r="Q597" s="91">
        <f t="shared" si="48"/>
        <v>0</v>
      </c>
      <c r="R597" s="91"/>
    </row>
    <row r="598" spans="2:18" ht="12" customHeight="1" x14ac:dyDescent="0.3">
      <c r="B598" s="98">
        <f t="shared" si="49"/>
        <v>595</v>
      </c>
      <c r="C598" s="97" t="str">
        <f t="shared" si="46"/>
        <v>Jan-00</v>
      </c>
      <c r="D598" s="96"/>
      <c r="E598" s="95"/>
      <c r="F598" s="95"/>
      <c r="G598" s="95"/>
      <c r="H598" s="94"/>
      <c r="I598" s="94"/>
      <c r="J598" s="91"/>
      <c r="K598" s="91"/>
      <c r="L598" s="94"/>
      <c r="M598" s="93"/>
      <c r="N598" s="92"/>
      <c r="O598" s="92">
        <f t="shared" si="45"/>
        <v>0</v>
      </c>
      <c r="P598" s="91">
        <f t="shared" si="47"/>
        <v>0</v>
      </c>
      <c r="Q598" s="91">
        <f t="shared" si="48"/>
        <v>0</v>
      </c>
      <c r="R598" s="91"/>
    </row>
    <row r="599" spans="2:18" ht="12" customHeight="1" x14ac:dyDescent="0.3">
      <c r="B599" s="98">
        <f t="shared" si="49"/>
        <v>596</v>
      </c>
      <c r="C599" s="97" t="str">
        <f t="shared" si="46"/>
        <v>Jan-00</v>
      </c>
      <c r="D599" s="96"/>
      <c r="E599" s="95"/>
      <c r="F599" s="95"/>
      <c r="G599" s="95"/>
      <c r="H599" s="94"/>
      <c r="I599" s="94"/>
      <c r="J599" s="91"/>
      <c r="K599" s="91"/>
      <c r="L599" s="94"/>
      <c r="M599" s="93"/>
      <c r="N599" s="92"/>
      <c r="O599" s="92">
        <f t="shared" si="45"/>
        <v>0</v>
      </c>
      <c r="P599" s="91">
        <f t="shared" si="47"/>
        <v>0</v>
      </c>
      <c r="Q599" s="91">
        <f t="shared" si="48"/>
        <v>0</v>
      </c>
      <c r="R599" s="91"/>
    </row>
    <row r="600" spans="2:18" ht="12" customHeight="1" x14ac:dyDescent="0.3">
      <c r="B600" s="98">
        <f t="shared" si="49"/>
        <v>597</v>
      </c>
      <c r="C600" s="97" t="str">
        <f t="shared" si="46"/>
        <v>Jan-00</v>
      </c>
      <c r="D600" s="96"/>
      <c r="E600" s="95"/>
      <c r="F600" s="95"/>
      <c r="G600" s="95"/>
      <c r="H600" s="94"/>
      <c r="I600" s="94"/>
      <c r="J600" s="91"/>
      <c r="K600" s="91"/>
      <c r="L600" s="94"/>
      <c r="M600" s="93"/>
      <c r="N600" s="92"/>
      <c r="O600" s="92">
        <f t="shared" si="45"/>
        <v>0</v>
      </c>
      <c r="P600" s="91">
        <f t="shared" si="47"/>
        <v>0</v>
      </c>
      <c r="Q600" s="91">
        <f t="shared" si="48"/>
        <v>0</v>
      </c>
      <c r="R600" s="91"/>
    </row>
    <row r="601" spans="2:18" ht="12" customHeight="1" x14ac:dyDescent="0.3">
      <c r="B601" s="98">
        <f t="shared" si="49"/>
        <v>598</v>
      </c>
      <c r="C601" s="97" t="str">
        <f t="shared" si="46"/>
        <v>Jan-00</v>
      </c>
      <c r="D601" s="96"/>
      <c r="E601" s="95"/>
      <c r="F601" s="95"/>
      <c r="G601" s="95"/>
      <c r="H601" s="94"/>
      <c r="I601" s="94"/>
      <c r="J601" s="91"/>
      <c r="K601" s="91"/>
      <c r="L601" s="94"/>
      <c r="M601" s="93"/>
      <c r="N601" s="92"/>
      <c r="O601" s="92">
        <f t="shared" si="45"/>
        <v>0</v>
      </c>
      <c r="P601" s="91">
        <f t="shared" si="47"/>
        <v>0</v>
      </c>
      <c r="Q601" s="91">
        <f t="shared" si="48"/>
        <v>0</v>
      </c>
      <c r="R601" s="91"/>
    </row>
    <row r="602" spans="2:18" ht="12" customHeight="1" x14ac:dyDescent="0.3">
      <c r="B602" s="98">
        <f t="shared" si="49"/>
        <v>599</v>
      </c>
      <c r="C602" s="97" t="str">
        <f t="shared" si="46"/>
        <v>Jan-00</v>
      </c>
      <c r="D602" s="96"/>
      <c r="E602" s="95"/>
      <c r="F602" s="95"/>
      <c r="G602" s="95"/>
      <c r="H602" s="94"/>
      <c r="I602" s="94"/>
      <c r="J602" s="91"/>
      <c r="K602" s="91"/>
      <c r="L602" s="94"/>
      <c r="M602" s="93"/>
      <c r="N602" s="92"/>
      <c r="O602" s="92">
        <f t="shared" si="45"/>
        <v>0</v>
      </c>
      <c r="P602" s="91">
        <f t="shared" si="47"/>
        <v>0</v>
      </c>
      <c r="Q602" s="91">
        <f t="shared" si="48"/>
        <v>0</v>
      </c>
      <c r="R602" s="91"/>
    </row>
    <row r="603" spans="2:18" ht="12" customHeight="1" x14ac:dyDescent="0.3">
      <c r="B603" s="98">
        <f t="shared" si="49"/>
        <v>600</v>
      </c>
      <c r="C603" s="97" t="str">
        <f t="shared" si="46"/>
        <v>Jan-00</v>
      </c>
      <c r="D603" s="96"/>
      <c r="E603" s="95"/>
      <c r="F603" s="95"/>
      <c r="G603" s="95"/>
      <c r="H603" s="94"/>
      <c r="I603" s="94"/>
      <c r="J603" s="91"/>
      <c r="K603" s="91"/>
      <c r="L603" s="94"/>
      <c r="M603" s="93"/>
      <c r="N603" s="92"/>
      <c r="O603" s="92">
        <f t="shared" si="45"/>
        <v>0</v>
      </c>
      <c r="P603" s="91">
        <f t="shared" si="47"/>
        <v>0</v>
      </c>
      <c r="Q603" s="91">
        <f t="shared" si="48"/>
        <v>0</v>
      </c>
      <c r="R603" s="91"/>
    </row>
    <row r="604" spans="2:18" ht="12" customHeight="1" x14ac:dyDescent="0.3">
      <c r="B604" s="98">
        <f t="shared" si="49"/>
        <v>601</v>
      </c>
      <c r="C604" s="97" t="str">
        <f t="shared" si="46"/>
        <v>Jan-00</v>
      </c>
      <c r="D604" s="96"/>
      <c r="E604" s="95"/>
      <c r="F604" s="95"/>
      <c r="G604" s="95"/>
      <c r="H604" s="94"/>
      <c r="I604" s="94"/>
      <c r="J604" s="91"/>
      <c r="K604" s="91"/>
      <c r="L604" s="94"/>
      <c r="M604" s="93"/>
      <c r="N604" s="92"/>
      <c r="O604" s="92">
        <f t="shared" si="45"/>
        <v>0</v>
      </c>
      <c r="P604" s="91">
        <f t="shared" si="47"/>
        <v>0</v>
      </c>
      <c r="Q604" s="91">
        <f t="shared" si="48"/>
        <v>0</v>
      </c>
      <c r="R604" s="91"/>
    </row>
    <row r="605" spans="2:18" ht="12" customHeight="1" x14ac:dyDescent="0.3">
      <c r="B605" s="98">
        <f t="shared" si="49"/>
        <v>602</v>
      </c>
      <c r="C605" s="97" t="str">
        <f t="shared" si="46"/>
        <v>Jan-00</v>
      </c>
      <c r="D605" s="96"/>
      <c r="E605" s="95"/>
      <c r="F605" s="95"/>
      <c r="G605" s="95"/>
      <c r="H605" s="94"/>
      <c r="I605" s="94"/>
      <c r="J605" s="91"/>
      <c r="K605" s="91"/>
      <c r="L605" s="94"/>
      <c r="M605" s="93"/>
      <c r="N605" s="92"/>
      <c r="O605" s="92">
        <f t="shared" si="45"/>
        <v>0</v>
      </c>
      <c r="P605" s="91">
        <f t="shared" si="47"/>
        <v>0</v>
      </c>
      <c r="Q605" s="91">
        <f t="shared" si="48"/>
        <v>0</v>
      </c>
      <c r="R605" s="91"/>
    </row>
    <row r="606" spans="2:18" ht="12" customHeight="1" x14ac:dyDescent="0.3">
      <c r="B606" s="98">
        <f t="shared" si="49"/>
        <v>603</v>
      </c>
      <c r="C606" s="97" t="str">
        <f t="shared" si="46"/>
        <v>Jan-00</v>
      </c>
      <c r="D606" s="96"/>
      <c r="E606" s="95"/>
      <c r="F606" s="95"/>
      <c r="G606" s="95"/>
      <c r="H606" s="94"/>
      <c r="I606" s="94"/>
      <c r="J606" s="91"/>
      <c r="K606" s="91"/>
      <c r="L606" s="94"/>
      <c r="M606" s="93"/>
      <c r="N606" s="92"/>
      <c r="O606" s="92">
        <f t="shared" si="45"/>
        <v>0</v>
      </c>
      <c r="P606" s="91">
        <f t="shared" si="47"/>
        <v>0</v>
      </c>
      <c r="Q606" s="91">
        <f t="shared" si="48"/>
        <v>0</v>
      </c>
      <c r="R606" s="91"/>
    </row>
    <row r="607" spans="2:18" ht="12" customHeight="1" x14ac:dyDescent="0.3">
      <c r="B607" s="98">
        <f t="shared" si="49"/>
        <v>604</v>
      </c>
      <c r="C607" s="97" t="str">
        <f t="shared" si="46"/>
        <v>Jan-00</v>
      </c>
      <c r="D607" s="96"/>
      <c r="E607" s="95"/>
      <c r="F607" s="95"/>
      <c r="G607" s="95"/>
      <c r="H607" s="94"/>
      <c r="I607" s="94"/>
      <c r="J607" s="91"/>
      <c r="K607" s="91"/>
      <c r="L607" s="94"/>
      <c r="M607" s="93"/>
      <c r="N607" s="92"/>
      <c r="O607" s="92">
        <f t="shared" si="45"/>
        <v>0</v>
      </c>
      <c r="P607" s="91">
        <f t="shared" si="47"/>
        <v>0</v>
      </c>
      <c r="Q607" s="91">
        <f t="shared" si="48"/>
        <v>0</v>
      </c>
      <c r="R607" s="91"/>
    </row>
    <row r="608" spans="2:18" ht="12" customHeight="1" x14ac:dyDescent="0.3">
      <c r="B608" s="98">
        <f t="shared" si="49"/>
        <v>605</v>
      </c>
      <c r="C608" s="97" t="str">
        <f t="shared" si="46"/>
        <v>Jan-00</v>
      </c>
      <c r="D608" s="96"/>
      <c r="E608" s="95"/>
      <c r="F608" s="95"/>
      <c r="G608" s="95"/>
      <c r="H608" s="94"/>
      <c r="I608" s="94"/>
      <c r="J608" s="91"/>
      <c r="K608" s="91"/>
      <c r="L608" s="94"/>
      <c r="M608" s="93"/>
      <c r="N608" s="92"/>
      <c r="O608" s="92">
        <f t="shared" si="45"/>
        <v>0</v>
      </c>
      <c r="P608" s="91">
        <f t="shared" si="47"/>
        <v>0</v>
      </c>
      <c r="Q608" s="91">
        <f t="shared" si="48"/>
        <v>0</v>
      </c>
      <c r="R608" s="91"/>
    </row>
    <row r="609" spans="2:18" ht="12" customHeight="1" x14ac:dyDescent="0.3">
      <c r="B609" s="98">
        <f t="shared" si="49"/>
        <v>606</v>
      </c>
      <c r="C609" s="97" t="str">
        <f t="shared" si="46"/>
        <v>Jan-00</v>
      </c>
      <c r="D609" s="96"/>
      <c r="E609" s="95"/>
      <c r="F609" s="95"/>
      <c r="G609" s="95"/>
      <c r="H609" s="94"/>
      <c r="I609" s="94"/>
      <c r="J609" s="91"/>
      <c r="K609" s="91"/>
      <c r="L609" s="94"/>
      <c r="M609" s="93"/>
      <c r="N609" s="92"/>
      <c r="O609" s="92">
        <f t="shared" si="45"/>
        <v>0</v>
      </c>
      <c r="P609" s="91">
        <f t="shared" si="47"/>
        <v>0</v>
      </c>
      <c r="Q609" s="91">
        <f t="shared" si="48"/>
        <v>0</v>
      </c>
      <c r="R609" s="91"/>
    </row>
    <row r="610" spans="2:18" ht="12" customHeight="1" x14ac:dyDescent="0.3">
      <c r="B610" s="98">
        <f t="shared" si="49"/>
        <v>607</v>
      </c>
      <c r="C610" s="97" t="str">
        <f t="shared" si="46"/>
        <v>Jan-00</v>
      </c>
      <c r="D610" s="96"/>
      <c r="E610" s="95"/>
      <c r="F610" s="95"/>
      <c r="G610" s="95"/>
      <c r="H610" s="94"/>
      <c r="I610" s="94"/>
      <c r="J610" s="91"/>
      <c r="K610" s="91"/>
      <c r="L610" s="94"/>
      <c r="M610" s="93"/>
      <c r="N610" s="92"/>
      <c r="O610" s="92">
        <f t="shared" ref="O610:O673" si="50">SUM(N610*M610)</f>
        <v>0</v>
      </c>
      <c r="P610" s="91">
        <f t="shared" si="47"/>
        <v>0</v>
      </c>
      <c r="Q610" s="91">
        <f t="shared" si="48"/>
        <v>0</v>
      </c>
      <c r="R610" s="91"/>
    </row>
    <row r="611" spans="2:18" ht="12" customHeight="1" x14ac:dyDescent="0.3">
      <c r="B611" s="98">
        <f t="shared" si="49"/>
        <v>608</v>
      </c>
      <c r="C611" s="97" t="str">
        <f t="shared" si="46"/>
        <v>Jan-00</v>
      </c>
      <c r="D611" s="96"/>
      <c r="E611" s="95"/>
      <c r="F611" s="95"/>
      <c r="G611" s="95"/>
      <c r="H611" s="94"/>
      <c r="I611" s="94"/>
      <c r="J611" s="91"/>
      <c r="K611" s="91"/>
      <c r="L611" s="94"/>
      <c r="M611" s="93"/>
      <c r="N611" s="92"/>
      <c r="O611" s="92">
        <f t="shared" si="50"/>
        <v>0</v>
      </c>
      <c r="P611" s="91">
        <f t="shared" si="47"/>
        <v>0</v>
      </c>
      <c r="Q611" s="91">
        <f t="shared" si="48"/>
        <v>0</v>
      </c>
      <c r="R611" s="91"/>
    </row>
    <row r="612" spans="2:18" ht="12" customHeight="1" x14ac:dyDescent="0.3">
      <c r="B612" s="98">
        <f t="shared" si="49"/>
        <v>609</v>
      </c>
      <c r="C612" s="97" t="str">
        <f t="shared" si="46"/>
        <v>Jan-00</v>
      </c>
      <c r="D612" s="96"/>
      <c r="E612" s="95"/>
      <c r="F612" s="95"/>
      <c r="G612" s="95"/>
      <c r="H612" s="94"/>
      <c r="I612" s="94"/>
      <c r="J612" s="91"/>
      <c r="K612" s="91"/>
      <c r="L612" s="94"/>
      <c r="M612" s="93"/>
      <c r="N612" s="92"/>
      <c r="O612" s="92">
        <f t="shared" si="50"/>
        <v>0</v>
      </c>
      <c r="P612" s="91">
        <f t="shared" si="47"/>
        <v>0</v>
      </c>
      <c r="Q612" s="91">
        <f t="shared" si="48"/>
        <v>0</v>
      </c>
      <c r="R612" s="91"/>
    </row>
    <row r="613" spans="2:18" ht="12" customHeight="1" x14ac:dyDescent="0.3">
      <c r="B613" s="98">
        <f t="shared" si="49"/>
        <v>610</v>
      </c>
      <c r="C613" s="97" t="str">
        <f t="shared" si="46"/>
        <v>Jan-00</v>
      </c>
      <c r="D613" s="96"/>
      <c r="E613" s="95"/>
      <c r="F613" s="95"/>
      <c r="G613" s="95"/>
      <c r="H613" s="94"/>
      <c r="I613" s="94"/>
      <c r="J613" s="91"/>
      <c r="K613" s="91"/>
      <c r="L613" s="94"/>
      <c r="M613" s="93"/>
      <c r="N613" s="92"/>
      <c r="O613" s="92">
        <f t="shared" si="50"/>
        <v>0</v>
      </c>
      <c r="P613" s="91">
        <f t="shared" si="47"/>
        <v>0</v>
      </c>
      <c r="Q613" s="91">
        <f t="shared" si="48"/>
        <v>0</v>
      </c>
      <c r="R613" s="91"/>
    </row>
    <row r="614" spans="2:18" ht="12" customHeight="1" x14ac:dyDescent="0.3">
      <c r="B614" s="98">
        <f t="shared" si="49"/>
        <v>611</v>
      </c>
      <c r="C614" s="97" t="str">
        <f t="shared" si="46"/>
        <v>Jan-00</v>
      </c>
      <c r="D614" s="96"/>
      <c r="E614" s="95"/>
      <c r="F614" s="95"/>
      <c r="G614" s="95"/>
      <c r="H614" s="94"/>
      <c r="I614" s="94"/>
      <c r="J614" s="91"/>
      <c r="K614" s="91"/>
      <c r="L614" s="94"/>
      <c r="M614" s="93"/>
      <c r="N614" s="92"/>
      <c r="O614" s="92">
        <f t="shared" si="50"/>
        <v>0</v>
      </c>
      <c r="P614" s="91">
        <f t="shared" si="47"/>
        <v>0</v>
      </c>
      <c r="Q614" s="91">
        <f t="shared" si="48"/>
        <v>0</v>
      </c>
      <c r="R614" s="91"/>
    </row>
    <row r="615" spans="2:18" ht="12" customHeight="1" x14ac:dyDescent="0.3">
      <c r="B615" s="98">
        <f t="shared" si="49"/>
        <v>612</v>
      </c>
      <c r="C615" s="97" t="str">
        <f t="shared" si="46"/>
        <v>Jan-00</v>
      </c>
      <c r="D615" s="96"/>
      <c r="E615" s="95"/>
      <c r="F615" s="95"/>
      <c r="G615" s="95"/>
      <c r="H615" s="94"/>
      <c r="I615" s="94"/>
      <c r="J615" s="91"/>
      <c r="K615" s="91"/>
      <c r="L615" s="94"/>
      <c r="M615" s="93"/>
      <c r="N615" s="92"/>
      <c r="O615" s="92">
        <f t="shared" si="50"/>
        <v>0</v>
      </c>
      <c r="P615" s="91">
        <f t="shared" si="47"/>
        <v>0</v>
      </c>
      <c r="Q615" s="91">
        <f t="shared" si="48"/>
        <v>0</v>
      </c>
      <c r="R615" s="91"/>
    </row>
    <row r="616" spans="2:18" ht="12" customHeight="1" x14ac:dyDescent="0.3">
      <c r="B616" s="98">
        <f t="shared" si="49"/>
        <v>613</v>
      </c>
      <c r="C616" s="97" t="str">
        <f t="shared" si="46"/>
        <v>Jan-00</v>
      </c>
      <c r="D616" s="96"/>
      <c r="E616" s="95"/>
      <c r="F616" s="95"/>
      <c r="G616" s="95"/>
      <c r="H616" s="94"/>
      <c r="I616" s="94"/>
      <c r="J616" s="91"/>
      <c r="K616" s="91"/>
      <c r="L616" s="94"/>
      <c r="M616" s="93"/>
      <c r="N616" s="92"/>
      <c r="O616" s="92">
        <f t="shared" si="50"/>
        <v>0</v>
      </c>
      <c r="P616" s="91">
        <f t="shared" si="47"/>
        <v>0</v>
      </c>
      <c r="Q616" s="91">
        <f t="shared" si="48"/>
        <v>0</v>
      </c>
      <c r="R616" s="91"/>
    </row>
    <row r="617" spans="2:18" ht="12" customHeight="1" x14ac:dyDescent="0.3">
      <c r="B617" s="98">
        <f t="shared" si="49"/>
        <v>614</v>
      </c>
      <c r="C617" s="97" t="str">
        <f t="shared" si="46"/>
        <v>Jan-00</v>
      </c>
      <c r="D617" s="96"/>
      <c r="E617" s="95"/>
      <c r="F617" s="95"/>
      <c r="G617" s="95"/>
      <c r="H617" s="94"/>
      <c r="I617" s="94"/>
      <c r="J617" s="91"/>
      <c r="K617" s="91"/>
      <c r="L617" s="94"/>
      <c r="M617" s="93"/>
      <c r="N617" s="92"/>
      <c r="O617" s="92">
        <f t="shared" si="50"/>
        <v>0</v>
      </c>
      <c r="P617" s="91">
        <f t="shared" si="47"/>
        <v>0</v>
      </c>
      <c r="Q617" s="91">
        <f t="shared" si="48"/>
        <v>0</v>
      </c>
      <c r="R617" s="91"/>
    </row>
    <row r="618" spans="2:18" ht="12" customHeight="1" x14ac:dyDescent="0.3">
      <c r="B618" s="98">
        <f t="shared" si="49"/>
        <v>615</v>
      </c>
      <c r="C618" s="97" t="str">
        <f t="shared" si="46"/>
        <v>Jan-00</v>
      </c>
      <c r="D618" s="96"/>
      <c r="E618" s="95"/>
      <c r="F618" s="95"/>
      <c r="G618" s="95"/>
      <c r="H618" s="94"/>
      <c r="I618" s="94"/>
      <c r="J618" s="91"/>
      <c r="K618" s="91"/>
      <c r="L618" s="94"/>
      <c r="M618" s="93"/>
      <c r="N618" s="92"/>
      <c r="O618" s="92">
        <f t="shared" si="50"/>
        <v>0</v>
      </c>
      <c r="P618" s="91">
        <f t="shared" si="47"/>
        <v>0</v>
      </c>
      <c r="Q618" s="91">
        <f t="shared" si="48"/>
        <v>0</v>
      </c>
      <c r="R618" s="91"/>
    </row>
    <row r="619" spans="2:18" ht="12" customHeight="1" x14ac:dyDescent="0.3">
      <c r="B619" s="98">
        <f t="shared" si="49"/>
        <v>616</v>
      </c>
      <c r="C619" s="97" t="str">
        <f t="shared" si="46"/>
        <v>Jan-00</v>
      </c>
      <c r="D619" s="96"/>
      <c r="E619" s="95"/>
      <c r="F619" s="95"/>
      <c r="G619" s="95"/>
      <c r="H619" s="94"/>
      <c r="I619" s="94"/>
      <c r="J619" s="91"/>
      <c r="K619" s="91"/>
      <c r="L619" s="94"/>
      <c r="M619" s="93"/>
      <c r="N619" s="92"/>
      <c r="O619" s="92">
        <f t="shared" si="50"/>
        <v>0</v>
      </c>
      <c r="P619" s="91">
        <f t="shared" si="47"/>
        <v>0</v>
      </c>
      <c r="Q619" s="91">
        <f t="shared" si="48"/>
        <v>0</v>
      </c>
      <c r="R619" s="91"/>
    </row>
    <row r="620" spans="2:18" ht="12" customHeight="1" x14ac:dyDescent="0.3">
      <c r="B620" s="98">
        <f t="shared" si="49"/>
        <v>617</v>
      </c>
      <c r="C620" s="97" t="str">
        <f t="shared" si="46"/>
        <v>Jan-00</v>
      </c>
      <c r="D620" s="96"/>
      <c r="E620" s="95"/>
      <c r="F620" s="95"/>
      <c r="G620" s="95"/>
      <c r="H620" s="94"/>
      <c r="I620" s="94"/>
      <c r="J620" s="91"/>
      <c r="K620" s="91"/>
      <c r="L620" s="94"/>
      <c r="M620" s="93"/>
      <c r="N620" s="92"/>
      <c r="O620" s="92">
        <f t="shared" si="50"/>
        <v>0</v>
      </c>
      <c r="P620" s="91">
        <f t="shared" si="47"/>
        <v>0</v>
      </c>
      <c r="Q620" s="91">
        <f t="shared" si="48"/>
        <v>0</v>
      </c>
      <c r="R620" s="91"/>
    </row>
    <row r="621" spans="2:18" ht="12" customHeight="1" x14ac:dyDescent="0.3">
      <c r="B621" s="98">
        <f t="shared" si="49"/>
        <v>618</v>
      </c>
      <c r="C621" s="97" t="str">
        <f t="shared" si="46"/>
        <v>Jan-00</v>
      </c>
      <c r="D621" s="96"/>
      <c r="E621" s="95"/>
      <c r="F621" s="95"/>
      <c r="G621" s="95"/>
      <c r="H621" s="94"/>
      <c r="I621" s="94"/>
      <c r="J621" s="91"/>
      <c r="K621" s="91"/>
      <c r="L621" s="94"/>
      <c r="M621" s="93"/>
      <c r="N621" s="92"/>
      <c r="O621" s="92">
        <f t="shared" si="50"/>
        <v>0</v>
      </c>
      <c r="P621" s="91">
        <f t="shared" si="47"/>
        <v>0</v>
      </c>
      <c r="Q621" s="91">
        <f t="shared" si="48"/>
        <v>0</v>
      </c>
      <c r="R621" s="91"/>
    </row>
    <row r="622" spans="2:18" ht="12" customHeight="1" x14ac:dyDescent="0.3">
      <c r="B622" s="98">
        <f t="shared" si="49"/>
        <v>619</v>
      </c>
      <c r="C622" s="97" t="str">
        <f t="shared" si="46"/>
        <v>Jan-00</v>
      </c>
      <c r="D622" s="96"/>
      <c r="E622" s="95"/>
      <c r="F622" s="95"/>
      <c r="G622" s="95"/>
      <c r="H622" s="94"/>
      <c r="I622" s="94"/>
      <c r="J622" s="91"/>
      <c r="K622" s="91"/>
      <c r="L622" s="94"/>
      <c r="M622" s="93"/>
      <c r="N622" s="92"/>
      <c r="O622" s="92">
        <f t="shared" si="50"/>
        <v>0</v>
      </c>
      <c r="P622" s="91">
        <f t="shared" si="47"/>
        <v>0</v>
      </c>
      <c r="Q622" s="91">
        <f t="shared" si="48"/>
        <v>0</v>
      </c>
      <c r="R622" s="91"/>
    </row>
    <row r="623" spans="2:18" ht="12" customHeight="1" x14ac:dyDescent="0.3">
      <c r="B623" s="98">
        <f t="shared" si="49"/>
        <v>620</v>
      </c>
      <c r="C623" s="97" t="str">
        <f t="shared" si="46"/>
        <v>Jan-00</v>
      </c>
      <c r="D623" s="96"/>
      <c r="E623" s="95"/>
      <c r="F623" s="95"/>
      <c r="G623" s="95"/>
      <c r="H623" s="94"/>
      <c r="I623" s="94"/>
      <c r="J623" s="91"/>
      <c r="K623" s="91"/>
      <c r="L623" s="94"/>
      <c r="M623" s="93"/>
      <c r="N623" s="92"/>
      <c r="O623" s="92">
        <f t="shared" si="50"/>
        <v>0</v>
      </c>
      <c r="P623" s="91">
        <f t="shared" si="47"/>
        <v>0</v>
      </c>
      <c r="Q623" s="91">
        <f t="shared" si="48"/>
        <v>0</v>
      </c>
      <c r="R623" s="91"/>
    </row>
    <row r="624" spans="2:18" ht="12" customHeight="1" x14ac:dyDescent="0.3">
      <c r="B624" s="98">
        <f t="shared" si="49"/>
        <v>621</v>
      </c>
      <c r="C624" s="97" t="str">
        <f t="shared" si="46"/>
        <v>Jan-00</v>
      </c>
      <c r="D624" s="96"/>
      <c r="E624" s="95"/>
      <c r="F624" s="95"/>
      <c r="G624" s="95"/>
      <c r="H624" s="94"/>
      <c r="I624" s="94"/>
      <c r="J624" s="91"/>
      <c r="K624" s="91"/>
      <c r="L624" s="94"/>
      <c r="M624" s="93"/>
      <c r="N624" s="92"/>
      <c r="O624" s="92">
        <f t="shared" si="50"/>
        <v>0</v>
      </c>
      <c r="P624" s="91">
        <f t="shared" si="47"/>
        <v>0</v>
      </c>
      <c r="Q624" s="91">
        <f t="shared" si="48"/>
        <v>0</v>
      </c>
      <c r="R624" s="91"/>
    </row>
    <row r="625" spans="2:18" ht="12" customHeight="1" x14ac:dyDescent="0.3">
      <c r="B625" s="98">
        <f t="shared" si="49"/>
        <v>622</v>
      </c>
      <c r="C625" s="97" t="str">
        <f t="shared" si="46"/>
        <v>Jan-00</v>
      </c>
      <c r="D625" s="96"/>
      <c r="E625" s="95"/>
      <c r="F625" s="95"/>
      <c r="G625" s="95"/>
      <c r="H625" s="94"/>
      <c r="I625" s="94"/>
      <c r="J625" s="91"/>
      <c r="K625" s="91"/>
      <c r="L625" s="94"/>
      <c r="M625" s="93"/>
      <c r="N625" s="92"/>
      <c r="O625" s="92">
        <f t="shared" si="50"/>
        <v>0</v>
      </c>
      <c r="P625" s="91">
        <f t="shared" si="47"/>
        <v>0</v>
      </c>
      <c r="Q625" s="91">
        <f t="shared" si="48"/>
        <v>0</v>
      </c>
      <c r="R625" s="91"/>
    </row>
    <row r="626" spans="2:18" ht="12" customHeight="1" x14ac:dyDescent="0.3">
      <c r="B626" s="98">
        <f t="shared" si="49"/>
        <v>623</v>
      </c>
      <c r="C626" s="97" t="str">
        <f t="shared" si="46"/>
        <v>Jan-00</v>
      </c>
      <c r="D626" s="96"/>
      <c r="E626" s="95"/>
      <c r="F626" s="95"/>
      <c r="G626" s="95"/>
      <c r="H626" s="94"/>
      <c r="I626" s="94"/>
      <c r="J626" s="91"/>
      <c r="K626" s="91"/>
      <c r="L626" s="94"/>
      <c r="M626" s="93"/>
      <c r="N626" s="92"/>
      <c r="O626" s="92">
        <f t="shared" si="50"/>
        <v>0</v>
      </c>
      <c r="P626" s="91">
        <f t="shared" si="47"/>
        <v>0</v>
      </c>
      <c r="Q626" s="91">
        <f t="shared" si="48"/>
        <v>0</v>
      </c>
      <c r="R626" s="91"/>
    </row>
    <row r="627" spans="2:18" ht="12" customHeight="1" x14ac:dyDescent="0.3">
      <c r="B627" s="98">
        <f t="shared" si="49"/>
        <v>624</v>
      </c>
      <c r="C627" s="97" t="str">
        <f t="shared" si="46"/>
        <v>Jan-00</v>
      </c>
      <c r="D627" s="96"/>
      <c r="E627" s="95"/>
      <c r="F627" s="95"/>
      <c r="G627" s="95"/>
      <c r="H627" s="94"/>
      <c r="I627" s="94"/>
      <c r="J627" s="91"/>
      <c r="K627" s="91"/>
      <c r="L627" s="94"/>
      <c r="M627" s="93"/>
      <c r="N627" s="92"/>
      <c r="O627" s="92">
        <f t="shared" si="50"/>
        <v>0</v>
      </c>
      <c r="P627" s="91">
        <f t="shared" si="47"/>
        <v>0</v>
      </c>
      <c r="Q627" s="91">
        <f t="shared" si="48"/>
        <v>0</v>
      </c>
      <c r="R627" s="91"/>
    </row>
    <row r="628" spans="2:18" ht="12" customHeight="1" x14ac:dyDescent="0.3">
      <c r="B628" s="98">
        <f t="shared" si="49"/>
        <v>625</v>
      </c>
      <c r="C628" s="97" t="str">
        <f t="shared" si="46"/>
        <v>Jan-00</v>
      </c>
      <c r="D628" s="96"/>
      <c r="E628" s="95"/>
      <c r="F628" s="95"/>
      <c r="G628" s="95"/>
      <c r="H628" s="94"/>
      <c r="I628" s="94"/>
      <c r="J628" s="91"/>
      <c r="K628" s="91"/>
      <c r="L628" s="94"/>
      <c r="M628" s="93"/>
      <c r="N628" s="92"/>
      <c r="O628" s="92">
        <f t="shared" si="50"/>
        <v>0</v>
      </c>
      <c r="P628" s="91">
        <f t="shared" si="47"/>
        <v>0</v>
      </c>
      <c r="Q628" s="91">
        <f t="shared" si="48"/>
        <v>0</v>
      </c>
      <c r="R628" s="91"/>
    </row>
    <row r="629" spans="2:18" ht="12" customHeight="1" x14ac:dyDescent="0.3">
      <c r="B629" s="98">
        <f t="shared" si="49"/>
        <v>626</v>
      </c>
      <c r="C629" s="97" t="str">
        <f t="shared" si="46"/>
        <v>Jan-00</v>
      </c>
      <c r="D629" s="96"/>
      <c r="E629" s="95"/>
      <c r="F629" s="95"/>
      <c r="G629" s="95"/>
      <c r="H629" s="94"/>
      <c r="I629" s="94"/>
      <c r="J629" s="91"/>
      <c r="K629" s="91"/>
      <c r="L629" s="94"/>
      <c r="M629" s="93"/>
      <c r="N629" s="92"/>
      <c r="O629" s="92">
        <f t="shared" si="50"/>
        <v>0</v>
      </c>
      <c r="P629" s="91">
        <f t="shared" si="47"/>
        <v>0</v>
      </c>
      <c r="Q629" s="91">
        <f t="shared" si="48"/>
        <v>0</v>
      </c>
      <c r="R629" s="91"/>
    </row>
    <row r="630" spans="2:18" ht="12" customHeight="1" x14ac:dyDescent="0.3">
      <c r="B630" s="98">
        <f t="shared" si="49"/>
        <v>627</v>
      </c>
      <c r="C630" s="97" t="str">
        <f t="shared" si="46"/>
        <v>Jan-00</v>
      </c>
      <c r="D630" s="96"/>
      <c r="E630" s="95"/>
      <c r="F630" s="95"/>
      <c r="G630" s="95"/>
      <c r="H630" s="94"/>
      <c r="I630" s="94"/>
      <c r="J630" s="91"/>
      <c r="K630" s="91"/>
      <c r="L630" s="94"/>
      <c r="M630" s="93"/>
      <c r="N630" s="92"/>
      <c r="O630" s="92">
        <f t="shared" si="50"/>
        <v>0</v>
      </c>
      <c r="P630" s="91">
        <f t="shared" si="47"/>
        <v>0</v>
      </c>
      <c r="Q630" s="91">
        <f t="shared" si="48"/>
        <v>0</v>
      </c>
      <c r="R630" s="91"/>
    </row>
    <row r="631" spans="2:18" ht="12" customHeight="1" x14ac:dyDescent="0.3">
      <c r="B631" s="98">
        <f t="shared" si="49"/>
        <v>628</v>
      </c>
      <c r="C631" s="97" t="str">
        <f t="shared" si="46"/>
        <v>Jan-00</v>
      </c>
      <c r="D631" s="96"/>
      <c r="E631" s="95"/>
      <c r="F631" s="95"/>
      <c r="G631" s="95"/>
      <c r="H631" s="94"/>
      <c r="I631" s="94"/>
      <c r="J631" s="91"/>
      <c r="K631" s="91"/>
      <c r="L631" s="94"/>
      <c r="M631" s="93"/>
      <c r="N631" s="92"/>
      <c r="O631" s="92">
        <f t="shared" si="50"/>
        <v>0</v>
      </c>
      <c r="P631" s="91">
        <f t="shared" si="47"/>
        <v>0</v>
      </c>
      <c r="Q631" s="91">
        <f t="shared" si="48"/>
        <v>0</v>
      </c>
      <c r="R631" s="91"/>
    </row>
    <row r="632" spans="2:18" ht="12" customHeight="1" x14ac:dyDescent="0.3">
      <c r="B632" s="98">
        <f t="shared" si="49"/>
        <v>629</v>
      </c>
      <c r="C632" s="97" t="str">
        <f t="shared" si="46"/>
        <v>Jan-00</v>
      </c>
      <c r="D632" s="96"/>
      <c r="E632" s="95"/>
      <c r="F632" s="95"/>
      <c r="G632" s="95"/>
      <c r="H632" s="94"/>
      <c r="I632" s="94"/>
      <c r="J632" s="91"/>
      <c r="K632" s="91"/>
      <c r="L632" s="94"/>
      <c r="M632" s="93"/>
      <c r="N632" s="92"/>
      <c r="O632" s="92">
        <f t="shared" si="50"/>
        <v>0</v>
      </c>
      <c r="P632" s="91">
        <f t="shared" si="47"/>
        <v>0</v>
      </c>
      <c r="Q632" s="91">
        <f t="shared" si="48"/>
        <v>0</v>
      </c>
      <c r="R632" s="91"/>
    </row>
    <row r="633" spans="2:18" ht="12" customHeight="1" x14ac:dyDescent="0.3">
      <c r="B633" s="98">
        <f t="shared" si="49"/>
        <v>630</v>
      </c>
      <c r="C633" s="97" t="str">
        <f t="shared" si="46"/>
        <v>Jan-00</v>
      </c>
      <c r="D633" s="96"/>
      <c r="E633" s="95"/>
      <c r="F633" s="95"/>
      <c r="G633" s="95"/>
      <c r="H633" s="94"/>
      <c r="I633" s="94"/>
      <c r="J633" s="91"/>
      <c r="K633" s="91"/>
      <c r="L633" s="94"/>
      <c r="M633" s="93"/>
      <c r="N633" s="92"/>
      <c r="O633" s="92">
        <f t="shared" si="50"/>
        <v>0</v>
      </c>
      <c r="P633" s="91">
        <f t="shared" si="47"/>
        <v>0</v>
      </c>
      <c r="Q633" s="91">
        <f t="shared" si="48"/>
        <v>0</v>
      </c>
      <c r="R633" s="91"/>
    </row>
    <row r="634" spans="2:18" ht="12" customHeight="1" x14ac:dyDescent="0.3">
      <c r="B634" s="98">
        <f t="shared" si="49"/>
        <v>631</v>
      </c>
      <c r="C634" s="97" t="str">
        <f t="shared" si="46"/>
        <v>Jan-00</v>
      </c>
      <c r="D634" s="96"/>
      <c r="E634" s="95"/>
      <c r="F634" s="95"/>
      <c r="G634" s="95"/>
      <c r="H634" s="94"/>
      <c r="I634" s="94"/>
      <c r="J634" s="91"/>
      <c r="K634" s="91"/>
      <c r="L634" s="94"/>
      <c r="M634" s="93"/>
      <c r="N634" s="92"/>
      <c r="O634" s="92">
        <f t="shared" si="50"/>
        <v>0</v>
      </c>
      <c r="P634" s="91">
        <f t="shared" si="47"/>
        <v>0</v>
      </c>
      <c r="Q634" s="91">
        <f t="shared" si="48"/>
        <v>0</v>
      </c>
      <c r="R634" s="91"/>
    </row>
    <row r="635" spans="2:18" ht="12" customHeight="1" x14ac:dyDescent="0.3">
      <c r="B635" s="98">
        <f t="shared" si="49"/>
        <v>632</v>
      </c>
      <c r="C635" s="97" t="str">
        <f t="shared" si="46"/>
        <v>Jan-00</v>
      </c>
      <c r="D635" s="96"/>
      <c r="E635" s="95"/>
      <c r="F635" s="95"/>
      <c r="G635" s="95"/>
      <c r="H635" s="94"/>
      <c r="I635" s="94"/>
      <c r="J635" s="91"/>
      <c r="K635" s="91"/>
      <c r="L635" s="94"/>
      <c r="M635" s="93"/>
      <c r="N635" s="92"/>
      <c r="O635" s="92">
        <f t="shared" si="50"/>
        <v>0</v>
      </c>
      <c r="P635" s="91">
        <f t="shared" si="47"/>
        <v>0</v>
      </c>
      <c r="Q635" s="91">
        <f t="shared" si="48"/>
        <v>0</v>
      </c>
      <c r="R635" s="91"/>
    </row>
    <row r="636" spans="2:18" ht="12" customHeight="1" x14ac:dyDescent="0.3">
      <c r="B636" s="98">
        <f t="shared" si="49"/>
        <v>633</v>
      </c>
      <c r="C636" s="97" t="str">
        <f t="shared" si="46"/>
        <v>Jan-00</v>
      </c>
      <c r="D636" s="96"/>
      <c r="E636" s="95"/>
      <c r="F636" s="95"/>
      <c r="G636" s="95"/>
      <c r="H636" s="94"/>
      <c r="I636" s="94"/>
      <c r="J636" s="91"/>
      <c r="K636" s="91"/>
      <c r="L636" s="94"/>
      <c r="M636" s="93"/>
      <c r="N636" s="92"/>
      <c r="O636" s="92">
        <f t="shared" si="50"/>
        <v>0</v>
      </c>
      <c r="P636" s="91">
        <f t="shared" si="47"/>
        <v>0</v>
      </c>
      <c r="Q636" s="91">
        <f t="shared" si="48"/>
        <v>0</v>
      </c>
      <c r="R636" s="91"/>
    </row>
    <row r="637" spans="2:18" ht="12" customHeight="1" x14ac:dyDescent="0.3">
      <c r="B637" s="98">
        <f t="shared" si="49"/>
        <v>634</v>
      </c>
      <c r="C637" s="97" t="str">
        <f t="shared" si="46"/>
        <v>Jan-00</v>
      </c>
      <c r="D637" s="96"/>
      <c r="E637" s="95"/>
      <c r="F637" s="95"/>
      <c r="G637" s="95"/>
      <c r="H637" s="94"/>
      <c r="I637" s="94"/>
      <c r="J637" s="91"/>
      <c r="K637" s="91"/>
      <c r="L637" s="94"/>
      <c r="M637" s="93"/>
      <c r="N637" s="92"/>
      <c r="O637" s="92">
        <f t="shared" si="50"/>
        <v>0</v>
      </c>
      <c r="P637" s="91">
        <f t="shared" si="47"/>
        <v>0</v>
      </c>
      <c r="Q637" s="91">
        <f t="shared" si="48"/>
        <v>0</v>
      </c>
      <c r="R637" s="91"/>
    </row>
    <row r="638" spans="2:18" ht="12" customHeight="1" x14ac:dyDescent="0.3">
      <c r="B638" s="98">
        <f t="shared" si="49"/>
        <v>635</v>
      </c>
      <c r="C638" s="97" t="str">
        <f t="shared" si="46"/>
        <v>Jan-00</v>
      </c>
      <c r="D638" s="96"/>
      <c r="E638" s="95"/>
      <c r="F638" s="95"/>
      <c r="G638" s="95"/>
      <c r="H638" s="94"/>
      <c r="I638" s="94"/>
      <c r="J638" s="91"/>
      <c r="K638" s="91"/>
      <c r="L638" s="94"/>
      <c r="M638" s="93"/>
      <c r="N638" s="92"/>
      <c r="O638" s="92">
        <f t="shared" si="50"/>
        <v>0</v>
      </c>
      <c r="P638" s="91">
        <f t="shared" si="47"/>
        <v>0</v>
      </c>
      <c r="Q638" s="91">
        <f t="shared" si="48"/>
        <v>0</v>
      </c>
      <c r="R638" s="91"/>
    </row>
    <row r="639" spans="2:18" ht="12" customHeight="1" x14ac:dyDescent="0.3">
      <c r="B639" s="98">
        <f t="shared" si="49"/>
        <v>636</v>
      </c>
      <c r="C639" s="97" t="str">
        <f t="shared" si="46"/>
        <v>Jan-00</v>
      </c>
      <c r="D639" s="96"/>
      <c r="E639" s="95"/>
      <c r="F639" s="95"/>
      <c r="G639" s="95"/>
      <c r="H639" s="94"/>
      <c r="I639" s="94"/>
      <c r="J639" s="91"/>
      <c r="K639" s="91"/>
      <c r="L639" s="94"/>
      <c r="M639" s="93"/>
      <c r="N639" s="92"/>
      <c r="O639" s="92">
        <f t="shared" si="50"/>
        <v>0</v>
      </c>
      <c r="P639" s="91">
        <f t="shared" si="47"/>
        <v>0</v>
      </c>
      <c r="Q639" s="91">
        <f t="shared" si="48"/>
        <v>0</v>
      </c>
      <c r="R639" s="91"/>
    </row>
    <row r="640" spans="2:18" ht="12" customHeight="1" x14ac:dyDescent="0.3">
      <c r="B640" s="98">
        <f t="shared" si="49"/>
        <v>637</v>
      </c>
      <c r="C640" s="97" t="str">
        <f t="shared" si="46"/>
        <v>Jan-00</v>
      </c>
      <c r="D640" s="96"/>
      <c r="E640" s="95"/>
      <c r="F640" s="95"/>
      <c r="G640" s="95"/>
      <c r="H640" s="94"/>
      <c r="I640" s="94"/>
      <c r="J640" s="91"/>
      <c r="K640" s="91"/>
      <c r="L640" s="94"/>
      <c r="M640" s="93"/>
      <c r="N640" s="92"/>
      <c r="O640" s="92">
        <f t="shared" si="50"/>
        <v>0</v>
      </c>
      <c r="P640" s="91">
        <f t="shared" si="47"/>
        <v>0</v>
      </c>
      <c r="Q640" s="91">
        <f t="shared" si="48"/>
        <v>0</v>
      </c>
      <c r="R640" s="91"/>
    </row>
    <row r="641" spans="2:18" ht="12" customHeight="1" x14ac:dyDescent="0.3">
      <c r="B641" s="98">
        <f t="shared" si="49"/>
        <v>638</v>
      </c>
      <c r="C641" s="97" t="str">
        <f t="shared" si="46"/>
        <v>Jan-00</v>
      </c>
      <c r="D641" s="96"/>
      <c r="E641" s="95"/>
      <c r="F641" s="95"/>
      <c r="G641" s="95"/>
      <c r="H641" s="94"/>
      <c r="I641" s="94"/>
      <c r="J641" s="91"/>
      <c r="K641" s="91"/>
      <c r="L641" s="94"/>
      <c r="M641" s="93"/>
      <c r="N641" s="92"/>
      <c r="O641" s="92">
        <f t="shared" si="50"/>
        <v>0</v>
      </c>
      <c r="P641" s="91">
        <f t="shared" si="47"/>
        <v>0</v>
      </c>
      <c r="Q641" s="91">
        <f t="shared" si="48"/>
        <v>0</v>
      </c>
      <c r="R641" s="91"/>
    </row>
    <row r="642" spans="2:18" ht="12" customHeight="1" x14ac:dyDescent="0.3">
      <c r="B642" s="98">
        <f t="shared" si="49"/>
        <v>639</v>
      </c>
      <c r="C642" s="97" t="str">
        <f t="shared" si="46"/>
        <v>Jan-00</v>
      </c>
      <c r="D642" s="96"/>
      <c r="E642" s="95"/>
      <c r="F642" s="95"/>
      <c r="G642" s="95"/>
      <c r="H642" s="94"/>
      <c r="I642" s="94"/>
      <c r="J642" s="91"/>
      <c r="K642" s="91"/>
      <c r="L642" s="94"/>
      <c r="M642" s="93"/>
      <c r="N642" s="92"/>
      <c r="O642" s="92">
        <f t="shared" si="50"/>
        <v>0</v>
      </c>
      <c r="P642" s="91">
        <f t="shared" si="47"/>
        <v>0</v>
      </c>
      <c r="Q642" s="91">
        <f t="shared" si="48"/>
        <v>0</v>
      </c>
      <c r="R642" s="91"/>
    </row>
    <row r="643" spans="2:18" ht="12" customHeight="1" x14ac:dyDescent="0.3">
      <c r="B643" s="98">
        <f t="shared" si="49"/>
        <v>640</v>
      </c>
      <c r="C643" s="97" t="str">
        <f t="shared" si="46"/>
        <v>Jan-00</v>
      </c>
      <c r="D643" s="96"/>
      <c r="E643" s="95"/>
      <c r="F643" s="95"/>
      <c r="G643" s="95"/>
      <c r="H643" s="94"/>
      <c r="I643" s="94"/>
      <c r="J643" s="91"/>
      <c r="K643" s="91"/>
      <c r="L643" s="94"/>
      <c r="M643" s="93"/>
      <c r="N643" s="92"/>
      <c r="O643" s="92">
        <f t="shared" si="50"/>
        <v>0</v>
      </c>
      <c r="P643" s="91">
        <f t="shared" si="47"/>
        <v>0</v>
      </c>
      <c r="Q643" s="91">
        <f t="shared" si="48"/>
        <v>0</v>
      </c>
      <c r="R643" s="91"/>
    </row>
    <row r="644" spans="2:18" ht="12" customHeight="1" x14ac:dyDescent="0.3">
      <c r="B644" s="98">
        <f t="shared" si="49"/>
        <v>641</v>
      </c>
      <c r="C644" s="97" t="str">
        <f t="shared" ref="C644:C707" si="51">CONCATENATE(TEXT(D644,"mmm"),"-",TEXT(D644,"yy"))</f>
        <v>Jan-00</v>
      </c>
      <c r="D644" s="96"/>
      <c r="E644" s="95"/>
      <c r="F644" s="95"/>
      <c r="G644" s="95"/>
      <c r="H644" s="94"/>
      <c r="I644" s="94"/>
      <c r="J644" s="91"/>
      <c r="K644" s="91"/>
      <c r="L644" s="94"/>
      <c r="M644" s="93"/>
      <c r="N644" s="92"/>
      <c r="O644" s="92">
        <f t="shared" si="50"/>
        <v>0</v>
      </c>
      <c r="P644" s="91">
        <f t="shared" ref="P644:P707" si="52">O644*1%</f>
        <v>0</v>
      </c>
      <c r="Q644" s="91">
        <f t="shared" ref="Q644:Q707" si="53">O644-P644</f>
        <v>0</v>
      </c>
      <c r="R644" s="91"/>
    </row>
    <row r="645" spans="2:18" ht="12" customHeight="1" x14ac:dyDescent="0.3">
      <c r="B645" s="98">
        <f t="shared" ref="B645:B708" si="54">+B644+1</f>
        <v>642</v>
      </c>
      <c r="C645" s="97" t="str">
        <f t="shared" si="51"/>
        <v>Jan-00</v>
      </c>
      <c r="D645" s="96"/>
      <c r="E645" s="95"/>
      <c r="F645" s="95"/>
      <c r="G645" s="95"/>
      <c r="H645" s="94"/>
      <c r="I645" s="94"/>
      <c r="J645" s="91"/>
      <c r="K645" s="91"/>
      <c r="L645" s="94"/>
      <c r="M645" s="93"/>
      <c r="N645" s="92"/>
      <c r="O645" s="92">
        <f t="shared" si="50"/>
        <v>0</v>
      </c>
      <c r="P645" s="91">
        <f t="shared" si="52"/>
        <v>0</v>
      </c>
      <c r="Q645" s="91">
        <f t="shared" si="53"/>
        <v>0</v>
      </c>
      <c r="R645" s="91"/>
    </row>
    <row r="646" spans="2:18" ht="12" customHeight="1" x14ac:dyDescent="0.3">
      <c r="B646" s="98">
        <f t="shared" si="54"/>
        <v>643</v>
      </c>
      <c r="C646" s="97" t="str">
        <f t="shared" si="51"/>
        <v>Jan-00</v>
      </c>
      <c r="D646" s="96"/>
      <c r="E646" s="95"/>
      <c r="F646" s="95"/>
      <c r="G646" s="95"/>
      <c r="H646" s="94"/>
      <c r="I646" s="94"/>
      <c r="J646" s="91"/>
      <c r="K646" s="91"/>
      <c r="L646" s="94"/>
      <c r="M646" s="93"/>
      <c r="N646" s="92"/>
      <c r="O646" s="92">
        <f t="shared" si="50"/>
        <v>0</v>
      </c>
      <c r="P646" s="91">
        <f t="shared" si="52"/>
        <v>0</v>
      </c>
      <c r="Q646" s="91">
        <f t="shared" si="53"/>
        <v>0</v>
      </c>
      <c r="R646" s="91"/>
    </row>
    <row r="647" spans="2:18" ht="12" customHeight="1" x14ac:dyDescent="0.3">
      <c r="B647" s="98">
        <f t="shared" si="54"/>
        <v>644</v>
      </c>
      <c r="C647" s="97" t="str">
        <f t="shared" si="51"/>
        <v>Jan-00</v>
      </c>
      <c r="D647" s="96"/>
      <c r="E647" s="95"/>
      <c r="F647" s="95"/>
      <c r="G647" s="95"/>
      <c r="H647" s="94"/>
      <c r="I647" s="94"/>
      <c r="J647" s="91"/>
      <c r="K647" s="91"/>
      <c r="L647" s="94"/>
      <c r="M647" s="93"/>
      <c r="N647" s="92"/>
      <c r="O647" s="92">
        <f t="shared" si="50"/>
        <v>0</v>
      </c>
      <c r="P647" s="91">
        <f t="shared" si="52"/>
        <v>0</v>
      </c>
      <c r="Q647" s="91">
        <f t="shared" si="53"/>
        <v>0</v>
      </c>
      <c r="R647" s="91"/>
    </row>
    <row r="648" spans="2:18" ht="12" customHeight="1" x14ac:dyDescent="0.3">
      <c r="B648" s="98">
        <f t="shared" si="54"/>
        <v>645</v>
      </c>
      <c r="C648" s="97" t="str">
        <f t="shared" si="51"/>
        <v>Jan-00</v>
      </c>
      <c r="D648" s="96"/>
      <c r="E648" s="95"/>
      <c r="F648" s="95"/>
      <c r="G648" s="95"/>
      <c r="H648" s="94"/>
      <c r="I648" s="94"/>
      <c r="J648" s="91"/>
      <c r="K648" s="91"/>
      <c r="L648" s="94"/>
      <c r="M648" s="93"/>
      <c r="N648" s="92"/>
      <c r="O648" s="92">
        <f t="shared" si="50"/>
        <v>0</v>
      </c>
      <c r="P648" s="91">
        <f t="shared" si="52"/>
        <v>0</v>
      </c>
      <c r="Q648" s="91">
        <f t="shared" si="53"/>
        <v>0</v>
      </c>
      <c r="R648" s="91"/>
    </row>
    <row r="649" spans="2:18" ht="12" customHeight="1" x14ac:dyDescent="0.3">
      <c r="B649" s="98">
        <f t="shared" si="54"/>
        <v>646</v>
      </c>
      <c r="C649" s="97" t="str">
        <f t="shared" si="51"/>
        <v>Jan-00</v>
      </c>
      <c r="D649" s="96"/>
      <c r="E649" s="95"/>
      <c r="F649" s="95"/>
      <c r="G649" s="95"/>
      <c r="H649" s="94"/>
      <c r="I649" s="94"/>
      <c r="J649" s="91"/>
      <c r="K649" s="91"/>
      <c r="L649" s="94"/>
      <c r="M649" s="93"/>
      <c r="N649" s="92"/>
      <c r="O649" s="92">
        <f t="shared" si="50"/>
        <v>0</v>
      </c>
      <c r="P649" s="91">
        <f t="shared" si="52"/>
        <v>0</v>
      </c>
      <c r="Q649" s="91">
        <f t="shared" si="53"/>
        <v>0</v>
      </c>
      <c r="R649" s="91"/>
    </row>
    <row r="650" spans="2:18" ht="12" customHeight="1" x14ac:dyDescent="0.3">
      <c r="B650" s="98">
        <f t="shared" si="54"/>
        <v>647</v>
      </c>
      <c r="C650" s="97" t="str">
        <f t="shared" si="51"/>
        <v>Jan-00</v>
      </c>
      <c r="D650" s="96"/>
      <c r="E650" s="95"/>
      <c r="F650" s="95"/>
      <c r="G650" s="95"/>
      <c r="H650" s="94"/>
      <c r="I650" s="94"/>
      <c r="J650" s="91"/>
      <c r="K650" s="91"/>
      <c r="L650" s="94"/>
      <c r="M650" s="93"/>
      <c r="N650" s="92"/>
      <c r="O650" s="92">
        <f t="shared" si="50"/>
        <v>0</v>
      </c>
      <c r="P650" s="91">
        <f t="shared" si="52"/>
        <v>0</v>
      </c>
      <c r="Q650" s="91">
        <f t="shared" si="53"/>
        <v>0</v>
      </c>
      <c r="R650" s="91"/>
    </row>
    <row r="651" spans="2:18" ht="12" customHeight="1" x14ac:dyDescent="0.3">
      <c r="B651" s="98">
        <f t="shared" si="54"/>
        <v>648</v>
      </c>
      <c r="C651" s="97" t="str">
        <f t="shared" si="51"/>
        <v>Jan-00</v>
      </c>
      <c r="D651" s="96"/>
      <c r="E651" s="95"/>
      <c r="F651" s="95"/>
      <c r="G651" s="95"/>
      <c r="H651" s="94"/>
      <c r="I651" s="94"/>
      <c r="J651" s="91"/>
      <c r="K651" s="91"/>
      <c r="L651" s="94"/>
      <c r="M651" s="93"/>
      <c r="N651" s="92"/>
      <c r="O651" s="92">
        <f t="shared" si="50"/>
        <v>0</v>
      </c>
      <c r="P651" s="91">
        <f t="shared" si="52"/>
        <v>0</v>
      </c>
      <c r="Q651" s="91">
        <f t="shared" si="53"/>
        <v>0</v>
      </c>
      <c r="R651" s="91"/>
    </row>
    <row r="652" spans="2:18" ht="12" customHeight="1" x14ac:dyDescent="0.3">
      <c r="B652" s="98">
        <f t="shared" si="54"/>
        <v>649</v>
      </c>
      <c r="C652" s="97" t="str">
        <f t="shared" si="51"/>
        <v>Jan-00</v>
      </c>
      <c r="D652" s="96"/>
      <c r="E652" s="95"/>
      <c r="F652" s="95"/>
      <c r="G652" s="95"/>
      <c r="H652" s="94"/>
      <c r="I652" s="94"/>
      <c r="J652" s="91"/>
      <c r="K652" s="91"/>
      <c r="L652" s="94"/>
      <c r="M652" s="93"/>
      <c r="N652" s="92"/>
      <c r="O652" s="92">
        <f t="shared" si="50"/>
        <v>0</v>
      </c>
      <c r="P652" s="91">
        <f t="shared" si="52"/>
        <v>0</v>
      </c>
      <c r="Q652" s="91">
        <f t="shared" si="53"/>
        <v>0</v>
      </c>
      <c r="R652" s="91"/>
    </row>
    <row r="653" spans="2:18" ht="12" customHeight="1" x14ac:dyDescent="0.3">
      <c r="B653" s="98">
        <f t="shared" si="54"/>
        <v>650</v>
      </c>
      <c r="C653" s="97" t="str">
        <f t="shared" si="51"/>
        <v>Jan-00</v>
      </c>
      <c r="D653" s="96"/>
      <c r="E653" s="95"/>
      <c r="F653" s="95"/>
      <c r="G653" s="95"/>
      <c r="H653" s="94"/>
      <c r="I653" s="94"/>
      <c r="J653" s="91"/>
      <c r="K653" s="91"/>
      <c r="L653" s="94"/>
      <c r="M653" s="93"/>
      <c r="N653" s="92"/>
      <c r="O653" s="92">
        <f t="shared" si="50"/>
        <v>0</v>
      </c>
      <c r="P653" s="91">
        <f t="shared" si="52"/>
        <v>0</v>
      </c>
      <c r="Q653" s="91">
        <f t="shared" si="53"/>
        <v>0</v>
      </c>
      <c r="R653" s="91"/>
    </row>
    <row r="654" spans="2:18" ht="12" customHeight="1" x14ac:dyDescent="0.3">
      <c r="B654" s="98">
        <f t="shared" si="54"/>
        <v>651</v>
      </c>
      <c r="C654" s="97" t="str">
        <f t="shared" si="51"/>
        <v>Jan-00</v>
      </c>
      <c r="D654" s="96"/>
      <c r="E654" s="95"/>
      <c r="F654" s="95"/>
      <c r="G654" s="95"/>
      <c r="H654" s="94"/>
      <c r="I654" s="94"/>
      <c r="J654" s="91"/>
      <c r="K654" s="91"/>
      <c r="L654" s="94"/>
      <c r="M654" s="93"/>
      <c r="N654" s="92"/>
      <c r="O654" s="92">
        <f t="shared" si="50"/>
        <v>0</v>
      </c>
      <c r="P654" s="91">
        <f t="shared" si="52"/>
        <v>0</v>
      </c>
      <c r="Q654" s="91">
        <f t="shared" si="53"/>
        <v>0</v>
      </c>
      <c r="R654" s="91"/>
    </row>
    <row r="655" spans="2:18" ht="12" customHeight="1" x14ac:dyDescent="0.3">
      <c r="B655" s="98">
        <f t="shared" si="54"/>
        <v>652</v>
      </c>
      <c r="C655" s="97" t="str">
        <f t="shared" si="51"/>
        <v>Jan-00</v>
      </c>
      <c r="D655" s="96"/>
      <c r="E655" s="95"/>
      <c r="F655" s="95"/>
      <c r="G655" s="95"/>
      <c r="H655" s="94"/>
      <c r="I655" s="94"/>
      <c r="J655" s="91"/>
      <c r="K655" s="91"/>
      <c r="L655" s="94"/>
      <c r="M655" s="93"/>
      <c r="N655" s="92"/>
      <c r="O655" s="92">
        <f t="shared" si="50"/>
        <v>0</v>
      </c>
      <c r="P655" s="91">
        <f t="shared" si="52"/>
        <v>0</v>
      </c>
      <c r="Q655" s="91">
        <f t="shared" si="53"/>
        <v>0</v>
      </c>
      <c r="R655" s="91"/>
    </row>
    <row r="656" spans="2:18" ht="12" customHeight="1" x14ac:dyDescent="0.3">
      <c r="B656" s="98">
        <f t="shared" si="54"/>
        <v>653</v>
      </c>
      <c r="C656" s="97" t="str">
        <f t="shared" si="51"/>
        <v>Jan-00</v>
      </c>
      <c r="D656" s="96"/>
      <c r="E656" s="95"/>
      <c r="F656" s="95"/>
      <c r="G656" s="95"/>
      <c r="H656" s="94"/>
      <c r="I656" s="94"/>
      <c r="J656" s="91"/>
      <c r="K656" s="91"/>
      <c r="L656" s="94"/>
      <c r="M656" s="93"/>
      <c r="N656" s="92"/>
      <c r="O656" s="92">
        <f t="shared" si="50"/>
        <v>0</v>
      </c>
      <c r="P656" s="91">
        <f t="shared" si="52"/>
        <v>0</v>
      </c>
      <c r="Q656" s="91">
        <f t="shared" si="53"/>
        <v>0</v>
      </c>
      <c r="R656" s="91"/>
    </row>
    <row r="657" spans="2:18" ht="12" customHeight="1" x14ac:dyDescent="0.3">
      <c r="B657" s="98">
        <f t="shared" si="54"/>
        <v>654</v>
      </c>
      <c r="C657" s="97" t="str">
        <f t="shared" si="51"/>
        <v>Jan-00</v>
      </c>
      <c r="D657" s="96"/>
      <c r="E657" s="95"/>
      <c r="F657" s="95"/>
      <c r="G657" s="95"/>
      <c r="H657" s="94"/>
      <c r="I657" s="94"/>
      <c r="J657" s="91"/>
      <c r="K657" s="91"/>
      <c r="L657" s="94"/>
      <c r="M657" s="93"/>
      <c r="N657" s="92"/>
      <c r="O657" s="92">
        <f t="shared" si="50"/>
        <v>0</v>
      </c>
      <c r="P657" s="91">
        <f t="shared" si="52"/>
        <v>0</v>
      </c>
      <c r="Q657" s="91">
        <f t="shared" si="53"/>
        <v>0</v>
      </c>
      <c r="R657" s="91"/>
    </row>
    <row r="658" spans="2:18" ht="12" customHeight="1" x14ac:dyDescent="0.3">
      <c r="B658" s="98">
        <f t="shared" si="54"/>
        <v>655</v>
      </c>
      <c r="C658" s="97" t="str">
        <f t="shared" si="51"/>
        <v>Jan-00</v>
      </c>
      <c r="D658" s="96"/>
      <c r="E658" s="95"/>
      <c r="F658" s="95"/>
      <c r="G658" s="95"/>
      <c r="H658" s="94"/>
      <c r="I658" s="94"/>
      <c r="J658" s="91"/>
      <c r="K658" s="91"/>
      <c r="L658" s="94"/>
      <c r="M658" s="93"/>
      <c r="N658" s="92"/>
      <c r="O658" s="92">
        <f t="shared" si="50"/>
        <v>0</v>
      </c>
      <c r="P658" s="91">
        <f t="shared" si="52"/>
        <v>0</v>
      </c>
      <c r="Q658" s="91">
        <f t="shared" si="53"/>
        <v>0</v>
      </c>
      <c r="R658" s="91"/>
    </row>
    <row r="659" spans="2:18" ht="12" customHeight="1" x14ac:dyDescent="0.3">
      <c r="B659" s="98">
        <f t="shared" si="54"/>
        <v>656</v>
      </c>
      <c r="C659" s="97" t="str">
        <f t="shared" si="51"/>
        <v>Jan-00</v>
      </c>
      <c r="D659" s="96"/>
      <c r="E659" s="95"/>
      <c r="F659" s="95"/>
      <c r="G659" s="95"/>
      <c r="H659" s="94"/>
      <c r="I659" s="94"/>
      <c r="J659" s="91"/>
      <c r="K659" s="91"/>
      <c r="L659" s="94"/>
      <c r="M659" s="93"/>
      <c r="N659" s="92"/>
      <c r="O659" s="92">
        <f t="shared" si="50"/>
        <v>0</v>
      </c>
      <c r="P659" s="91">
        <f t="shared" si="52"/>
        <v>0</v>
      </c>
      <c r="Q659" s="91">
        <f t="shared" si="53"/>
        <v>0</v>
      </c>
      <c r="R659" s="91"/>
    </row>
    <row r="660" spans="2:18" ht="12" customHeight="1" x14ac:dyDescent="0.3">
      <c r="B660" s="98">
        <f t="shared" si="54"/>
        <v>657</v>
      </c>
      <c r="C660" s="97" t="str">
        <f t="shared" si="51"/>
        <v>Jan-00</v>
      </c>
      <c r="D660" s="96"/>
      <c r="E660" s="95"/>
      <c r="F660" s="95"/>
      <c r="G660" s="95"/>
      <c r="H660" s="94"/>
      <c r="I660" s="94"/>
      <c r="J660" s="91"/>
      <c r="K660" s="91"/>
      <c r="L660" s="94"/>
      <c r="M660" s="93"/>
      <c r="N660" s="92"/>
      <c r="O660" s="92">
        <f t="shared" si="50"/>
        <v>0</v>
      </c>
      <c r="P660" s="91">
        <f t="shared" si="52"/>
        <v>0</v>
      </c>
      <c r="Q660" s="91">
        <f t="shared" si="53"/>
        <v>0</v>
      </c>
      <c r="R660" s="91"/>
    </row>
    <row r="661" spans="2:18" ht="12" customHeight="1" x14ac:dyDescent="0.3">
      <c r="B661" s="98">
        <f t="shared" si="54"/>
        <v>658</v>
      </c>
      <c r="C661" s="97" t="str">
        <f t="shared" si="51"/>
        <v>Jan-00</v>
      </c>
      <c r="D661" s="96"/>
      <c r="E661" s="95"/>
      <c r="F661" s="95"/>
      <c r="G661" s="95"/>
      <c r="H661" s="94"/>
      <c r="I661" s="94"/>
      <c r="J661" s="91"/>
      <c r="K661" s="91"/>
      <c r="L661" s="94"/>
      <c r="M661" s="93"/>
      <c r="N661" s="92"/>
      <c r="O661" s="92">
        <f t="shared" si="50"/>
        <v>0</v>
      </c>
      <c r="P661" s="91">
        <f t="shared" si="52"/>
        <v>0</v>
      </c>
      <c r="Q661" s="91">
        <f t="shared" si="53"/>
        <v>0</v>
      </c>
      <c r="R661" s="91"/>
    </row>
    <row r="662" spans="2:18" ht="12" customHeight="1" x14ac:dyDescent="0.3">
      <c r="B662" s="98">
        <f t="shared" si="54"/>
        <v>659</v>
      </c>
      <c r="C662" s="97" t="str">
        <f t="shared" si="51"/>
        <v>Jan-00</v>
      </c>
      <c r="D662" s="96"/>
      <c r="E662" s="95"/>
      <c r="F662" s="95"/>
      <c r="G662" s="95"/>
      <c r="H662" s="94"/>
      <c r="I662" s="94"/>
      <c r="J662" s="91"/>
      <c r="K662" s="91"/>
      <c r="L662" s="94"/>
      <c r="M662" s="93"/>
      <c r="N662" s="92"/>
      <c r="O662" s="92">
        <f t="shared" si="50"/>
        <v>0</v>
      </c>
      <c r="P662" s="91">
        <f t="shared" si="52"/>
        <v>0</v>
      </c>
      <c r="Q662" s="91">
        <f t="shared" si="53"/>
        <v>0</v>
      </c>
      <c r="R662" s="91"/>
    </row>
    <row r="663" spans="2:18" ht="12" customHeight="1" x14ac:dyDescent="0.3">
      <c r="B663" s="98">
        <f t="shared" si="54"/>
        <v>660</v>
      </c>
      <c r="C663" s="97" t="str">
        <f t="shared" si="51"/>
        <v>Jan-00</v>
      </c>
      <c r="D663" s="96"/>
      <c r="E663" s="95"/>
      <c r="F663" s="95"/>
      <c r="G663" s="95"/>
      <c r="H663" s="94"/>
      <c r="I663" s="94"/>
      <c r="J663" s="91"/>
      <c r="K663" s="91"/>
      <c r="L663" s="94"/>
      <c r="M663" s="93"/>
      <c r="N663" s="92"/>
      <c r="O663" s="92">
        <f t="shared" si="50"/>
        <v>0</v>
      </c>
      <c r="P663" s="91">
        <f t="shared" si="52"/>
        <v>0</v>
      </c>
      <c r="Q663" s="91">
        <f t="shared" si="53"/>
        <v>0</v>
      </c>
      <c r="R663" s="91"/>
    </row>
    <row r="664" spans="2:18" ht="12" customHeight="1" x14ac:dyDescent="0.3">
      <c r="B664" s="98">
        <f t="shared" si="54"/>
        <v>661</v>
      </c>
      <c r="C664" s="97" t="str">
        <f t="shared" si="51"/>
        <v>Jan-00</v>
      </c>
      <c r="D664" s="96"/>
      <c r="E664" s="95"/>
      <c r="F664" s="95"/>
      <c r="G664" s="95"/>
      <c r="H664" s="94"/>
      <c r="I664" s="94"/>
      <c r="J664" s="91"/>
      <c r="K664" s="91"/>
      <c r="L664" s="94"/>
      <c r="M664" s="93"/>
      <c r="N664" s="92"/>
      <c r="O664" s="92">
        <f t="shared" si="50"/>
        <v>0</v>
      </c>
      <c r="P664" s="91">
        <f t="shared" si="52"/>
        <v>0</v>
      </c>
      <c r="Q664" s="91">
        <f t="shared" si="53"/>
        <v>0</v>
      </c>
      <c r="R664" s="91"/>
    </row>
    <row r="665" spans="2:18" ht="12" customHeight="1" x14ac:dyDescent="0.3">
      <c r="B665" s="98">
        <f t="shared" si="54"/>
        <v>662</v>
      </c>
      <c r="C665" s="97" t="str">
        <f t="shared" si="51"/>
        <v>Jan-00</v>
      </c>
      <c r="D665" s="96"/>
      <c r="E665" s="95"/>
      <c r="F665" s="95"/>
      <c r="G665" s="95"/>
      <c r="H665" s="94"/>
      <c r="I665" s="94"/>
      <c r="J665" s="91"/>
      <c r="K665" s="91"/>
      <c r="L665" s="94"/>
      <c r="M665" s="93"/>
      <c r="N665" s="92"/>
      <c r="O665" s="92">
        <f t="shared" si="50"/>
        <v>0</v>
      </c>
      <c r="P665" s="91">
        <f t="shared" si="52"/>
        <v>0</v>
      </c>
      <c r="Q665" s="91">
        <f t="shared" si="53"/>
        <v>0</v>
      </c>
      <c r="R665" s="91"/>
    </row>
    <row r="666" spans="2:18" ht="12" customHeight="1" x14ac:dyDescent="0.3">
      <c r="B666" s="98">
        <f t="shared" si="54"/>
        <v>663</v>
      </c>
      <c r="C666" s="97" t="str">
        <f t="shared" si="51"/>
        <v>Jan-00</v>
      </c>
      <c r="D666" s="96"/>
      <c r="E666" s="95"/>
      <c r="F666" s="95"/>
      <c r="G666" s="95"/>
      <c r="H666" s="94"/>
      <c r="I666" s="94"/>
      <c r="J666" s="91"/>
      <c r="K666" s="91"/>
      <c r="L666" s="94"/>
      <c r="M666" s="93"/>
      <c r="N666" s="92"/>
      <c r="O666" s="92">
        <f t="shared" si="50"/>
        <v>0</v>
      </c>
      <c r="P666" s="91">
        <f t="shared" si="52"/>
        <v>0</v>
      </c>
      <c r="Q666" s="91">
        <f t="shared" si="53"/>
        <v>0</v>
      </c>
      <c r="R666" s="91"/>
    </row>
    <row r="667" spans="2:18" ht="12" customHeight="1" x14ac:dyDescent="0.3">
      <c r="B667" s="98">
        <f t="shared" si="54"/>
        <v>664</v>
      </c>
      <c r="C667" s="97" t="str">
        <f t="shared" si="51"/>
        <v>Jan-00</v>
      </c>
      <c r="D667" s="96"/>
      <c r="E667" s="95"/>
      <c r="F667" s="95"/>
      <c r="G667" s="95"/>
      <c r="H667" s="94"/>
      <c r="I667" s="94"/>
      <c r="J667" s="91"/>
      <c r="K667" s="91"/>
      <c r="L667" s="94"/>
      <c r="M667" s="93"/>
      <c r="N667" s="92"/>
      <c r="O667" s="92">
        <f t="shared" si="50"/>
        <v>0</v>
      </c>
      <c r="P667" s="91">
        <f t="shared" si="52"/>
        <v>0</v>
      </c>
      <c r="Q667" s="91">
        <f t="shared" si="53"/>
        <v>0</v>
      </c>
      <c r="R667" s="91"/>
    </row>
    <row r="668" spans="2:18" ht="12" customHeight="1" x14ac:dyDescent="0.3">
      <c r="B668" s="98">
        <f t="shared" si="54"/>
        <v>665</v>
      </c>
      <c r="C668" s="97" t="str">
        <f t="shared" si="51"/>
        <v>Jan-00</v>
      </c>
      <c r="D668" s="96"/>
      <c r="E668" s="95"/>
      <c r="F668" s="95"/>
      <c r="G668" s="95"/>
      <c r="H668" s="94"/>
      <c r="I668" s="94"/>
      <c r="J668" s="91"/>
      <c r="K668" s="91"/>
      <c r="L668" s="94"/>
      <c r="M668" s="93"/>
      <c r="N668" s="92"/>
      <c r="O668" s="92">
        <f t="shared" si="50"/>
        <v>0</v>
      </c>
      <c r="P668" s="91">
        <f t="shared" si="52"/>
        <v>0</v>
      </c>
      <c r="Q668" s="91">
        <f t="shared" si="53"/>
        <v>0</v>
      </c>
      <c r="R668" s="91"/>
    </row>
    <row r="669" spans="2:18" ht="12" customHeight="1" x14ac:dyDescent="0.3">
      <c r="B669" s="98">
        <f t="shared" si="54"/>
        <v>666</v>
      </c>
      <c r="C669" s="97" t="str">
        <f t="shared" si="51"/>
        <v>Jan-00</v>
      </c>
      <c r="D669" s="96"/>
      <c r="E669" s="95"/>
      <c r="F669" s="95"/>
      <c r="G669" s="95"/>
      <c r="H669" s="94"/>
      <c r="I669" s="94"/>
      <c r="J669" s="91"/>
      <c r="K669" s="91"/>
      <c r="L669" s="94"/>
      <c r="M669" s="93"/>
      <c r="N669" s="92"/>
      <c r="O669" s="92">
        <f t="shared" si="50"/>
        <v>0</v>
      </c>
      <c r="P669" s="91">
        <f t="shared" si="52"/>
        <v>0</v>
      </c>
      <c r="Q669" s="91">
        <f t="shared" si="53"/>
        <v>0</v>
      </c>
      <c r="R669" s="91"/>
    </row>
    <row r="670" spans="2:18" ht="12" customHeight="1" x14ac:dyDescent="0.3">
      <c r="B670" s="98">
        <f t="shared" si="54"/>
        <v>667</v>
      </c>
      <c r="C670" s="97" t="str">
        <f t="shared" si="51"/>
        <v>Jan-00</v>
      </c>
      <c r="D670" s="96"/>
      <c r="E670" s="95"/>
      <c r="F670" s="95"/>
      <c r="G670" s="95"/>
      <c r="H670" s="94"/>
      <c r="I670" s="94"/>
      <c r="J670" s="91"/>
      <c r="K670" s="91"/>
      <c r="L670" s="94"/>
      <c r="M670" s="93"/>
      <c r="N670" s="92"/>
      <c r="O670" s="92">
        <f t="shared" si="50"/>
        <v>0</v>
      </c>
      <c r="P670" s="91">
        <f t="shared" si="52"/>
        <v>0</v>
      </c>
      <c r="Q670" s="91">
        <f t="shared" si="53"/>
        <v>0</v>
      </c>
      <c r="R670" s="91"/>
    </row>
    <row r="671" spans="2:18" ht="12" customHeight="1" x14ac:dyDescent="0.3">
      <c r="B671" s="98">
        <f t="shared" si="54"/>
        <v>668</v>
      </c>
      <c r="C671" s="97" t="str">
        <f t="shared" si="51"/>
        <v>Jan-00</v>
      </c>
      <c r="D671" s="96"/>
      <c r="E671" s="95"/>
      <c r="F671" s="95"/>
      <c r="G671" s="95"/>
      <c r="H671" s="94"/>
      <c r="I671" s="94"/>
      <c r="J671" s="91"/>
      <c r="K671" s="91"/>
      <c r="L671" s="94"/>
      <c r="M671" s="93"/>
      <c r="N671" s="92"/>
      <c r="O671" s="92">
        <f t="shared" si="50"/>
        <v>0</v>
      </c>
      <c r="P671" s="91">
        <f t="shared" si="52"/>
        <v>0</v>
      </c>
      <c r="Q671" s="91">
        <f t="shared" si="53"/>
        <v>0</v>
      </c>
      <c r="R671" s="91"/>
    </row>
    <row r="672" spans="2:18" ht="12" customHeight="1" x14ac:dyDescent="0.3">
      <c r="B672" s="98">
        <f t="shared" si="54"/>
        <v>669</v>
      </c>
      <c r="C672" s="97" t="str">
        <f t="shared" si="51"/>
        <v>Jan-00</v>
      </c>
      <c r="D672" s="96"/>
      <c r="E672" s="95"/>
      <c r="F672" s="95"/>
      <c r="G672" s="95"/>
      <c r="H672" s="94"/>
      <c r="I672" s="94"/>
      <c r="J672" s="91"/>
      <c r="K672" s="91"/>
      <c r="L672" s="94"/>
      <c r="M672" s="93"/>
      <c r="N672" s="92"/>
      <c r="O672" s="92">
        <f t="shared" si="50"/>
        <v>0</v>
      </c>
      <c r="P672" s="91">
        <f t="shared" si="52"/>
        <v>0</v>
      </c>
      <c r="Q672" s="91">
        <f t="shared" si="53"/>
        <v>0</v>
      </c>
      <c r="R672" s="91"/>
    </row>
    <row r="673" spans="2:18" ht="12" customHeight="1" x14ac:dyDescent="0.3">
      <c r="B673" s="98">
        <f t="shared" si="54"/>
        <v>670</v>
      </c>
      <c r="C673" s="97" t="str">
        <f t="shared" si="51"/>
        <v>Jan-00</v>
      </c>
      <c r="D673" s="96"/>
      <c r="E673" s="95"/>
      <c r="F673" s="95"/>
      <c r="G673" s="95"/>
      <c r="H673" s="94"/>
      <c r="I673" s="94"/>
      <c r="J673" s="91"/>
      <c r="K673" s="91"/>
      <c r="L673" s="94"/>
      <c r="M673" s="93"/>
      <c r="N673" s="92"/>
      <c r="O673" s="92">
        <f t="shared" si="50"/>
        <v>0</v>
      </c>
      <c r="P673" s="91">
        <f t="shared" si="52"/>
        <v>0</v>
      </c>
      <c r="Q673" s="91">
        <f t="shared" si="53"/>
        <v>0</v>
      </c>
      <c r="R673" s="91"/>
    </row>
    <row r="674" spans="2:18" ht="12" customHeight="1" x14ac:dyDescent="0.3">
      <c r="B674" s="98">
        <f t="shared" si="54"/>
        <v>671</v>
      </c>
      <c r="C674" s="97" t="str">
        <f t="shared" si="51"/>
        <v>Jan-00</v>
      </c>
      <c r="D674" s="96"/>
      <c r="E674" s="95"/>
      <c r="F674" s="95"/>
      <c r="G674" s="95"/>
      <c r="H674" s="94"/>
      <c r="I674" s="94"/>
      <c r="J674" s="91"/>
      <c r="K674" s="91"/>
      <c r="L674" s="94"/>
      <c r="M674" s="93"/>
      <c r="N674" s="92"/>
      <c r="O674" s="92">
        <f t="shared" ref="O674:O737" si="55">SUM(N674*M674)</f>
        <v>0</v>
      </c>
      <c r="P674" s="91">
        <f t="shared" si="52"/>
        <v>0</v>
      </c>
      <c r="Q674" s="91">
        <f t="shared" si="53"/>
        <v>0</v>
      </c>
      <c r="R674" s="91"/>
    </row>
    <row r="675" spans="2:18" ht="12" customHeight="1" x14ac:dyDescent="0.3">
      <c r="B675" s="98">
        <f t="shared" si="54"/>
        <v>672</v>
      </c>
      <c r="C675" s="97" t="str">
        <f t="shared" si="51"/>
        <v>Jan-00</v>
      </c>
      <c r="D675" s="96"/>
      <c r="E675" s="95"/>
      <c r="F675" s="95"/>
      <c r="G675" s="95"/>
      <c r="H675" s="94"/>
      <c r="I675" s="94"/>
      <c r="J675" s="91"/>
      <c r="K675" s="91"/>
      <c r="L675" s="94"/>
      <c r="M675" s="93"/>
      <c r="N675" s="92"/>
      <c r="O675" s="92">
        <f t="shared" si="55"/>
        <v>0</v>
      </c>
      <c r="P675" s="91">
        <f t="shared" si="52"/>
        <v>0</v>
      </c>
      <c r="Q675" s="91">
        <f t="shared" si="53"/>
        <v>0</v>
      </c>
      <c r="R675" s="91"/>
    </row>
    <row r="676" spans="2:18" ht="12" customHeight="1" x14ac:dyDescent="0.3">
      <c r="B676" s="98">
        <f t="shared" si="54"/>
        <v>673</v>
      </c>
      <c r="C676" s="97" t="str">
        <f t="shared" si="51"/>
        <v>Jan-00</v>
      </c>
      <c r="D676" s="96"/>
      <c r="E676" s="95"/>
      <c r="F676" s="95"/>
      <c r="G676" s="95"/>
      <c r="H676" s="94"/>
      <c r="I676" s="94"/>
      <c r="J676" s="91"/>
      <c r="K676" s="91"/>
      <c r="L676" s="94"/>
      <c r="M676" s="93"/>
      <c r="N676" s="92"/>
      <c r="O676" s="92">
        <f t="shared" si="55"/>
        <v>0</v>
      </c>
      <c r="P676" s="91">
        <f t="shared" si="52"/>
        <v>0</v>
      </c>
      <c r="Q676" s="91">
        <f t="shared" si="53"/>
        <v>0</v>
      </c>
      <c r="R676" s="91"/>
    </row>
    <row r="677" spans="2:18" ht="12" customHeight="1" x14ac:dyDescent="0.3">
      <c r="B677" s="98">
        <f t="shared" si="54"/>
        <v>674</v>
      </c>
      <c r="C677" s="97" t="str">
        <f t="shared" si="51"/>
        <v>Jan-00</v>
      </c>
      <c r="D677" s="96"/>
      <c r="E677" s="95"/>
      <c r="F677" s="95"/>
      <c r="G677" s="95"/>
      <c r="H677" s="94"/>
      <c r="I677" s="94"/>
      <c r="J677" s="91"/>
      <c r="K677" s="91"/>
      <c r="L677" s="94"/>
      <c r="M677" s="93"/>
      <c r="N677" s="92"/>
      <c r="O677" s="92">
        <f t="shared" si="55"/>
        <v>0</v>
      </c>
      <c r="P677" s="91">
        <f t="shared" si="52"/>
        <v>0</v>
      </c>
      <c r="Q677" s="91">
        <f t="shared" si="53"/>
        <v>0</v>
      </c>
      <c r="R677" s="91"/>
    </row>
    <row r="678" spans="2:18" ht="12" customHeight="1" x14ac:dyDescent="0.3">
      <c r="B678" s="98">
        <f t="shared" si="54"/>
        <v>675</v>
      </c>
      <c r="C678" s="97" t="str">
        <f t="shared" si="51"/>
        <v>Jan-00</v>
      </c>
      <c r="D678" s="96"/>
      <c r="E678" s="95"/>
      <c r="F678" s="95"/>
      <c r="G678" s="95"/>
      <c r="H678" s="94"/>
      <c r="I678" s="94"/>
      <c r="J678" s="91"/>
      <c r="K678" s="91"/>
      <c r="L678" s="94"/>
      <c r="M678" s="93"/>
      <c r="N678" s="92"/>
      <c r="O678" s="92">
        <f t="shared" si="55"/>
        <v>0</v>
      </c>
      <c r="P678" s="91">
        <f t="shared" si="52"/>
        <v>0</v>
      </c>
      <c r="Q678" s="91">
        <f t="shared" si="53"/>
        <v>0</v>
      </c>
      <c r="R678" s="91"/>
    </row>
    <row r="679" spans="2:18" ht="12" customHeight="1" x14ac:dyDescent="0.3">
      <c r="B679" s="98">
        <f t="shared" si="54"/>
        <v>676</v>
      </c>
      <c r="C679" s="97" t="str">
        <f t="shared" si="51"/>
        <v>Jan-00</v>
      </c>
      <c r="D679" s="96"/>
      <c r="E679" s="95"/>
      <c r="F679" s="95"/>
      <c r="G679" s="95"/>
      <c r="H679" s="94"/>
      <c r="I679" s="94"/>
      <c r="J679" s="91"/>
      <c r="K679" s="91"/>
      <c r="L679" s="94"/>
      <c r="M679" s="93"/>
      <c r="N679" s="92"/>
      <c r="O679" s="92">
        <f t="shared" si="55"/>
        <v>0</v>
      </c>
      <c r="P679" s="91">
        <f t="shared" si="52"/>
        <v>0</v>
      </c>
      <c r="Q679" s="91">
        <f t="shared" si="53"/>
        <v>0</v>
      </c>
      <c r="R679" s="91"/>
    </row>
    <row r="680" spans="2:18" ht="12" customHeight="1" x14ac:dyDescent="0.3">
      <c r="B680" s="98">
        <f t="shared" si="54"/>
        <v>677</v>
      </c>
      <c r="C680" s="97" t="str">
        <f t="shared" si="51"/>
        <v>Jan-00</v>
      </c>
      <c r="D680" s="96"/>
      <c r="E680" s="95"/>
      <c r="F680" s="95"/>
      <c r="G680" s="95"/>
      <c r="H680" s="94"/>
      <c r="I680" s="94"/>
      <c r="J680" s="91"/>
      <c r="K680" s="91"/>
      <c r="L680" s="94"/>
      <c r="M680" s="93"/>
      <c r="N680" s="92"/>
      <c r="O680" s="92">
        <f t="shared" si="55"/>
        <v>0</v>
      </c>
      <c r="P680" s="91">
        <f t="shared" si="52"/>
        <v>0</v>
      </c>
      <c r="Q680" s="91">
        <f t="shared" si="53"/>
        <v>0</v>
      </c>
      <c r="R680" s="91"/>
    </row>
    <row r="681" spans="2:18" ht="12" customHeight="1" x14ac:dyDescent="0.3">
      <c r="B681" s="98">
        <f t="shared" si="54"/>
        <v>678</v>
      </c>
      <c r="C681" s="97" t="str">
        <f t="shared" si="51"/>
        <v>Jan-00</v>
      </c>
      <c r="D681" s="96"/>
      <c r="E681" s="95"/>
      <c r="F681" s="95"/>
      <c r="G681" s="95"/>
      <c r="H681" s="94"/>
      <c r="I681" s="94"/>
      <c r="J681" s="91"/>
      <c r="K681" s="91"/>
      <c r="L681" s="94"/>
      <c r="M681" s="93"/>
      <c r="N681" s="92"/>
      <c r="O681" s="92">
        <f t="shared" si="55"/>
        <v>0</v>
      </c>
      <c r="P681" s="91">
        <f t="shared" si="52"/>
        <v>0</v>
      </c>
      <c r="Q681" s="91">
        <f t="shared" si="53"/>
        <v>0</v>
      </c>
      <c r="R681" s="91"/>
    </row>
    <row r="682" spans="2:18" ht="12" customHeight="1" x14ac:dyDescent="0.3">
      <c r="B682" s="98">
        <f t="shared" si="54"/>
        <v>679</v>
      </c>
      <c r="C682" s="97" t="str">
        <f t="shared" si="51"/>
        <v>Jan-00</v>
      </c>
      <c r="D682" s="96"/>
      <c r="E682" s="95"/>
      <c r="F682" s="95"/>
      <c r="G682" s="95"/>
      <c r="H682" s="94"/>
      <c r="I682" s="94"/>
      <c r="J682" s="91"/>
      <c r="K682" s="91"/>
      <c r="L682" s="94"/>
      <c r="M682" s="93"/>
      <c r="N682" s="92"/>
      <c r="O682" s="92">
        <f t="shared" si="55"/>
        <v>0</v>
      </c>
      <c r="P682" s="91">
        <f t="shared" si="52"/>
        <v>0</v>
      </c>
      <c r="Q682" s="91">
        <f t="shared" si="53"/>
        <v>0</v>
      </c>
      <c r="R682" s="91"/>
    </row>
    <row r="683" spans="2:18" ht="12" customHeight="1" x14ac:dyDescent="0.3">
      <c r="B683" s="98">
        <f t="shared" si="54"/>
        <v>680</v>
      </c>
      <c r="C683" s="97" t="str">
        <f t="shared" si="51"/>
        <v>Jan-00</v>
      </c>
      <c r="D683" s="96"/>
      <c r="E683" s="95"/>
      <c r="F683" s="95"/>
      <c r="G683" s="95"/>
      <c r="H683" s="94"/>
      <c r="I683" s="94"/>
      <c r="J683" s="91"/>
      <c r="K683" s="91"/>
      <c r="L683" s="94"/>
      <c r="M683" s="93"/>
      <c r="N683" s="92"/>
      <c r="O683" s="92">
        <f t="shared" si="55"/>
        <v>0</v>
      </c>
      <c r="P683" s="91">
        <f t="shared" si="52"/>
        <v>0</v>
      </c>
      <c r="Q683" s="91">
        <f t="shared" si="53"/>
        <v>0</v>
      </c>
      <c r="R683" s="91"/>
    </row>
    <row r="684" spans="2:18" ht="12" customHeight="1" x14ac:dyDescent="0.3">
      <c r="B684" s="98">
        <f t="shared" si="54"/>
        <v>681</v>
      </c>
      <c r="C684" s="97" t="str">
        <f t="shared" si="51"/>
        <v>Jan-00</v>
      </c>
      <c r="D684" s="96"/>
      <c r="E684" s="95"/>
      <c r="F684" s="95"/>
      <c r="G684" s="95"/>
      <c r="H684" s="94"/>
      <c r="I684" s="94"/>
      <c r="J684" s="91"/>
      <c r="K684" s="91"/>
      <c r="L684" s="94"/>
      <c r="M684" s="93"/>
      <c r="N684" s="92"/>
      <c r="O684" s="92">
        <f t="shared" si="55"/>
        <v>0</v>
      </c>
      <c r="P684" s="91">
        <f t="shared" si="52"/>
        <v>0</v>
      </c>
      <c r="Q684" s="91">
        <f t="shared" si="53"/>
        <v>0</v>
      </c>
      <c r="R684" s="91"/>
    </row>
    <row r="685" spans="2:18" ht="12" customHeight="1" x14ac:dyDescent="0.3">
      <c r="B685" s="98">
        <f t="shared" si="54"/>
        <v>682</v>
      </c>
      <c r="C685" s="97" t="str">
        <f t="shared" si="51"/>
        <v>Jan-00</v>
      </c>
      <c r="D685" s="96"/>
      <c r="E685" s="95"/>
      <c r="F685" s="95"/>
      <c r="G685" s="95"/>
      <c r="H685" s="94"/>
      <c r="I685" s="94"/>
      <c r="J685" s="91"/>
      <c r="K685" s="91"/>
      <c r="L685" s="94"/>
      <c r="M685" s="93"/>
      <c r="N685" s="92"/>
      <c r="O685" s="92">
        <f t="shared" si="55"/>
        <v>0</v>
      </c>
      <c r="P685" s="91">
        <f t="shared" si="52"/>
        <v>0</v>
      </c>
      <c r="Q685" s="91">
        <f t="shared" si="53"/>
        <v>0</v>
      </c>
      <c r="R685" s="91"/>
    </row>
    <row r="686" spans="2:18" ht="12" customHeight="1" x14ac:dyDescent="0.3">
      <c r="B686" s="98">
        <f t="shared" si="54"/>
        <v>683</v>
      </c>
      <c r="C686" s="97" t="str">
        <f t="shared" si="51"/>
        <v>Jan-00</v>
      </c>
      <c r="D686" s="96"/>
      <c r="E686" s="95"/>
      <c r="F686" s="95"/>
      <c r="G686" s="95"/>
      <c r="H686" s="94"/>
      <c r="I686" s="94"/>
      <c r="J686" s="91"/>
      <c r="K686" s="91"/>
      <c r="L686" s="94"/>
      <c r="M686" s="93"/>
      <c r="N686" s="92"/>
      <c r="O686" s="92">
        <f t="shared" si="55"/>
        <v>0</v>
      </c>
      <c r="P686" s="91">
        <f t="shared" si="52"/>
        <v>0</v>
      </c>
      <c r="Q686" s="91">
        <f t="shared" si="53"/>
        <v>0</v>
      </c>
      <c r="R686" s="91"/>
    </row>
    <row r="687" spans="2:18" ht="12" customHeight="1" x14ac:dyDescent="0.3">
      <c r="B687" s="98">
        <f t="shared" si="54"/>
        <v>684</v>
      </c>
      <c r="C687" s="97" t="str">
        <f t="shared" si="51"/>
        <v>Jan-00</v>
      </c>
      <c r="D687" s="96"/>
      <c r="E687" s="95"/>
      <c r="F687" s="95"/>
      <c r="G687" s="95"/>
      <c r="H687" s="94"/>
      <c r="I687" s="94"/>
      <c r="J687" s="91"/>
      <c r="K687" s="91"/>
      <c r="L687" s="94"/>
      <c r="M687" s="93"/>
      <c r="N687" s="92"/>
      <c r="O687" s="92">
        <f t="shared" si="55"/>
        <v>0</v>
      </c>
      <c r="P687" s="91">
        <f t="shared" si="52"/>
        <v>0</v>
      </c>
      <c r="Q687" s="91">
        <f t="shared" si="53"/>
        <v>0</v>
      </c>
      <c r="R687" s="91"/>
    </row>
    <row r="688" spans="2:18" ht="12" customHeight="1" x14ac:dyDescent="0.3">
      <c r="B688" s="98">
        <f t="shared" si="54"/>
        <v>685</v>
      </c>
      <c r="C688" s="97" t="str">
        <f t="shared" si="51"/>
        <v>Jan-00</v>
      </c>
      <c r="D688" s="96"/>
      <c r="E688" s="95"/>
      <c r="F688" s="95"/>
      <c r="G688" s="95"/>
      <c r="H688" s="94"/>
      <c r="I688" s="94"/>
      <c r="J688" s="91"/>
      <c r="K688" s="91"/>
      <c r="L688" s="94"/>
      <c r="M688" s="93"/>
      <c r="N688" s="92"/>
      <c r="O688" s="92">
        <f t="shared" si="55"/>
        <v>0</v>
      </c>
      <c r="P688" s="91">
        <f t="shared" si="52"/>
        <v>0</v>
      </c>
      <c r="Q688" s="91">
        <f t="shared" si="53"/>
        <v>0</v>
      </c>
      <c r="R688" s="91"/>
    </row>
    <row r="689" spans="2:18" ht="12" customHeight="1" x14ac:dyDescent="0.3">
      <c r="B689" s="98">
        <f t="shared" si="54"/>
        <v>686</v>
      </c>
      <c r="C689" s="97" t="str">
        <f t="shared" si="51"/>
        <v>Jan-00</v>
      </c>
      <c r="D689" s="96"/>
      <c r="E689" s="95"/>
      <c r="F689" s="95"/>
      <c r="G689" s="95"/>
      <c r="H689" s="94"/>
      <c r="I689" s="94"/>
      <c r="J689" s="91"/>
      <c r="K689" s="91"/>
      <c r="L689" s="94"/>
      <c r="M689" s="93"/>
      <c r="N689" s="92"/>
      <c r="O689" s="92">
        <f t="shared" si="55"/>
        <v>0</v>
      </c>
      <c r="P689" s="91">
        <f t="shared" si="52"/>
        <v>0</v>
      </c>
      <c r="Q689" s="91">
        <f t="shared" si="53"/>
        <v>0</v>
      </c>
      <c r="R689" s="91"/>
    </row>
    <row r="690" spans="2:18" ht="12" customHeight="1" x14ac:dyDescent="0.3">
      <c r="B690" s="98">
        <f t="shared" si="54"/>
        <v>687</v>
      </c>
      <c r="C690" s="97" t="str">
        <f t="shared" si="51"/>
        <v>Jan-00</v>
      </c>
      <c r="D690" s="96"/>
      <c r="E690" s="95"/>
      <c r="F690" s="95"/>
      <c r="G690" s="95"/>
      <c r="H690" s="94"/>
      <c r="I690" s="94"/>
      <c r="J690" s="91"/>
      <c r="K690" s="91"/>
      <c r="L690" s="94"/>
      <c r="M690" s="93"/>
      <c r="N690" s="92"/>
      <c r="O690" s="92">
        <f t="shared" si="55"/>
        <v>0</v>
      </c>
      <c r="P690" s="91">
        <f t="shared" si="52"/>
        <v>0</v>
      </c>
      <c r="Q690" s="91">
        <f t="shared" si="53"/>
        <v>0</v>
      </c>
      <c r="R690" s="91"/>
    </row>
    <row r="691" spans="2:18" ht="12" customHeight="1" x14ac:dyDescent="0.3">
      <c r="B691" s="98">
        <f t="shared" si="54"/>
        <v>688</v>
      </c>
      <c r="C691" s="97" t="str">
        <f t="shared" si="51"/>
        <v>Jan-00</v>
      </c>
      <c r="D691" s="96"/>
      <c r="E691" s="95"/>
      <c r="F691" s="95"/>
      <c r="G691" s="95"/>
      <c r="H691" s="94"/>
      <c r="I691" s="94"/>
      <c r="J691" s="91"/>
      <c r="K691" s="91"/>
      <c r="L691" s="94"/>
      <c r="M691" s="93"/>
      <c r="N691" s="92"/>
      <c r="O691" s="92">
        <f t="shared" si="55"/>
        <v>0</v>
      </c>
      <c r="P691" s="91">
        <f t="shared" si="52"/>
        <v>0</v>
      </c>
      <c r="Q691" s="91">
        <f t="shared" si="53"/>
        <v>0</v>
      </c>
      <c r="R691" s="91"/>
    </row>
    <row r="692" spans="2:18" ht="12" customHeight="1" x14ac:dyDescent="0.3">
      <c r="B692" s="98">
        <f t="shared" si="54"/>
        <v>689</v>
      </c>
      <c r="C692" s="97" t="str">
        <f t="shared" si="51"/>
        <v>Jan-00</v>
      </c>
      <c r="D692" s="96"/>
      <c r="E692" s="95"/>
      <c r="F692" s="95"/>
      <c r="G692" s="95"/>
      <c r="H692" s="94"/>
      <c r="I692" s="94"/>
      <c r="J692" s="91"/>
      <c r="K692" s="91"/>
      <c r="L692" s="94"/>
      <c r="M692" s="93"/>
      <c r="N692" s="92"/>
      <c r="O692" s="92">
        <f t="shared" si="55"/>
        <v>0</v>
      </c>
      <c r="P692" s="91">
        <f t="shared" si="52"/>
        <v>0</v>
      </c>
      <c r="Q692" s="91">
        <f t="shared" si="53"/>
        <v>0</v>
      </c>
      <c r="R692" s="91"/>
    </row>
    <row r="693" spans="2:18" ht="12" customHeight="1" x14ac:dyDescent="0.3">
      <c r="B693" s="98">
        <f t="shared" si="54"/>
        <v>690</v>
      </c>
      <c r="C693" s="97" t="str">
        <f t="shared" si="51"/>
        <v>Jan-00</v>
      </c>
      <c r="D693" s="96"/>
      <c r="E693" s="95"/>
      <c r="F693" s="95"/>
      <c r="G693" s="95"/>
      <c r="H693" s="94"/>
      <c r="I693" s="94"/>
      <c r="J693" s="91"/>
      <c r="K693" s="91"/>
      <c r="L693" s="94"/>
      <c r="M693" s="93"/>
      <c r="N693" s="92"/>
      <c r="O693" s="92">
        <f t="shared" si="55"/>
        <v>0</v>
      </c>
      <c r="P693" s="91">
        <f t="shared" si="52"/>
        <v>0</v>
      </c>
      <c r="Q693" s="91">
        <f t="shared" si="53"/>
        <v>0</v>
      </c>
      <c r="R693" s="91"/>
    </row>
    <row r="694" spans="2:18" ht="12" customHeight="1" x14ac:dyDescent="0.3">
      <c r="B694" s="98">
        <f t="shared" si="54"/>
        <v>691</v>
      </c>
      <c r="C694" s="97" t="str">
        <f t="shared" si="51"/>
        <v>Jan-00</v>
      </c>
      <c r="D694" s="96"/>
      <c r="E694" s="95"/>
      <c r="F694" s="95"/>
      <c r="G694" s="95"/>
      <c r="H694" s="94"/>
      <c r="I694" s="94"/>
      <c r="J694" s="91"/>
      <c r="K694" s="91"/>
      <c r="L694" s="94"/>
      <c r="M694" s="93"/>
      <c r="N694" s="92"/>
      <c r="O694" s="92">
        <f t="shared" si="55"/>
        <v>0</v>
      </c>
      <c r="P694" s="91">
        <f t="shared" si="52"/>
        <v>0</v>
      </c>
      <c r="Q694" s="91">
        <f t="shared" si="53"/>
        <v>0</v>
      </c>
      <c r="R694" s="91"/>
    </row>
    <row r="695" spans="2:18" ht="12" customHeight="1" x14ac:dyDescent="0.3">
      <c r="B695" s="98">
        <f t="shared" si="54"/>
        <v>692</v>
      </c>
      <c r="C695" s="97" t="str">
        <f t="shared" si="51"/>
        <v>Jan-00</v>
      </c>
      <c r="D695" s="96"/>
      <c r="E695" s="95"/>
      <c r="F695" s="95"/>
      <c r="G695" s="95"/>
      <c r="H695" s="94"/>
      <c r="I695" s="94"/>
      <c r="J695" s="91"/>
      <c r="K695" s="91"/>
      <c r="L695" s="94"/>
      <c r="M695" s="93"/>
      <c r="N695" s="92"/>
      <c r="O695" s="92">
        <f t="shared" si="55"/>
        <v>0</v>
      </c>
      <c r="P695" s="91">
        <f t="shared" si="52"/>
        <v>0</v>
      </c>
      <c r="Q695" s="91">
        <f t="shared" si="53"/>
        <v>0</v>
      </c>
      <c r="R695" s="91"/>
    </row>
    <row r="696" spans="2:18" ht="12" customHeight="1" x14ac:dyDescent="0.3">
      <c r="B696" s="98">
        <f t="shared" si="54"/>
        <v>693</v>
      </c>
      <c r="C696" s="97" t="str">
        <f t="shared" si="51"/>
        <v>Jan-00</v>
      </c>
      <c r="D696" s="96"/>
      <c r="E696" s="95"/>
      <c r="F696" s="95"/>
      <c r="G696" s="95"/>
      <c r="H696" s="94"/>
      <c r="I696" s="94"/>
      <c r="J696" s="91"/>
      <c r="K696" s="91"/>
      <c r="L696" s="94"/>
      <c r="M696" s="93"/>
      <c r="N696" s="92"/>
      <c r="O696" s="92">
        <f t="shared" si="55"/>
        <v>0</v>
      </c>
      <c r="P696" s="91">
        <f t="shared" si="52"/>
        <v>0</v>
      </c>
      <c r="Q696" s="91">
        <f t="shared" si="53"/>
        <v>0</v>
      </c>
      <c r="R696" s="91"/>
    </row>
    <row r="697" spans="2:18" ht="12" customHeight="1" x14ac:dyDescent="0.3">
      <c r="B697" s="98">
        <f t="shared" si="54"/>
        <v>694</v>
      </c>
      <c r="C697" s="97" t="str">
        <f t="shared" si="51"/>
        <v>Jan-00</v>
      </c>
      <c r="D697" s="96"/>
      <c r="E697" s="95"/>
      <c r="F697" s="95"/>
      <c r="G697" s="95"/>
      <c r="H697" s="94"/>
      <c r="I697" s="94"/>
      <c r="J697" s="91"/>
      <c r="K697" s="91"/>
      <c r="L697" s="94"/>
      <c r="M697" s="93"/>
      <c r="N697" s="92"/>
      <c r="O697" s="92">
        <f t="shared" si="55"/>
        <v>0</v>
      </c>
      <c r="P697" s="91">
        <f t="shared" si="52"/>
        <v>0</v>
      </c>
      <c r="Q697" s="91">
        <f t="shared" si="53"/>
        <v>0</v>
      </c>
      <c r="R697" s="91"/>
    </row>
    <row r="698" spans="2:18" ht="12" customHeight="1" x14ac:dyDescent="0.3">
      <c r="B698" s="98">
        <f t="shared" si="54"/>
        <v>695</v>
      </c>
      <c r="C698" s="97" t="str">
        <f t="shared" si="51"/>
        <v>Jan-00</v>
      </c>
      <c r="D698" s="96"/>
      <c r="E698" s="95"/>
      <c r="F698" s="95"/>
      <c r="G698" s="95"/>
      <c r="H698" s="94"/>
      <c r="I698" s="94"/>
      <c r="J698" s="91"/>
      <c r="K698" s="91"/>
      <c r="L698" s="94"/>
      <c r="M698" s="93"/>
      <c r="N698" s="92"/>
      <c r="O698" s="92">
        <f t="shared" si="55"/>
        <v>0</v>
      </c>
      <c r="P698" s="91">
        <f t="shared" si="52"/>
        <v>0</v>
      </c>
      <c r="Q698" s="91">
        <f t="shared" si="53"/>
        <v>0</v>
      </c>
      <c r="R698" s="91"/>
    </row>
    <row r="699" spans="2:18" ht="12" customHeight="1" x14ac:dyDescent="0.3">
      <c r="B699" s="98">
        <f t="shared" si="54"/>
        <v>696</v>
      </c>
      <c r="C699" s="97" t="str">
        <f t="shared" si="51"/>
        <v>Jan-00</v>
      </c>
      <c r="D699" s="96"/>
      <c r="E699" s="95"/>
      <c r="F699" s="95"/>
      <c r="G699" s="95"/>
      <c r="H699" s="94"/>
      <c r="I699" s="94"/>
      <c r="J699" s="91"/>
      <c r="K699" s="91"/>
      <c r="L699" s="94"/>
      <c r="M699" s="93"/>
      <c r="N699" s="92"/>
      <c r="O699" s="92">
        <f t="shared" si="55"/>
        <v>0</v>
      </c>
      <c r="P699" s="91">
        <f t="shared" si="52"/>
        <v>0</v>
      </c>
      <c r="Q699" s="91">
        <f t="shared" si="53"/>
        <v>0</v>
      </c>
      <c r="R699" s="91"/>
    </row>
    <row r="700" spans="2:18" ht="12" customHeight="1" x14ac:dyDescent="0.3">
      <c r="B700" s="98">
        <f t="shared" si="54"/>
        <v>697</v>
      </c>
      <c r="C700" s="97" t="str">
        <f t="shared" si="51"/>
        <v>Jan-00</v>
      </c>
      <c r="D700" s="96"/>
      <c r="E700" s="95"/>
      <c r="F700" s="95"/>
      <c r="G700" s="95"/>
      <c r="H700" s="94"/>
      <c r="I700" s="94"/>
      <c r="J700" s="91"/>
      <c r="K700" s="91"/>
      <c r="L700" s="94"/>
      <c r="M700" s="93"/>
      <c r="N700" s="92"/>
      <c r="O700" s="92">
        <f t="shared" si="55"/>
        <v>0</v>
      </c>
      <c r="P700" s="91">
        <f t="shared" si="52"/>
        <v>0</v>
      </c>
      <c r="Q700" s="91">
        <f t="shared" si="53"/>
        <v>0</v>
      </c>
      <c r="R700" s="91"/>
    </row>
    <row r="701" spans="2:18" ht="12" customHeight="1" x14ac:dyDescent="0.3">
      <c r="B701" s="98">
        <f t="shared" si="54"/>
        <v>698</v>
      </c>
      <c r="C701" s="97" t="str">
        <f t="shared" si="51"/>
        <v>Jan-00</v>
      </c>
      <c r="D701" s="96"/>
      <c r="E701" s="95"/>
      <c r="F701" s="95"/>
      <c r="G701" s="95"/>
      <c r="H701" s="94"/>
      <c r="I701" s="94"/>
      <c r="J701" s="91"/>
      <c r="K701" s="91"/>
      <c r="L701" s="94"/>
      <c r="M701" s="93"/>
      <c r="N701" s="92"/>
      <c r="O701" s="92">
        <f t="shared" si="55"/>
        <v>0</v>
      </c>
      <c r="P701" s="91">
        <f t="shared" si="52"/>
        <v>0</v>
      </c>
      <c r="Q701" s="91">
        <f t="shared" si="53"/>
        <v>0</v>
      </c>
      <c r="R701" s="91"/>
    </row>
    <row r="702" spans="2:18" ht="12" customHeight="1" x14ac:dyDescent="0.3">
      <c r="B702" s="98">
        <f t="shared" si="54"/>
        <v>699</v>
      </c>
      <c r="C702" s="97" t="str">
        <f t="shared" si="51"/>
        <v>Jan-00</v>
      </c>
      <c r="D702" s="96"/>
      <c r="E702" s="95"/>
      <c r="F702" s="95"/>
      <c r="G702" s="95"/>
      <c r="H702" s="94"/>
      <c r="I702" s="94"/>
      <c r="J702" s="91"/>
      <c r="K702" s="91"/>
      <c r="L702" s="94"/>
      <c r="M702" s="93"/>
      <c r="N702" s="92"/>
      <c r="O702" s="92">
        <f t="shared" si="55"/>
        <v>0</v>
      </c>
      <c r="P702" s="91">
        <f t="shared" si="52"/>
        <v>0</v>
      </c>
      <c r="Q702" s="91">
        <f t="shared" si="53"/>
        <v>0</v>
      </c>
      <c r="R702" s="91"/>
    </row>
    <row r="703" spans="2:18" ht="12" customHeight="1" x14ac:dyDescent="0.3">
      <c r="B703" s="98">
        <f t="shared" si="54"/>
        <v>700</v>
      </c>
      <c r="C703" s="97" t="str">
        <f t="shared" si="51"/>
        <v>Jan-00</v>
      </c>
      <c r="D703" s="96"/>
      <c r="E703" s="95"/>
      <c r="F703" s="95"/>
      <c r="G703" s="95"/>
      <c r="H703" s="94"/>
      <c r="I703" s="94"/>
      <c r="J703" s="91"/>
      <c r="K703" s="91"/>
      <c r="L703" s="94"/>
      <c r="M703" s="93"/>
      <c r="N703" s="92"/>
      <c r="O703" s="92">
        <f t="shared" si="55"/>
        <v>0</v>
      </c>
      <c r="P703" s="91">
        <f t="shared" si="52"/>
        <v>0</v>
      </c>
      <c r="Q703" s="91">
        <f t="shared" si="53"/>
        <v>0</v>
      </c>
      <c r="R703" s="91"/>
    </row>
    <row r="704" spans="2:18" ht="12" customHeight="1" x14ac:dyDescent="0.3">
      <c r="B704" s="98">
        <f t="shared" si="54"/>
        <v>701</v>
      </c>
      <c r="C704" s="97" t="str">
        <f t="shared" si="51"/>
        <v>Jan-00</v>
      </c>
      <c r="D704" s="96"/>
      <c r="E704" s="95"/>
      <c r="F704" s="95"/>
      <c r="G704" s="95"/>
      <c r="H704" s="94"/>
      <c r="I704" s="94"/>
      <c r="J704" s="91"/>
      <c r="K704" s="91"/>
      <c r="L704" s="94"/>
      <c r="M704" s="93"/>
      <c r="N704" s="92"/>
      <c r="O704" s="92">
        <f t="shared" si="55"/>
        <v>0</v>
      </c>
      <c r="P704" s="91">
        <f t="shared" si="52"/>
        <v>0</v>
      </c>
      <c r="Q704" s="91">
        <f t="shared" si="53"/>
        <v>0</v>
      </c>
      <c r="R704" s="91"/>
    </row>
    <row r="705" spans="2:18" ht="12" customHeight="1" x14ac:dyDescent="0.3">
      <c r="B705" s="98">
        <f t="shared" si="54"/>
        <v>702</v>
      </c>
      <c r="C705" s="97" t="str">
        <f t="shared" si="51"/>
        <v>Jan-00</v>
      </c>
      <c r="D705" s="96"/>
      <c r="E705" s="95"/>
      <c r="F705" s="95"/>
      <c r="G705" s="95"/>
      <c r="H705" s="94"/>
      <c r="I705" s="94"/>
      <c r="J705" s="91"/>
      <c r="K705" s="91"/>
      <c r="L705" s="94"/>
      <c r="M705" s="93"/>
      <c r="N705" s="92"/>
      <c r="O705" s="92">
        <f t="shared" si="55"/>
        <v>0</v>
      </c>
      <c r="P705" s="91">
        <f t="shared" si="52"/>
        <v>0</v>
      </c>
      <c r="Q705" s="91">
        <f t="shared" si="53"/>
        <v>0</v>
      </c>
      <c r="R705" s="91"/>
    </row>
    <row r="706" spans="2:18" ht="12" customHeight="1" x14ac:dyDescent="0.3">
      <c r="B706" s="98">
        <f t="shared" si="54"/>
        <v>703</v>
      </c>
      <c r="C706" s="97" t="str">
        <f t="shared" si="51"/>
        <v>Jan-00</v>
      </c>
      <c r="D706" s="96"/>
      <c r="E706" s="95"/>
      <c r="F706" s="95"/>
      <c r="G706" s="95"/>
      <c r="H706" s="94"/>
      <c r="I706" s="94"/>
      <c r="J706" s="91"/>
      <c r="K706" s="91"/>
      <c r="L706" s="94"/>
      <c r="M706" s="93"/>
      <c r="N706" s="92"/>
      <c r="O706" s="92">
        <f t="shared" si="55"/>
        <v>0</v>
      </c>
      <c r="P706" s="91">
        <f t="shared" si="52"/>
        <v>0</v>
      </c>
      <c r="Q706" s="91">
        <f t="shared" si="53"/>
        <v>0</v>
      </c>
      <c r="R706" s="91"/>
    </row>
    <row r="707" spans="2:18" ht="12" customHeight="1" x14ac:dyDescent="0.3">
      <c r="B707" s="98">
        <f t="shared" si="54"/>
        <v>704</v>
      </c>
      <c r="C707" s="97" t="str">
        <f t="shared" si="51"/>
        <v>Jan-00</v>
      </c>
      <c r="D707" s="96"/>
      <c r="E707" s="95"/>
      <c r="F707" s="95"/>
      <c r="G707" s="95"/>
      <c r="H707" s="94"/>
      <c r="I707" s="94"/>
      <c r="J707" s="91"/>
      <c r="K707" s="91"/>
      <c r="L707" s="94"/>
      <c r="M707" s="93"/>
      <c r="N707" s="92"/>
      <c r="O707" s="92">
        <f t="shared" si="55"/>
        <v>0</v>
      </c>
      <c r="P707" s="91">
        <f t="shared" si="52"/>
        <v>0</v>
      </c>
      <c r="Q707" s="91">
        <f t="shared" si="53"/>
        <v>0</v>
      </c>
      <c r="R707" s="91"/>
    </row>
    <row r="708" spans="2:18" ht="12" customHeight="1" x14ac:dyDescent="0.3">
      <c r="B708" s="98">
        <f t="shared" si="54"/>
        <v>705</v>
      </c>
      <c r="C708" s="97" t="str">
        <f t="shared" ref="C708:C771" si="56">CONCATENATE(TEXT(D708,"mmm"),"-",TEXT(D708,"yy"))</f>
        <v>Jan-00</v>
      </c>
      <c r="D708" s="96"/>
      <c r="E708" s="95"/>
      <c r="F708" s="95"/>
      <c r="G708" s="95"/>
      <c r="H708" s="94"/>
      <c r="I708" s="94"/>
      <c r="J708" s="91"/>
      <c r="K708" s="91"/>
      <c r="L708" s="94"/>
      <c r="M708" s="93"/>
      <c r="N708" s="92"/>
      <c r="O708" s="92">
        <f t="shared" si="55"/>
        <v>0</v>
      </c>
      <c r="P708" s="91">
        <f t="shared" ref="P708:P771" si="57">O708*1%</f>
        <v>0</v>
      </c>
      <c r="Q708" s="91">
        <f t="shared" ref="Q708:Q771" si="58">O708-P708</f>
        <v>0</v>
      </c>
      <c r="R708" s="91"/>
    </row>
    <row r="709" spans="2:18" ht="12" customHeight="1" x14ac:dyDescent="0.3">
      <c r="B709" s="98">
        <f t="shared" ref="B709:B772" si="59">+B708+1</f>
        <v>706</v>
      </c>
      <c r="C709" s="97" t="str">
        <f t="shared" si="56"/>
        <v>Jan-00</v>
      </c>
      <c r="D709" s="96"/>
      <c r="E709" s="95"/>
      <c r="F709" s="95"/>
      <c r="G709" s="95"/>
      <c r="H709" s="94"/>
      <c r="I709" s="94"/>
      <c r="J709" s="91"/>
      <c r="K709" s="91"/>
      <c r="L709" s="94"/>
      <c r="M709" s="93"/>
      <c r="N709" s="92"/>
      <c r="O709" s="92">
        <f t="shared" si="55"/>
        <v>0</v>
      </c>
      <c r="P709" s="91">
        <f t="shared" si="57"/>
        <v>0</v>
      </c>
      <c r="Q709" s="91">
        <f t="shared" si="58"/>
        <v>0</v>
      </c>
      <c r="R709" s="91"/>
    </row>
    <row r="710" spans="2:18" ht="12" customHeight="1" x14ac:dyDescent="0.3">
      <c r="B710" s="98">
        <f t="shared" si="59"/>
        <v>707</v>
      </c>
      <c r="C710" s="97" t="str">
        <f t="shared" si="56"/>
        <v>Jan-00</v>
      </c>
      <c r="D710" s="96"/>
      <c r="E710" s="95"/>
      <c r="F710" s="95"/>
      <c r="G710" s="95"/>
      <c r="H710" s="94"/>
      <c r="I710" s="94"/>
      <c r="J710" s="91"/>
      <c r="K710" s="91"/>
      <c r="L710" s="94"/>
      <c r="M710" s="93"/>
      <c r="N710" s="92"/>
      <c r="O710" s="92">
        <f t="shared" si="55"/>
        <v>0</v>
      </c>
      <c r="P710" s="91">
        <f t="shared" si="57"/>
        <v>0</v>
      </c>
      <c r="Q710" s="91">
        <f t="shared" si="58"/>
        <v>0</v>
      </c>
      <c r="R710" s="91"/>
    </row>
    <row r="711" spans="2:18" ht="12" customHeight="1" x14ac:dyDescent="0.3">
      <c r="B711" s="98">
        <f t="shared" si="59"/>
        <v>708</v>
      </c>
      <c r="C711" s="97" t="str">
        <f t="shared" si="56"/>
        <v>Jan-00</v>
      </c>
      <c r="D711" s="96"/>
      <c r="E711" s="95"/>
      <c r="F711" s="95"/>
      <c r="G711" s="95"/>
      <c r="H711" s="94"/>
      <c r="I711" s="94"/>
      <c r="J711" s="91"/>
      <c r="K711" s="91"/>
      <c r="L711" s="94"/>
      <c r="M711" s="93"/>
      <c r="N711" s="92"/>
      <c r="O711" s="92">
        <f t="shared" si="55"/>
        <v>0</v>
      </c>
      <c r="P711" s="91">
        <f t="shared" si="57"/>
        <v>0</v>
      </c>
      <c r="Q711" s="91">
        <f t="shared" si="58"/>
        <v>0</v>
      </c>
      <c r="R711" s="91"/>
    </row>
    <row r="712" spans="2:18" ht="12" customHeight="1" x14ac:dyDescent="0.3">
      <c r="B712" s="98">
        <f t="shared" si="59"/>
        <v>709</v>
      </c>
      <c r="C712" s="97" t="str">
        <f t="shared" si="56"/>
        <v>Jan-00</v>
      </c>
      <c r="D712" s="96"/>
      <c r="E712" s="95"/>
      <c r="F712" s="95"/>
      <c r="G712" s="95"/>
      <c r="H712" s="94"/>
      <c r="I712" s="94"/>
      <c r="J712" s="91"/>
      <c r="K712" s="91"/>
      <c r="L712" s="94"/>
      <c r="M712" s="93"/>
      <c r="N712" s="92"/>
      <c r="O712" s="92">
        <f t="shared" si="55"/>
        <v>0</v>
      </c>
      <c r="P712" s="91">
        <f t="shared" si="57"/>
        <v>0</v>
      </c>
      <c r="Q712" s="91">
        <f t="shared" si="58"/>
        <v>0</v>
      </c>
      <c r="R712" s="91"/>
    </row>
    <row r="713" spans="2:18" ht="12" customHeight="1" x14ac:dyDescent="0.3">
      <c r="B713" s="98">
        <f t="shared" si="59"/>
        <v>710</v>
      </c>
      <c r="C713" s="97" t="str">
        <f t="shared" si="56"/>
        <v>Jan-00</v>
      </c>
      <c r="D713" s="96"/>
      <c r="E713" s="95"/>
      <c r="F713" s="95"/>
      <c r="G713" s="95"/>
      <c r="H713" s="94"/>
      <c r="I713" s="94"/>
      <c r="J713" s="91"/>
      <c r="K713" s="91"/>
      <c r="L713" s="94"/>
      <c r="M713" s="93"/>
      <c r="N713" s="92"/>
      <c r="O713" s="92">
        <f t="shared" si="55"/>
        <v>0</v>
      </c>
      <c r="P713" s="91">
        <f t="shared" si="57"/>
        <v>0</v>
      </c>
      <c r="Q713" s="91">
        <f t="shared" si="58"/>
        <v>0</v>
      </c>
      <c r="R713" s="91"/>
    </row>
    <row r="714" spans="2:18" ht="12" customHeight="1" x14ac:dyDescent="0.3">
      <c r="B714" s="98">
        <f t="shared" si="59"/>
        <v>711</v>
      </c>
      <c r="C714" s="97" t="str">
        <f t="shared" si="56"/>
        <v>Jan-00</v>
      </c>
      <c r="D714" s="96"/>
      <c r="E714" s="95"/>
      <c r="F714" s="95"/>
      <c r="G714" s="95"/>
      <c r="H714" s="94"/>
      <c r="I714" s="94"/>
      <c r="J714" s="91"/>
      <c r="K714" s="91"/>
      <c r="L714" s="94"/>
      <c r="M714" s="93"/>
      <c r="N714" s="92"/>
      <c r="O714" s="92">
        <f t="shared" si="55"/>
        <v>0</v>
      </c>
      <c r="P714" s="91">
        <f t="shared" si="57"/>
        <v>0</v>
      </c>
      <c r="Q714" s="91">
        <f t="shared" si="58"/>
        <v>0</v>
      </c>
      <c r="R714" s="91"/>
    </row>
    <row r="715" spans="2:18" ht="12" customHeight="1" x14ac:dyDescent="0.3">
      <c r="B715" s="98">
        <f t="shared" si="59"/>
        <v>712</v>
      </c>
      <c r="C715" s="97" t="str">
        <f t="shared" si="56"/>
        <v>Jan-00</v>
      </c>
      <c r="D715" s="96"/>
      <c r="E715" s="95"/>
      <c r="F715" s="95"/>
      <c r="G715" s="95"/>
      <c r="H715" s="94"/>
      <c r="I715" s="94"/>
      <c r="J715" s="91"/>
      <c r="K715" s="91"/>
      <c r="L715" s="94"/>
      <c r="M715" s="93"/>
      <c r="N715" s="92"/>
      <c r="O715" s="92">
        <f t="shared" si="55"/>
        <v>0</v>
      </c>
      <c r="P715" s="91">
        <f t="shared" si="57"/>
        <v>0</v>
      </c>
      <c r="Q715" s="91">
        <f t="shared" si="58"/>
        <v>0</v>
      </c>
      <c r="R715" s="91"/>
    </row>
    <row r="716" spans="2:18" ht="12" customHeight="1" x14ac:dyDescent="0.3">
      <c r="B716" s="98">
        <f t="shared" si="59"/>
        <v>713</v>
      </c>
      <c r="C716" s="97" t="str">
        <f t="shared" si="56"/>
        <v>Jan-00</v>
      </c>
      <c r="D716" s="96"/>
      <c r="E716" s="95"/>
      <c r="F716" s="95"/>
      <c r="G716" s="95"/>
      <c r="H716" s="94"/>
      <c r="I716" s="94"/>
      <c r="J716" s="91"/>
      <c r="K716" s="91"/>
      <c r="L716" s="94"/>
      <c r="M716" s="93"/>
      <c r="N716" s="92"/>
      <c r="O716" s="92">
        <f t="shared" si="55"/>
        <v>0</v>
      </c>
      <c r="P716" s="91">
        <f t="shared" si="57"/>
        <v>0</v>
      </c>
      <c r="Q716" s="91">
        <f t="shared" si="58"/>
        <v>0</v>
      </c>
      <c r="R716" s="91"/>
    </row>
    <row r="717" spans="2:18" ht="12" customHeight="1" x14ac:dyDescent="0.3">
      <c r="B717" s="98">
        <f t="shared" si="59"/>
        <v>714</v>
      </c>
      <c r="C717" s="97" t="str">
        <f t="shared" si="56"/>
        <v>Jan-00</v>
      </c>
      <c r="D717" s="96"/>
      <c r="E717" s="95"/>
      <c r="F717" s="95"/>
      <c r="G717" s="95"/>
      <c r="H717" s="94"/>
      <c r="I717" s="94"/>
      <c r="J717" s="91"/>
      <c r="K717" s="91"/>
      <c r="L717" s="94"/>
      <c r="M717" s="93"/>
      <c r="N717" s="92"/>
      <c r="O717" s="92">
        <f t="shared" si="55"/>
        <v>0</v>
      </c>
      <c r="P717" s="91">
        <f t="shared" si="57"/>
        <v>0</v>
      </c>
      <c r="Q717" s="91">
        <f t="shared" si="58"/>
        <v>0</v>
      </c>
      <c r="R717" s="91"/>
    </row>
    <row r="718" spans="2:18" ht="12" customHeight="1" x14ac:dyDescent="0.3">
      <c r="B718" s="98">
        <f t="shared" si="59"/>
        <v>715</v>
      </c>
      <c r="C718" s="97" t="str">
        <f t="shared" si="56"/>
        <v>Jan-00</v>
      </c>
      <c r="D718" s="96"/>
      <c r="E718" s="95"/>
      <c r="F718" s="95"/>
      <c r="G718" s="95"/>
      <c r="H718" s="94"/>
      <c r="I718" s="94"/>
      <c r="J718" s="91"/>
      <c r="K718" s="91"/>
      <c r="L718" s="94"/>
      <c r="M718" s="93"/>
      <c r="N718" s="92"/>
      <c r="O718" s="92">
        <f t="shared" si="55"/>
        <v>0</v>
      </c>
      <c r="P718" s="91">
        <f t="shared" si="57"/>
        <v>0</v>
      </c>
      <c r="Q718" s="91">
        <f t="shared" si="58"/>
        <v>0</v>
      </c>
      <c r="R718" s="91"/>
    </row>
    <row r="719" spans="2:18" ht="12" customHeight="1" x14ac:dyDescent="0.3">
      <c r="B719" s="98">
        <f t="shared" si="59"/>
        <v>716</v>
      </c>
      <c r="C719" s="97" t="str">
        <f t="shared" si="56"/>
        <v>Jan-00</v>
      </c>
      <c r="D719" s="96"/>
      <c r="E719" s="95"/>
      <c r="F719" s="95"/>
      <c r="G719" s="95"/>
      <c r="H719" s="94"/>
      <c r="I719" s="94"/>
      <c r="J719" s="91"/>
      <c r="K719" s="91"/>
      <c r="L719" s="94"/>
      <c r="M719" s="93"/>
      <c r="N719" s="92"/>
      <c r="O719" s="92">
        <f t="shared" si="55"/>
        <v>0</v>
      </c>
      <c r="P719" s="91">
        <f t="shared" si="57"/>
        <v>0</v>
      </c>
      <c r="Q719" s="91">
        <f t="shared" si="58"/>
        <v>0</v>
      </c>
      <c r="R719" s="91"/>
    </row>
    <row r="720" spans="2:18" ht="12" customHeight="1" x14ac:dyDescent="0.3">
      <c r="B720" s="98">
        <f t="shared" si="59"/>
        <v>717</v>
      </c>
      <c r="C720" s="97" t="str">
        <f t="shared" si="56"/>
        <v>Jan-00</v>
      </c>
      <c r="D720" s="96"/>
      <c r="E720" s="95"/>
      <c r="F720" s="95"/>
      <c r="G720" s="95"/>
      <c r="H720" s="94"/>
      <c r="I720" s="94"/>
      <c r="J720" s="91"/>
      <c r="K720" s="91"/>
      <c r="L720" s="94"/>
      <c r="M720" s="93"/>
      <c r="N720" s="92"/>
      <c r="O720" s="92">
        <f t="shared" si="55"/>
        <v>0</v>
      </c>
      <c r="P720" s="91">
        <f t="shared" si="57"/>
        <v>0</v>
      </c>
      <c r="Q720" s="91">
        <f t="shared" si="58"/>
        <v>0</v>
      </c>
      <c r="R720" s="91"/>
    </row>
    <row r="721" spans="2:18" ht="12" customHeight="1" x14ac:dyDescent="0.3">
      <c r="B721" s="98">
        <f t="shared" si="59"/>
        <v>718</v>
      </c>
      <c r="C721" s="97" t="str">
        <f t="shared" si="56"/>
        <v>Jan-00</v>
      </c>
      <c r="D721" s="96"/>
      <c r="E721" s="95"/>
      <c r="F721" s="95"/>
      <c r="G721" s="95"/>
      <c r="H721" s="94"/>
      <c r="I721" s="94"/>
      <c r="J721" s="91"/>
      <c r="K721" s="91"/>
      <c r="L721" s="94"/>
      <c r="M721" s="93"/>
      <c r="N721" s="92"/>
      <c r="O721" s="92">
        <f t="shared" si="55"/>
        <v>0</v>
      </c>
      <c r="P721" s="91">
        <f t="shared" si="57"/>
        <v>0</v>
      </c>
      <c r="Q721" s="91">
        <f t="shared" si="58"/>
        <v>0</v>
      </c>
      <c r="R721" s="91"/>
    </row>
    <row r="722" spans="2:18" ht="12" customHeight="1" x14ac:dyDescent="0.3">
      <c r="B722" s="98">
        <f t="shared" si="59"/>
        <v>719</v>
      </c>
      <c r="C722" s="97" t="str">
        <f t="shared" si="56"/>
        <v>Jan-00</v>
      </c>
      <c r="D722" s="96"/>
      <c r="E722" s="95"/>
      <c r="F722" s="95"/>
      <c r="G722" s="95"/>
      <c r="H722" s="94"/>
      <c r="I722" s="94"/>
      <c r="J722" s="91"/>
      <c r="K722" s="91"/>
      <c r="L722" s="94"/>
      <c r="M722" s="93"/>
      <c r="N722" s="92"/>
      <c r="O722" s="92">
        <f t="shared" si="55"/>
        <v>0</v>
      </c>
      <c r="P722" s="91">
        <f t="shared" si="57"/>
        <v>0</v>
      </c>
      <c r="Q722" s="91">
        <f t="shared" si="58"/>
        <v>0</v>
      </c>
      <c r="R722" s="91"/>
    </row>
    <row r="723" spans="2:18" ht="12" customHeight="1" x14ac:dyDescent="0.3">
      <c r="B723" s="98">
        <f t="shared" si="59"/>
        <v>720</v>
      </c>
      <c r="C723" s="97" t="str">
        <f t="shared" si="56"/>
        <v>Jan-00</v>
      </c>
      <c r="D723" s="96"/>
      <c r="E723" s="95"/>
      <c r="F723" s="95"/>
      <c r="G723" s="95"/>
      <c r="H723" s="94"/>
      <c r="I723" s="94"/>
      <c r="J723" s="91"/>
      <c r="K723" s="91"/>
      <c r="L723" s="94"/>
      <c r="M723" s="93"/>
      <c r="N723" s="92"/>
      <c r="O723" s="92">
        <f t="shared" si="55"/>
        <v>0</v>
      </c>
      <c r="P723" s="91">
        <f t="shared" si="57"/>
        <v>0</v>
      </c>
      <c r="Q723" s="91">
        <f t="shared" si="58"/>
        <v>0</v>
      </c>
      <c r="R723" s="91"/>
    </row>
    <row r="724" spans="2:18" ht="12" customHeight="1" x14ac:dyDescent="0.3">
      <c r="B724" s="98">
        <f t="shared" si="59"/>
        <v>721</v>
      </c>
      <c r="C724" s="97" t="str">
        <f t="shared" si="56"/>
        <v>Jan-00</v>
      </c>
      <c r="D724" s="96"/>
      <c r="E724" s="95"/>
      <c r="F724" s="95"/>
      <c r="G724" s="95"/>
      <c r="H724" s="94"/>
      <c r="I724" s="94"/>
      <c r="J724" s="91"/>
      <c r="K724" s="91"/>
      <c r="L724" s="94"/>
      <c r="M724" s="93"/>
      <c r="N724" s="92"/>
      <c r="O724" s="92">
        <f t="shared" si="55"/>
        <v>0</v>
      </c>
      <c r="P724" s="91">
        <f t="shared" si="57"/>
        <v>0</v>
      </c>
      <c r="Q724" s="91">
        <f t="shared" si="58"/>
        <v>0</v>
      </c>
      <c r="R724" s="91"/>
    </row>
    <row r="725" spans="2:18" ht="12" customHeight="1" x14ac:dyDescent="0.3">
      <c r="B725" s="98">
        <f t="shared" si="59"/>
        <v>722</v>
      </c>
      <c r="C725" s="97" t="str">
        <f t="shared" si="56"/>
        <v>Jan-00</v>
      </c>
      <c r="D725" s="96"/>
      <c r="E725" s="95"/>
      <c r="F725" s="95"/>
      <c r="G725" s="95"/>
      <c r="H725" s="94"/>
      <c r="I725" s="94"/>
      <c r="J725" s="91"/>
      <c r="K725" s="91"/>
      <c r="L725" s="94"/>
      <c r="M725" s="93"/>
      <c r="N725" s="92"/>
      <c r="O725" s="92">
        <f t="shared" si="55"/>
        <v>0</v>
      </c>
      <c r="P725" s="91">
        <f t="shared" si="57"/>
        <v>0</v>
      </c>
      <c r="Q725" s="91">
        <f t="shared" si="58"/>
        <v>0</v>
      </c>
      <c r="R725" s="91"/>
    </row>
    <row r="726" spans="2:18" ht="12" customHeight="1" x14ac:dyDescent="0.3">
      <c r="B726" s="98">
        <f t="shared" si="59"/>
        <v>723</v>
      </c>
      <c r="C726" s="97" t="str">
        <f t="shared" si="56"/>
        <v>Jan-00</v>
      </c>
      <c r="D726" s="96"/>
      <c r="E726" s="95"/>
      <c r="F726" s="95"/>
      <c r="G726" s="95"/>
      <c r="H726" s="94"/>
      <c r="I726" s="94"/>
      <c r="J726" s="91"/>
      <c r="K726" s="91"/>
      <c r="L726" s="94"/>
      <c r="M726" s="93"/>
      <c r="N726" s="92"/>
      <c r="O726" s="92">
        <f t="shared" si="55"/>
        <v>0</v>
      </c>
      <c r="P726" s="91">
        <f t="shared" si="57"/>
        <v>0</v>
      </c>
      <c r="Q726" s="91">
        <f t="shared" si="58"/>
        <v>0</v>
      </c>
      <c r="R726" s="91"/>
    </row>
    <row r="727" spans="2:18" ht="12" customHeight="1" x14ac:dyDescent="0.3">
      <c r="B727" s="98">
        <f t="shared" si="59"/>
        <v>724</v>
      </c>
      <c r="C727" s="97" t="str">
        <f t="shared" si="56"/>
        <v>Jan-00</v>
      </c>
      <c r="D727" s="96"/>
      <c r="E727" s="95"/>
      <c r="F727" s="95"/>
      <c r="G727" s="95"/>
      <c r="H727" s="94"/>
      <c r="I727" s="94"/>
      <c r="J727" s="91"/>
      <c r="K727" s="91"/>
      <c r="L727" s="94"/>
      <c r="M727" s="93"/>
      <c r="N727" s="92"/>
      <c r="O727" s="92">
        <f t="shared" si="55"/>
        <v>0</v>
      </c>
      <c r="P727" s="91">
        <f t="shared" si="57"/>
        <v>0</v>
      </c>
      <c r="Q727" s="91">
        <f t="shared" si="58"/>
        <v>0</v>
      </c>
      <c r="R727" s="91"/>
    </row>
    <row r="728" spans="2:18" ht="12" customHeight="1" x14ac:dyDescent="0.3">
      <c r="B728" s="98">
        <f t="shared" si="59"/>
        <v>725</v>
      </c>
      <c r="C728" s="97" t="str">
        <f t="shared" si="56"/>
        <v>Jan-00</v>
      </c>
      <c r="D728" s="96"/>
      <c r="E728" s="95"/>
      <c r="F728" s="95"/>
      <c r="G728" s="95"/>
      <c r="H728" s="94"/>
      <c r="I728" s="94"/>
      <c r="J728" s="91"/>
      <c r="K728" s="91"/>
      <c r="L728" s="94"/>
      <c r="M728" s="93"/>
      <c r="N728" s="92"/>
      <c r="O728" s="92">
        <f t="shared" si="55"/>
        <v>0</v>
      </c>
      <c r="P728" s="91">
        <f t="shared" si="57"/>
        <v>0</v>
      </c>
      <c r="Q728" s="91">
        <f t="shared" si="58"/>
        <v>0</v>
      </c>
      <c r="R728" s="91"/>
    </row>
    <row r="729" spans="2:18" ht="12" customHeight="1" x14ac:dyDescent="0.3">
      <c r="B729" s="98">
        <f t="shared" si="59"/>
        <v>726</v>
      </c>
      <c r="C729" s="97" t="str">
        <f t="shared" si="56"/>
        <v>Jan-00</v>
      </c>
      <c r="D729" s="96"/>
      <c r="E729" s="95"/>
      <c r="F729" s="95"/>
      <c r="G729" s="95"/>
      <c r="H729" s="94"/>
      <c r="I729" s="94"/>
      <c r="J729" s="91"/>
      <c r="K729" s="91"/>
      <c r="L729" s="94"/>
      <c r="M729" s="93"/>
      <c r="N729" s="92"/>
      <c r="O729" s="92">
        <f t="shared" si="55"/>
        <v>0</v>
      </c>
      <c r="P729" s="91">
        <f t="shared" si="57"/>
        <v>0</v>
      </c>
      <c r="Q729" s="91">
        <f t="shared" si="58"/>
        <v>0</v>
      </c>
      <c r="R729" s="91"/>
    </row>
    <row r="730" spans="2:18" ht="12" customHeight="1" x14ac:dyDescent="0.3">
      <c r="B730" s="98">
        <f t="shared" si="59"/>
        <v>727</v>
      </c>
      <c r="C730" s="97" t="str">
        <f t="shared" si="56"/>
        <v>Jan-00</v>
      </c>
      <c r="D730" s="96"/>
      <c r="E730" s="95"/>
      <c r="F730" s="95"/>
      <c r="G730" s="95"/>
      <c r="H730" s="94"/>
      <c r="I730" s="94"/>
      <c r="J730" s="91"/>
      <c r="K730" s="91"/>
      <c r="L730" s="94"/>
      <c r="M730" s="93"/>
      <c r="N730" s="92"/>
      <c r="O730" s="92">
        <f t="shared" si="55"/>
        <v>0</v>
      </c>
      <c r="P730" s="91">
        <f t="shared" si="57"/>
        <v>0</v>
      </c>
      <c r="Q730" s="91">
        <f t="shared" si="58"/>
        <v>0</v>
      </c>
      <c r="R730" s="91"/>
    </row>
    <row r="731" spans="2:18" ht="12" customHeight="1" x14ac:dyDescent="0.3">
      <c r="B731" s="98">
        <f t="shared" si="59"/>
        <v>728</v>
      </c>
      <c r="C731" s="97" t="str">
        <f t="shared" si="56"/>
        <v>Jan-00</v>
      </c>
      <c r="D731" s="96"/>
      <c r="E731" s="95"/>
      <c r="F731" s="95"/>
      <c r="G731" s="95"/>
      <c r="H731" s="94"/>
      <c r="I731" s="94"/>
      <c r="J731" s="91"/>
      <c r="K731" s="91"/>
      <c r="L731" s="94"/>
      <c r="M731" s="93"/>
      <c r="N731" s="92"/>
      <c r="O731" s="92">
        <f t="shared" si="55"/>
        <v>0</v>
      </c>
      <c r="P731" s="91">
        <f t="shared" si="57"/>
        <v>0</v>
      </c>
      <c r="Q731" s="91">
        <f t="shared" si="58"/>
        <v>0</v>
      </c>
      <c r="R731" s="91"/>
    </row>
    <row r="732" spans="2:18" ht="12" customHeight="1" x14ac:dyDescent="0.3">
      <c r="B732" s="98">
        <f t="shared" si="59"/>
        <v>729</v>
      </c>
      <c r="C732" s="97" t="str">
        <f t="shared" si="56"/>
        <v>Jan-00</v>
      </c>
      <c r="D732" s="96"/>
      <c r="E732" s="95"/>
      <c r="F732" s="95"/>
      <c r="G732" s="95"/>
      <c r="H732" s="94"/>
      <c r="I732" s="94"/>
      <c r="J732" s="91"/>
      <c r="K732" s="91"/>
      <c r="L732" s="94"/>
      <c r="M732" s="93"/>
      <c r="N732" s="92"/>
      <c r="O732" s="92">
        <f t="shared" si="55"/>
        <v>0</v>
      </c>
      <c r="P732" s="91">
        <f t="shared" si="57"/>
        <v>0</v>
      </c>
      <c r="Q732" s="91">
        <f t="shared" si="58"/>
        <v>0</v>
      </c>
      <c r="R732" s="91"/>
    </row>
    <row r="733" spans="2:18" ht="12" customHeight="1" x14ac:dyDescent="0.3">
      <c r="B733" s="98">
        <f t="shared" si="59"/>
        <v>730</v>
      </c>
      <c r="C733" s="97" t="str">
        <f t="shared" si="56"/>
        <v>Jan-00</v>
      </c>
      <c r="D733" s="96"/>
      <c r="E733" s="95"/>
      <c r="F733" s="95"/>
      <c r="G733" s="95"/>
      <c r="H733" s="94"/>
      <c r="I733" s="94"/>
      <c r="J733" s="91"/>
      <c r="K733" s="91"/>
      <c r="L733" s="94"/>
      <c r="M733" s="93"/>
      <c r="N733" s="92"/>
      <c r="O733" s="92">
        <f t="shared" si="55"/>
        <v>0</v>
      </c>
      <c r="P733" s="91">
        <f t="shared" si="57"/>
        <v>0</v>
      </c>
      <c r="Q733" s="91">
        <f t="shared" si="58"/>
        <v>0</v>
      </c>
      <c r="R733" s="91"/>
    </row>
    <row r="734" spans="2:18" ht="12" customHeight="1" x14ac:dyDescent="0.3">
      <c r="B734" s="98">
        <f t="shared" si="59"/>
        <v>731</v>
      </c>
      <c r="C734" s="97" t="str">
        <f t="shared" si="56"/>
        <v>Jan-00</v>
      </c>
      <c r="D734" s="96"/>
      <c r="E734" s="95"/>
      <c r="F734" s="95"/>
      <c r="G734" s="95"/>
      <c r="H734" s="94"/>
      <c r="I734" s="94"/>
      <c r="J734" s="91"/>
      <c r="K734" s="91"/>
      <c r="L734" s="94"/>
      <c r="M734" s="93"/>
      <c r="N734" s="92"/>
      <c r="O734" s="92">
        <f t="shared" si="55"/>
        <v>0</v>
      </c>
      <c r="P734" s="91">
        <f t="shared" si="57"/>
        <v>0</v>
      </c>
      <c r="Q734" s="91">
        <f t="shared" si="58"/>
        <v>0</v>
      </c>
      <c r="R734" s="91"/>
    </row>
    <row r="735" spans="2:18" ht="12" customHeight="1" x14ac:dyDescent="0.3">
      <c r="B735" s="98">
        <f t="shared" si="59"/>
        <v>732</v>
      </c>
      <c r="C735" s="97" t="str">
        <f t="shared" si="56"/>
        <v>Jan-00</v>
      </c>
      <c r="D735" s="96"/>
      <c r="E735" s="95"/>
      <c r="F735" s="95"/>
      <c r="G735" s="95"/>
      <c r="H735" s="94"/>
      <c r="I735" s="94"/>
      <c r="J735" s="91"/>
      <c r="K735" s="91"/>
      <c r="L735" s="94"/>
      <c r="M735" s="93"/>
      <c r="N735" s="92"/>
      <c r="O735" s="92">
        <f t="shared" si="55"/>
        <v>0</v>
      </c>
      <c r="P735" s="91">
        <f t="shared" si="57"/>
        <v>0</v>
      </c>
      <c r="Q735" s="91">
        <f t="shared" si="58"/>
        <v>0</v>
      </c>
      <c r="R735" s="91"/>
    </row>
    <row r="736" spans="2:18" ht="12" customHeight="1" x14ac:dyDescent="0.3">
      <c r="B736" s="98">
        <f t="shared" si="59"/>
        <v>733</v>
      </c>
      <c r="C736" s="97" t="str">
        <f t="shared" si="56"/>
        <v>Jan-00</v>
      </c>
      <c r="D736" s="96"/>
      <c r="E736" s="95"/>
      <c r="F736" s="95"/>
      <c r="G736" s="95"/>
      <c r="H736" s="94"/>
      <c r="I736" s="94"/>
      <c r="J736" s="91"/>
      <c r="K736" s="91"/>
      <c r="L736" s="94"/>
      <c r="M736" s="93"/>
      <c r="N736" s="92"/>
      <c r="O736" s="92">
        <f t="shared" si="55"/>
        <v>0</v>
      </c>
      <c r="P736" s="91">
        <f t="shared" si="57"/>
        <v>0</v>
      </c>
      <c r="Q736" s="91">
        <f t="shared" si="58"/>
        <v>0</v>
      </c>
      <c r="R736" s="91"/>
    </row>
    <row r="737" spans="2:18" ht="12" customHeight="1" x14ac:dyDescent="0.3">
      <c r="B737" s="98">
        <f t="shared" si="59"/>
        <v>734</v>
      </c>
      <c r="C737" s="97" t="str">
        <f t="shared" si="56"/>
        <v>Jan-00</v>
      </c>
      <c r="D737" s="96"/>
      <c r="E737" s="95"/>
      <c r="F737" s="95"/>
      <c r="G737" s="95"/>
      <c r="H737" s="94"/>
      <c r="I737" s="94"/>
      <c r="J737" s="91"/>
      <c r="K737" s="91"/>
      <c r="L737" s="94"/>
      <c r="M737" s="93"/>
      <c r="N737" s="92"/>
      <c r="O737" s="92">
        <f t="shared" si="55"/>
        <v>0</v>
      </c>
      <c r="P737" s="91">
        <f t="shared" si="57"/>
        <v>0</v>
      </c>
      <c r="Q737" s="91">
        <f t="shared" si="58"/>
        <v>0</v>
      </c>
      <c r="R737" s="91"/>
    </row>
    <row r="738" spans="2:18" ht="12" customHeight="1" x14ac:dyDescent="0.3">
      <c r="B738" s="98">
        <f t="shared" si="59"/>
        <v>735</v>
      </c>
      <c r="C738" s="97" t="str">
        <f t="shared" si="56"/>
        <v>Jan-00</v>
      </c>
      <c r="D738" s="96"/>
      <c r="E738" s="95"/>
      <c r="F738" s="95"/>
      <c r="G738" s="95"/>
      <c r="H738" s="94"/>
      <c r="I738" s="94"/>
      <c r="J738" s="91"/>
      <c r="K738" s="91"/>
      <c r="L738" s="94"/>
      <c r="M738" s="93"/>
      <c r="N738" s="92"/>
      <c r="O738" s="92"/>
      <c r="P738" s="91">
        <f t="shared" si="57"/>
        <v>0</v>
      </c>
      <c r="Q738" s="91">
        <f t="shared" si="58"/>
        <v>0</v>
      </c>
      <c r="R738" s="91"/>
    </row>
    <row r="739" spans="2:18" ht="12" customHeight="1" x14ac:dyDescent="0.3">
      <c r="B739" s="98">
        <f t="shared" si="59"/>
        <v>736</v>
      </c>
      <c r="C739" s="97" t="str">
        <f t="shared" si="56"/>
        <v>Jan-00</v>
      </c>
      <c r="D739" s="96"/>
      <c r="E739" s="95"/>
      <c r="F739" s="95"/>
      <c r="G739" s="95"/>
      <c r="H739" s="94"/>
      <c r="I739" s="94"/>
      <c r="J739" s="91"/>
      <c r="K739" s="91"/>
      <c r="L739" s="94"/>
      <c r="M739" s="93"/>
      <c r="N739" s="92"/>
      <c r="O739" s="92"/>
      <c r="P739" s="91">
        <f t="shared" si="57"/>
        <v>0</v>
      </c>
      <c r="Q739" s="91">
        <f t="shared" si="58"/>
        <v>0</v>
      </c>
      <c r="R739" s="91"/>
    </row>
    <row r="740" spans="2:18" ht="12" customHeight="1" x14ac:dyDescent="0.3">
      <c r="B740" s="98">
        <f t="shared" si="59"/>
        <v>737</v>
      </c>
      <c r="C740" s="97" t="str">
        <f t="shared" si="56"/>
        <v>Jan-00</v>
      </c>
      <c r="D740" s="96"/>
      <c r="E740" s="95"/>
      <c r="F740" s="95"/>
      <c r="G740" s="95"/>
      <c r="H740" s="94"/>
      <c r="I740" s="94"/>
      <c r="J740" s="91"/>
      <c r="K740" s="91"/>
      <c r="L740" s="94"/>
      <c r="M740" s="93"/>
      <c r="N740" s="92"/>
      <c r="O740" s="92"/>
      <c r="P740" s="91">
        <f t="shared" si="57"/>
        <v>0</v>
      </c>
      <c r="Q740" s="91">
        <f t="shared" si="58"/>
        <v>0</v>
      </c>
      <c r="R740" s="91"/>
    </row>
    <row r="741" spans="2:18" ht="12" customHeight="1" x14ac:dyDescent="0.3">
      <c r="B741" s="98">
        <f t="shared" si="59"/>
        <v>738</v>
      </c>
      <c r="C741" s="97" t="str">
        <f t="shared" si="56"/>
        <v>Jan-00</v>
      </c>
      <c r="D741" s="96"/>
      <c r="E741" s="95"/>
      <c r="F741" s="95"/>
      <c r="G741" s="95"/>
      <c r="H741" s="94"/>
      <c r="I741" s="94"/>
      <c r="J741" s="91"/>
      <c r="K741" s="91"/>
      <c r="L741" s="94"/>
      <c r="M741" s="93"/>
      <c r="N741" s="92"/>
      <c r="O741" s="92"/>
      <c r="P741" s="91">
        <f t="shared" si="57"/>
        <v>0</v>
      </c>
      <c r="Q741" s="91">
        <f t="shared" si="58"/>
        <v>0</v>
      </c>
      <c r="R741" s="91"/>
    </row>
    <row r="742" spans="2:18" ht="12" customHeight="1" x14ac:dyDescent="0.3">
      <c r="B742" s="98">
        <f t="shared" si="59"/>
        <v>739</v>
      </c>
      <c r="C742" s="97" t="str">
        <f t="shared" si="56"/>
        <v>Jan-00</v>
      </c>
      <c r="D742" s="96"/>
      <c r="E742" s="95"/>
      <c r="F742" s="95"/>
      <c r="G742" s="95"/>
      <c r="H742" s="94"/>
      <c r="I742" s="94"/>
      <c r="J742" s="91"/>
      <c r="K742" s="91"/>
      <c r="L742" s="94"/>
      <c r="M742" s="93"/>
      <c r="N742" s="92"/>
      <c r="O742" s="92"/>
      <c r="P742" s="91">
        <f t="shared" si="57"/>
        <v>0</v>
      </c>
      <c r="Q742" s="91">
        <f t="shared" si="58"/>
        <v>0</v>
      </c>
      <c r="R742" s="91"/>
    </row>
    <row r="743" spans="2:18" ht="12" customHeight="1" x14ac:dyDescent="0.3">
      <c r="B743" s="98">
        <f t="shared" si="59"/>
        <v>740</v>
      </c>
      <c r="C743" s="97" t="str">
        <f t="shared" si="56"/>
        <v>Jan-00</v>
      </c>
      <c r="D743" s="96"/>
      <c r="E743" s="95"/>
      <c r="F743" s="95"/>
      <c r="G743" s="95"/>
      <c r="H743" s="94"/>
      <c r="I743" s="94"/>
      <c r="J743" s="91"/>
      <c r="K743" s="91"/>
      <c r="L743" s="94"/>
      <c r="M743" s="93"/>
      <c r="N743" s="92"/>
      <c r="O743" s="92"/>
      <c r="P743" s="91">
        <f t="shared" si="57"/>
        <v>0</v>
      </c>
      <c r="Q743" s="91">
        <f t="shared" si="58"/>
        <v>0</v>
      </c>
      <c r="R743" s="91"/>
    </row>
    <row r="744" spans="2:18" ht="12" customHeight="1" x14ac:dyDescent="0.3">
      <c r="B744" s="98">
        <f t="shared" si="59"/>
        <v>741</v>
      </c>
      <c r="C744" s="97" t="str">
        <f t="shared" si="56"/>
        <v>Jan-00</v>
      </c>
      <c r="D744" s="96"/>
      <c r="E744" s="95"/>
      <c r="F744" s="95"/>
      <c r="G744" s="95"/>
      <c r="H744" s="94"/>
      <c r="I744" s="94"/>
      <c r="J744" s="91"/>
      <c r="K744" s="91"/>
      <c r="L744" s="94"/>
      <c r="M744" s="93"/>
      <c r="N744" s="92"/>
      <c r="O744" s="92"/>
      <c r="P744" s="91">
        <f t="shared" si="57"/>
        <v>0</v>
      </c>
      <c r="Q744" s="91">
        <f t="shared" si="58"/>
        <v>0</v>
      </c>
      <c r="R744" s="91"/>
    </row>
    <row r="745" spans="2:18" ht="12" customHeight="1" x14ac:dyDescent="0.3">
      <c r="B745" s="98">
        <f t="shared" si="59"/>
        <v>742</v>
      </c>
      <c r="C745" s="97" t="str">
        <f t="shared" si="56"/>
        <v>Jan-00</v>
      </c>
      <c r="D745" s="96"/>
      <c r="E745" s="95"/>
      <c r="F745" s="95"/>
      <c r="G745" s="95"/>
      <c r="H745" s="94"/>
      <c r="I745" s="94"/>
      <c r="J745" s="91"/>
      <c r="K745" s="91"/>
      <c r="L745" s="94"/>
      <c r="M745" s="93"/>
      <c r="N745" s="92"/>
      <c r="O745" s="92"/>
      <c r="P745" s="91">
        <f t="shared" si="57"/>
        <v>0</v>
      </c>
      <c r="Q745" s="91">
        <f t="shared" si="58"/>
        <v>0</v>
      </c>
      <c r="R745" s="91"/>
    </row>
    <row r="746" spans="2:18" ht="12" customHeight="1" x14ac:dyDescent="0.3">
      <c r="B746" s="98">
        <f t="shared" si="59"/>
        <v>743</v>
      </c>
      <c r="C746" s="97" t="str">
        <f t="shared" si="56"/>
        <v>Jan-00</v>
      </c>
      <c r="D746" s="96"/>
      <c r="E746" s="95"/>
      <c r="F746" s="95"/>
      <c r="G746" s="95"/>
      <c r="H746" s="94"/>
      <c r="I746" s="94"/>
      <c r="J746" s="91"/>
      <c r="K746" s="91"/>
      <c r="L746" s="94"/>
      <c r="M746" s="93"/>
      <c r="N746" s="92"/>
      <c r="O746" s="92"/>
      <c r="P746" s="91">
        <f t="shared" si="57"/>
        <v>0</v>
      </c>
      <c r="Q746" s="91">
        <f t="shared" si="58"/>
        <v>0</v>
      </c>
      <c r="R746" s="91"/>
    </row>
    <row r="747" spans="2:18" ht="12" customHeight="1" x14ac:dyDescent="0.3">
      <c r="B747" s="98">
        <f t="shared" si="59"/>
        <v>744</v>
      </c>
      <c r="C747" s="97" t="str">
        <f t="shared" si="56"/>
        <v>Jan-00</v>
      </c>
      <c r="D747" s="96"/>
      <c r="E747" s="95"/>
      <c r="F747" s="95"/>
      <c r="G747" s="95"/>
      <c r="H747" s="94"/>
      <c r="I747" s="94"/>
      <c r="J747" s="91"/>
      <c r="K747" s="91"/>
      <c r="L747" s="94"/>
      <c r="M747" s="93"/>
      <c r="N747" s="92"/>
      <c r="O747" s="92"/>
      <c r="P747" s="91">
        <f t="shared" si="57"/>
        <v>0</v>
      </c>
      <c r="Q747" s="91">
        <f t="shared" si="58"/>
        <v>0</v>
      </c>
      <c r="R747" s="91"/>
    </row>
    <row r="748" spans="2:18" ht="12" customHeight="1" x14ac:dyDescent="0.3">
      <c r="B748" s="98">
        <f t="shared" si="59"/>
        <v>745</v>
      </c>
      <c r="C748" s="97" t="str">
        <f t="shared" si="56"/>
        <v>Jan-00</v>
      </c>
      <c r="D748" s="96"/>
      <c r="E748" s="95"/>
      <c r="F748" s="95"/>
      <c r="G748" s="95"/>
      <c r="H748" s="94"/>
      <c r="I748" s="94"/>
      <c r="J748" s="91"/>
      <c r="K748" s="91"/>
      <c r="L748" s="94"/>
      <c r="M748" s="93"/>
      <c r="N748" s="92"/>
      <c r="O748" s="92"/>
      <c r="P748" s="91">
        <f t="shared" si="57"/>
        <v>0</v>
      </c>
      <c r="Q748" s="91">
        <f t="shared" si="58"/>
        <v>0</v>
      </c>
      <c r="R748" s="91"/>
    </row>
    <row r="749" spans="2:18" ht="12" customHeight="1" x14ac:dyDescent="0.3">
      <c r="B749" s="98">
        <f t="shared" si="59"/>
        <v>746</v>
      </c>
      <c r="C749" s="97" t="str">
        <f t="shared" si="56"/>
        <v>Jan-00</v>
      </c>
      <c r="D749" s="96"/>
      <c r="E749" s="95"/>
      <c r="F749" s="95"/>
      <c r="G749" s="95"/>
      <c r="H749" s="94"/>
      <c r="I749" s="94"/>
      <c r="J749" s="91"/>
      <c r="K749" s="91"/>
      <c r="L749" s="94"/>
      <c r="M749" s="93"/>
      <c r="N749" s="92"/>
      <c r="O749" s="92"/>
      <c r="P749" s="91">
        <f t="shared" si="57"/>
        <v>0</v>
      </c>
      <c r="Q749" s="91">
        <f t="shared" si="58"/>
        <v>0</v>
      </c>
      <c r="R749" s="91"/>
    </row>
    <row r="750" spans="2:18" ht="12" customHeight="1" x14ac:dyDescent="0.3">
      <c r="B750" s="98">
        <f t="shared" si="59"/>
        <v>747</v>
      </c>
      <c r="C750" s="97" t="str">
        <f t="shared" si="56"/>
        <v>Jan-00</v>
      </c>
      <c r="D750" s="96"/>
      <c r="E750" s="95"/>
      <c r="F750" s="95"/>
      <c r="G750" s="95"/>
      <c r="H750" s="94"/>
      <c r="I750" s="94"/>
      <c r="J750" s="91"/>
      <c r="K750" s="91"/>
      <c r="L750" s="94"/>
      <c r="M750" s="93"/>
      <c r="N750" s="92"/>
      <c r="O750" s="92"/>
      <c r="P750" s="91">
        <f t="shared" si="57"/>
        <v>0</v>
      </c>
      <c r="Q750" s="91">
        <f t="shared" si="58"/>
        <v>0</v>
      </c>
      <c r="R750" s="91"/>
    </row>
    <row r="751" spans="2:18" ht="12" customHeight="1" x14ac:dyDescent="0.3">
      <c r="B751" s="98">
        <f t="shared" si="59"/>
        <v>748</v>
      </c>
      <c r="C751" s="97" t="str">
        <f t="shared" si="56"/>
        <v>Jan-00</v>
      </c>
      <c r="D751" s="96"/>
      <c r="E751" s="95"/>
      <c r="F751" s="95"/>
      <c r="G751" s="95"/>
      <c r="H751" s="94"/>
      <c r="I751" s="94"/>
      <c r="J751" s="91"/>
      <c r="K751" s="91"/>
      <c r="L751" s="94"/>
      <c r="M751" s="93"/>
      <c r="N751" s="92"/>
      <c r="O751" s="92"/>
      <c r="P751" s="91">
        <f t="shared" si="57"/>
        <v>0</v>
      </c>
      <c r="Q751" s="91">
        <f t="shared" si="58"/>
        <v>0</v>
      </c>
      <c r="R751" s="91"/>
    </row>
    <row r="752" spans="2:18" ht="12" customHeight="1" x14ac:dyDescent="0.3">
      <c r="B752" s="98">
        <f t="shared" si="59"/>
        <v>749</v>
      </c>
      <c r="C752" s="97" t="str">
        <f t="shared" si="56"/>
        <v>Jan-00</v>
      </c>
      <c r="D752" s="96"/>
      <c r="E752" s="95"/>
      <c r="F752" s="95"/>
      <c r="G752" s="95"/>
      <c r="H752" s="94"/>
      <c r="I752" s="94"/>
      <c r="J752" s="91"/>
      <c r="K752" s="91"/>
      <c r="L752" s="94"/>
      <c r="M752" s="93"/>
      <c r="N752" s="92"/>
      <c r="O752" s="92"/>
      <c r="P752" s="91">
        <f t="shared" si="57"/>
        <v>0</v>
      </c>
      <c r="Q752" s="91">
        <f t="shared" si="58"/>
        <v>0</v>
      </c>
      <c r="R752" s="91"/>
    </row>
    <row r="753" spans="2:18" ht="12" customHeight="1" x14ac:dyDescent="0.3">
      <c r="B753" s="98">
        <f t="shared" si="59"/>
        <v>750</v>
      </c>
      <c r="C753" s="97" t="str">
        <f t="shared" si="56"/>
        <v>Jan-00</v>
      </c>
      <c r="D753" s="96"/>
      <c r="E753" s="95"/>
      <c r="F753" s="95"/>
      <c r="G753" s="95"/>
      <c r="H753" s="94"/>
      <c r="I753" s="94"/>
      <c r="J753" s="91"/>
      <c r="K753" s="91"/>
      <c r="L753" s="94"/>
      <c r="M753" s="93"/>
      <c r="N753" s="92"/>
      <c r="O753" s="92"/>
      <c r="P753" s="91">
        <f t="shared" si="57"/>
        <v>0</v>
      </c>
      <c r="Q753" s="91">
        <f t="shared" si="58"/>
        <v>0</v>
      </c>
      <c r="R753" s="91"/>
    </row>
    <row r="754" spans="2:18" ht="12" customHeight="1" x14ac:dyDescent="0.3">
      <c r="B754" s="98">
        <f t="shared" si="59"/>
        <v>751</v>
      </c>
      <c r="C754" s="97" t="str">
        <f t="shared" si="56"/>
        <v>Jan-00</v>
      </c>
      <c r="D754" s="96"/>
      <c r="E754" s="95"/>
      <c r="F754" s="95"/>
      <c r="G754" s="95"/>
      <c r="H754" s="94"/>
      <c r="I754" s="94"/>
      <c r="J754" s="91"/>
      <c r="K754" s="91"/>
      <c r="L754" s="94"/>
      <c r="M754" s="93"/>
      <c r="N754" s="92"/>
      <c r="O754" s="92"/>
      <c r="P754" s="91">
        <f t="shared" si="57"/>
        <v>0</v>
      </c>
      <c r="Q754" s="91">
        <f t="shared" si="58"/>
        <v>0</v>
      </c>
      <c r="R754" s="91"/>
    </row>
    <row r="755" spans="2:18" ht="12" customHeight="1" x14ac:dyDescent="0.3">
      <c r="B755" s="98">
        <f t="shared" si="59"/>
        <v>752</v>
      </c>
      <c r="C755" s="97" t="str">
        <f t="shared" si="56"/>
        <v>Jan-00</v>
      </c>
      <c r="D755" s="96"/>
      <c r="E755" s="95"/>
      <c r="F755" s="95"/>
      <c r="G755" s="95"/>
      <c r="H755" s="94"/>
      <c r="I755" s="94"/>
      <c r="J755" s="91"/>
      <c r="K755" s="91"/>
      <c r="L755" s="94"/>
      <c r="M755" s="93"/>
      <c r="N755" s="92"/>
      <c r="O755" s="92"/>
      <c r="P755" s="91">
        <f t="shared" si="57"/>
        <v>0</v>
      </c>
      <c r="Q755" s="91">
        <f t="shared" si="58"/>
        <v>0</v>
      </c>
      <c r="R755" s="91"/>
    </row>
    <row r="756" spans="2:18" ht="12" customHeight="1" x14ac:dyDescent="0.3">
      <c r="B756" s="98">
        <f t="shared" si="59"/>
        <v>753</v>
      </c>
      <c r="C756" s="97" t="str">
        <f t="shared" si="56"/>
        <v>Jan-00</v>
      </c>
      <c r="D756" s="96"/>
      <c r="E756" s="95"/>
      <c r="F756" s="95"/>
      <c r="G756" s="95"/>
      <c r="H756" s="94"/>
      <c r="I756" s="94"/>
      <c r="J756" s="91"/>
      <c r="K756" s="91"/>
      <c r="L756" s="94"/>
      <c r="M756" s="93"/>
      <c r="N756" s="92"/>
      <c r="O756" s="92"/>
      <c r="P756" s="91">
        <f t="shared" si="57"/>
        <v>0</v>
      </c>
      <c r="Q756" s="91">
        <f t="shared" si="58"/>
        <v>0</v>
      </c>
      <c r="R756" s="91"/>
    </row>
    <row r="757" spans="2:18" ht="12" customHeight="1" x14ac:dyDescent="0.3">
      <c r="B757" s="98">
        <f t="shared" si="59"/>
        <v>754</v>
      </c>
      <c r="C757" s="97" t="str">
        <f t="shared" si="56"/>
        <v>Jan-00</v>
      </c>
      <c r="D757" s="96"/>
      <c r="E757" s="95"/>
      <c r="F757" s="95"/>
      <c r="G757" s="95"/>
      <c r="H757" s="94"/>
      <c r="I757" s="94"/>
      <c r="J757" s="91"/>
      <c r="K757" s="91"/>
      <c r="L757" s="94"/>
      <c r="M757" s="93"/>
      <c r="N757" s="92"/>
      <c r="O757" s="92"/>
      <c r="P757" s="91">
        <f t="shared" si="57"/>
        <v>0</v>
      </c>
      <c r="Q757" s="91">
        <f t="shared" si="58"/>
        <v>0</v>
      </c>
      <c r="R757" s="91"/>
    </row>
    <row r="758" spans="2:18" ht="12" customHeight="1" x14ac:dyDescent="0.3">
      <c r="B758" s="98">
        <f t="shared" si="59"/>
        <v>755</v>
      </c>
      <c r="C758" s="97" t="str">
        <f t="shared" si="56"/>
        <v>Jan-00</v>
      </c>
      <c r="D758" s="96"/>
      <c r="E758" s="95"/>
      <c r="F758" s="95"/>
      <c r="G758" s="95"/>
      <c r="H758" s="94"/>
      <c r="I758" s="94"/>
      <c r="J758" s="91"/>
      <c r="K758" s="91"/>
      <c r="L758" s="94"/>
      <c r="M758" s="93"/>
      <c r="N758" s="92"/>
      <c r="O758" s="92"/>
      <c r="P758" s="91">
        <f t="shared" si="57"/>
        <v>0</v>
      </c>
      <c r="Q758" s="91">
        <f t="shared" si="58"/>
        <v>0</v>
      </c>
      <c r="R758" s="91"/>
    </row>
    <row r="759" spans="2:18" ht="12" customHeight="1" x14ac:dyDescent="0.3">
      <c r="B759" s="98">
        <f t="shared" si="59"/>
        <v>756</v>
      </c>
      <c r="C759" s="97" t="str">
        <f t="shared" si="56"/>
        <v>Jan-00</v>
      </c>
      <c r="D759" s="96"/>
      <c r="E759" s="95"/>
      <c r="F759" s="95"/>
      <c r="G759" s="95"/>
      <c r="H759" s="94"/>
      <c r="I759" s="94"/>
      <c r="J759" s="91"/>
      <c r="K759" s="91"/>
      <c r="L759" s="94"/>
      <c r="M759" s="93"/>
      <c r="N759" s="92"/>
      <c r="O759" s="92"/>
      <c r="P759" s="91">
        <f t="shared" si="57"/>
        <v>0</v>
      </c>
      <c r="Q759" s="91">
        <f t="shared" si="58"/>
        <v>0</v>
      </c>
      <c r="R759" s="91"/>
    </row>
    <row r="760" spans="2:18" ht="12" customHeight="1" x14ac:dyDescent="0.3">
      <c r="B760" s="98">
        <f t="shared" si="59"/>
        <v>757</v>
      </c>
      <c r="C760" s="97" t="str">
        <f t="shared" si="56"/>
        <v>Jan-00</v>
      </c>
      <c r="D760" s="96"/>
      <c r="E760" s="95"/>
      <c r="F760" s="95"/>
      <c r="G760" s="95"/>
      <c r="H760" s="94"/>
      <c r="I760" s="94"/>
      <c r="J760" s="91"/>
      <c r="K760" s="91"/>
      <c r="L760" s="94"/>
      <c r="M760" s="93"/>
      <c r="N760" s="92"/>
      <c r="O760" s="92"/>
      <c r="P760" s="91">
        <f t="shared" si="57"/>
        <v>0</v>
      </c>
      <c r="Q760" s="91">
        <f t="shared" si="58"/>
        <v>0</v>
      </c>
      <c r="R760" s="91"/>
    </row>
    <row r="761" spans="2:18" ht="12" customHeight="1" x14ac:dyDescent="0.3">
      <c r="B761" s="98">
        <f t="shared" si="59"/>
        <v>758</v>
      </c>
      <c r="C761" s="97" t="str">
        <f t="shared" si="56"/>
        <v>Jan-00</v>
      </c>
      <c r="D761" s="96"/>
      <c r="E761" s="95"/>
      <c r="F761" s="95"/>
      <c r="G761" s="95"/>
      <c r="H761" s="94"/>
      <c r="I761" s="94"/>
      <c r="J761" s="91"/>
      <c r="K761" s="91"/>
      <c r="L761" s="94"/>
      <c r="M761" s="93"/>
      <c r="N761" s="92"/>
      <c r="O761" s="92"/>
      <c r="P761" s="91">
        <f t="shared" si="57"/>
        <v>0</v>
      </c>
      <c r="Q761" s="91">
        <f t="shared" si="58"/>
        <v>0</v>
      </c>
      <c r="R761" s="91"/>
    </row>
    <row r="762" spans="2:18" ht="12" customHeight="1" x14ac:dyDescent="0.3">
      <c r="B762" s="98">
        <f t="shared" si="59"/>
        <v>759</v>
      </c>
      <c r="C762" s="97" t="str">
        <f t="shared" si="56"/>
        <v>Jan-00</v>
      </c>
      <c r="D762" s="96"/>
      <c r="E762" s="95"/>
      <c r="F762" s="95"/>
      <c r="G762" s="95"/>
      <c r="H762" s="94"/>
      <c r="I762" s="94"/>
      <c r="J762" s="91"/>
      <c r="K762" s="91"/>
      <c r="L762" s="94"/>
      <c r="M762" s="93"/>
      <c r="N762" s="92"/>
      <c r="O762" s="92"/>
      <c r="P762" s="91">
        <f t="shared" si="57"/>
        <v>0</v>
      </c>
      <c r="Q762" s="91">
        <f t="shared" si="58"/>
        <v>0</v>
      </c>
      <c r="R762" s="91"/>
    </row>
    <row r="763" spans="2:18" ht="12" customHeight="1" x14ac:dyDescent="0.3">
      <c r="B763" s="98">
        <f t="shared" si="59"/>
        <v>760</v>
      </c>
      <c r="C763" s="97" t="str">
        <f t="shared" si="56"/>
        <v>Jan-00</v>
      </c>
      <c r="D763" s="96"/>
      <c r="E763" s="95"/>
      <c r="F763" s="95"/>
      <c r="G763" s="95"/>
      <c r="H763" s="94"/>
      <c r="I763" s="94"/>
      <c r="J763" s="91"/>
      <c r="K763" s="91"/>
      <c r="L763" s="94"/>
      <c r="M763" s="93"/>
      <c r="N763" s="92"/>
      <c r="O763" s="92"/>
      <c r="P763" s="91">
        <f t="shared" si="57"/>
        <v>0</v>
      </c>
      <c r="Q763" s="91">
        <f t="shared" si="58"/>
        <v>0</v>
      </c>
      <c r="R763" s="91"/>
    </row>
    <row r="764" spans="2:18" ht="12" customHeight="1" x14ac:dyDescent="0.3">
      <c r="B764" s="98">
        <f t="shared" si="59"/>
        <v>761</v>
      </c>
      <c r="C764" s="97" t="str">
        <f t="shared" si="56"/>
        <v>Jan-00</v>
      </c>
      <c r="D764" s="96"/>
      <c r="E764" s="95"/>
      <c r="F764" s="95"/>
      <c r="G764" s="95"/>
      <c r="H764" s="94"/>
      <c r="I764" s="94"/>
      <c r="J764" s="91"/>
      <c r="K764" s="91"/>
      <c r="L764" s="94"/>
      <c r="M764" s="93"/>
      <c r="N764" s="92"/>
      <c r="O764" s="92"/>
      <c r="P764" s="91">
        <f t="shared" si="57"/>
        <v>0</v>
      </c>
      <c r="Q764" s="91">
        <f t="shared" si="58"/>
        <v>0</v>
      </c>
      <c r="R764" s="91"/>
    </row>
    <row r="765" spans="2:18" ht="12" customHeight="1" x14ac:dyDescent="0.3">
      <c r="B765" s="98">
        <f t="shared" si="59"/>
        <v>762</v>
      </c>
      <c r="C765" s="97" t="str">
        <f t="shared" si="56"/>
        <v>Jan-00</v>
      </c>
      <c r="D765" s="96"/>
      <c r="E765" s="95"/>
      <c r="F765" s="95"/>
      <c r="G765" s="95"/>
      <c r="H765" s="94"/>
      <c r="I765" s="94"/>
      <c r="J765" s="91"/>
      <c r="K765" s="91"/>
      <c r="L765" s="94"/>
      <c r="M765" s="93"/>
      <c r="N765" s="92"/>
      <c r="O765" s="92"/>
      <c r="P765" s="91">
        <f t="shared" si="57"/>
        <v>0</v>
      </c>
      <c r="Q765" s="91">
        <f t="shared" si="58"/>
        <v>0</v>
      </c>
      <c r="R765" s="91"/>
    </row>
    <row r="766" spans="2:18" ht="12" customHeight="1" x14ac:dyDescent="0.3">
      <c r="B766" s="98">
        <f t="shared" si="59"/>
        <v>763</v>
      </c>
      <c r="C766" s="97" t="str">
        <f t="shared" si="56"/>
        <v>Jan-00</v>
      </c>
      <c r="D766" s="96"/>
      <c r="E766" s="95"/>
      <c r="F766" s="95"/>
      <c r="G766" s="95"/>
      <c r="H766" s="94"/>
      <c r="I766" s="94"/>
      <c r="J766" s="91"/>
      <c r="K766" s="91"/>
      <c r="L766" s="94"/>
      <c r="M766" s="93"/>
      <c r="N766" s="92"/>
      <c r="O766" s="92"/>
      <c r="P766" s="91">
        <f t="shared" si="57"/>
        <v>0</v>
      </c>
      <c r="Q766" s="91">
        <f t="shared" si="58"/>
        <v>0</v>
      </c>
      <c r="R766" s="91"/>
    </row>
    <row r="767" spans="2:18" ht="12" customHeight="1" x14ac:dyDescent="0.3">
      <c r="B767" s="98">
        <f t="shared" si="59"/>
        <v>764</v>
      </c>
      <c r="C767" s="97" t="str">
        <f t="shared" si="56"/>
        <v>Jan-00</v>
      </c>
      <c r="D767" s="96"/>
      <c r="E767" s="95"/>
      <c r="F767" s="95"/>
      <c r="G767" s="95"/>
      <c r="H767" s="94"/>
      <c r="I767" s="94"/>
      <c r="J767" s="91"/>
      <c r="K767" s="91"/>
      <c r="L767" s="94"/>
      <c r="M767" s="93"/>
      <c r="N767" s="92"/>
      <c r="O767" s="92"/>
      <c r="P767" s="91">
        <f t="shared" si="57"/>
        <v>0</v>
      </c>
      <c r="Q767" s="91">
        <f t="shared" si="58"/>
        <v>0</v>
      </c>
      <c r="R767" s="91"/>
    </row>
    <row r="768" spans="2:18" ht="12" customHeight="1" x14ac:dyDescent="0.3">
      <c r="B768" s="98">
        <f t="shared" si="59"/>
        <v>765</v>
      </c>
      <c r="C768" s="97" t="str">
        <f t="shared" si="56"/>
        <v>Jan-00</v>
      </c>
      <c r="D768" s="96"/>
      <c r="E768" s="95"/>
      <c r="F768" s="95"/>
      <c r="G768" s="95"/>
      <c r="H768" s="94"/>
      <c r="I768" s="94"/>
      <c r="J768" s="91"/>
      <c r="K768" s="91"/>
      <c r="L768" s="94"/>
      <c r="M768" s="93"/>
      <c r="N768" s="92"/>
      <c r="O768" s="92"/>
      <c r="P768" s="91">
        <f t="shared" si="57"/>
        <v>0</v>
      </c>
      <c r="Q768" s="91">
        <f t="shared" si="58"/>
        <v>0</v>
      </c>
      <c r="R768" s="91"/>
    </row>
    <row r="769" spans="2:18" ht="12" customHeight="1" x14ac:dyDescent="0.3">
      <c r="B769" s="98">
        <f t="shared" si="59"/>
        <v>766</v>
      </c>
      <c r="C769" s="97" t="str">
        <f t="shared" si="56"/>
        <v>Jan-00</v>
      </c>
      <c r="D769" s="96"/>
      <c r="E769" s="95"/>
      <c r="F769" s="95"/>
      <c r="G769" s="95"/>
      <c r="H769" s="94"/>
      <c r="I769" s="94"/>
      <c r="J769" s="91"/>
      <c r="K769" s="91"/>
      <c r="L769" s="94"/>
      <c r="M769" s="93"/>
      <c r="N769" s="92"/>
      <c r="O769" s="92"/>
      <c r="P769" s="91">
        <f t="shared" si="57"/>
        <v>0</v>
      </c>
      <c r="Q769" s="91">
        <f t="shared" si="58"/>
        <v>0</v>
      </c>
      <c r="R769" s="91"/>
    </row>
    <row r="770" spans="2:18" ht="12" customHeight="1" x14ac:dyDescent="0.3">
      <c r="B770" s="98">
        <f t="shared" si="59"/>
        <v>767</v>
      </c>
      <c r="C770" s="97" t="str">
        <f t="shared" si="56"/>
        <v>Jan-00</v>
      </c>
      <c r="D770" s="96"/>
      <c r="E770" s="95"/>
      <c r="F770" s="95"/>
      <c r="G770" s="95"/>
      <c r="H770" s="94"/>
      <c r="I770" s="94"/>
      <c r="J770" s="91"/>
      <c r="K770" s="91"/>
      <c r="L770" s="94"/>
      <c r="M770" s="93"/>
      <c r="N770" s="92"/>
      <c r="O770" s="92"/>
      <c r="P770" s="91">
        <f t="shared" si="57"/>
        <v>0</v>
      </c>
      <c r="Q770" s="91">
        <f t="shared" si="58"/>
        <v>0</v>
      </c>
      <c r="R770" s="91"/>
    </row>
    <row r="771" spans="2:18" ht="12" customHeight="1" x14ac:dyDescent="0.3">
      <c r="B771" s="98">
        <f t="shared" si="59"/>
        <v>768</v>
      </c>
      <c r="C771" s="97" t="str">
        <f t="shared" si="56"/>
        <v>Jan-00</v>
      </c>
      <c r="D771" s="96"/>
      <c r="E771" s="95"/>
      <c r="F771" s="95"/>
      <c r="G771" s="95"/>
      <c r="H771" s="94"/>
      <c r="I771" s="94"/>
      <c r="J771" s="91"/>
      <c r="K771" s="91"/>
      <c r="L771" s="94"/>
      <c r="M771" s="93"/>
      <c r="N771" s="92"/>
      <c r="O771" s="92"/>
      <c r="P771" s="91">
        <f t="shared" si="57"/>
        <v>0</v>
      </c>
      <c r="Q771" s="91">
        <f t="shared" si="58"/>
        <v>0</v>
      </c>
      <c r="R771" s="91"/>
    </row>
    <row r="772" spans="2:18" ht="12" customHeight="1" x14ac:dyDescent="0.3">
      <c r="B772" s="98">
        <f t="shared" si="59"/>
        <v>769</v>
      </c>
      <c r="C772" s="97" t="str">
        <f t="shared" ref="C772:C835" si="60">CONCATENATE(TEXT(D772,"mmm"),"-",TEXT(D772,"yy"))</f>
        <v>Jan-00</v>
      </c>
      <c r="D772" s="96"/>
      <c r="E772" s="95"/>
      <c r="F772" s="95"/>
      <c r="G772" s="95"/>
      <c r="H772" s="94"/>
      <c r="I772" s="94"/>
      <c r="J772" s="91"/>
      <c r="K772" s="91"/>
      <c r="L772" s="94"/>
      <c r="M772" s="93"/>
      <c r="N772" s="92"/>
      <c r="O772" s="92"/>
      <c r="P772" s="91">
        <f t="shared" ref="P772:P835" si="61">O772*1%</f>
        <v>0</v>
      </c>
      <c r="Q772" s="91">
        <f t="shared" ref="Q772:Q835" si="62">O772-P772</f>
        <v>0</v>
      </c>
      <c r="R772" s="91"/>
    </row>
    <row r="773" spans="2:18" ht="12" customHeight="1" x14ac:dyDescent="0.3">
      <c r="B773" s="98">
        <f t="shared" ref="B773:B836" si="63">+B772+1</f>
        <v>770</v>
      </c>
      <c r="C773" s="97" t="str">
        <f t="shared" si="60"/>
        <v>Jan-00</v>
      </c>
      <c r="D773" s="96"/>
      <c r="E773" s="95"/>
      <c r="F773" s="95"/>
      <c r="G773" s="95"/>
      <c r="H773" s="94"/>
      <c r="I773" s="94"/>
      <c r="J773" s="91"/>
      <c r="K773" s="91"/>
      <c r="L773" s="94"/>
      <c r="M773" s="93"/>
      <c r="N773" s="92"/>
      <c r="O773" s="92"/>
      <c r="P773" s="91">
        <f t="shared" si="61"/>
        <v>0</v>
      </c>
      <c r="Q773" s="91">
        <f t="shared" si="62"/>
        <v>0</v>
      </c>
      <c r="R773" s="91"/>
    </row>
    <row r="774" spans="2:18" ht="12" customHeight="1" x14ac:dyDescent="0.3">
      <c r="B774" s="98">
        <f t="shared" si="63"/>
        <v>771</v>
      </c>
      <c r="C774" s="97" t="str">
        <f t="shared" si="60"/>
        <v>Jan-00</v>
      </c>
      <c r="D774" s="96"/>
      <c r="E774" s="95"/>
      <c r="F774" s="95"/>
      <c r="G774" s="95"/>
      <c r="H774" s="94"/>
      <c r="I774" s="94"/>
      <c r="J774" s="91"/>
      <c r="K774" s="91"/>
      <c r="L774" s="94"/>
      <c r="M774" s="93"/>
      <c r="N774" s="92"/>
      <c r="O774" s="92"/>
      <c r="P774" s="91">
        <f t="shared" si="61"/>
        <v>0</v>
      </c>
      <c r="Q774" s="91">
        <f t="shared" si="62"/>
        <v>0</v>
      </c>
      <c r="R774" s="91"/>
    </row>
    <row r="775" spans="2:18" ht="12" customHeight="1" x14ac:dyDescent="0.3">
      <c r="B775" s="98">
        <f t="shared" si="63"/>
        <v>772</v>
      </c>
      <c r="C775" s="97" t="str">
        <f t="shared" si="60"/>
        <v>Jan-00</v>
      </c>
      <c r="D775" s="96"/>
      <c r="E775" s="95"/>
      <c r="F775" s="95"/>
      <c r="G775" s="95"/>
      <c r="H775" s="94"/>
      <c r="I775" s="94"/>
      <c r="J775" s="91"/>
      <c r="K775" s="91"/>
      <c r="L775" s="94"/>
      <c r="M775" s="93"/>
      <c r="N775" s="92"/>
      <c r="O775" s="92"/>
      <c r="P775" s="91">
        <f t="shared" si="61"/>
        <v>0</v>
      </c>
      <c r="Q775" s="91">
        <f t="shared" si="62"/>
        <v>0</v>
      </c>
      <c r="R775" s="91"/>
    </row>
    <row r="776" spans="2:18" ht="12" customHeight="1" x14ac:dyDescent="0.3">
      <c r="B776" s="98">
        <f t="shared" si="63"/>
        <v>773</v>
      </c>
      <c r="C776" s="97" t="str">
        <f t="shared" si="60"/>
        <v>Jan-00</v>
      </c>
      <c r="D776" s="96"/>
      <c r="E776" s="95"/>
      <c r="F776" s="95"/>
      <c r="G776" s="95"/>
      <c r="H776" s="94"/>
      <c r="I776" s="94"/>
      <c r="J776" s="91"/>
      <c r="K776" s="91"/>
      <c r="L776" s="94"/>
      <c r="M776" s="93"/>
      <c r="N776" s="92"/>
      <c r="O776" s="92"/>
      <c r="P776" s="91">
        <f t="shared" si="61"/>
        <v>0</v>
      </c>
      <c r="Q776" s="91">
        <f t="shared" si="62"/>
        <v>0</v>
      </c>
      <c r="R776" s="91"/>
    </row>
    <row r="777" spans="2:18" ht="12" customHeight="1" x14ac:dyDescent="0.3">
      <c r="B777" s="98">
        <f t="shared" si="63"/>
        <v>774</v>
      </c>
      <c r="C777" s="97" t="str">
        <f t="shared" si="60"/>
        <v>Jan-00</v>
      </c>
      <c r="D777" s="96"/>
      <c r="E777" s="95"/>
      <c r="F777" s="95"/>
      <c r="G777" s="95"/>
      <c r="H777" s="94"/>
      <c r="I777" s="94"/>
      <c r="J777" s="91"/>
      <c r="K777" s="91"/>
      <c r="L777" s="94"/>
      <c r="M777" s="93"/>
      <c r="N777" s="92"/>
      <c r="O777" s="92"/>
      <c r="P777" s="91">
        <f t="shared" si="61"/>
        <v>0</v>
      </c>
      <c r="Q777" s="91">
        <f t="shared" si="62"/>
        <v>0</v>
      </c>
      <c r="R777" s="91"/>
    </row>
    <row r="778" spans="2:18" ht="12" customHeight="1" x14ac:dyDescent="0.3">
      <c r="B778" s="98">
        <f t="shared" si="63"/>
        <v>775</v>
      </c>
      <c r="C778" s="97" t="str">
        <f t="shared" si="60"/>
        <v>Jan-00</v>
      </c>
      <c r="D778" s="96"/>
      <c r="E778" s="95"/>
      <c r="F778" s="95"/>
      <c r="G778" s="95"/>
      <c r="H778" s="94"/>
      <c r="I778" s="94"/>
      <c r="J778" s="91"/>
      <c r="K778" s="91"/>
      <c r="L778" s="94"/>
      <c r="M778" s="93"/>
      <c r="N778" s="92"/>
      <c r="O778" s="92"/>
      <c r="P778" s="91">
        <f t="shared" si="61"/>
        <v>0</v>
      </c>
      <c r="Q778" s="91">
        <f t="shared" si="62"/>
        <v>0</v>
      </c>
      <c r="R778" s="91"/>
    </row>
    <row r="779" spans="2:18" ht="12" customHeight="1" x14ac:dyDescent="0.3">
      <c r="B779" s="98">
        <f t="shared" si="63"/>
        <v>776</v>
      </c>
      <c r="C779" s="97" t="str">
        <f t="shared" si="60"/>
        <v>Jan-00</v>
      </c>
      <c r="D779" s="96"/>
      <c r="E779" s="95"/>
      <c r="F779" s="95"/>
      <c r="G779" s="95"/>
      <c r="H779" s="94"/>
      <c r="I779" s="94"/>
      <c r="J779" s="91"/>
      <c r="K779" s="91"/>
      <c r="L779" s="94"/>
      <c r="M779" s="93"/>
      <c r="N779" s="92"/>
      <c r="O779" s="92"/>
      <c r="P779" s="91">
        <f t="shared" si="61"/>
        <v>0</v>
      </c>
      <c r="Q779" s="91">
        <f t="shared" si="62"/>
        <v>0</v>
      </c>
      <c r="R779" s="91"/>
    </row>
    <row r="780" spans="2:18" ht="12" customHeight="1" x14ac:dyDescent="0.3">
      <c r="B780" s="98">
        <f t="shared" si="63"/>
        <v>777</v>
      </c>
      <c r="C780" s="97" t="str">
        <f t="shared" si="60"/>
        <v>Jan-00</v>
      </c>
      <c r="D780" s="96"/>
      <c r="E780" s="95"/>
      <c r="F780" s="95"/>
      <c r="G780" s="95"/>
      <c r="H780" s="94"/>
      <c r="I780" s="94"/>
      <c r="J780" s="91"/>
      <c r="K780" s="91"/>
      <c r="L780" s="94"/>
      <c r="M780" s="93"/>
      <c r="N780" s="92"/>
      <c r="O780" s="92"/>
      <c r="P780" s="91">
        <f t="shared" si="61"/>
        <v>0</v>
      </c>
      <c r="Q780" s="91">
        <f t="shared" si="62"/>
        <v>0</v>
      </c>
      <c r="R780" s="91"/>
    </row>
    <row r="781" spans="2:18" ht="12" customHeight="1" x14ac:dyDescent="0.3">
      <c r="B781" s="98">
        <f t="shared" si="63"/>
        <v>778</v>
      </c>
      <c r="C781" s="97" t="str">
        <f t="shared" si="60"/>
        <v>Jan-00</v>
      </c>
      <c r="D781" s="96"/>
      <c r="E781" s="95"/>
      <c r="F781" s="95"/>
      <c r="G781" s="95"/>
      <c r="H781" s="94"/>
      <c r="I781" s="94"/>
      <c r="J781" s="91"/>
      <c r="K781" s="91"/>
      <c r="L781" s="94"/>
      <c r="M781" s="93"/>
      <c r="N781" s="92"/>
      <c r="O781" s="92"/>
      <c r="P781" s="91">
        <f t="shared" si="61"/>
        <v>0</v>
      </c>
      <c r="Q781" s="91">
        <f t="shared" si="62"/>
        <v>0</v>
      </c>
      <c r="R781" s="91"/>
    </row>
    <row r="782" spans="2:18" ht="12" customHeight="1" x14ac:dyDescent="0.3">
      <c r="B782" s="98">
        <f t="shared" si="63"/>
        <v>779</v>
      </c>
      <c r="C782" s="97" t="str">
        <f t="shared" si="60"/>
        <v>Jan-00</v>
      </c>
      <c r="D782" s="96"/>
      <c r="E782" s="95"/>
      <c r="F782" s="95"/>
      <c r="G782" s="95"/>
      <c r="H782" s="94"/>
      <c r="I782" s="94"/>
      <c r="J782" s="91"/>
      <c r="K782" s="91"/>
      <c r="L782" s="94"/>
      <c r="M782" s="93"/>
      <c r="N782" s="92"/>
      <c r="O782" s="92"/>
      <c r="P782" s="91">
        <f t="shared" si="61"/>
        <v>0</v>
      </c>
      <c r="Q782" s="91">
        <f t="shared" si="62"/>
        <v>0</v>
      </c>
      <c r="R782" s="91"/>
    </row>
    <row r="783" spans="2:18" ht="12" customHeight="1" x14ac:dyDescent="0.3">
      <c r="B783" s="98">
        <f t="shared" si="63"/>
        <v>780</v>
      </c>
      <c r="C783" s="97" t="str">
        <f t="shared" si="60"/>
        <v>Jan-00</v>
      </c>
      <c r="D783" s="96"/>
      <c r="E783" s="95"/>
      <c r="F783" s="95"/>
      <c r="G783" s="95"/>
      <c r="H783" s="94"/>
      <c r="I783" s="94"/>
      <c r="J783" s="91"/>
      <c r="K783" s="91"/>
      <c r="L783" s="94"/>
      <c r="M783" s="93"/>
      <c r="N783" s="92"/>
      <c r="O783" s="92"/>
      <c r="P783" s="91">
        <f t="shared" si="61"/>
        <v>0</v>
      </c>
      <c r="Q783" s="91">
        <f t="shared" si="62"/>
        <v>0</v>
      </c>
      <c r="R783" s="91"/>
    </row>
    <row r="784" spans="2:18" ht="12" customHeight="1" x14ac:dyDescent="0.3">
      <c r="B784" s="98">
        <f t="shared" si="63"/>
        <v>781</v>
      </c>
      <c r="C784" s="97" t="str">
        <f t="shared" si="60"/>
        <v>Jan-00</v>
      </c>
      <c r="D784" s="96"/>
      <c r="E784" s="95"/>
      <c r="F784" s="95"/>
      <c r="G784" s="95"/>
      <c r="H784" s="94"/>
      <c r="I784" s="94"/>
      <c r="J784" s="91"/>
      <c r="K784" s="91"/>
      <c r="L784" s="94"/>
      <c r="M784" s="93"/>
      <c r="N784" s="92"/>
      <c r="O784" s="92"/>
      <c r="P784" s="91">
        <f t="shared" si="61"/>
        <v>0</v>
      </c>
      <c r="Q784" s="91">
        <f t="shared" si="62"/>
        <v>0</v>
      </c>
      <c r="R784" s="91"/>
    </row>
    <row r="785" spans="2:18" ht="12" customHeight="1" x14ac:dyDescent="0.3">
      <c r="B785" s="98">
        <f t="shared" si="63"/>
        <v>782</v>
      </c>
      <c r="C785" s="97" t="str">
        <f t="shared" si="60"/>
        <v>Jan-00</v>
      </c>
      <c r="D785" s="96"/>
      <c r="E785" s="95"/>
      <c r="F785" s="95"/>
      <c r="G785" s="95"/>
      <c r="H785" s="94"/>
      <c r="I785" s="94"/>
      <c r="J785" s="91"/>
      <c r="K785" s="91"/>
      <c r="L785" s="94"/>
      <c r="M785" s="93"/>
      <c r="N785" s="92"/>
      <c r="O785" s="92"/>
      <c r="P785" s="91">
        <f t="shared" si="61"/>
        <v>0</v>
      </c>
      <c r="Q785" s="91">
        <f t="shared" si="62"/>
        <v>0</v>
      </c>
      <c r="R785" s="91"/>
    </row>
    <row r="786" spans="2:18" ht="12" customHeight="1" x14ac:dyDescent="0.3">
      <c r="B786" s="98">
        <f t="shared" si="63"/>
        <v>783</v>
      </c>
      <c r="C786" s="97" t="str">
        <f t="shared" si="60"/>
        <v>Jan-00</v>
      </c>
      <c r="D786" s="96"/>
      <c r="E786" s="95"/>
      <c r="F786" s="95"/>
      <c r="G786" s="95"/>
      <c r="H786" s="94"/>
      <c r="I786" s="94"/>
      <c r="J786" s="91"/>
      <c r="K786" s="91"/>
      <c r="L786" s="94"/>
      <c r="M786" s="93"/>
      <c r="N786" s="92"/>
      <c r="O786" s="92"/>
      <c r="P786" s="91">
        <f t="shared" si="61"/>
        <v>0</v>
      </c>
      <c r="Q786" s="91">
        <f t="shared" si="62"/>
        <v>0</v>
      </c>
      <c r="R786" s="91"/>
    </row>
    <row r="787" spans="2:18" ht="12" customHeight="1" x14ac:dyDescent="0.3">
      <c r="B787" s="98">
        <f t="shared" si="63"/>
        <v>784</v>
      </c>
      <c r="C787" s="97" t="str">
        <f t="shared" si="60"/>
        <v>Jan-00</v>
      </c>
      <c r="D787" s="96"/>
      <c r="E787" s="95"/>
      <c r="F787" s="95"/>
      <c r="G787" s="95"/>
      <c r="H787" s="94"/>
      <c r="I787" s="94"/>
      <c r="J787" s="91"/>
      <c r="K787" s="91"/>
      <c r="L787" s="94"/>
      <c r="M787" s="93"/>
      <c r="N787" s="92"/>
      <c r="O787" s="92"/>
      <c r="P787" s="91">
        <f t="shared" si="61"/>
        <v>0</v>
      </c>
      <c r="Q787" s="91">
        <f t="shared" si="62"/>
        <v>0</v>
      </c>
      <c r="R787" s="91"/>
    </row>
    <row r="788" spans="2:18" ht="12" customHeight="1" x14ac:dyDescent="0.3">
      <c r="B788" s="98">
        <f t="shared" si="63"/>
        <v>785</v>
      </c>
      <c r="C788" s="97" t="str">
        <f t="shared" si="60"/>
        <v>Jan-00</v>
      </c>
      <c r="D788" s="96"/>
      <c r="E788" s="95"/>
      <c r="F788" s="95"/>
      <c r="G788" s="95"/>
      <c r="H788" s="94"/>
      <c r="I788" s="94"/>
      <c r="J788" s="91"/>
      <c r="K788" s="91"/>
      <c r="L788" s="94"/>
      <c r="M788" s="93"/>
      <c r="N788" s="92"/>
      <c r="O788" s="92"/>
      <c r="P788" s="91">
        <f t="shared" si="61"/>
        <v>0</v>
      </c>
      <c r="Q788" s="91">
        <f t="shared" si="62"/>
        <v>0</v>
      </c>
      <c r="R788" s="91"/>
    </row>
    <row r="789" spans="2:18" ht="12" customHeight="1" x14ac:dyDescent="0.3">
      <c r="B789" s="98">
        <f t="shared" si="63"/>
        <v>786</v>
      </c>
      <c r="C789" s="97" t="str">
        <f t="shared" si="60"/>
        <v>Jan-00</v>
      </c>
      <c r="D789" s="96"/>
      <c r="E789" s="95"/>
      <c r="F789" s="95"/>
      <c r="G789" s="95"/>
      <c r="H789" s="94"/>
      <c r="I789" s="94"/>
      <c r="J789" s="91"/>
      <c r="K789" s="91"/>
      <c r="L789" s="94"/>
      <c r="M789" s="93"/>
      <c r="N789" s="92"/>
      <c r="O789" s="92"/>
      <c r="P789" s="91">
        <f t="shared" si="61"/>
        <v>0</v>
      </c>
      <c r="Q789" s="91">
        <f t="shared" si="62"/>
        <v>0</v>
      </c>
      <c r="R789" s="91"/>
    </row>
    <row r="790" spans="2:18" ht="12" customHeight="1" x14ac:dyDescent="0.3">
      <c r="B790" s="98">
        <f t="shared" si="63"/>
        <v>787</v>
      </c>
      <c r="C790" s="97" t="str">
        <f t="shared" si="60"/>
        <v>Jan-00</v>
      </c>
      <c r="D790" s="96"/>
      <c r="E790" s="95"/>
      <c r="F790" s="95"/>
      <c r="G790" s="95"/>
      <c r="H790" s="94"/>
      <c r="I790" s="94"/>
      <c r="J790" s="91"/>
      <c r="K790" s="91"/>
      <c r="L790" s="94"/>
      <c r="M790" s="93"/>
      <c r="N790" s="92"/>
      <c r="O790" s="92"/>
      <c r="P790" s="91">
        <f t="shared" si="61"/>
        <v>0</v>
      </c>
      <c r="Q790" s="91">
        <f t="shared" si="62"/>
        <v>0</v>
      </c>
      <c r="R790" s="91"/>
    </row>
    <row r="791" spans="2:18" ht="12" customHeight="1" x14ac:dyDescent="0.3">
      <c r="B791" s="98">
        <f t="shared" si="63"/>
        <v>788</v>
      </c>
      <c r="C791" s="97" t="str">
        <f t="shared" si="60"/>
        <v>Jan-00</v>
      </c>
      <c r="D791" s="96"/>
      <c r="E791" s="95"/>
      <c r="F791" s="95"/>
      <c r="G791" s="95"/>
      <c r="H791" s="94"/>
      <c r="I791" s="94"/>
      <c r="J791" s="91"/>
      <c r="K791" s="91"/>
      <c r="L791" s="94"/>
      <c r="M791" s="93"/>
      <c r="N791" s="92"/>
      <c r="O791" s="92"/>
      <c r="P791" s="91">
        <f t="shared" si="61"/>
        <v>0</v>
      </c>
      <c r="Q791" s="91">
        <f t="shared" si="62"/>
        <v>0</v>
      </c>
      <c r="R791" s="91"/>
    </row>
    <row r="792" spans="2:18" ht="12" customHeight="1" x14ac:dyDescent="0.3">
      <c r="B792" s="98">
        <f t="shared" si="63"/>
        <v>789</v>
      </c>
      <c r="C792" s="97" t="str">
        <f t="shared" si="60"/>
        <v>Jan-00</v>
      </c>
      <c r="D792" s="96"/>
      <c r="E792" s="95"/>
      <c r="F792" s="95"/>
      <c r="G792" s="95"/>
      <c r="H792" s="94"/>
      <c r="I792" s="94"/>
      <c r="J792" s="91"/>
      <c r="K792" s="91"/>
      <c r="L792" s="94"/>
      <c r="M792" s="93"/>
      <c r="N792" s="92"/>
      <c r="O792" s="92"/>
      <c r="P792" s="91">
        <f t="shared" si="61"/>
        <v>0</v>
      </c>
      <c r="Q792" s="91">
        <f t="shared" si="62"/>
        <v>0</v>
      </c>
      <c r="R792" s="91"/>
    </row>
    <row r="793" spans="2:18" ht="12" customHeight="1" x14ac:dyDescent="0.3">
      <c r="B793" s="98">
        <f t="shared" si="63"/>
        <v>790</v>
      </c>
      <c r="C793" s="97" t="str">
        <f t="shared" si="60"/>
        <v>Jan-00</v>
      </c>
      <c r="D793" s="96"/>
      <c r="E793" s="95"/>
      <c r="F793" s="95"/>
      <c r="G793" s="95"/>
      <c r="H793" s="94"/>
      <c r="I793" s="94"/>
      <c r="J793" s="91"/>
      <c r="K793" s="91"/>
      <c r="L793" s="94"/>
      <c r="M793" s="93"/>
      <c r="N793" s="92"/>
      <c r="O793" s="92"/>
      <c r="P793" s="91">
        <f t="shared" si="61"/>
        <v>0</v>
      </c>
      <c r="Q793" s="91">
        <f t="shared" si="62"/>
        <v>0</v>
      </c>
      <c r="R793" s="91"/>
    </row>
    <row r="794" spans="2:18" ht="12" customHeight="1" x14ac:dyDescent="0.3">
      <c r="B794" s="98">
        <f t="shared" si="63"/>
        <v>791</v>
      </c>
      <c r="C794" s="97" t="str">
        <f t="shared" si="60"/>
        <v>Jan-00</v>
      </c>
      <c r="D794" s="96"/>
      <c r="E794" s="95"/>
      <c r="F794" s="95"/>
      <c r="G794" s="95"/>
      <c r="H794" s="94"/>
      <c r="I794" s="94"/>
      <c r="J794" s="91"/>
      <c r="K794" s="91"/>
      <c r="L794" s="94"/>
      <c r="M794" s="93"/>
      <c r="N794" s="92"/>
      <c r="O794" s="92"/>
      <c r="P794" s="91">
        <f t="shared" si="61"/>
        <v>0</v>
      </c>
      <c r="Q794" s="91">
        <f t="shared" si="62"/>
        <v>0</v>
      </c>
      <c r="R794" s="91"/>
    </row>
    <row r="795" spans="2:18" ht="12" customHeight="1" x14ac:dyDescent="0.3">
      <c r="B795" s="98">
        <f t="shared" si="63"/>
        <v>792</v>
      </c>
      <c r="C795" s="97" t="str">
        <f t="shared" si="60"/>
        <v>Jan-00</v>
      </c>
      <c r="D795" s="96"/>
      <c r="E795" s="95"/>
      <c r="F795" s="95"/>
      <c r="G795" s="95"/>
      <c r="H795" s="94"/>
      <c r="I795" s="94"/>
      <c r="J795" s="91"/>
      <c r="K795" s="91"/>
      <c r="L795" s="94"/>
      <c r="M795" s="93"/>
      <c r="N795" s="92"/>
      <c r="O795" s="92"/>
      <c r="P795" s="91">
        <f t="shared" si="61"/>
        <v>0</v>
      </c>
      <c r="Q795" s="91">
        <f t="shared" si="62"/>
        <v>0</v>
      </c>
      <c r="R795" s="91"/>
    </row>
    <row r="796" spans="2:18" ht="12" customHeight="1" x14ac:dyDescent="0.3">
      <c r="B796" s="98">
        <f t="shared" si="63"/>
        <v>793</v>
      </c>
      <c r="C796" s="97" t="str">
        <f t="shared" si="60"/>
        <v>Jan-00</v>
      </c>
      <c r="D796" s="96"/>
      <c r="E796" s="95"/>
      <c r="F796" s="95"/>
      <c r="G796" s="95"/>
      <c r="H796" s="94"/>
      <c r="I796" s="94"/>
      <c r="J796" s="91"/>
      <c r="K796" s="91"/>
      <c r="L796" s="94"/>
      <c r="M796" s="93"/>
      <c r="N796" s="92"/>
      <c r="O796" s="92"/>
      <c r="P796" s="91">
        <f t="shared" si="61"/>
        <v>0</v>
      </c>
      <c r="Q796" s="91">
        <f t="shared" si="62"/>
        <v>0</v>
      </c>
      <c r="R796" s="91"/>
    </row>
    <row r="797" spans="2:18" ht="12" customHeight="1" x14ac:dyDescent="0.3">
      <c r="B797" s="98">
        <f t="shared" si="63"/>
        <v>794</v>
      </c>
      <c r="C797" s="97" t="str">
        <f t="shared" si="60"/>
        <v>Jan-00</v>
      </c>
      <c r="D797" s="96"/>
      <c r="E797" s="95"/>
      <c r="F797" s="95"/>
      <c r="G797" s="95"/>
      <c r="H797" s="94"/>
      <c r="I797" s="94"/>
      <c r="J797" s="91"/>
      <c r="K797" s="91"/>
      <c r="L797" s="94"/>
      <c r="M797" s="93"/>
      <c r="N797" s="92"/>
      <c r="O797" s="92"/>
      <c r="P797" s="91">
        <f t="shared" si="61"/>
        <v>0</v>
      </c>
      <c r="Q797" s="91">
        <f t="shared" si="62"/>
        <v>0</v>
      </c>
      <c r="R797" s="91"/>
    </row>
    <row r="798" spans="2:18" ht="12" customHeight="1" x14ac:dyDescent="0.3">
      <c r="B798" s="98">
        <f t="shared" si="63"/>
        <v>795</v>
      </c>
      <c r="C798" s="97" t="str">
        <f t="shared" si="60"/>
        <v>Jan-00</v>
      </c>
      <c r="D798" s="96"/>
      <c r="E798" s="95"/>
      <c r="F798" s="95"/>
      <c r="G798" s="95"/>
      <c r="H798" s="94"/>
      <c r="I798" s="94"/>
      <c r="J798" s="91"/>
      <c r="K798" s="91"/>
      <c r="L798" s="94"/>
      <c r="M798" s="93"/>
      <c r="N798" s="92"/>
      <c r="O798" s="92"/>
      <c r="P798" s="91">
        <f t="shared" si="61"/>
        <v>0</v>
      </c>
      <c r="Q798" s="91">
        <f t="shared" si="62"/>
        <v>0</v>
      </c>
      <c r="R798" s="91"/>
    </row>
    <row r="799" spans="2:18" ht="12" customHeight="1" x14ac:dyDescent="0.3">
      <c r="B799" s="98">
        <f t="shared" si="63"/>
        <v>796</v>
      </c>
      <c r="C799" s="97" t="str">
        <f t="shared" si="60"/>
        <v>Jan-00</v>
      </c>
      <c r="D799" s="96"/>
      <c r="E799" s="95"/>
      <c r="F799" s="95"/>
      <c r="G799" s="95"/>
      <c r="H799" s="94"/>
      <c r="I799" s="94"/>
      <c r="J799" s="91"/>
      <c r="K799" s="91"/>
      <c r="L799" s="94"/>
      <c r="M799" s="93"/>
      <c r="N799" s="92"/>
      <c r="O799" s="92"/>
      <c r="P799" s="91">
        <f t="shared" si="61"/>
        <v>0</v>
      </c>
      <c r="Q799" s="91">
        <f t="shared" si="62"/>
        <v>0</v>
      </c>
      <c r="R799" s="91"/>
    </row>
    <row r="800" spans="2:18" ht="12" customHeight="1" x14ac:dyDescent="0.3">
      <c r="B800" s="98">
        <f t="shared" si="63"/>
        <v>797</v>
      </c>
      <c r="C800" s="97" t="str">
        <f t="shared" si="60"/>
        <v>Jan-00</v>
      </c>
      <c r="D800" s="96"/>
      <c r="E800" s="95"/>
      <c r="F800" s="95"/>
      <c r="G800" s="95"/>
      <c r="H800" s="94"/>
      <c r="I800" s="94"/>
      <c r="J800" s="91"/>
      <c r="K800" s="91"/>
      <c r="L800" s="94"/>
      <c r="M800" s="93"/>
      <c r="N800" s="92"/>
      <c r="O800" s="92"/>
      <c r="P800" s="91">
        <f t="shared" si="61"/>
        <v>0</v>
      </c>
      <c r="Q800" s="91">
        <f t="shared" si="62"/>
        <v>0</v>
      </c>
      <c r="R800" s="91"/>
    </row>
    <row r="801" spans="2:18" ht="12" customHeight="1" x14ac:dyDescent="0.3">
      <c r="B801" s="98">
        <f t="shared" si="63"/>
        <v>798</v>
      </c>
      <c r="C801" s="97" t="str">
        <f t="shared" si="60"/>
        <v>Jan-00</v>
      </c>
      <c r="D801" s="96"/>
      <c r="E801" s="95"/>
      <c r="F801" s="95"/>
      <c r="G801" s="95"/>
      <c r="H801" s="94"/>
      <c r="I801" s="94"/>
      <c r="J801" s="91"/>
      <c r="K801" s="91"/>
      <c r="L801" s="94"/>
      <c r="M801" s="93"/>
      <c r="N801" s="92"/>
      <c r="O801" s="92"/>
      <c r="P801" s="91">
        <f t="shared" si="61"/>
        <v>0</v>
      </c>
      <c r="Q801" s="91">
        <f t="shared" si="62"/>
        <v>0</v>
      </c>
      <c r="R801" s="91"/>
    </row>
    <row r="802" spans="2:18" ht="12" customHeight="1" x14ac:dyDescent="0.3">
      <c r="B802" s="98">
        <f t="shared" si="63"/>
        <v>799</v>
      </c>
      <c r="C802" s="97" t="str">
        <f t="shared" si="60"/>
        <v>Jan-00</v>
      </c>
      <c r="D802" s="96"/>
      <c r="E802" s="95"/>
      <c r="F802" s="95"/>
      <c r="G802" s="95"/>
      <c r="H802" s="94"/>
      <c r="I802" s="94"/>
      <c r="J802" s="91"/>
      <c r="K802" s="91"/>
      <c r="L802" s="94"/>
      <c r="M802" s="93"/>
      <c r="N802" s="92"/>
      <c r="O802" s="92"/>
      <c r="P802" s="91">
        <f t="shared" si="61"/>
        <v>0</v>
      </c>
      <c r="Q802" s="91">
        <f t="shared" si="62"/>
        <v>0</v>
      </c>
      <c r="R802" s="91"/>
    </row>
    <row r="803" spans="2:18" ht="12" customHeight="1" x14ac:dyDescent="0.3">
      <c r="B803" s="98">
        <f t="shared" si="63"/>
        <v>800</v>
      </c>
      <c r="C803" s="97" t="str">
        <f t="shared" si="60"/>
        <v>Jan-00</v>
      </c>
      <c r="D803" s="96"/>
      <c r="E803" s="95"/>
      <c r="F803" s="95"/>
      <c r="G803" s="95"/>
      <c r="H803" s="94"/>
      <c r="I803" s="94"/>
      <c r="J803" s="91"/>
      <c r="K803" s="91"/>
      <c r="L803" s="94"/>
      <c r="M803" s="93"/>
      <c r="N803" s="92"/>
      <c r="O803" s="92"/>
      <c r="P803" s="91">
        <f t="shared" si="61"/>
        <v>0</v>
      </c>
      <c r="Q803" s="91">
        <f t="shared" si="62"/>
        <v>0</v>
      </c>
      <c r="R803" s="91"/>
    </row>
    <row r="804" spans="2:18" ht="12" customHeight="1" x14ac:dyDescent="0.3">
      <c r="B804" s="98">
        <f t="shared" si="63"/>
        <v>801</v>
      </c>
      <c r="C804" s="97" t="str">
        <f t="shared" si="60"/>
        <v>Jan-00</v>
      </c>
      <c r="D804" s="96"/>
      <c r="E804" s="95"/>
      <c r="F804" s="95"/>
      <c r="G804" s="95"/>
      <c r="H804" s="94"/>
      <c r="I804" s="94"/>
      <c r="J804" s="91"/>
      <c r="K804" s="91"/>
      <c r="L804" s="94"/>
      <c r="M804" s="93"/>
      <c r="N804" s="92"/>
      <c r="O804" s="92"/>
      <c r="P804" s="91">
        <f t="shared" si="61"/>
        <v>0</v>
      </c>
      <c r="Q804" s="91">
        <f t="shared" si="62"/>
        <v>0</v>
      </c>
      <c r="R804" s="91"/>
    </row>
    <row r="805" spans="2:18" ht="12" customHeight="1" x14ac:dyDescent="0.3">
      <c r="B805" s="98">
        <f t="shared" si="63"/>
        <v>802</v>
      </c>
      <c r="C805" s="97" t="str">
        <f t="shared" si="60"/>
        <v>Jan-00</v>
      </c>
      <c r="D805" s="96"/>
      <c r="E805" s="95"/>
      <c r="F805" s="95"/>
      <c r="G805" s="95"/>
      <c r="H805" s="94"/>
      <c r="I805" s="94"/>
      <c r="J805" s="91"/>
      <c r="K805" s="91"/>
      <c r="L805" s="94"/>
      <c r="M805" s="93"/>
      <c r="N805" s="92"/>
      <c r="O805" s="92"/>
      <c r="P805" s="91">
        <f t="shared" si="61"/>
        <v>0</v>
      </c>
      <c r="Q805" s="91">
        <f t="shared" si="62"/>
        <v>0</v>
      </c>
      <c r="R805" s="91"/>
    </row>
    <row r="806" spans="2:18" ht="12" customHeight="1" x14ac:dyDescent="0.3">
      <c r="B806" s="98">
        <f t="shared" si="63"/>
        <v>803</v>
      </c>
      <c r="C806" s="97" t="str">
        <f t="shared" si="60"/>
        <v>Jan-00</v>
      </c>
      <c r="D806" s="96"/>
      <c r="E806" s="95"/>
      <c r="F806" s="95"/>
      <c r="G806" s="95"/>
      <c r="H806" s="94"/>
      <c r="I806" s="94"/>
      <c r="J806" s="91"/>
      <c r="K806" s="91"/>
      <c r="L806" s="94"/>
      <c r="M806" s="93"/>
      <c r="N806" s="92"/>
      <c r="O806" s="92"/>
      <c r="P806" s="91">
        <f t="shared" si="61"/>
        <v>0</v>
      </c>
      <c r="Q806" s="91">
        <f t="shared" si="62"/>
        <v>0</v>
      </c>
      <c r="R806" s="91"/>
    </row>
    <row r="807" spans="2:18" ht="12" customHeight="1" x14ac:dyDescent="0.3">
      <c r="B807" s="98">
        <f t="shared" si="63"/>
        <v>804</v>
      </c>
      <c r="C807" s="97" t="str">
        <f t="shared" si="60"/>
        <v>Jan-00</v>
      </c>
      <c r="D807" s="96"/>
      <c r="E807" s="95"/>
      <c r="F807" s="95"/>
      <c r="G807" s="95"/>
      <c r="H807" s="94"/>
      <c r="I807" s="94"/>
      <c r="J807" s="91"/>
      <c r="K807" s="91"/>
      <c r="L807" s="94"/>
      <c r="M807" s="93"/>
      <c r="N807" s="92"/>
      <c r="O807" s="92"/>
      <c r="P807" s="91">
        <f t="shared" si="61"/>
        <v>0</v>
      </c>
      <c r="Q807" s="91">
        <f t="shared" si="62"/>
        <v>0</v>
      </c>
      <c r="R807" s="91"/>
    </row>
    <row r="808" spans="2:18" ht="12" customHeight="1" x14ac:dyDescent="0.3">
      <c r="B808" s="98">
        <f t="shared" si="63"/>
        <v>805</v>
      </c>
      <c r="C808" s="97" t="str">
        <f t="shared" si="60"/>
        <v>Jan-00</v>
      </c>
      <c r="D808" s="96"/>
      <c r="E808" s="95"/>
      <c r="F808" s="95"/>
      <c r="G808" s="95"/>
      <c r="H808" s="94"/>
      <c r="I808" s="94"/>
      <c r="J808" s="91"/>
      <c r="K808" s="91"/>
      <c r="L808" s="94"/>
      <c r="M808" s="93"/>
      <c r="N808" s="92"/>
      <c r="O808" s="92"/>
      <c r="P808" s="91">
        <f t="shared" si="61"/>
        <v>0</v>
      </c>
      <c r="Q808" s="91">
        <f t="shared" si="62"/>
        <v>0</v>
      </c>
      <c r="R808" s="91"/>
    </row>
    <row r="809" spans="2:18" ht="12" customHeight="1" x14ac:dyDescent="0.3">
      <c r="B809" s="98">
        <f t="shared" si="63"/>
        <v>806</v>
      </c>
      <c r="C809" s="97" t="str">
        <f t="shared" si="60"/>
        <v>Jan-00</v>
      </c>
      <c r="D809" s="96"/>
      <c r="E809" s="95"/>
      <c r="F809" s="95"/>
      <c r="G809" s="95"/>
      <c r="H809" s="94"/>
      <c r="I809" s="94"/>
      <c r="J809" s="91"/>
      <c r="K809" s="91"/>
      <c r="L809" s="94"/>
      <c r="M809" s="93"/>
      <c r="N809" s="92"/>
      <c r="O809" s="92"/>
      <c r="P809" s="91">
        <f t="shared" si="61"/>
        <v>0</v>
      </c>
      <c r="Q809" s="91">
        <f t="shared" si="62"/>
        <v>0</v>
      </c>
      <c r="R809" s="91"/>
    </row>
    <row r="810" spans="2:18" ht="12" customHeight="1" x14ac:dyDescent="0.3">
      <c r="B810" s="98">
        <f t="shared" si="63"/>
        <v>807</v>
      </c>
      <c r="C810" s="97" t="str">
        <f t="shared" si="60"/>
        <v>Jan-00</v>
      </c>
      <c r="D810" s="96"/>
      <c r="E810" s="95"/>
      <c r="F810" s="95"/>
      <c r="G810" s="95"/>
      <c r="H810" s="94"/>
      <c r="I810" s="94"/>
      <c r="J810" s="91"/>
      <c r="K810" s="91"/>
      <c r="L810" s="94"/>
      <c r="M810" s="93"/>
      <c r="N810" s="92"/>
      <c r="O810" s="92"/>
      <c r="P810" s="91">
        <f t="shared" si="61"/>
        <v>0</v>
      </c>
      <c r="Q810" s="91">
        <f t="shared" si="62"/>
        <v>0</v>
      </c>
      <c r="R810" s="91"/>
    </row>
    <row r="811" spans="2:18" ht="12" customHeight="1" x14ac:dyDescent="0.3">
      <c r="B811" s="98">
        <f t="shared" si="63"/>
        <v>808</v>
      </c>
      <c r="C811" s="97" t="str">
        <f t="shared" si="60"/>
        <v>Jan-00</v>
      </c>
      <c r="D811" s="96"/>
      <c r="E811" s="95"/>
      <c r="F811" s="95"/>
      <c r="G811" s="95"/>
      <c r="H811" s="94"/>
      <c r="I811" s="94"/>
      <c r="J811" s="91"/>
      <c r="K811" s="91"/>
      <c r="L811" s="94"/>
      <c r="M811" s="93"/>
      <c r="N811" s="92"/>
      <c r="O811" s="92"/>
      <c r="P811" s="91">
        <f t="shared" si="61"/>
        <v>0</v>
      </c>
      <c r="Q811" s="91">
        <f t="shared" si="62"/>
        <v>0</v>
      </c>
      <c r="R811" s="91"/>
    </row>
    <row r="812" spans="2:18" ht="12" customHeight="1" x14ac:dyDescent="0.3">
      <c r="B812" s="98">
        <f t="shared" si="63"/>
        <v>809</v>
      </c>
      <c r="C812" s="97" t="str">
        <f t="shared" si="60"/>
        <v>Jan-00</v>
      </c>
      <c r="D812" s="96"/>
      <c r="E812" s="95"/>
      <c r="F812" s="95"/>
      <c r="G812" s="95"/>
      <c r="H812" s="94"/>
      <c r="I812" s="94"/>
      <c r="J812" s="91"/>
      <c r="K812" s="91"/>
      <c r="L812" s="94"/>
      <c r="M812" s="93"/>
      <c r="N812" s="92"/>
      <c r="O812" s="92"/>
      <c r="P812" s="91">
        <f t="shared" si="61"/>
        <v>0</v>
      </c>
      <c r="Q812" s="91">
        <f t="shared" si="62"/>
        <v>0</v>
      </c>
      <c r="R812" s="91"/>
    </row>
    <row r="813" spans="2:18" ht="12" customHeight="1" x14ac:dyDescent="0.3">
      <c r="B813" s="98">
        <f t="shared" si="63"/>
        <v>810</v>
      </c>
      <c r="C813" s="97" t="str">
        <f t="shared" si="60"/>
        <v>Jan-00</v>
      </c>
      <c r="D813" s="96"/>
      <c r="E813" s="95"/>
      <c r="F813" s="95"/>
      <c r="G813" s="95"/>
      <c r="H813" s="94"/>
      <c r="I813" s="94"/>
      <c r="J813" s="91"/>
      <c r="K813" s="91"/>
      <c r="L813" s="94"/>
      <c r="M813" s="93"/>
      <c r="N813" s="92"/>
      <c r="O813" s="92"/>
      <c r="P813" s="91">
        <f t="shared" si="61"/>
        <v>0</v>
      </c>
      <c r="Q813" s="91">
        <f t="shared" si="62"/>
        <v>0</v>
      </c>
      <c r="R813" s="91"/>
    </row>
    <row r="814" spans="2:18" ht="12" customHeight="1" x14ac:dyDescent="0.3">
      <c r="B814" s="98">
        <f t="shared" si="63"/>
        <v>811</v>
      </c>
      <c r="C814" s="97" t="str">
        <f t="shared" si="60"/>
        <v>Jan-00</v>
      </c>
      <c r="D814" s="96"/>
      <c r="E814" s="95"/>
      <c r="F814" s="95"/>
      <c r="G814" s="95"/>
      <c r="H814" s="94"/>
      <c r="I814" s="94"/>
      <c r="J814" s="91"/>
      <c r="K814" s="91"/>
      <c r="L814" s="94"/>
      <c r="M814" s="93"/>
      <c r="N814" s="92"/>
      <c r="O814" s="92"/>
      <c r="P814" s="91">
        <f t="shared" si="61"/>
        <v>0</v>
      </c>
      <c r="Q814" s="91">
        <f t="shared" si="62"/>
        <v>0</v>
      </c>
      <c r="R814" s="91"/>
    </row>
    <row r="815" spans="2:18" ht="12" customHeight="1" x14ac:dyDescent="0.3">
      <c r="B815" s="98">
        <f t="shared" si="63"/>
        <v>812</v>
      </c>
      <c r="C815" s="97" t="str">
        <f t="shared" si="60"/>
        <v>Jan-00</v>
      </c>
      <c r="D815" s="96"/>
      <c r="E815" s="95"/>
      <c r="F815" s="95"/>
      <c r="G815" s="95"/>
      <c r="H815" s="94"/>
      <c r="I815" s="94"/>
      <c r="J815" s="91"/>
      <c r="K815" s="91"/>
      <c r="L815" s="94"/>
      <c r="M815" s="93"/>
      <c r="N815" s="92"/>
      <c r="O815" s="92"/>
      <c r="P815" s="91">
        <f t="shared" si="61"/>
        <v>0</v>
      </c>
      <c r="Q815" s="91">
        <f t="shared" si="62"/>
        <v>0</v>
      </c>
      <c r="R815" s="91"/>
    </row>
    <row r="816" spans="2:18" ht="12" customHeight="1" x14ac:dyDescent="0.3">
      <c r="B816" s="98">
        <f t="shared" si="63"/>
        <v>813</v>
      </c>
      <c r="C816" s="97" t="str">
        <f t="shared" si="60"/>
        <v>Jan-00</v>
      </c>
      <c r="D816" s="96"/>
      <c r="E816" s="95"/>
      <c r="F816" s="95"/>
      <c r="G816" s="95"/>
      <c r="H816" s="94"/>
      <c r="I816" s="94"/>
      <c r="J816" s="91"/>
      <c r="K816" s="91"/>
      <c r="L816" s="94"/>
      <c r="M816" s="93"/>
      <c r="N816" s="92"/>
      <c r="O816" s="92"/>
      <c r="P816" s="91">
        <f t="shared" si="61"/>
        <v>0</v>
      </c>
      <c r="Q816" s="91">
        <f t="shared" si="62"/>
        <v>0</v>
      </c>
      <c r="R816" s="91"/>
    </row>
    <row r="817" spans="2:18" ht="12" customHeight="1" x14ac:dyDescent="0.3">
      <c r="B817" s="98">
        <f t="shared" si="63"/>
        <v>814</v>
      </c>
      <c r="C817" s="97" t="str">
        <f t="shared" si="60"/>
        <v>Jan-00</v>
      </c>
      <c r="D817" s="96"/>
      <c r="E817" s="95"/>
      <c r="F817" s="95"/>
      <c r="G817" s="95"/>
      <c r="H817" s="94"/>
      <c r="I817" s="94"/>
      <c r="J817" s="91"/>
      <c r="K817" s="91"/>
      <c r="L817" s="94"/>
      <c r="M817" s="93"/>
      <c r="N817" s="92"/>
      <c r="O817" s="92"/>
      <c r="P817" s="91">
        <f t="shared" si="61"/>
        <v>0</v>
      </c>
      <c r="Q817" s="91">
        <f t="shared" si="62"/>
        <v>0</v>
      </c>
      <c r="R817" s="91"/>
    </row>
    <row r="818" spans="2:18" ht="12" customHeight="1" x14ac:dyDescent="0.3">
      <c r="B818" s="98">
        <f t="shared" si="63"/>
        <v>815</v>
      </c>
      <c r="C818" s="97" t="str">
        <f t="shared" si="60"/>
        <v>Jan-00</v>
      </c>
      <c r="D818" s="96"/>
      <c r="E818" s="95"/>
      <c r="F818" s="95"/>
      <c r="G818" s="95"/>
      <c r="H818" s="94"/>
      <c r="I818" s="94"/>
      <c r="J818" s="91"/>
      <c r="K818" s="91"/>
      <c r="L818" s="94"/>
      <c r="M818" s="93"/>
      <c r="N818" s="92"/>
      <c r="O818" s="92"/>
      <c r="P818" s="91">
        <f t="shared" si="61"/>
        <v>0</v>
      </c>
      <c r="Q818" s="91">
        <f t="shared" si="62"/>
        <v>0</v>
      </c>
      <c r="R818" s="91"/>
    </row>
    <row r="819" spans="2:18" ht="12" customHeight="1" x14ac:dyDescent="0.3">
      <c r="B819" s="98">
        <f t="shared" si="63"/>
        <v>816</v>
      </c>
      <c r="C819" s="97" t="str">
        <f t="shared" si="60"/>
        <v>Jan-00</v>
      </c>
      <c r="D819" s="96"/>
      <c r="E819" s="95"/>
      <c r="F819" s="95"/>
      <c r="G819" s="95"/>
      <c r="H819" s="94"/>
      <c r="I819" s="94"/>
      <c r="J819" s="91"/>
      <c r="K819" s="91"/>
      <c r="L819" s="94"/>
      <c r="M819" s="93"/>
      <c r="N819" s="92"/>
      <c r="O819" s="92"/>
      <c r="P819" s="91">
        <f t="shared" si="61"/>
        <v>0</v>
      </c>
      <c r="Q819" s="91">
        <f t="shared" si="62"/>
        <v>0</v>
      </c>
      <c r="R819" s="91"/>
    </row>
    <row r="820" spans="2:18" ht="12" customHeight="1" x14ac:dyDescent="0.3">
      <c r="B820" s="98">
        <f t="shared" si="63"/>
        <v>817</v>
      </c>
      <c r="C820" s="97" t="str">
        <f t="shared" si="60"/>
        <v>Jan-00</v>
      </c>
      <c r="D820" s="96"/>
      <c r="E820" s="95"/>
      <c r="F820" s="95"/>
      <c r="G820" s="95"/>
      <c r="H820" s="94"/>
      <c r="I820" s="94"/>
      <c r="J820" s="91"/>
      <c r="K820" s="91"/>
      <c r="L820" s="94"/>
      <c r="M820" s="93"/>
      <c r="N820" s="92"/>
      <c r="O820" s="92"/>
      <c r="P820" s="91">
        <f t="shared" si="61"/>
        <v>0</v>
      </c>
      <c r="Q820" s="91">
        <f t="shared" si="62"/>
        <v>0</v>
      </c>
      <c r="R820" s="91"/>
    </row>
    <row r="821" spans="2:18" ht="12" customHeight="1" x14ac:dyDescent="0.3">
      <c r="B821" s="98">
        <f t="shared" si="63"/>
        <v>818</v>
      </c>
      <c r="C821" s="97" t="str">
        <f t="shared" si="60"/>
        <v>Jan-00</v>
      </c>
      <c r="D821" s="96"/>
      <c r="E821" s="95"/>
      <c r="F821" s="95"/>
      <c r="G821" s="95"/>
      <c r="H821" s="94"/>
      <c r="I821" s="94"/>
      <c r="J821" s="91"/>
      <c r="K821" s="91"/>
      <c r="L821" s="94"/>
      <c r="M821" s="93"/>
      <c r="N821" s="92"/>
      <c r="O821" s="92"/>
      <c r="P821" s="91">
        <f t="shared" si="61"/>
        <v>0</v>
      </c>
      <c r="Q821" s="91">
        <f t="shared" si="62"/>
        <v>0</v>
      </c>
      <c r="R821" s="91"/>
    </row>
    <row r="822" spans="2:18" ht="12" customHeight="1" x14ac:dyDescent="0.3">
      <c r="B822" s="98">
        <f t="shared" si="63"/>
        <v>819</v>
      </c>
      <c r="C822" s="97" t="str">
        <f t="shared" si="60"/>
        <v>Jan-00</v>
      </c>
      <c r="D822" s="96"/>
      <c r="E822" s="95"/>
      <c r="F822" s="95"/>
      <c r="G822" s="95"/>
      <c r="H822" s="94"/>
      <c r="I822" s="94"/>
      <c r="J822" s="91"/>
      <c r="K822" s="91"/>
      <c r="L822" s="94"/>
      <c r="M822" s="93"/>
      <c r="N822" s="92"/>
      <c r="O822" s="92"/>
      <c r="P822" s="91">
        <f t="shared" si="61"/>
        <v>0</v>
      </c>
      <c r="Q822" s="91">
        <f t="shared" si="62"/>
        <v>0</v>
      </c>
      <c r="R822" s="91"/>
    </row>
    <row r="823" spans="2:18" ht="12" customHeight="1" x14ac:dyDescent="0.3">
      <c r="B823" s="98">
        <f t="shared" si="63"/>
        <v>820</v>
      </c>
      <c r="C823" s="97" t="str">
        <f t="shared" si="60"/>
        <v>Jan-00</v>
      </c>
      <c r="D823" s="96"/>
      <c r="E823" s="95"/>
      <c r="F823" s="95"/>
      <c r="G823" s="95"/>
      <c r="H823" s="94"/>
      <c r="I823" s="94"/>
      <c r="J823" s="91"/>
      <c r="K823" s="91"/>
      <c r="L823" s="94"/>
      <c r="M823" s="93"/>
      <c r="N823" s="92"/>
      <c r="O823" s="92"/>
      <c r="P823" s="91">
        <f t="shared" si="61"/>
        <v>0</v>
      </c>
      <c r="Q823" s="91">
        <f t="shared" si="62"/>
        <v>0</v>
      </c>
      <c r="R823" s="91"/>
    </row>
    <row r="824" spans="2:18" ht="12" customHeight="1" x14ac:dyDescent="0.3">
      <c r="B824" s="98">
        <f t="shared" si="63"/>
        <v>821</v>
      </c>
      <c r="C824" s="97" t="str">
        <f t="shared" si="60"/>
        <v>Jan-00</v>
      </c>
      <c r="D824" s="96"/>
      <c r="E824" s="95"/>
      <c r="F824" s="95"/>
      <c r="G824" s="95"/>
      <c r="H824" s="94"/>
      <c r="I824" s="94"/>
      <c r="J824" s="91"/>
      <c r="K824" s="91"/>
      <c r="L824" s="94"/>
      <c r="M824" s="93"/>
      <c r="N824" s="92"/>
      <c r="O824" s="92"/>
      <c r="P824" s="91">
        <f t="shared" si="61"/>
        <v>0</v>
      </c>
      <c r="Q824" s="91">
        <f t="shared" si="62"/>
        <v>0</v>
      </c>
      <c r="R824" s="91"/>
    </row>
    <row r="825" spans="2:18" ht="12" customHeight="1" x14ac:dyDescent="0.3">
      <c r="B825" s="98">
        <f t="shared" si="63"/>
        <v>822</v>
      </c>
      <c r="C825" s="97" t="str">
        <f t="shared" si="60"/>
        <v>Jan-00</v>
      </c>
      <c r="D825" s="96"/>
      <c r="E825" s="95"/>
      <c r="F825" s="95"/>
      <c r="G825" s="95"/>
      <c r="H825" s="94"/>
      <c r="I825" s="94"/>
      <c r="J825" s="91"/>
      <c r="K825" s="91"/>
      <c r="L825" s="94"/>
      <c r="M825" s="93"/>
      <c r="N825" s="92"/>
      <c r="O825" s="92"/>
      <c r="P825" s="91">
        <f t="shared" si="61"/>
        <v>0</v>
      </c>
      <c r="Q825" s="91">
        <f t="shared" si="62"/>
        <v>0</v>
      </c>
      <c r="R825" s="91"/>
    </row>
    <row r="826" spans="2:18" ht="12" customHeight="1" x14ac:dyDescent="0.3">
      <c r="B826" s="98">
        <f t="shared" si="63"/>
        <v>823</v>
      </c>
      <c r="C826" s="97" t="str">
        <f t="shared" si="60"/>
        <v>Jan-00</v>
      </c>
      <c r="D826" s="96"/>
      <c r="E826" s="95"/>
      <c r="F826" s="95"/>
      <c r="G826" s="95"/>
      <c r="H826" s="94"/>
      <c r="I826" s="94"/>
      <c r="J826" s="91"/>
      <c r="K826" s="91"/>
      <c r="L826" s="94"/>
      <c r="M826" s="93"/>
      <c r="N826" s="92"/>
      <c r="O826" s="92"/>
      <c r="P826" s="91">
        <f t="shared" si="61"/>
        <v>0</v>
      </c>
      <c r="Q826" s="91">
        <f t="shared" si="62"/>
        <v>0</v>
      </c>
      <c r="R826" s="91"/>
    </row>
    <row r="827" spans="2:18" ht="12" customHeight="1" x14ac:dyDescent="0.3">
      <c r="B827" s="98">
        <f t="shared" si="63"/>
        <v>824</v>
      </c>
      <c r="C827" s="97" t="str">
        <f t="shared" si="60"/>
        <v>Jan-00</v>
      </c>
      <c r="D827" s="96"/>
      <c r="E827" s="95"/>
      <c r="F827" s="95"/>
      <c r="G827" s="95"/>
      <c r="H827" s="94"/>
      <c r="I827" s="94"/>
      <c r="J827" s="91"/>
      <c r="K827" s="91"/>
      <c r="L827" s="94"/>
      <c r="M827" s="93"/>
      <c r="N827" s="92"/>
      <c r="O827" s="92"/>
      <c r="P827" s="91">
        <f t="shared" si="61"/>
        <v>0</v>
      </c>
      <c r="Q827" s="91">
        <f t="shared" si="62"/>
        <v>0</v>
      </c>
      <c r="R827" s="91"/>
    </row>
    <row r="828" spans="2:18" ht="12" customHeight="1" x14ac:dyDescent="0.3">
      <c r="B828" s="98">
        <f t="shared" si="63"/>
        <v>825</v>
      </c>
      <c r="C828" s="97" t="str">
        <f t="shared" si="60"/>
        <v>Jan-00</v>
      </c>
      <c r="D828" s="96"/>
      <c r="E828" s="95"/>
      <c r="F828" s="95"/>
      <c r="G828" s="95"/>
      <c r="H828" s="94"/>
      <c r="I828" s="94"/>
      <c r="J828" s="91"/>
      <c r="K828" s="91"/>
      <c r="L828" s="94"/>
      <c r="M828" s="93"/>
      <c r="N828" s="92"/>
      <c r="O828" s="92"/>
      <c r="P828" s="91">
        <f t="shared" si="61"/>
        <v>0</v>
      </c>
      <c r="Q828" s="91">
        <f t="shared" si="62"/>
        <v>0</v>
      </c>
      <c r="R828" s="91"/>
    </row>
    <row r="829" spans="2:18" ht="12" customHeight="1" x14ac:dyDescent="0.3">
      <c r="B829" s="98">
        <f t="shared" si="63"/>
        <v>826</v>
      </c>
      <c r="C829" s="97" t="str">
        <f t="shared" si="60"/>
        <v>Jan-00</v>
      </c>
      <c r="D829" s="96"/>
      <c r="E829" s="95"/>
      <c r="F829" s="95"/>
      <c r="G829" s="95"/>
      <c r="H829" s="94"/>
      <c r="I829" s="94"/>
      <c r="J829" s="91"/>
      <c r="K829" s="91"/>
      <c r="L829" s="94"/>
      <c r="M829" s="93"/>
      <c r="N829" s="92"/>
      <c r="O829" s="92"/>
      <c r="P829" s="91">
        <f t="shared" si="61"/>
        <v>0</v>
      </c>
      <c r="Q829" s="91">
        <f t="shared" si="62"/>
        <v>0</v>
      </c>
      <c r="R829" s="91"/>
    </row>
    <row r="830" spans="2:18" ht="12" customHeight="1" x14ac:dyDescent="0.3">
      <c r="B830" s="98">
        <f t="shared" si="63"/>
        <v>827</v>
      </c>
      <c r="C830" s="97" t="str">
        <f t="shared" si="60"/>
        <v>Jan-00</v>
      </c>
      <c r="D830" s="96"/>
      <c r="E830" s="95"/>
      <c r="F830" s="95"/>
      <c r="G830" s="95"/>
      <c r="H830" s="94"/>
      <c r="I830" s="94"/>
      <c r="J830" s="91"/>
      <c r="K830" s="91"/>
      <c r="L830" s="94"/>
      <c r="M830" s="93"/>
      <c r="N830" s="92"/>
      <c r="O830" s="92"/>
      <c r="P830" s="91">
        <f t="shared" si="61"/>
        <v>0</v>
      </c>
      <c r="Q830" s="91">
        <f t="shared" si="62"/>
        <v>0</v>
      </c>
      <c r="R830" s="91"/>
    </row>
    <row r="831" spans="2:18" ht="12" customHeight="1" x14ac:dyDescent="0.3">
      <c r="B831" s="98">
        <f t="shared" si="63"/>
        <v>828</v>
      </c>
      <c r="C831" s="97" t="str">
        <f t="shared" si="60"/>
        <v>Jan-00</v>
      </c>
      <c r="D831" s="96"/>
      <c r="E831" s="95"/>
      <c r="F831" s="95"/>
      <c r="G831" s="95"/>
      <c r="H831" s="94"/>
      <c r="I831" s="94"/>
      <c r="J831" s="91"/>
      <c r="K831" s="91"/>
      <c r="L831" s="94"/>
      <c r="M831" s="93"/>
      <c r="N831" s="92"/>
      <c r="O831" s="92"/>
      <c r="P831" s="91">
        <f t="shared" si="61"/>
        <v>0</v>
      </c>
      <c r="Q831" s="91">
        <f t="shared" si="62"/>
        <v>0</v>
      </c>
      <c r="R831" s="91"/>
    </row>
    <row r="832" spans="2:18" ht="12" customHeight="1" x14ac:dyDescent="0.3">
      <c r="B832" s="98">
        <f t="shared" si="63"/>
        <v>829</v>
      </c>
      <c r="C832" s="97" t="str">
        <f t="shared" si="60"/>
        <v>Jan-00</v>
      </c>
      <c r="D832" s="96"/>
      <c r="E832" s="95"/>
      <c r="F832" s="95"/>
      <c r="G832" s="95"/>
      <c r="H832" s="94"/>
      <c r="I832" s="94"/>
      <c r="J832" s="91"/>
      <c r="K832" s="91"/>
      <c r="L832" s="94"/>
      <c r="M832" s="93"/>
      <c r="N832" s="92"/>
      <c r="O832" s="92"/>
      <c r="P832" s="91">
        <f t="shared" si="61"/>
        <v>0</v>
      </c>
      <c r="Q832" s="91">
        <f t="shared" si="62"/>
        <v>0</v>
      </c>
      <c r="R832" s="91"/>
    </row>
    <row r="833" spans="2:18" ht="12" customHeight="1" x14ac:dyDescent="0.3">
      <c r="B833" s="98">
        <f t="shared" si="63"/>
        <v>830</v>
      </c>
      <c r="C833" s="97" t="str">
        <f t="shared" si="60"/>
        <v>Jan-00</v>
      </c>
      <c r="D833" s="96"/>
      <c r="E833" s="95"/>
      <c r="F833" s="95"/>
      <c r="G833" s="95"/>
      <c r="H833" s="94"/>
      <c r="I833" s="94"/>
      <c r="J833" s="91"/>
      <c r="K833" s="91"/>
      <c r="L833" s="94"/>
      <c r="M833" s="93"/>
      <c r="N833" s="92"/>
      <c r="O833" s="92"/>
      <c r="P833" s="91">
        <f t="shared" si="61"/>
        <v>0</v>
      </c>
      <c r="Q833" s="91">
        <f t="shared" si="62"/>
        <v>0</v>
      </c>
      <c r="R833" s="91"/>
    </row>
    <row r="834" spans="2:18" ht="12" customHeight="1" x14ac:dyDescent="0.3">
      <c r="B834" s="98">
        <f t="shared" si="63"/>
        <v>831</v>
      </c>
      <c r="C834" s="97" t="str">
        <f t="shared" si="60"/>
        <v>Jan-00</v>
      </c>
      <c r="D834" s="96"/>
      <c r="E834" s="95"/>
      <c r="F834" s="95"/>
      <c r="G834" s="95"/>
      <c r="H834" s="94"/>
      <c r="I834" s="94"/>
      <c r="J834" s="91"/>
      <c r="K834" s="91"/>
      <c r="L834" s="94"/>
      <c r="M834" s="93"/>
      <c r="N834" s="92"/>
      <c r="O834" s="92"/>
      <c r="P834" s="91">
        <f t="shared" si="61"/>
        <v>0</v>
      </c>
      <c r="Q834" s="91">
        <f t="shared" si="62"/>
        <v>0</v>
      </c>
      <c r="R834" s="91"/>
    </row>
    <row r="835" spans="2:18" ht="12" customHeight="1" x14ac:dyDescent="0.3">
      <c r="B835" s="98">
        <f t="shared" si="63"/>
        <v>832</v>
      </c>
      <c r="C835" s="97" t="str">
        <f t="shared" si="60"/>
        <v>Jan-00</v>
      </c>
      <c r="D835" s="96"/>
      <c r="E835" s="95"/>
      <c r="F835" s="95"/>
      <c r="G835" s="95"/>
      <c r="H835" s="94"/>
      <c r="I835" s="94"/>
      <c r="J835" s="91"/>
      <c r="K835" s="91"/>
      <c r="L835" s="94"/>
      <c r="M835" s="93"/>
      <c r="N835" s="92"/>
      <c r="O835" s="92"/>
      <c r="P835" s="91">
        <f t="shared" si="61"/>
        <v>0</v>
      </c>
      <c r="Q835" s="91">
        <f t="shared" si="62"/>
        <v>0</v>
      </c>
      <c r="R835" s="91"/>
    </row>
    <row r="836" spans="2:18" ht="12" customHeight="1" x14ac:dyDescent="0.3">
      <c r="B836" s="98">
        <f t="shared" si="63"/>
        <v>833</v>
      </c>
      <c r="C836" s="97" t="str">
        <f t="shared" ref="C836:C899" si="64">CONCATENATE(TEXT(D836,"mmm"),"-",TEXT(D836,"yy"))</f>
        <v>Jan-00</v>
      </c>
      <c r="D836" s="96"/>
      <c r="E836" s="95"/>
      <c r="F836" s="95"/>
      <c r="G836" s="95"/>
      <c r="H836" s="94"/>
      <c r="I836" s="94"/>
      <c r="J836" s="91"/>
      <c r="K836" s="91"/>
      <c r="L836" s="94"/>
      <c r="M836" s="93"/>
      <c r="N836" s="92"/>
      <c r="O836" s="92"/>
      <c r="P836" s="91">
        <f t="shared" ref="P836:P899" si="65">O836*1%</f>
        <v>0</v>
      </c>
      <c r="Q836" s="91">
        <f t="shared" ref="Q836:Q899" si="66">O836-P836</f>
        <v>0</v>
      </c>
      <c r="R836" s="91"/>
    </row>
    <row r="837" spans="2:18" ht="12" customHeight="1" x14ac:dyDescent="0.3">
      <c r="B837" s="98">
        <f t="shared" ref="B837:B900" si="67">+B836+1</f>
        <v>834</v>
      </c>
      <c r="C837" s="97" t="str">
        <f t="shared" si="64"/>
        <v>Jan-00</v>
      </c>
      <c r="D837" s="96"/>
      <c r="E837" s="95"/>
      <c r="F837" s="95"/>
      <c r="G837" s="95"/>
      <c r="H837" s="94"/>
      <c r="I837" s="94"/>
      <c r="J837" s="91"/>
      <c r="K837" s="91"/>
      <c r="L837" s="94"/>
      <c r="M837" s="93"/>
      <c r="N837" s="92"/>
      <c r="O837" s="92"/>
      <c r="P837" s="91">
        <f t="shared" si="65"/>
        <v>0</v>
      </c>
      <c r="Q837" s="91">
        <f t="shared" si="66"/>
        <v>0</v>
      </c>
      <c r="R837" s="91"/>
    </row>
    <row r="838" spans="2:18" ht="12" customHeight="1" x14ac:dyDescent="0.3">
      <c r="B838" s="98">
        <f t="shared" si="67"/>
        <v>835</v>
      </c>
      <c r="C838" s="97" t="str">
        <f t="shared" si="64"/>
        <v>Jan-00</v>
      </c>
      <c r="D838" s="96"/>
      <c r="E838" s="95"/>
      <c r="F838" s="95"/>
      <c r="G838" s="95"/>
      <c r="H838" s="94"/>
      <c r="I838" s="94"/>
      <c r="J838" s="91"/>
      <c r="K838" s="91"/>
      <c r="L838" s="94"/>
      <c r="M838" s="93"/>
      <c r="N838" s="92"/>
      <c r="O838" s="92"/>
      <c r="P838" s="91">
        <f t="shared" si="65"/>
        <v>0</v>
      </c>
      <c r="Q838" s="91">
        <f t="shared" si="66"/>
        <v>0</v>
      </c>
      <c r="R838" s="91"/>
    </row>
    <row r="839" spans="2:18" ht="12" customHeight="1" x14ac:dyDescent="0.3">
      <c r="B839" s="98">
        <f t="shared" si="67"/>
        <v>836</v>
      </c>
      <c r="C839" s="97" t="str">
        <f t="shared" si="64"/>
        <v>Jan-00</v>
      </c>
      <c r="D839" s="96"/>
      <c r="E839" s="95"/>
      <c r="F839" s="95"/>
      <c r="G839" s="95"/>
      <c r="H839" s="94"/>
      <c r="I839" s="94"/>
      <c r="J839" s="91"/>
      <c r="K839" s="91"/>
      <c r="L839" s="94"/>
      <c r="M839" s="93"/>
      <c r="N839" s="92"/>
      <c r="O839" s="92"/>
      <c r="P839" s="91">
        <f t="shared" si="65"/>
        <v>0</v>
      </c>
      <c r="Q839" s="91">
        <f t="shared" si="66"/>
        <v>0</v>
      </c>
      <c r="R839" s="91"/>
    </row>
    <row r="840" spans="2:18" ht="12" customHeight="1" x14ac:dyDescent="0.3">
      <c r="B840" s="98">
        <f t="shared" si="67"/>
        <v>837</v>
      </c>
      <c r="C840" s="97" t="str">
        <f t="shared" si="64"/>
        <v>Jan-00</v>
      </c>
      <c r="D840" s="96"/>
      <c r="E840" s="95"/>
      <c r="F840" s="95"/>
      <c r="G840" s="95"/>
      <c r="H840" s="94"/>
      <c r="I840" s="94"/>
      <c r="J840" s="91"/>
      <c r="K840" s="91"/>
      <c r="L840" s="94"/>
      <c r="M840" s="93"/>
      <c r="N840" s="92"/>
      <c r="O840" s="92"/>
      <c r="P840" s="91">
        <f t="shared" si="65"/>
        <v>0</v>
      </c>
      <c r="Q840" s="91">
        <f t="shared" si="66"/>
        <v>0</v>
      </c>
      <c r="R840" s="91"/>
    </row>
    <row r="841" spans="2:18" ht="12" customHeight="1" x14ac:dyDescent="0.3">
      <c r="B841" s="98">
        <f t="shared" si="67"/>
        <v>838</v>
      </c>
      <c r="C841" s="97" t="str">
        <f t="shared" si="64"/>
        <v>Jan-00</v>
      </c>
      <c r="D841" s="96"/>
      <c r="E841" s="95"/>
      <c r="F841" s="95"/>
      <c r="G841" s="95"/>
      <c r="H841" s="94"/>
      <c r="I841" s="94"/>
      <c r="J841" s="91"/>
      <c r="K841" s="91"/>
      <c r="L841" s="94"/>
      <c r="M841" s="93"/>
      <c r="N841" s="92"/>
      <c r="O841" s="92"/>
      <c r="P841" s="91">
        <f t="shared" si="65"/>
        <v>0</v>
      </c>
      <c r="Q841" s="91">
        <f t="shared" si="66"/>
        <v>0</v>
      </c>
      <c r="R841" s="91"/>
    </row>
    <row r="842" spans="2:18" ht="12" customHeight="1" x14ac:dyDescent="0.3">
      <c r="B842" s="98">
        <f t="shared" si="67"/>
        <v>839</v>
      </c>
      <c r="C842" s="97" t="str">
        <f t="shared" si="64"/>
        <v>Jan-00</v>
      </c>
      <c r="D842" s="96"/>
      <c r="E842" s="95"/>
      <c r="F842" s="95"/>
      <c r="G842" s="95"/>
      <c r="H842" s="94"/>
      <c r="I842" s="94"/>
      <c r="J842" s="91"/>
      <c r="K842" s="91"/>
      <c r="L842" s="94"/>
      <c r="M842" s="93"/>
      <c r="N842" s="92"/>
      <c r="O842" s="92"/>
      <c r="P842" s="91">
        <f t="shared" si="65"/>
        <v>0</v>
      </c>
      <c r="Q842" s="91">
        <f t="shared" si="66"/>
        <v>0</v>
      </c>
      <c r="R842" s="91"/>
    </row>
    <row r="843" spans="2:18" ht="12" customHeight="1" x14ac:dyDescent="0.3">
      <c r="B843" s="98">
        <f t="shared" si="67"/>
        <v>840</v>
      </c>
      <c r="C843" s="97" t="str">
        <f t="shared" si="64"/>
        <v>Jan-00</v>
      </c>
      <c r="D843" s="96"/>
      <c r="E843" s="95"/>
      <c r="F843" s="95"/>
      <c r="G843" s="95"/>
      <c r="H843" s="94"/>
      <c r="I843" s="94"/>
      <c r="J843" s="91"/>
      <c r="K843" s="91"/>
      <c r="L843" s="94"/>
      <c r="M843" s="93"/>
      <c r="N843" s="92"/>
      <c r="O843" s="92"/>
      <c r="P843" s="91">
        <f t="shared" si="65"/>
        <v>0</v>
      </c>
      <c r="Q843" s="91">
        <f t="shared" si="66"/>
        <v>0</v>
      </c>
      <c r="R843" s="91"/>
    </row>
    <row r="844" spans="2:18" ht="12" customHeight="1" x14ac:dyDescent="0.3">
      <c r="B844" s="98">
        <f t="shared" si="67"/>
        <v>841</v>
      </c>
      <c r="C844" s="97" t="str">
        <f t="shared" si="64"/>
        <v>Jan-00</v>
      </c>
      <c r="D844" s="96"/>
      <c r="E844" s="95"/>
      <c r="F844" s="95"/>
      <c r="G844" s="95"/>
      <c r="H844" s="94"/>
      <c r="I844" s="94"/>
      <c r="J844" s="91"/>
      <c r="K844" s="91"/>
      <c r="L844" s="94"/>
      <c r="M844" s="93"/>
      <c r="N844" s="92"/>
      <c r="O844" s="92"/>
      <c r="P844" s="91">
        <f t="shared" si="65"/>
        <v>0</v>
      </c>
      <c r="Q844" s="91">
        <f t="shared" si="66"/>
        <v>0</v>
      </c>
      <c r="R844" s="91"/>
    </row>
    <row r="845" spans="2:18" ht="12" customHeight="1" x14ac:dyDescent="0.3">
      <c r="B845" s="98">
        <f t="shared" si="67"/>
        <v>842</v>
      </c>
      <c r="C845" s="97" t="str">
        <f t="shared" si="64"/>
        <v>Jan-00</v>
      </c>
      <c r="D845" s="96"/>
      <c r="E845" s="95"/>
      <c r="F845" s="95"/>
      <c r="G845" s="95"/>
      <c r="H845" s="94"/>
      <c r="I845" s="94"/>
      <c r="J845" s="91"/>
      <c r="K845" s="91"/>
      <c r="L845" s="94"/>
      <c r="M845" s="93"/>
      <c r="N845" s="92"/>
      <c r="O845" s="92"/>
      <c r="P845" s="91">
        <f t="shared" si="65"/>
        <v>0</v>
      </c>
      <c r="Q845" s="91">
        <f t="shared" si="66"/>
        <v>0</v>
      </c>
      <c r="R845" s="91"/>
    </row>
    <row r="846" spans="2:18" ht="12" customHeight="1" x14ac:dyDescent="0.3">
      <c r="B846" s="98">
        <f t="shared" si="67"/>
        <v>843</v>
      </c>
      <c r="C846" s="97" t="str">
        <f t="shared" si="64"/>
        <v>Jan-00</v>
      </c>
      <c r="D846" s="96"/>
      <c r="E846" s="95"/>
      <c r="F846" s="95"/>
      <c r="G846" s="95"/>
      <c r="H846" s="94"/>
      <c r="I846" s="94"/>
      <c r="J846" s="91"/>
      <c r="K846" s="91"/>
      <c r="L846" s="94"/>
      <c r="M846" s="93"/>
      <c r="N846" s="92"/>
      <c r="O846" s="92"/>
      <c r="P846" s="91">
        <f t="shared" si="65"/>
        <v>0</v>
      </c>
      <c r="Q846" s="91">
        <f t="shared" si="66"/>
        <v>0</v>
      </c>
      <c r="R846" s="91"/>
    </row>
    <row r="847" spans="2:18" ht="12" customHeight="1" x14ac:dyDescent="0.3">
      <c r="B847" s="98">
        <f t="shared" si="67"/>
        <v>844</v>
      </c>
      <c r="C847" s="97" t="str">
        <f t="shared" si="64"/>
        <v>Jan-00</v>
      </c>
      <c r="D847" s="96"/>
      <c r="E847" s="95"/>
      <c r="F847" s="95"/>
      <c r="G847" s="95"/>
      <c r="H847" s="94"/>
      <c r="I847" s="94"/>
      <c r="J847" s="91"/>
      <c r="K847" s="91"/>
      <c r="L847" s="94"/>
      <c r="M847" s="93"/>
      <c r="N847" s="92"/>
      <c r="O847" s="92"/>
      <c r="P847" s="91">
        <f t="shared" si="65"/>
        <v>0</v>
      </c>
      <c r="Q847" s="91">
        <f t="shared" si="66"/>
        <v>0</v>
      </c>
      <c r="R847" s="91"/>
    </row>
    <row r="848" spans="2:18" ht="12" customHeight="1" x14ac:dyDescent="0.3">
      <c r="B848" s="98">
        <f t="shared" si="67"/>
        <v>845</v>
      </c>
      <c r="C848" s="97" t="str">
        <f t="shared" si="64"/>
        <v>Jan-00</v>
      </c>
      <c r="D848" s="96"/>
      <c r="E848" s="95"/>
      <c r="F848" s="95"/>
      <c r="G848" s="95"/>
      <c r="H848" s="94"/>
      <c r="I848" s="94"/>
      <c r="J848" s="91"/>
      <c r="K848" s="91"/>
      <c r="L848" s="94"/>
      <c r="M848" s="93"/>
      <c r="N848" s="92"/>
      <c r="O848" s="92"/>
      <c r="P848" s="91">
        <f t="shared" si="65"/>
        <v>0</v>
      </c>
      <c r="Q848" s="91">
        <f t="shared" si="66"/>
        <v>0</v>
      </c>
      <c r="R848" s="91"/>
    </row>
    <row r="849" spans="2:18" ht="12" customHeight="1" x14ac:dyDescent="0.3">
      <c r="B849" s="98">
        <f t="shared" si="67"/>
        <v>846</v>
      </c>
      <c r="C849" s="97" t="str">
        <f t="shared" si="64"/>
        <v>Jan-00</v>
      </c>
      <c r="D849" s="96"/>
      <c r="E849" s="95"/>
      <c r="F849" s="95"/>
      <c r="G849" s="95"/>
      <c r="H849" s="94"/>
      <c r="I849" s="94"/>
      <c r="J849" s="91"/>
      <c r="K849" s="91"/>
      <c r="L849" s="94"/>
      <c r="M849" s="93"/>
      <c r="N849" s="92"/>
      <c r="O849" s="92"/>
      <c r="P849" s="91">
        <f t="shared" si="65"/>
        <v>0</v>
      </c>
      <c r="Q849" s="91">
        <f t="shared" si="66"/>
        <v>0</v>
      </c>
      <c r="R849" s="91"/>
    </row>
    <row r="850" spans="2:18" ht="12" customHeight="1" x14ac:dyDescent="0.3">
      <c r="B850" s="98">
        <f t="shared" si="67"/>
        <v>847</v>
      </c>
      <c r="C850" s="97" t="str">
        <f t="shared" si="64"/>
        <v>Jan-00</v>
      </c>
      <c r="D850" s="96"/>
      <c r="E850" s="95"/>
      <c r="F850" s="95"/>
      <c r="G850" s="95"/>
      <c r="H850" s="94"/>
      <c r="I850" s="94"/>
      <c r="J850" s="91"/>
      <c r="K850" s="91"/>
      <c r="L850" s="94"/>
      <c r="M850" s="93"/>
      <c r="N850" s="92"/>
      <c r="O850" s="92"/>
      <c r="P850" s="91">
        <f t="shared" si="65"/>
        <v>0</v>
      </c>
      <c r="Q850" s="91">
        <f t="shared" si="66"/>
        <v>0</v>
      </c>
      <c r="R850" s="91"/>
    </row>
    <row r="851" spans="2:18" ht="12" customHeight="1" x14ac:dyDescent="0.3">
      <c r="B851" s="98">
        <f t="shared" si="67"/>
        <v>848</v>
      </c>
      <c r="C851" s="97" t="str">
        <f t="shared" si="64"/>
        <v>Jan-00</v>
      </c>
      <c r="D851" s="96"/>
      <c r="E851" s="95"/>
      <c r="F851" s="95"/>
      <c r="G851" s="95"/>
      <c r="H851" s="94"/>
      <c r="I851" s="94"/>
      <c r="J851" s="91"/>
      <c r="K851" s="91"/>
      <c r="L851" s="94"/>
      <c r="M851" s="93"/>
      <c r="N851" s="92"/>
      <c r="O851" s="92"/>
      <c r="P851" s="91">
        <f t="shared" si="65"/>
        <v>0</v>
      </c>
      <c r="Q851" s="91">
        <f t="shared" si="66"/>
        <v>0</v>
      </c>
      <c r="R851" s="91"/>
    </row>
    <row r="852" spans="2:18" ht="12" customHeight="1" x14ac:dyDescent="0.3">
      <c r="B852" s="98">
        <f t="shared" si="67"/>
        <v>849</v>
      </c>
      <c r="C852" s="97" t="str">
        <f t="shared" si="64"/>
        <v>Jan-00</v>
      </c>
      <c r="D852" s="96"/>
      <c r="E852" s="95"/>
      <c r="F852" s="95"/>
      <c r="G852" s="95"/>
      <c r="H852" s="94"/>
      <c r="I852" s="94"/>
      <c r="J852" s="91"/>
      <c r="K852" s="91"/>
      <c r="L852" s="94"/>
      <c r="M852" s="93"/>
      <c r="N852" s="92"/>
      <c r="O852" s="92"/>
      <c r="P852" s="91">
        <f t="shared" si="65"/>
        <v>0</v>
      </c>
      <c r="Q852" s="91">
        <f t="shared" si="66"/>
        <v>0</v>
      </c>
      <c r="R852" s="91"/>
    </row>
    <row r="853" spans="2:18" ht="12" customHeight="1" x14ac:dyDescent="0.3">
      <c r="B853" s="98">
        <f t="shared" si="67"/>
        <v>850</v>
      </c>
      <c r="C853" s="97" t="str">
        <f t="shared" si="64"/>
        <v>Jan-00</v>
      </c>
      <c r="D853" s="96"/>
      <c r="E853" s="95"/>
      <c r="F853" s="95"/>
      <c r="G853" s="95"/>
      <c r="H853" s="94"/>
      <c r="I853" s="94"/>
      <c r="J853" s="91"/>
      <c r="K853" s="91"/>
      <c r="L853" s="94"/>
      <c r="M853" s="93"/>
      <c r="N853" s="92"/>
      <c r="O853" s="92"/>
      <c r="P853" s="91">
        <f t="shared" si="65"/>
        <v>0</v>
      </c>
      <c r="Q853" s="91">
        <f t="shared" si="66"/>
        <v>0</v>
      </c>
      <c r="R853" s="91"/>
    </row>
    <row r="854" spans="2:18" ht="12" customHeight="1" x14ac:dyDescent="0.3">
      <c r="B854" s="98">
        <f t="shared" si="67"/>
        <v>851</v>
      </c>
      <c r="C854" s="97" t="str">
        <f t="shared" si="64"/>
        <v>Jan-00</v>
      </c>
      <c r="D854" s="96"/>
      <c r="E854" s="95"/>
      <c r="F854" s="95"/>
      <c r="G854" s="95"/>
      <c r="H854" s="94"/>
      <c r="I854" s="94"/>
      <c r="J854" s="91"/>
      <c r="K854" s="91"/>
      <c r="L854" s="94"/>
      <c r="M854" s="93"/>
      <c r="N854" s="92"/>
      <c r="O854" s="92"/>
      <c r="P854" s="91">
        <f t="shared" si="65"/>
        <v>0</v>
      </c>
      <c r="Q854" s="91">
        <f t="shared" si="66"/>
        <v>0</v>
      </c>
      <c r="R854" s="91"/>
    </row>
    <row r="855" spans="2:18" ht="12" customHeight="1" x14ac:dyDescent="0.3">
      <c r="B855" s="98">
        <f t="shared" si="67"/>
        <v>852</v>
      </c>
      <c r="C855" s="97" t="str">
        <f t="shared" si="64"/>
        <v>Jan-00</v>
      </c>
      <c r="D855" s="96"/>
      <c r="E855" s="95"/>
      <c r="F855" s="95"/>
      <c r="G855" s="95"/>
      <c r="H855" s="94"/>
      <c r="I855" s="94"/>
      <c r="J855" s="91"/>
      <c r="K855" s="91"/>
      <c r="L855" s="94"/>
      <c r="M855" s="93"/>
      <c r="N855" s="92"/>
      <c r="O855" s="92"/>
      <c r="P855" s="91">
        <f t="shared" si="65"/>
        <v>0</v>
      </c>
      <c r="Q855" s="91">
        <f t="shared" si="66"/>
        <v>0</v>
      </c>
      <c r="R855" s="91"/>
    </row>
    <row r="856" spans="2:18" ht="12" customHeight="1" x14ac:dyDescent="0.3">
      <c r="B856" s="98">
        <f t="shared" si="67"/>
        <v>853</v>
      </c>
      <c r="C856" s="97" t="str">
        <f t="shared" si="64"/>
        <v>Jan-00</v>
      </c>
      <c r="D856" s="96"/>
      <c r="E856" s="95"/>
      <c r="F856" s="95"/>
      <c r="G856" s="95"/>
      <c r="H856" s="94"/>
      <c r="I856" s="94"/>
      <c r="J856" s="91"/>
      <c r="K856" s="91"/>
      <c r="L856" s="94"/>
      <c r="M856" s="93"/>
      <c r="N856" s="92"/>
      <c r="O856" s="92"/>
      <c r="P856" s="91">
        <f t="shared" si="65"/>
        <v>0</v>
      </c>
      <c r="Q856" s="91">
        <f t="shared" si="66"/>
        <v>0</v>
      </c>
      <c r="R856" s="91"/>
    </row>
    <row r="857" spans="2:18" ht="12" customHeight="1" x14ac:dyDescent="0.3">
      <c r="B857" s="98">
        <f t="shared" si="67"/>
        <v>854</v>
      </c>
      <c r="C857" s="97" t="str">
        <f t="shared" si="64"/>
        <v>Jan-00</v>
      </c>
      <c r="D857" s="96"/>
      <c r="E857" s="95"/>
      <c r="F857" s="95"/>
      <c r="G857" s="95"/>
      <c r="H857" s="94"/>
      <c r="I857" s="94"/>
      <c r="J857" s="91"/>
      <c r="K857" s="91"/>
      <c r="L857" s="94"/>
      <c r="M857" s="93"/>
      <c r="N857" s="92"/>
      <c r="O857" s="92"/>
      <c r="P857" s="91">
        <f t="shared" si="65"/>
        <v>0</v>
      </c>
      <c r="Q857" s="91">
        <f t="shared" si="66"/>
        <v>0</v>
      </c>
      <c r="R857" s="91"/>
    </row>
    <row r="858" spans="2:18" ht="12" customHeight="1" x14ac:dyDescent="0.3">
      <c r="B858" s="98">
        <f t="shared" si="67"/>
        <v>855</v>
      </c>
      <c r="C858" s="97" t="str">
        <f t="shared" si="64"/>
        <v>Jan-00</v>
      </c>
      <c r="D858" s="96"/>
      <c r="E858" s="95"/>
      <c r="F858" s="95"/>
      <c r="G858" s="95"/>
      <c r="H858" s="94"/>
      <c r="I858" s="94"/>
      <c r="J858" s="91"/>
      <c r="K858" s="91"/>
      <c r="L858" s="94"/>
      <c r="M858" s="93"/>
      <c r="N858" s="92"/>
      <c r="O858" s="92"/>
      <c r="P858" s="91">
        <f t="shared" si="65"/>
        <v>0</v>
      </c>
      <c r="Q858" s="91">
        <f t="shared" si="66"/>
        <v>0</v>
      </c>
      <c r="R858" s="91"/>
    </row>
    <row r="859" spans="2:18" ht="12" customHeight="1" x14ac:dyDescent="0.3">
      <c r="B859" s="98">
        <f t="shared" si="67"/>
        <v>856</v>
      </c>
      <c r="C859" s="97" t="str">
        <f t="shared" si="64"/>
        <v>Jan-00</v>
      </c>
      <c r="D859" s="96"/>
      <c r="E859" s="95"/>
      <c r="F859" s="95"/>
      <c r="G859" s="95"/>
      <c r="H859" s="94"/>
      <c r="I859" s="94"/>
      <c r="J859" s="91"/>
      <c r="K859" s="91"/>
      <c r="L859" s="94"/>
      <c r="M859" s="93"/>
      <c r="N859" s="92"/>
      <c r="O859" s="92"/>
      <c r="P859" s="91">
        <f t="shared" si="65"/>
        <v>0</v>
      </c>
      <c r="Q859" s="91">
        <f t="shared" si="66"/>
        <v>0</v>
      </c>
      <c r="R859" s="91"/>
    </row>
    <row r="860" spans="2:18" ht="12" customHeight="1" x14ac:dyDescent="0.3">
      <c r="B860" s="98">
        <f t="shared" si="67"/>
        <v>857</v>
      </c>
      <c r="C860" s="97" t="str">
        <f t="shared" si="64"/>
        <v>Jan-00</v>
      </c>
      <c r="D860" s="96"/>
      <c r="E860" s="95"/>
      <c r="F860" s="95"/>
      <c r="G860" s="95"/>
      <c r="H860" s="94"/>
      <c r="I860" s="94"/>
      <c r="J860" s="91"/>
      <c r="K860" s="91"/>
      <c r="L860" s="94"/>
      <c r="M860" s="93"/>
      <c r="N860" s="92"/>
      <c r="O860" s="92"/>
      <c r="P860" s="91">
        <f t="shared" si="65"/>
        <v>0</v>
      </c>
      <c r="Q860" s="91">
        <f t="shared" si="66"/>
        <v>0</v>
      </c>
      <c r="R860" s="91"/>
    </row>
    <row r="861" spans="2:18" ht="12" customHeight="1" x14ac:dyDescent="0.3">
      <c r="B861" s="98">
        <f t="shared" si="67"/>
        <v>858</v>
      </c>
      <c r="C861" s="97" t="str">
        <f t="shared" si="64"/>
        <v>Jan-00</v>
      </c>
      <c r="D861" s="96"/>
      <c r="E861" s="95"/>
      <c r="F861" s="95"/>
      <c r="G861" s="95"/>
      <c r="H861" s="94"/>
      <c r="I861" s="94"/>
      <c r="J861" s="91"/>
      <c r="K861" s="91"/>
      <c r="L861" s="94"/>
      <c r="M861" s="93"/>
      <c r="N861" s="92"/>
      <c r="O861" s="92"/>
      <c r="P861" s="91">
        <f t="shared" si="65"/>
        <v>0</v>
      </c>
      <c r="Q861" s="91">
        <f t="shared" si="66"/>
        <v>0</v>
      </c>
      <c r="R861" s="91"/>
    </row>
    <row r="862" spans="2:18" ht="12" customHeight="1" x14ac:dyDescent="0.3">
      <c r="B862" s="98">
        <f t="shared" si="67"/>
        <v>859</v>
      </c>
      <c r="C862" s="97" t="str">
        <f t="shared" si="64"/>
        <v>Jan-00</v>
      </c>
      <c r="D862" s="96"/>
      <c r="E862" s="95"/>
      <c r="F862" s="95"/>
      <c r="G862" s="95"/>
      <c r="H862" s="94"/>
      <c r="I862" s="94"/>
      <c r="J862" s="91"/>
      <c r="K862" s="91"/>
      <c r="L862" s="94"/>
      <c r="M862" s="93"/>
      <c r="N862" s="92"/>
      <c r="O862" s="92"/>
      <c r="P862" s="91">
        <f t="shared" si="65"/>
        <v>0</v>
      </c>
      <c r="Q862" s="91">
        <f t="shared" si="66"/>
        <v>0</v>
      </c>
      <c r="R862" s="91"/>
    </row>
    <row r="863" spans="2:18" ht="12" customHeight="1" x14ac:dyDescent="0.3">
      <c r="B863" s="98">
        <f t="shared" si="67"/>
        <v>860</v>
      </c>
      <c r="C863" s="97" t="str">
        <f t="shared" si="64"/>
        <v>Jan-00</v>
      </c>
      <c r="D863" s="96"/>
      <c r="E863" s="95"/>
      <c r="F863" s="95"/>
      <c r="G863" s="95"/>
      <c r="H863" s="94"/>
      <c r="I863" s="94"/>
      <c r="J863" s="91"/>
      <c r="K863" s="91"/>
      <c r="L863" s="94"/>
      <c r="M863" s="93"/>
      <c r="N863" s="92"/>
      <c r="O863" s="92"/>
      <c r="P863" s="91">
        <f t="shared" si="65"/>
        <v>0</v>
      </c>
      <c r="Q863" s="91">
        <f t="shared" si="66"/>
        <v>0</v>
      </c>
      <c r="R863" s="91"/>
    </row>
    <row r="864" spans="2:18" ht="12" customHeight="1" x14ac:dyDescent="0.3">
      <c r="B864" s="98">
        <f t="shared" si="67"/>
        <v>861</v>
      </c>
      <c r="C864" s="97" t="str">
        <f t="shared" si="64"/>
        <v>Jan-00</v>
      </c>
      <c r="D864" s="96"/>
      <c r="E864" s="95"/>
      <c r="F864" s="95"/>
      <c r="G864" s="95"/>
      <c r="H864" s="94"/>
      <c r="I864" s="94"/>
      <c r="J864" s="91"/>
      <c r="K864" s="91"/>
      <c r="L864" s="94"/>
      <c r="M864" s="93"/>
      <c r="N864" s="92"/>
      <c r="O864" s="92"/>
      <c r="P864" s="91">
        <f t="shared" si="65"/>
        <v>0</v>
      </c>
      <c r="Q864" s="91">
        <f t="shared" si="66"/>
        <v>0</v>
      </c>
      <c r="R864" s="91"/>
    </row>
    <row r="865" spans="2:18" ht="12" customHeight="1" x14ac:dyDescent="0.3">
      <c r="B865" s="98">
        <f t="shared" si="67"/>
        <v>862</v>
      </c>
      <c r="C865" s="97" t="str">
        <f t="shared" si="64"/>
        <v>Jan-00</v>
      </c>
      <c r="D865" s="96"/>
      <c r="E865" s="95"/>
      <c r="F865" s="95"/>
      <c r="G865" s="95"/>
      <c r="H865" s="94"/>
      <c r="I865" s="94"/>
      <c r="J865" s="91"/>
      <c r="K865" s="91"/>
      <c r="L865" s="94"/>
      <c r="M865" s="93"/>
      <c r="N865" s="92"/>
      <c r="O865" s="92"/>
      <c r="P865" s="91">
        <f t="shared" si="65"/>
        <v>0</v>
      </c>
      <c r="Q865" s="91">
        <f t="shared" si="66"/>
        <v>0</v>
      </c>
      <c r="R865" s="91"/>
    </row>
    <row r="866" spans="2:18" ht="12" customHeight="1" x14ac:dyDescent="0.3">
      <c r="B866" s="98">
        <f t="shared" si="67"/>
        <v>863</v>
      </c>
      <c r="C866" s="97" t="str">
        <f t="shared" si="64"/>
        <v>Jan-00</v>
      </c>
      <c r="D866" s="96"/>
      <c r="E866" s="95"/>
      <c r="F866" s="95"/>
      <c r="G866" s="95"/>
      <c r="H866" s="94"/>
      <c r="I866" s="94"/>
      <c r="J866" s="91"/>
      <c r="K866" s="91"/>
      <c r="L866" s="94"/>
      <c r="M866" s="93"/>
      <c r="N866" s="92"/>
      <c r="O866" s="92"/>
      <c r="P866" s="91">
        <f t="shared" si="65"/>
        <v>0</v>
      </c>
      <c r="Q866" s="91">
        <f t="shared" si="66"/>
        <v>0</v>
      </c>
      <c r="R866" s="91"/>
    </row>
    <row r="867" spans="2:18" ht="12" customHeight="1" x14ac:dyDescent="0.3">
      <c r="B867" s="98">
        <f t="shared" si="67"/>
        <v>864</v>
      </c>
      <c r="C867" s="97" t="str">
        <f t="shared" si="64"/>
        <v>Jan-00</v>
      </c>
      <c r="D867" s="96"/>
      <c r="E867" s="95"/>
      <c r="F867" s="95"/>
      <c r="G867" s="95"/>
      <c r="H867" s="94"/>
      <c r="I867" s="94"/>
      <c r="J867" s="91"/>
      <c r="K867" s="91"/>
      <c r="L867" s="94"/>
      <c r="M867" s="93"/>
      <c r="N867" s="92"/>
      <c r="O867" s="92"/>
      <c r="P867" s="91">
        <f t="shared" si="65"/>
        <v>0</v>
      </c>
      <c r="Q867" s="91">
        <f t="shared" si="66"/>
        <v>0</v>
      </c>
      <c r="R867" s="91"/>
    </row>
    <row r="868" spans="2:18" ht="12" customHeight="1" x14ac:dyDescent="0.3">
      <c r="B868" s="98">
        <f t="shared" si="67"/>
        <v>865</v>
      </c>
      <c r="C868" s="97" t="str">
        <f t="shared" si="64"/>
        <v>Jan-00</v>
      </c>
      <c r="D868" s="96"/>
      <c r="E868" s="95"/>
      <c r="F868" s="95"/>
      <c r="G868" s="95"/>
      <c r="H868" s="94"/>
      <c r="I868" s="94"/>
      <c r="J868" s="91"/>
      <c r="K868" s="91"/>
      <c r="L868" s="94"/>
      <c r="M868" s="93"/>
      <c r="N868" s="92"/>
      <c r="O868" s="92"/>
      <c r="P868" s="91">
        <f t="shared" si="65"/>
        <v>0</v>
      </c>
      <c r="Q868" s="91">
        <f t="shared" si="66"/>
        <v>0</v>
      </c>
      <c r="R868" s="91"/>
    </row>
    <row r="869" spans="2:18" ht="12" customHeight="1" x14ac:dyDescent="0.3">
      <c r="B869" s="98">
        <f t="shared" si="67"/>
        <v>866</v>
      </c>
      <c r="C869" s="97" t="str">
        <f t="shared" si="64"/>
        <v>Jan-00</v>
      </c>
      <c r="D869" s="96"/>
      <c r="E869" s="95"/>
      <c r="F869" s="95"/>
      <c r="G869" s="95"/>
      <c r="H869" s="94"/>
      <c r="I869" s="94"/>
      <c r="J869" s="91"/>
      <c r="K869" s="91"/>
      <c r="L869" s="94"/>
      <c r="M869" s="93"/>
      <c r="N869" s="92"/>
      <c r="O869" s="92"/>
      <c r="P869" s="91">
        <f t="shared" si="65"/>
        <v>0</v>
      </c>
      <c r="Q869" s="91">
        <f t="shared" si="66"/>
        <v>0</v>
      </c>
      <c r="R869" s="91"/>
    </row>
    <row r="870" spans="2:18" ht="12" customHeight="1" x14ac:dyDescent="0.3">
      <c r="B870" s="98">
        <f t="shared" si="67"/>
        <v>867</v>
      </c>
      <c r="C870" s="97" t="str">
        <f t="shared" si="64"/>
        <v>Jan-00</v>
      </c>
      <c r="D870" s="96"/>
      <c r="E870" s="95"/>
      <c r="F870" s="95"/>
      <c r="G870" s="95"/>
      <c r="H870" s="94"/>
      <c r="I870" s="94"/>
      <c r="J870" s="91"/>
      <c r="K870" s="91"/>
      <c r="L870" s="94"/>
      <c r="M870" s="93"/>
      <c r="N870" s="92"/>
      <c r="O870" s="92"/>
      <c r="P870" s="91">
        <f t="shared" si="65"/>
        <v>0</v>
      </c>
      <c r="Q870" s="91">
        <f t="shared" si="66"/>
        <v>0</v>
      </c>
      <c r="R870" s="91"/>
    </row>
    <row r="871" spans="2:18" ht="12" customHeight="1" x14ac:dyDescent="0.3">
      <c r="B871" s="98">
        <f t="shared" si="67"/>
        <v>868</v>
      </c>
      <c r="C871" s="97" t="str">
        <f t="shared" si="64"/>
        <v>Jan-00</v>
      </c>
      <c r="D871" s="96"/>
      <c r="E871" s="95"/>
      <c r="F871" s="95"/>
      <c r="G871" s="95"/>
      <c r="H871" s="94"/>
      <c r="I871" s="94"/>
      <c r="J871" s="91"/>
      <c r="K871" s="91"/>
      <c r="L871" s="94"/>
      <c r="M871" s="93"/>
      <c r="N871" s="92"/>
      <c r="O871" s="92"/>
      <c r="P871" s="91">
        <f t="shared" si="65"/>
        <v>0</v>
      </c>
      <c r="Q871" s="91">
        <f t="shared" si="66"/>
        <v>0</v>
      </c>
      <c r="R871" s="91"/>
    </row>
    <row r="872" spans="2:18" ht="12" customHeight="1" x14ac:dyDescent="0.3">
      <c r="B872" s="98">
        <f t="shared" si="67"/>
        <v>869</v>
      </c>
      <c r="C872" s="97" t="str">
        <f t="shared" si="64"/>
        <v>Jan-00</v>
      </c>
      <c r="D872" s="96"/>
      <c r="E872" s="95"/>
      <c r="F872" s="95"/>
      <c r="G872" s="95"/>
      <c r="H872" s="94"/>
      <c r="I872" s="94"/>
      <c r="J872" s="91"/>
      <c r="K872" s="91"/>
      <c r="L872" s="94"/>
      <c r="M872" s="93"/>
      <c r="N872" s="92"/>
      <c r="O872" s="92"/>
      <c r="P872" s="91">
        <f t="shared" si="65"/>
        <v>0</v>
      </c>
      <c r="Q872" s="91">
        <f t="shared" si="66"/>
        <v>0</v>
      </c>
      <c r="R872" s="91"/>
    </row>
    <row r="873" spans="2:18" ht="12" customHeight="1" x14ac:dyDescent="0.3">
      <c r="B873" s="98">
        <f t="shared" si="67"/>
        <v>870</v>
      </c>
      <c r="C873" s="97" t="str">
        <f t="shared" si="64"/>
        <v>Jan-00</v>
      </c>
      <c r="D873" s="96"/>
      <c r="E873" s="95"/>
      <c r="F873" s="95"/>
      <c r="G873" s="95"/>
      <c r="H873" s="94"/>
      <c r="I873" s="94"/>
      <c r="J873" s="91"/>
      <c r="K873" s="91"/>
      <c r="L873" s="94"/>
      <c r="M873" s="93"/>
      <c r="N873" s="92"/>
      <c r="O873" s="92"/>
      <c r="P873" s="91">
        <f t="shared" si="65"/>
        <v>0</v>
      </c>
      <c r="Q873" s="91">
        <f t="shared" si="66"/>
        <v>0</v>
      </c>
      <c r="R873" s="91"/>
    </row>
    <row r="874" spans="2:18" ht="12" customHeight="1" x14ac:dyDescent="0.3">
      <c r="B874" s="98">
        <f t="shared" si="67"/>
        <v>871</v>
      </c>
      <c r="C874" s="97" t="str">
        <f t="shared" si="64"/>
        <v>Jan-00</v>
      </c>
      <c r="D874" s="96"/>
      <c r="E874" s="95"/>
      <c r="F874" s="95"/>
      <c r="G874" s="95"/>
      <c r="H874" s="94"/>
      <c r="I874" s="94"/>
      <c r="J874" s="91"/>
      <c r="K874" s="91"/>
      <c r="L874" s="94"/>
      <c r="M874" s="93"/>
      <c r="N874" s="92"/>
      <c r="O874" s="92"/>
      <c r="P874" s="91">
        <f t="shared" si="65"/>
        <v>0</v>
      </c>
      <c r="Q874" s="91">
        <f t="shared" si="66"/>
        <v>0</v>
      </c>
      <c r="R874" s="91"/>
    </row>
    <row r="875" spans="2:18" ht="12" customHeight="1" x14ac:dyDescent="0.3">
      <c r="B875" s="98">
        <f t="shared" si="67"/>
        <v>872</v>
      </c>
      <c r="C875" s="97" t="str">
        <f t="shared" si="64"/>
        <v>Jan-00</v>
      </c>
      <c r="D875" s="96"/>
      <c r="E875" s="95"/>
      <c r="F875" s="95"/>
      <c r="G875" s="95"/>
      <c r="H875" s="94"/>
      <c r="I875" s="94"/>
      <c r="J875" s="91"/>
      <c r="K875" s="91"/>
      <c r="L875" s="94"/>
      <c r="M875" s="93"/>
      <c r="N875" s="92"/>
      <c r="O875" s="92"/>
      <c r="P875" s="91">
        <f t="shared" si="65"/>
        <v>0</v>
      </c>
      <c r="Q875" s="91">
        <f t="shared" si="66"/>
        <v>0</v>
      </c>
      <c r="R875" s="91"/>
    </row>
    <row r="876" spans="2:18" ht="12" customHeight="1" x14ac:dyDescent="0.3">
      <c r="B876" s="98">
        <f t="shared" si="67"/>
        <v>873</v>
      </c>
      <c r="C876" s="97" t="str">
        <f t="shared" si="64"/>
        <v>Jan-00</v>
      </c>
      <c r="D876" s="96"/>
      <c r="E876" s="95"/>
      <c r="F876" s="95"/>
      <c r="G876" s="95"/>
      <c r="H876" s="94"/>
      <c r="I876" s="94"/>
      <c r="J876" s="91"/>
      <c r="K876" s="91"/>
      <c r="L876" s="94"/>
      <c r="M876" s="93"/>
      <c r="N876" s="92"/>
      <c r="O876" s="92"/>
      <c r="P876" s="91">
        <f t="shared" si="65"/>
        <v>0</v>
      </c>
      <c r="Q876" s="91">
        <f t="shared" si="66"/>
        <v>0</v>
      </c>
      <c r="R876" s="91"/>
    </row>
    <row r="877" spans="2:18" ht="12" customHeight="1" x14ac:dyDescent="0.3">
      <c r="B877" s="98">
        <f t="shared" si="67"/>
        <v>874</v>
      </c>
      <c r="C877" s="97" t="str">
        <f t="shared" si="64"/>
        <v>Jan-00</v>
      </c>
      <c r="D877" s="96"/>
      <c r="E877" s="95"/>
      <c r="F877" s="95"/>
      <c r="G877" s="95"/>
      <c r="H877" s="94"/>
      <c r="I877" s="94"/>
      <c r="J877" s="91"/>
      <c r="K877" s="91"/>
      <c r="L877" s="94"/>
      <c r="M877" s="93"/>
      <c r="N877" s="92"/>
      <c r="O877" s="92"/>
      <c r="P877" s="91">
        <f t="shared" si="65"/>
        <v>0</v>
      </c>
      <c r="Q877" s="91">
        <f t="shared" si="66"/>
        <v>0</v>
      </c>
      <c r="R877" s="91"/>
    </row>
    <row r="878" spans="2:18" ht="12" customHeight="1" x14ac:dyDescent="0.3">
      <c r="B878" s="98">
        <f t="shared" si="67"/>
        <v>875</v>
      </c>
      <c r="C878" s="97" t="str">
        <f t="shared" si="64"/>
        <v>Jan-00</v>
      </c>
      <c r="D878" s="96"/>
      <c r="E878" s="95"/>
      <c r="F878" s="95"/>
      <c r="G878" s="95"/>
      <c r="H878" s="94"/>
      <c r="I878" s="94"/>
      <c r="J878" s="91"/>
      <c r="K878" s="91"/>
      <c r="L878" s="94"/>
      <c r="M878" s="93"/>
      <c r="N878" s="92"/>
      <c r="O878" s="92"/>
      <c r="P878" s="91">
        <f t="shared" si="65"/>
        <v>0</v>
      </c>
      <c r="Q878" s="91">
        <f t="shared" si="66"/>
        <v>0</v>
      </c>
      <c r="R878" s="91"/>
    </row>
    <row r="879" spans="2:18" ht="12" customHeight="1" x14ac:dyDescent="0.3">
      <c r="B879" s="98">
        <f t="shared" si="67"/>
        <v>876</v>
      </c>
      <c r="C879" s="97" t="str">
        <f t="shared" si="64"/>
        <v>Jan-00</v>
      </c>
      <c r="D879" s="96"/>
      <c r="E879" s="95"/>
      <c r="F879" s="95"/>
      <c r="G879" s="95"/>
      <c r="H879" s="94"/>
      <c r="I879" s="94"/>
      <c r="J879" s="91"/>
      <c r="K879" s="91"/>
      <c r="L879" s="94"/>
      <c r="M879" s="93"/>
      <c r="N879" s="92"/>
      <c r="O879" s="92"/>
      <c r="P879" s="91">
        <f t="shared" si="65"/>
        <v>0</v>
      </c>
      <c r="Q879" s="91">
        <f t="shared" si="66"/>
        <v>0</v>
      </c>
      <c r="R879" s="91"/>
    </row>
    <row r="880" spans="2:18" ht="12" customHeight="1" x14ac:dyDescent="0.3">
      <c r="B880" s="98">
        <f t="shared" si="67"/>
        <v>877</v>
      </c>
      <c r="C880" s="97" t="str">
        <f t="shared" si="64"/>
        <v>Jan-00</v>
      </c>
      <c r="D880" s="96"/>
      <c r="E880" s="95"/>
      <c r="F880" s="95"/>
      <c r="G880" s="95"/>
      <c r="H880" s="94"/>
      <c r="I880" s="94"/>
      <c r="J880" s="91"/>
      <c r="K880" s="91"/>
      <c r="L880" s="94"/>
      <c r="M880" s="93"/>
      <c r="N880" s="92"/>
      <c r="O880" s="92"/>
      <c r="P880" s="91">
        <f t="shared" si="65"/>
        <v>0</v>
      </c>
      <c r="Q880" s="91">
        <f t="shared" si="66"/>
        <v>0</v>
      </c>
      <c r="R880" s="91"/>
    </row>
    <row r="881" spans="2:18" ht="12" customHeight="1" x14ac:dyDescent="0.3">
      <c r="B881" s="98">
        <f t="shared" si="67"/>
        <v>878</v>
      </c>
      <c r="C881" s="97" t="str">
        <f t="shared" si="64"/>
        <v>Jan-00</v>
      </c>
      <c r="D881" s="96"/>
      <c r="E881" s="95"/>
      <c r="F881" s="95"/>
      <c r="G881" s="95"/>
      <c r="H881" s="94"/>
      <c r="I881" s="94"/>
      <c r="J881" s="91"/>
      <c r="K881" s="91"/>
      <c r="L881" s="94"/>
      <c r="M881" s="93"/>
      <c r="N881" s="92"/>
      <c r="O881" s="92"/>
      <c r="P881" s="91">
        <f t="shared" si="65"/>
        <v>0</v>
      </c>
      <c r="Q881" s="91">
        <f t="shared" si="66"/>
        <v>0</v>
      </c>
      <c r="R881" s="91"/>
    </row>
    <row r="882" spans="2:18" ht="12" customHeight="1" x14ac:dyDescent="0.3">
      <c r="B882" s="98">
        <f t="shared" si="67"/>
        <v>879</v>
      </c>
      <c r="C882" s="97" t="str">
        <f t="shared" si="64"/>
        <v>Jan-00</v>
      </c>
      <c r="D882" s="96"/>
      <c r="E882" s="95"/>
      <c r="F882" s="95"/>
      <c r="G882" s="95"/>
      <c r="H882" s="94"/>
      <c r="I882" s="94"/>
      <c r="J882" s="91"/>
      <c r="K882" s="91"/>
      <c r="L882" s="94"/>
      <c r="M882" s="93"/>
      <c r="N882" s="92"/>
      <c r="O882" s="92"/>
      <c r="P882" s="91">
        <f t="shared" si="65"/>
        <v>0</v>
      </c>
      <c r="Q882" s="91">
        <f t="shared" si="66"/>
        <v>0</v>
      </c>
      <c r="R882" s="91"/>
    </row>
    <row r="883" spans="2:18" ht="12" customHeight="1" x14ac:dyDescent="0.3">
      <c r="B883" s="98">
        <f t="shared" si="67"/>
        <v>880</v>
      </c>
      <c r="C883" s="97" t="str">
        <f t="shared" si="64"/>
        <v>Jan-00</v>
      </c>
      <c r="D883" s="96"/>
      <c r="E883" s="95"/>
      <c r="F883" s="95"/>
      <c r="G883" s="95"/>
      <c r="H883" s="94"/>
      <c r="I883" s="94"/>
      <c r="J883" s="91"/>
      <c r="K883" s="91"/>
      <c r="L883" s="94"/>
      <c r="M883" s="93"/>
      <c r="N883" s="92"/>
      <c r="O883" s="92"/>
      <c r="P883" s="91">
        <f t="shared" si="65"/>
        <v>0</v>
      </c>
      <c r="Q883" s="91">
        <f t="shared" si="66"/>
        <v>0</v>
      </c>
      <c r="R883" s="91"/>
    </row>
    <row r="884" spans="2:18" ht="12" customHeight="1" x14ac:dyDescent="0.3">
      <c r="B884" s="98">
        <f t="shared" si="67"/>
        <v>881</v>
      </c>
      <c r="C884" s="97" t="str">
        <f t="shared" si="64"/>
        <v>Jan-00</v>
      </c>
      <c r="D884" s="96"/>
      <c r="E884" s="95"/>
      <c r="F884" s="95"/>
      <c r="G884" s="95"/>
      <c r="H884" s="94"/>
      <c r="I884" s="94"/>
      <c r="J884" s="91"/>
      <c r="K884" s="91"/>
      <c r="L884" s="94"/>
      <c r="M884" s="93"/>
      <c r="N884" s="92"/>
      <c r="O884" s="92"/>
      <c r="P884" s="91">
        <f t="shared" si="65"/>
        <v>0</v>
      </c>
      <c r="Q884" s="91">
        <f t="shared" si="66"/>
        <v>0</v>
      </c>
      <c r="R884" s="91"/>
    </row>
    <row r="885" spans="2:18" ht="12" customHeight="1" x14ac:dyDescent="0.3">
      <c r="B885" s="98">
        <f t="shared" si="67"/>
        <v>882</v>
      </c>
      <c r="C885" s="97" t="str">
        <f t="shared" si="64"/>
        <v>Jan-00</v>
      </c>
      <c r="D885" s="96"/>
      <c r="E885" s="95"/>
      <c r="F885" s="95"/>
      <c r="G885" s="95"/>
      <c r="H885" s="94"/>
      <c r="I885" s="94"/>
      <c r="J885" s="91"/>
      <c r="K885" s="91"/>
      <c r="L885" s="94"/>
      <c r="M885" s="93"/>
      <c r="N885" s="92"/>
      <c r="O885" s="92"/>
      <c r="P885" s="91">
        <f t="shared" si="65"/>
        <v>0</v>
      </c>
      <c r="Q885" s="91">
        <f t="shared" si="66"/>
        <v>0</v>
      </c>
      <c r="R885" s="91"/>
    </row>
    <row r="886" spans="2:18" ht="12" customHeight="1" x14ac:dyDescent="0.3">
      <c r="B886" s="98">
        <f t="shared" si="67"/>
        <v>883</v>
      </c>
      <c r="C886" s="97" t="str">
        <f t="shared" si="64"/>
        <v>Jan-00</v>
      </c>
      <c r="D886" s="96"/>
      <c r="E886" s="95"/>
      <c r="F886" s="95"/>
      <c r="G886" s="95"/>
      <c r="H886" s="94"/>
      <c r="I886" s="94"/>
      <c r="J886" s="91"/>
      <c r="K886" s="91"/>
      <c r="L886" s="94"/>
      <c r="M886" s="93"/>
      <c r="N886" s="92"/>
      <c r="O886" s="92"/>
      <c r="P886" s="91">
        <f t="shared" si="65"/>
        <v>0</v>
      </c>
      <c r="Q886" s="91">
        <f t="shared" si="66"/>
        <v>0</v>
      </c>
      <c r="R886" s="91"/>
    </row>
    <row r="887" spans="2:18" ht="12" customHeight="1" x14ac:dyDescent="0.3">
      <c r="B887" s="98">
        <f t="shared" si="67"/>
        <v>884</v>
      </c>
      <c r="C887" s="97" t="str">
        <f t="shared" si="64"/>
        <v>Jan-00</v>
      </c>
      <c r="D887" s="96"/>
      <c r="E887" s="95"/>
      <c r="F887" s="95"/>
      <c r="G887" s="95"/>
      <c r="H887" s="94"/>
      <c r="I887" s="94"/>
      <c r="J887" s="91"/>
      <c r="K887" s="91"/>
      <c r="L887" s="94"/>
      <c r="M887" s="93"/>
      <c r="N887" s="92"/>
      <c r="O887" s="92"/>
      <c r="P887" s="91">
        <f t="shared" si="65"/>
        <v>0</v>
      </c>
      <c r="Q887" s="91">
        <f t="shared" si="66"/>
        <v>0</v>
      </c>
      <c r="R887" s="91"/>
    </row>
    <row r="888" spans="2:18" ht="12" customHeight="1" x14ac:dyDescent="0.3">
      <c r="B888" s="98">
        <f t="shared" si="67"/>
        <v>885</v>
      </c>
      <c r="C888" s="97" t="str">
        <f t="shared" si="64"/>
        <v>Jan-00</v>
      </c>
      <c r="D888" s="96"/>
      <c r="E888" s="95"/>
      <c r="F888" s="95"/>
      <c r="G888" s="95"/>
      <c r="H888" s="94"/>
      <c r="I888" s="94"/>
      <c r="J888" s="91"/>
      <c r="K888" s="91"/>
      <c r="L888" s="94"/>
      <c r="M888" s="93"/>
      <c r="N888" s="92"/>
      <c r="O888" s="92"/>
      <c r="P888" s="91">
        <f t="shared" si="65"/>
        <v>0</v>
      </c>
      <c r="Q888" s="91">
        <f t="shared" si="66"/>
        <v>0</v>
      </c>
      <c r="R888" s="91"/>
    </row>
    <row r="889" spans="2:18" ht="12" customHeight="1" x14ac:dyDescent="0.3">
      <c r="B889" s="98">
        <f t="shared" si="67"/>
        <v>886</v>
      </c>
      <c r="C889" s="97" t="str">
        <f t="shared" si="64"/>
        <v>Jan-00</v>
      </c>
      <c r="D889" s="96"/>
      <c r="E889" s="95"/>
      <c r="F889" s="95"/>
      <c r="G889" s="95"/>
      <c r="H889" s="94"/>
      <c r="I889" s="94"/>
      <c r="J889" s="91"/>
      <c r="K889" s="91"/>
      <c r="L889" s="94"/>
      <c r="M889" s="93"/>
      <c r="N889" s="92"/>
      <c r="O889" s="92"/>
      <c r="P889" s="91">
        <f t="shared" si="65"/>
        <v>0</v>
      </c>
      <c r="Q889" s="91">
        <f t="shared" si="66"/>
        <v>0</v>
      </c>
      <c r="R889" s="91"/>
    </row>
    <row r="890" spans="2:18" ht="12" customHeight="1" x14ac:dyDescent="0.3">
      <c r="B890" s="98">
        <f t="shared" si="67"/>
        <v>887</v>
      </c>
      <c r="C890" s="97" t="str">
        <f t="shared" si="64"/>
        <v>Jan-00</v>
      </c>
      <c r="D890" s="96"/>
      <c r="E890" s="95"/>
      <c r="F890" s="95"/>
      <c r="G890" s="95"/>
      <c r="H890" s="94"/>
      <c r="I890" s="94"/>
      <c r="J890" s="91"/>
      <c r="K890" s="91"/>
      <c r="L890" s="94"/>
      <c r="M890" s="93"/>
      <c r="N890" s="92"/>
      <c r="O890" s="92"/>
      <c r="P890" s="91">
        <f t="shared" si="65"/>
        <v>0</v>
      </c>
      <c r="Q890" s="91">
        <f t="shared" si="66"/>
        <v>0</v>
      </c>
      <c r="R890" s="91"/>
    </row>
    <row r="891" spans="2:18" ht="12" customHeight="1" x14ac:dyDescent="0.3">
      <c r="B891" s="98">
        <f t="shared" si="67"/>
        <v>888</v>
      </c>
      <c r="C891" s="97" t="str">
        <f t="shared" si="64"/>
        <v>Jan-00</v>
      </c>
      <c r="D891" s="96"/>
      <c r="E891" s="95"/>
      <c r="F891" s="95"/>
      <c r="G891" s="95"/>
      <c r="H891" s="94"/>
      <c r="I891" s="94"/>
      <c r="J891" s="91"/>
      <c r="K891" s="91"/>
      <c r="L891" s="94"/>
      <c r="M891" s="93"/>
      <c r="N891" s="92"/>
      <c r="O891" s="92"/>
      <c r="P891" s="91">
        <f t="shared" si="65"/>
        <v>0</v>
      </c>
      <c r="Q891" s="91">
        <f t="shared" si="66"/>
        <v>0</v>
      </c>
      <c r="R891" s="91"/>
    </row>
    <row r="892" spans="2:18" ht="12" customHeight="1" x14ac:dyDescent="0.3">
      <c r="B892" s="98">
        <f t="shared" si="67"/>
        <v>889</v>
      </c>
      <c r="C892" s="97" t="str">
        <f t="shared" si="64"/>
        <v>Jan-00</v>
      </c>
      <c r="D892" s="96"/>
      <c r="E892" s="95"/>
      <c r="F892" s="95"/>
      <c r="G892" s="95"/>
      <c r="H892" s="94"/>
      <c r="I892" s="94"/>
      <c r="J892" s="91"/>
      <c r="K892" s="91"/>
      <c r="L892" s="94"/>
      <c r="M892" s="93"/>
      <c r="N892" s="92"/>
      <c r="O892" s="92"/>
      <c r="P892" s="91">
        <f t="shared" si="65"/>
        <v>0</v>
      </c>
      <c r="Q892" s="91">
        <f t="shared" si="66"/>
        <v>0</v>
      </c>
      <c r="R892" s="91"/>
    </row>
    <row r="893" spans="2:18" ht="12" customHeight="1" x14ac:dyDescent="0.3">
      <c r="B893" s="98">
        <f t="shared" si="67"/>
        <v>890</v>
      </c>
      <c r="C893" s="97" t="str">
        <f t="shared" si="64"/>
        <v>Jan-00</v>
      </c>
      <c r="D893" s="96"/>
      <c r="E893" s="95"/>
      <c r="F893" s="95"/>
      <c r="G893" s="95"/>
      <c r="H893" s="94"/>
      <c r="I893" s="94"/>
      <c r="J893" s="91"/>
      <c r="K893" s="91"/>
      <c r="L893" s="94"/>
      <c r="M893" s="93"/>
      <c r="N893" s="92"/>
      <c r="O893" s="92"/>
      <c r="P893" s="91">
        <f t="shared" si="65"/>
        <v>0</v>
      </c>
      <c r="Q893" s="91">
        <f t="shared" si="66"/>
        <v>0</v>
      </c>
      <c r="R893" s="91"/>
    </row>
    <row r="894" spans="2:18" ht="12" customHeight="1" x14ac:dyDescent="0.3">
      <c r="B894" s="98">
        <f t="shared" si="67"/>
        <v>891</v>
      </c>
      <c r="C894" s="97" t="str">
        <f t="shared" si="64"/>
        <v>Jan-00</v>
      </c>
      <c r="D894" s="96"/>
      <c r="E894" s="95"/>
      <c r="F894" s="95"/>
      <c r="G894" s="95"/>
      <c r="H894" s="94"/>
      <c r="I894" s="94"/>
      <c r="J894" s="91"/>
      <c r="K894" s="91"/>
      <c r="L894" s="94"/>
      <c r="M894" s="93"/>
      <c r="N894" s="92"/>
      <c r="O894" s="92"/>
      <c r="P894" s="91">
        <f t="shared" si="65"/>
        <v>0</v>
      </c>
      <c r="Q894" s="91">
        <f t="shared" si="66"/>
        <v>0</v>
      </c>
      <c r="R894" s="91"/>
    </row>
    <row r="895" spans="2:18" ht="12" customHeight="1" x14ac:dyDescent="0.3">
      <c r="B895" s="98">
        <f t="shared" si="67"/>
        <v>892</v>
      </c>
      <c r="C895" s="97" t="str">
        <f t="shared" si="64"/>
        <v>Jan-00</v>
      </c>
      <c r="D895" s="96"/>
      <c r="E895" s="95"/>
      <c r="F895" s="95"/>
      <c r="G895" s="95"/>
      <c r="H895" s="94"/>
      <c r="I895" s="94"/>
      <c r="J895" s="91"/>
      <c r="K895" s="91"/>
      <c r="L895" s="94"/>
      <c r="M895" s="93"/>
      <c r="N895" s="92"/>
      <c r="O895" s="92"/>
      <c r="P895" s="91">
        <f t="shared" si="65"/>
        <v>0</v>
      </c>
      <c r="Q895" s="91">
        <f t="shared" si="66"/>
        <v>0</v>
      </c>
      <c r="R895" s="91"/>
    </row>
    <row r="896" spans="2:18" ht="12" customHeight="1" x14ac:dyDescent="0.3">
      <c r="B896" s="98">
        <f t="shared" si="67"/>
        <v>893</v>
      </c>
      <c r="C896" s="97" t="str">
        <f t="shared" si="64"/>
        <v>Jan-00</v>
      </c>
      <c r="D896" s="96"/>
      <c r="E896" s="95"/>
      <c r="F896" s="95"/>
      <c r="G896" s="95"/>
      <c r="H896" s="94"/>
      <c r="I896" s="94"/>
      <c r="J896" s="91"/>
      <c r="K896" s="91"/>
      <c r="L896" s="94"/>
      <c r="M896" s="93"/>
      <c r="N896" s="92"/>
      <c r="O896" s="92"/>
      <c r="P896" s="91">
        <f t="shared" si="65"/>
        <v>0</v>
      </c>
      <c r="Q896" s="91">
        <f t="shared" si="66"/>
        <v>0</v>
      </c>
      <c r="R896" s="91"/>
    </row>
    <row r="897" spans="2:18" ht="12" customHeight="1" x14ac:dyDescent="0.3">
      <c r="B897" s="98">
        <f t="shared" si="67"/>
        <v>894</v>
      </c>
      <c r="C897" s="97" t="str">
        <f t="shared" si="64"/>
        <v>Jan-00</v>
      </c>
      <c r="D897" s="96"/>
      <c r="E897" s="95"/>
      <c r="F897" s="95"/>
      <c r="G897" s="95"/>
      <c r="H897" s="94"/>
      <c r="I897" s="94"/>
      <c r="J897" s="91"/>
      <c r="K897" s="91"/>
      <c r="L897" s="94"/>
      <c r="M897" s="93"/>
      <c r="N897" s="92"/>
      <c r="O897" s="92"/>
      <c r="P897" s="91">
        <f t="shared" si="65"/>
        <v>0</v>
      </c>
      <c r="Q897" s="91">
        <f t="shared" si="66"/>
        <v>0</v>
      </c>
      <c r="R897" s="91"/>
    </row>
    <row r="898" spans="2:18" ht="12" customHeight="1" x14ac:dyDescent="0.3">
      <c r="B898" s="98">
        <f t="shared" si="67"/>
        <v>895</v>
      </c>
      <c r="C898" s="97" t="str">
        <f t="shared" si="64"/>
        <v>Jan-00</v>
      </c>
      <c r="D898" s="96"/>
      <c r="E898" s="95"/>
      <c r="F898" s="95"/>
      <c r="G898" s="95"/>
      <c r="H898" s="94"/>
      <c r="I898" s="94"/>
      <c r="J898" s="91"/>
      <c r="K898" s="91"/>
      <c r="L898" s="94"/>
      <c r="M898" s="93"/>
      <c r="N898" s="92"/>
      <c r="O898" s="92"/>
      <c r="P898" s="91">
        <f t="shared" si="65"/>
        <v>0</v>
      </c>
      <c r="Q898" s="91">
        <f t="shared" si="66"/>
        <v>0</v>
      </c>
      <c r="R898" s="91"/>
    </row>
    <row r="899" spans="2:18" ht="12" customHeight="1" x14ac:dyDescent="0.3">
      <c r="B899" s="98">
        <f t="shared" si="67"/>
        <v>896</v>
      </c>
      <c r="C899" s="97" t="str">
        <f t="shared" si="64"/>
        <v>Jan-00</v>
      </c>
      <c r="D899" s="96"/>
      <c r="E899" s="95"/>
      <c r="F899" s="95"/>
      <c r="G899" s="95"/>
      <c r="H899" s="94"/>
      <c r="I899" s="94"/>
      <c r="J899" s="91"/>
      <c r="K899" s="91"/>
      <c r="L899" s="94"/>
      <c r="M899" s="93"/>
      <c r="N899" s="92"/>
      <c r="O899" s="92"/>
      <c r="P899" s="91">
        <f t="shared" si="65"/>
        <v>0</v>
      </c>
      <c r="Q899" s="91">
        <f t="shared" si="66"/>
        <v>0</v>
      </c>
      <c r="R899" s="91"/>
    </row>
    <row r="900" spans="2:18" ht="12" customHeight="1" x14ac:dyDescent="0.3">
      <c r="B900" s="98">
        <f t="shared" si="67"/>
        <v>897</v>
      </c>
      <c r="C900" s="97" t="str">
        <f t="shared" ref="C900:C963" si="68">CONCATENATE(TEXT(D900,"mmm"),"-",TEXT(D900,"yy"))</f>
        <v>Jan-00</v>
      </c>
      <c r="D900" s="96"/>
      <c r="E900" s="95"/>
      <c r="F900" s="95"/>
      <c r="G900" s="95"/>
      <c r="H900" s="94"/>
      <c r="I900" s="94"/>
      <c r="J900" s="91"/>
      <c r="K900" s="91"/>
      <c r="L900" s="94"/>
      <c r="M900" s="93"/>
      <c r="N900" s="92"/>
      <c r="O900" s="92"/>
      <c r="P900" s="91">
        <f t="shared" ref="P900:P963" si="69">O900*1%</f>
        <v>0</v>
      </c>
      <c r="Q900" s="91">
        <f t="shared" ref="Q900:Q963" si="70">O900-P900</f>
        <v>0</v>
      </c>
      <c r="R900" s="91"/>
    </row>
    <row r="901" spans="2:18" ht="12" customHeight="1" x14ac:dyDescent="0.3">
      <c r="B901" s="98">
        <f t="shared" ref="B901:B964" si="71">+B900+1</f>
        <v>898</v>
      </c>
      <c r="C901" s="97" t="str">
        <f t="shared" si="68"/>
        <v>Jan-00</v>
      </c>
      <c r="D901" s="96"/>
      <c r="E901" s="95"/>
      <c r="F901" s="95"/>
      <c r="G901" s="95"/>
      <c r="H901" s="94"/>
      <c r="I901" s="94"/>
      <c r="J901" s="91"/>
      <c r="K901" s="91"/>
      <c r="L901" s="94"/>
      <c r="M901" s="93"/>
      <c r="N901" s="92"/>
      <c r="O901" s="92"/>
      <c r="P901" s="91">
        <f t="shared" si="69"/>
        <v>0</v>
      </c>
      <c r="Q901" s="91">
        <f t="shared" si="70"/>
        <v>0</v>
      </c>
      <c r="R901" s="91"/>
    </row>
    <row r="902" spans="2:18" ht="12" customHeight="1" x14ac:dyDescent="0.3">
      <c r="B902" s="98">
        <f t="shared" si="71"/>
        <v>899</v>
      </c>
      <c r="C902" s="97" t="str">
        <f t="shared" si="68"/>
        <v>Jan-00</v>
      </c>
      <c r="D902" s="96"/>
      <c r="E902" s="95"/>
      <c r="F902" s="95"/>
      <c r="G902" s="95"/>
      <c r="H902" s="94"/>
      <c r="I902" s="94"/>
      <c r="J902" s="91"/>
      <c r="K902" s="91"/>
      <c r="L902" s="94"/>
      <c r="M902" s="93"/>
      <c r="N902" s="92"/>
      <c r="O902" s="92"/>
      <c r="P902" s="91">
        <f t="shared" si="69"/>
        <v>0</v>
      </c>
      <c r="Q902" s="91">
        <f t="shared" si="70"/>
        <v>0</v>
      </c>
      <c r="R902" s="91"/>
    </row>
    <row r="903" spans="2:18" ht="12" customHeight="1" x14ac:dyDescent="0.3">
      <c r="B903" s="98">
        <f t="shared" si="71"/>
        <v>900</v>
      </c>
      <c r="C903" s="97" t="str">
        <f t="shared" si="68"/>
        <v>Jan-00</v>
      </c>
      <c r="D903" s="96"/>
      <c r="E903" s="95"/>
      <c r="F903" s="95"/>
      <c r="G903" s="95"/>
      <c r="H903" s="94"/>
      <c r="I903" s="94"/>
      <c r="J903" s="91"/>
      <c r="K903" s="91"/>
      <c r="L903" s="94"/>
      <c r="M903" s="93"/>
      <c r="N903" s="92"/>
      <c r="O903" s="92"/>
      <c r="P903" s="91">
        <f t="shared" si="69"/>
        <v>0</v>
      </c>
      <c r="Q903" s="91">
        <f t="shared" si="70"/>
        <v>0</v>
      </c>
      <c r="R903" s="91"/>
    </row>
    <row r="904" spans="2:18" ht="12" customHeight="1" x14ac:dyDescent="0.3">
      <c r="B904" s="98">
        <f t="shared" si="71"/>
        <v>901</v>
      </c>
      <c r="C904" s="97" t="str">
        <f t="shared" si="68"/>
        <v>Jan-00</v>
      </c>
      <c r="D904" s="96"/>
      <c r="E904" s="95"/>
      <c r="F904" s="95"/>
      <c r="G904" s="95"/>
      <c r="H904" s="94"/>
      <c r="I904" s="94"/>
      <c r="J904" s="91"/>
      <c r="K904" s="91"/>
      <c r="L904" s="94"/>
      <c r="M904" s="93"/>
      <c r="N904" s="92"/>
      <c r="O904" s="92"/>
      <c r="P904" s="91">
        <f t="shared" si="69"/>
        <v>0</v>
      </c>
      <c r="Q904" s="91">
        <f t="shared" si="70"/>
        <v>0</v>
      </c>
      <c r="R904" s="91"/>
    </row>
    <row r="905" spans="2:18" ht="12" customHeight="1" x14ac:dyDescent="0.3">
      <c r="B905" s="98">
        <f t="shared" si="71"/>
        <v>902</v>
      </c>
      <c r="C905" s="97" t="str">
        <f t="shared" si="68"/>
        <v>Jan-00</v>
      </c>
      <c r="D905" s="96"/>
      <c r="E905" s="95"/>
      <c r="F905" s="95"/>
      <c r="G905" s="95"/>
      <c r="H905" s="94"/>
      <c r="I905" s="94"/>
      <c r="J905" s="91"/>
      <c r="K905" s="91"/>
      <c r="L905" s="94"/>
      <c r="M905" s="93"/>
      <c r="N905" s="92"/>
      <c r="O905" s="92"/>
      <c r="P905" s="91">
        <f t="shared" si="69"/>
        <v>0</v>
      </c>
      <c r="Q905" s="91">
        <f t="shared" si="70"/>
        <v>0</v>
      </c>
      <c r="R905" s="91"/>
    </row>
    <row r="906" spans="2:18" ht="12" customHeight="1" x14ac:dyDescent="0.3">
      <c r="B906" s="98">
        <f t="shared" si="71"/>
        <v>903</v>
      </c>
      <c r="C906" s="97" t="str">
        <f t="shared" si="68"/>
        <v>Jan-00</v>
      </c>
      <c r="D906" s="96"/>
      <c r="E906" s="95"/>
      <c r="F906" s="95"/>
      <c r="G906" s="95"/>
      <c r="H906" s="94"/>
      <c r="I906" s="94"/>
      <c r="J906" s="91"/>
      <c r="K906" s="91"/>
      <c r="L906" s="94"/>
      <c r="M906" s="93"/>
      <c r="N906" s="92"/>
      <c r="O906" s="92"/>
      <c r="P906" s="91">
        <f t="shared" si="69"/>
        <v>0</v>
      </c>
      <c r="Q906" s="91">
        <f t="shared" si="70"/>
        <v>0</v>
      </c>
      <c r="R906" s="91"/>
    </row>
    <row r="907" spans="2:18" ht="12" customHeight="1" x14ac:dyDescent="0.3">
      <c r="B907" s="98">
        <f t="shared" si="71"/>
        <v>904</v>
      </c>
      <c r="C907" s="97" t="str">
        <f t="shared" si="68"/>
        <v>Jan-00</v>
      </c>
      <c r="D907" s="96"/>
      <c r="E907" s="95"/>
      <c r="F907" s="95"/>
      <c r="G907" s="95"/>
      <c r="H907" s="94"/>
      <c r="I907" s="94"/>
      <c r="J907" s="91"/>
      <c r="K907" s="91"/>
      <c r="L907" s="94"/>
      <c r="M907" s="93"/>
      <c r="N907" s="92"/>
      <c r="O907" s="92"/>
      <c r="P907" s="91">
        <f t="shared" si="69"/>
        <v>0</v>
      </c>
      <c r="Q907" s="91">
        <f t="shared" si="70"/>
        <v>0</v>
      </c>
      <c r="R907" s="91"/>
    </row>
    <row r="908" spans="2:18" ht="12" customHeight="1" x14ac:dyDescent="0.3">
      <c r="B908" s="98">
        <f t="shared" si="71"/>
        <v>905</v>
      </c>
      <c r="C908" s="97" t="str">
        <f t="shared" si="68"/>
        <v>Jan-00</v>
      </c>
      <c r="D908" s="96"/>
      <c r="E908" s="95"/>
      <c r="F908" s="95"/>
      <c r="G908" s="95"/>
      <c r="H908" s="94"/>
      <c r="I908" s="94"/>
      <c r="J908" s="91"/>
      <c r="K908" s="91"/>
      <c r="L908" s="94"/>
      <c r="M908" s="93"/>
      <c r="N908" s="92"/>
      <c r="O908" s="92"/>
      <c r="P908" s="91">
        <f t="shared" si="69"/>
        <v>0</v>
      </c>
      <c r="Q908" s="91">
        <f t="shared" si="70"/>
        <v>0</v>
      </c>
      <c r="R908" s="91"/>
    </row>
    <row r="909" spans="2:18" ht="12" customHeight="1" x14ac:dyDescent="0.3">
      <c r="B909" s="98">
        <f t="shared" si="71"/>
        <v>906</v>
      </c>
      <c r="C909" s="97" t="str">
        <f t="shared" si="68"/>
        <v>Jan-00</v>
      </c>
      <c r="D909" s="96"/>
      <c r="E909" s="95"/>
      <c r="F909" s="95"/>
      <c r="G909" s="95"/>
      <c r="H909" s="94"/>
      <c r="I909" s="94"/>
      <c r="J909" s="91"/>
      <c r="K909" s="91"/>
      <c r="L909" s="94"/>
      <c r="M909" s="93"/>
      <c r="N909" s="92"/>
      <c r="O909" s="92"/>
      <c r="P909" s="91">
        <f t="shared" si="69"/>
        <v>0</v>
      </c>
      <c r="Q909" s="91">
        <f t="shared" si="70"/>
        <v>0</v>
      </c>
      <c r="R909" s="91"/>
    </row>
    <row r="910" spans="2:18" ht="12" customHeight="1" x14ac:dyDescent="0.3">
      <c r="B910" s="98">
        <f t="shared" si="71"/>
        <v>907</v>
      </c>
      <c r="C910" s="97" t="str">
        <f t="shared" si="68"/>
        <v>Jan-00</v>
      </c>
      <c r="D910" s="96"/>
      <c r="E910" s="95"/>
      <c r="F910" s="95"/>
      <c r="G910" s="95"/>
      <c r="H910" s="94"/>
      <c r="I910" s="94"/>
      <c r="J910" s="91"/>
      <c r="K910" s="91"/>
      <c r="L910" s="94"/>
      <c r="M910" s="93"/>
      <c r="N910" s="92"/>
      <c r="O910" s="92"/>
      <c r="P910" s="91">
        <f t="shared" si="69"/>
        <v>0</v>
      </c>
      <c r="Q910" s="91">
        <f t="shared" si="70"/>
        <v>0</v>
      </c>
      <c r="R910" s="91"/>
    </row>
    <row r="911" spans="2:18" ht="12" customHeight="1" x14ac:dyDescent="0.3">
      <c r="B911" s="98">
        <f t="shared" si="71"/>
        <v>908</v>
      </c>
      <c r="C911" s="97" t="str">
        <f t="shared" si="68"/>
        <v>Jan-00</v>
      </c>
      <c r="D911" s="96"/>
      <c r="E911" s="95"/>
      <c r="F911" s="95"/>
      <c r="G911" s="95"/>
      <c r="H911" s="94"/>
      <c r="I911" s="94"/>
      <c r="J911" s="91"/>
      <c r="K911" s="91"/>
      <c r="L911" s="94"/>
      <c r="M911" s="93"/>
      <c r="N911" s="92"/>
      <c r="O911" s="92"/>
      <c r="P911" s="91">
        <f t="shared" si="69"/>
        <v>0</v>
      </c>
      <c r="Q911" s="91">
        <f t="shared" si="70"/>
        <v>0</v>
      </c>
      <c r="R911" s="91"/>
    </row>
    <row r="912" spans="2:18" ht="12" customHeight="1" x14ac:dyDescent="0.3">
      <c r="B912" s="98">
        <f t="shared" si="71"/>
        <v>909</v>
      </c>
      <c r="C912" s="97" t="str">
        <f t="shared" si="68"/>
        <v>Jan-00</v>
      </c>
      <c r="D912" s="96"/>
      <c r="E912" s="95"/>
      <c r="F912" s="95"/>
      <c r="G912" s="95"/>
      <c r="H912" s="94"/>
      <c r="I912" s="94"/>
      <c r="J912" s="91"/>
      <c r="K912" s="91"/>
      <c r="L912" s="94"/>
      <c r="M912" s="93"/>
      <c r="N912" s="92"/>
      <c r="O912" s="92"/>
      <c r="P912" s="91">
        <f t="shared" si="69"/>
        <v>0</v>
      </c>
      <c r="Q912" s="91">
        <f t="shared" si="70"/>
        <v>0</v>
      </c>
      <c r="R912" s="91"/>
    </row>
    <row r="913" spans="2:18" ht="12" customHeight="1" x14ac:dyDescent="0.3">
      <c r="B913" s="98">
        <f t="shared" si="71"/>
        <v>910</v>
      </c>
      <c r="C913" s="97" t="str">
        <f t="shared" si="68"/>
        <v>Jan-00</v>
      </c>
      <c r="D913" s="96"/>
      <c r="E913" s="95"/>
      <c r="F913" s="95"/>
      <c r="G913" s="95"/>
      <c r="H913" s="94"/>
      <c r="I913" s="94"/>
      <c r="J913" s="91"/>
      <c r="K913" s="91"/>
      <c r="L913" s="94"/>
      <c r="M913" s="93"/>
      <c r="N913" s="92"/>
      <c r="O913" s="92"/>
      <c r="P913" s="91">
        <f t="shared" si="69"/>
        <v>0</v>
      </c>
      <c r="Q913" s="91">
        <f t="shared" si="70"/>
        <v>0</v>
      </c>
      <c r="R913" s="91"/>
    </row>
    <row r="914" spans="2:18" ht="12" customHeight="1" x14ac:dyDescent="0.3">
      <c r="B914" s="98">
        <f t="shared" si="71"/>
        <v>911</v>
      </c>
      <c r="C914" s="97" t="str">
        <f t="shared" si="68"/>
        <v>Jan-00</v>
      </c>
      <c r="D914" s="96"/>
      <c r="E914" s="95"/>
      <c r="F914" s="95"/>
      <c r="G914" s="95"/>
      <c r="H914" s="94"/>
      <c r="I914" s="94"/>
      <c r="J914" s="91"/>
      <c r="K914" s="91"/>
      <c r="L914" s="94"/>
      <c r="M914" s="93"/>
      <c r="N914" s="92"/>
      <c r="O914" s="92"/>
      <c r="P914" s="91">
        <f t="shared" si="69"/>
        <v>0</v>
      </c>
      <c r="Q914" s="91">
        <f t="shared" si="70"/>
        <v>0</v>
      </c>
      <c r="R914" s="91"/>
    </row>
    <row r="915" spans="2:18" ht="12" customHeight="1" x14ac:dyDescent="0.3">
      <c r="B915" s="98">
        <f t="shared" si="71"/>
        <v>912</v>
      </c>
      <c r="C915" s="97" t="str">
        <f t="shared" si="68"/>
        <v>Jan-00</v>
      </c>
      <c r="D915" s="96"/>
      <c r="E915" s="95"/>
      <c r="F915" s="95"/>
      <c r="G915" s="95"/>
      <c r="H915" s="94"/>
      <c r="I915" s="94"/>
      <c r="J915" s="91"/>
      <c r="K915" s="91"/>
      <c r="L915" s="94"/>
      <c r="M915" s="93"/>
      <c r="N915" s="92"/>
      <c r="O915" s="92"/>
      <c r="P915" s="91">
        <f t="shared" si="69"/>
        <v>0</v>
      </c>
      <c r="Q915" s="91">
        <f t="shared" si="70"/>
        <v>0</v>
      </c>
      <c r="R915" s="91"/>
    </row>
    <row r="916" spans="2:18" ht="12" customHeight="1" x14ac:dyDescent="0.3">
      <c r="B916" s="98">
        <f t="shared" si="71"/>
        <v>913</v>
      </c>
      <c r="C916" s="97" t="str">
        <f t="shared" si="68"/>
        <v>Jan-00</v>
      </c>
      <c r="D916" s="96"/>
      <c r="E916" s="95"/>
      <c r="F916" s="95"/>
      <c r="G916" s="95"/>
      <c r="H916" s="94"/>
      <c r="I916" s="94"/>
      <c r="J916" s="91"/>
      <c r="K916" s="91"/>
      <c r="L916" s="94"/>
      <c r="M916" s="93"/>
      <c r="N916" s="92"/>
      <c r="O916" s="92"/>
      <c r="P916" s="91">
        <f t="shared" si="69"/>
        <v>0</v>
      </c>
      <c r="Q916" s="91">
        <f t="shared" si="70"/>
        <v>0</v>
      </c>
      <c r="R916" s="91"/>
    </row>
    <row r="917" spans="2:18" ht="12" customHeight="1" x14ac:dyDescent="0.3">
      <c r="B917" s="98">
        <f t="shared" si="71"/>
        <v>914</v>
      </c>
      <c r="C917" s="97" t="str">
        <f t="shared" si="68"/>
        <v>Jan-00</v>
      </c>
      <c r="D917" s="96"/>
      <c r="E917" s="95"/>
      <c r="F917" s="95"/>
      <c r="G917" s="95"/>
      <c r="H917" s="94"/>
      <c r="I917" s="94"/>
      <c r="J917" s="91"/>
      <c r="K917" s="91"/>
      <c r="L917" s="94"/>
      <c r="M917" s="93"/>
      <c r="N917" s="92"/>
      <c r="O917" s="92"/>
      <c r="P917" s="91">
        <f t="shared" si="69"/>
        <v>0</v>
      </c>
      <c r="Q917" s="91">
        <f t="shared" si="70"/>
        <v>0</v>
      </c>
      <c r="R917" s="91"/>
    </row>
    <row r="918" spans="2:18" ht="12" customHeight="1" x14ac:dyDescent="0.3">
      <c r="B918" s="98">
        <f t="shared" si="71"/>
        <v>915</v>
      </c>
      <c r="C918" s="97" t="str">
        <f t="shared" si="68"/>
        <v>Jan-00</v>
      </c>
      <c r="D918" s="96"/>
      <c r="E918" s="95"/>
      <c r="F918" s="95"/>
      <c r="G918" s="95"/>
      <c r="H918" s="94"/>
      <c r="I918" s="94"/>
      <c r="J918" s="91"/>
      <c r="K918" s="91"/>
      <c r="L918" s="94"/>
      <c r="M918" s="93"/>
      <c r="N918" s="92"/>
      <c r="O918" s="92"/>
      <c r="P918" s="91">
        <f t="shared" si="69"/>
        <v>0</v>
      </c>
      <c r="Q918" s="91">
        <f t="shared" si="70"/>
        <v>0</v>
      </c>
      <c r="R918" s="91"/>
    </row>
    <row r="919" spans="2:18" ht="12" customHeight="1" x14ac:dyDescent="0.3">
      <c r="B919" s="98">
        <f t="shared" si="71"/>
        <v>916</v>
      </c>
      <c r="C919" s="97" t="str">
        <f t="shared" si="68"/>
        <v>Jan-00</v>
      </c>
      <c r="D919" s="96"/>
      <c r="E919" s="95"/>
      <c r="F919" s="95"/>
      <c r="G919" s="95"/>
      <c r="H919" s="94"/>
      <c r="I919" s="94"/>
      <c r="J919" s="91"/>
      <c r="K919" s="91"/>
      <c r="L919" s="94"/>
      <c r="M919" s="93"/>
      <c r="N919" s="92"/>
      <c r="O919" s="92"/>
      <c r="P919" s="91">
        <f t="shared" si="69"/>
        <v>0</v>
      </c>
      <c r="Q919" s="91">
        <f t="shared" si="70"/>
        <v>0</v>
      </c>
      <c r="R919" s="91"/>
    </row>
    <row r="920" spans="2:18" ht="12" customHeight="1" x14ac:dyDescent="0.3">
      <c r="B920" s="98">
        <f t="shared" si="71"/>
        <v>917</v>
      </c>
      <c r="C920" s="97" t="str">
        <f t="shared" si="68"/>
        <v>Jan-00</v>
      </c>
      <c r="D920" s="96"/>
      <c r="E920" s="95"/>
      <c r="F920" s="95"/>
      <c r="G920" s="95"/>
      <c r="H920" s="94"/>
      <c r="I920" s="94"/>
      <c r="J920" s="91"/>
      <c r="K920" s="91"/>
      <c r="L920" s="94"/>
      <c r="M920" s="93"/>
      <c r="N920" s="92"/>
      <c r="O920" s="92"/>
      <c r="P920" s="91">
        <f t="shared" si="69"/>
        <v>0</v>
      </c>
      <c r="Q920" s="91">
        <f t="shared" si="70"/>
        <v>0</v>
      </c>
      <c r="R920" s="91"/>
    </row>
    <row r="921" spans="2:18" ht="12" customHeight="1" x14ac:dyDescent="0.3">
      <c r="B921" s="98">
        <f t="shared" si="71"/>
        <v>918</v>
      </c>
      <c r="C921" s="97" t="str">
        <f t="shared" si="68"/>
        <v>Jan-00</v>
      </c>
      <c r="D921" s="96"/>
      <c r="E921" s="95"/>
      <c r="F921" s="95"/>
      <c r="G921" s="95"/>
      <c r="H921" s="94"/>
      <c r="I921" s="94"/>
      <c r="J921" s="91"/>
      <c r="K921" s="91"/>
      <c r="L921" s="94"/>
      <c r="M921" s="93"/>
      <c r="N921" s="92"/>
      <c r="O921" s="92"/>
      <c r="P921" s="91">
        <f t="shared" si="69"/>
        <v>0</v>
      </c>
      <c r="Q921" s="91">
        <f t="shared" si="70"/>
        <v>0</v>
      </c>
      <c r="R921" s="91"/>
    </row>
    <row r="922" spans="2:18" ht="12" customHeight="1" x14ac:dyDescent="0.3">
      <c r="B922" s="98">
        <f t="shared" si="71"/>
        <v>919</v>
      </c>
      <c r="C922" s="97" t="str">
        <f t="shared" si="68"/>
        <v>Jan-00</v>
      </c>
      <c r="D922" s="96"/>
      <c r="E922" s="95"/>
      <c r="F922" s="95"/>
      <c r="G922" s="95"/>
      <c r="H922" s="94"/>
      <c r="I922" s="94"/>
      <c r="J922" s="91"/>
      <c r="K922" s="91"/>
      <c r="L922" s="94"/>
      <c r="M922" s="93"/>
      <c r="N922" s="92"/>
      <c r="O922" s="92"/>
      <c r="P922" s="91">
        <f t="shared" si="69"/>
        <v>0</v>
      </c>
      <c r="Q922" s="91">
        <f t="shared" si="70"/>
        <v>0</v>
      </c>
      <c r="R922" s="91"/>
    </row>
    <row r="923" spans="2:18" ht="12" customHeight="1" x14ac:dyDescent="0.3">
      <c r="B923" s="98">
        <f t="shared" si="71"/>
        <v>920</v>
      </c>
      <c r="C923" s="97" t="str">
        <f t="shared" si="68"/>
        <v>Jan-00</v>
      </c>
      <c r="D923" s="96"/>
      <c r="E923" s="95"/>
      <c r="F923" s="95"/>
      <c r="G923" s="95"/>
      <c r="H923" s="94"/>
      <c r="I923" s="94"/>
      <c r="J923" s="91"/>
      <c r="K923" s="91"/>
      <c r="L923" s="94"/>
      <c r="M923" s="93"/>
      <c r="N923" s="92"/>
      <c r="O923" s="92"/>
      <c r="P923" s="91">
        <f t="shared" si="69"/>
        <v>0</v>
      </c>
      <c r="Q923" s="91">
        <f t="shared" si="70"/>
        <v>0</v>
      </c>
      <c r="R923" s="91"/>
    </row>
    <row r="924" spans="2:18" ht="12" customHeight="1" x14ac:dyDescent="0.3">
      <c r="B924" s="98">
        <f t="shared" si="71"/>
        <v>921</v>
      </c>
      <c r="C924" s="97" t="str">
        <f t="shared" si="68"/>
        <v>Jan-00</v>
      </c>
      <c r="D924" s="96"/>
      <c r="E924" s="95"/>
      <c r="F924" s="95"/>
      <c r="G924" s="95"/>
      <c r="H924" s="94"/>
      <c r="I924" s="94"/>
      <c r="J924" s="91"/>
      <c r="K924" s="91"/>
      <c r="L924" s="94"/>
      <c r="M924" s="93"/>
      <c r="N924" s="92"/>
      <c r="O924" s="92"/>
      <c r="P924" s="91">
        <f t="shared" si="69"/>
        <v>0</v>
      </c>
      <c r="Q924" s="91">
        <f t="shared" si="70"/>
        <v>0</v>
      </c>
      <c r="R924" s="91"/>
    </row>
    <row r="925" spans="2:18" ht="12" customHeight="1" x14ac:dyDescent="0.3">
      <c r="B925" s="98">
        <f t="shared" si="71"/>
        <v>922</v>
      </c>
      <c r="C925" s="97" t="str">
        <f t="shared" si="68"/>
        <v>Jan-00</v>
      </c>
      <c r="D925" s="96"/>
      <c r="E925" s="95"/>
      <c r="F925" s="95"/>
      <c r="G925" s="95"/>
      <c r="H925" s="94"/>
      <c r="I925" s="94"/>
      <c r="J925" s="91"/>
      <c r="K925" s="91"/>
      <c r="L925" s="94"/>
      <c r="M925" s="93"/>
      <c r="N925" s="92"/>
      <c r="O925" s="92"/>
      <c r="P925" s="91">
        <f t="shared" si="69"/>
        <v>0</v>
      </c>
      <c r="Q925" s="91">
        <f t="shared" si="70"/>
        <v>0</v>
      </c>
      <c r="R925" s="91"/>
    </row>
    <row r="926" spans="2:18" ht="12" customHeight="1" x14ac:dyDescent="0.3">
      <c r="B926" s="98">
        <f t="shared" si="71"/>
        <v>923</v>
      </c>
      <c r="C926" s="97" t="str">
        <f t="shared" si="68"/>
        <v>Jan-00</v>
      </c>
      <c r="D926" s="96"/>
      <c r="E926" s="95"/>
      <c r="F926" s="95"/>
      <c r="G926" s="95"/>
      <c r="H926" s="94"/>
      <c r="I926" s="94"/>
      <c r="J926" s="91"/>
      <c r="K926" s="91"/>
      <c r="L926" s="94"/>
      <c r="M926" s="93"/>
      <c r="N926" s="92"/>
      <c r="O926" s="92"/>
      <c r="P926" s="91">
        <f t="shared" si="69"/>
        <v>0</v>
      </c>
      <c r="Q926" s="91">
        <f t="shared" si="70"/>
        <v>0</v>
      </c>
      <c r="R926" s="91"/>
    </row>
    <row r="927" spans="2:18" ht="12" customHeight="1" x14ac:dyDescent="0.3">
      <c r="B927" s="98">
        <f t="shared" si="71"/>
        <v>924</v>
      </c>
      <c r="C927" s="97" t="str">
        <f t="shared" si="68"/>
        <v>Jan-00</v>
      </c>
      <c r="D927" s="96"/>
      <c r="E927" s="95"/>
      <c r="F927" s="95"/>
      <c r="G927" s="95"/>
      <c r="H927" s="94"/>
      <c r="I927" s="94"/>
      <c r="J927" s="91"/>
      <c r="K927" s="91"/>
      <c r="L927" s="94"/>
      <c r="M927" s="93"/>
      <c r="N927" s="92"/>
      <c r="O927" s="92"/>
      <c r="P927" s="91">
        <f t="shared" si="69"/>
        <v>0</v>
      </c>
      <c r="Q927" s="91">
        <f t="shared" si="70"/>
        <v>0</v>
      </c>
      <c r="R927" s="91"/>
    </row>
    <row r="928" spans="2:18" ht="12" customHeight="1" x14ac:dyDescent="0.3">
      <c r="B928" s="98">
        <f t="shared" si="71"/>
        <v>925</v>
      </c>
      <c r="C928" s="97" t="str">
        <f t="shared" si="68"/>
        <v>Jan-00</v>
      </c>
      <c r="D928" s="96"/>
      <c r="E928" s="95"/>
      <c r="F928" s="95"/>
      <c r="G928" s="95"/>
      <c r="H928" s="94"/>
      <c r="I928" s="94"/>
      <c r="J928" s="91"/>
      <c r="K928" s="91"/>
      <c r="L928" s="94"/>
      <c r="M928" s="93"/>
      <c r="N928" s="92"/>
      <c r="O928" s="92"/>
      <c r="P928" s="91">
        <f t="shared" si="69"/>
        <v>0</v>
      </c>
      <c r="Q928" s="91">
        <f t="shared" si="70"/>
        <v>0</v>
      </c>
      <c r="R928" s="91"/>
    </row>
    <row r="929" spans="2:18" ht="12" customHeight="1" x14ac:dyDescent="0.3">
      <c r="B929" s="98">
        <f t="shared" si="71"/>
        <v>926</v>
      </c>
      <c r="C929" s="97" t="str">
        <f t="shared" si="68"/>
        <v>Jan-00</v>
      </c>
      <c r="D929" s="96"/>
      <c r="E929" s="95"/>
      <c r="F929" s="95"/>
      <c r="G929" s="95"/>
      <c r="H929" s="94"/>
      <c r="I929" s="94"/>
      <c r="J929" s="91"/>
      <c r="K929" s="91"/>
      <c r="L929" s="94"/>
      <c r="M929" s="93"/>
      <c r="N929" s="92"/>
      <c r="O929" s="92"/>
      <c r="P929" s="91">
        <f t="shared" si="69"/>
        <v>0</v>
      </c>
      <c r="Q929" s="91">
        <f t="shared" si="70"/>
        <v>0</v>
      </c>
      <c r="R929" s="91"/>
    </row>
    <row r="930" spans="2:18" ht="12" customHeight="1" x14ac:dyDescent="0.3">
      <c r="B930" s="98">
        <f t="shared" si="71"/>
        <v>927</v>
      </c>
      <c r="C930" s="97" t="str">
        <f t="shared" si="68"/>
        <v>Jan-00</v>
      </c>
      <c r="D930" s="96"/>
      <c r="E930" s="95"/>
      <c r="F930" s="95"/>
      <c r="G930" s="95"/>
      <c r="H930" s="94"/>
      <c r="I930" s="94"/>
      <c r="J930" s="91"/>
      <c r="K930" s="91"/>
      <c r="L930" s="94"/>
      <c r="M930" s="93"/>
      <c r="N930" s="92"/>
      <c r="O930" s="92"/>
      <c r="P930" s="91">
        <f t="shared" si="69"/>
        <v>0</v>
      </c>
      <c r="Q930" s="91">
        <f t="shared" si="70"/>
        <v>0</v>
      </c>
      <c r="R930" s="91"/>
    </row>
    <row r="931" spans="2:18" ht="12" customHeight="1" x14ac:dyDescent="0.3">
      <c r="B931" s="98">
        <f t="shared" si="71"/>
        <v>928</v>
      </c>
      <c r="C931" s="97" t="str">
        <f t="shared" si="68"/>
        <v>Jan-00</v>
      </c>
      <c r="D931" s="96"/>
      <c r="E931" s="95"/>
      <c r="F931" s="95"/>
      <c r="G931" s="95"/>
      <c r="H931" s="94"/>
      <c r="I931" s="94"/>
      <c r="J931" s="91"/>
      <c r="K931" s="91"/>
      <c r="L931" s="94"/>
      <c r="M931" s="93"/>
      <c r="N931" s="92"/>
      <c r="O931" s="92"/>
      <c r="P931" s="91">
        <f t="shared" si="69"/>
        <v>0</v>
      </c>
      <c r="Q931" s="91">
        <f t="shared" si="70"/>
        <v>0</v>
      </c>
      <c r="R931" s="91"/>
    </row>
    <row r="932" spans="2:18" ht="12" customHeight="1" x14ac:dyDescent="0.3">
      <c r="B932" s="98">
        <f t="shared" si="71"/>
        <v>929</v>
      </c>
      <c r="C932" s="97" t="str">
        <f t="shared" si="68"/>
        <v>Jan-00</v>
      </c>
      <c r="D932" s="96"/>
      <c r="E932" s="95"/>
      <c r="F932" s="95"/>
      <c r="G932" s="95"/>
      <c r="H932" s="94"/>
      <c r="I932" s="94"/>
      <c r="J932" s="91"/>
      <c r="K932" s="91"/>
      <c r="L932" s="94"/>
      <c r="M932" s="93"/>
      <c r="N932" s="92"/>
      <c r="O932" s="92"/>
      <c r="P932" s="91">
        <f t="shared" si="69"/>
        <v>0</v>
      </c>
      <c r="Q932" s="91">
        <f t="shared" si="70"/>
        <v>0</v>
      </c>
      <c r="R932" s="91"/>
    </row>
    <row r="933" spans="2:18" ht="12" customHeight="1" x14ac:dyDescent="0.3">
      <c r="B933" s="98">
        <f t="shared" si="71"/>
        <v>930</v>
      </c>
      <c r="C933" s="97" t="str">
        <f t="shared" si="68"/>
        <v>Jan-00</v>
      </c>
      <c r="D933" s="96"/>
      <c r="E933" s="95"/>
      <c r="F933" s="95"/>
      <c r="G933" s="95"/>
      <c r="H933" s="94"/>
      <c r="I933" s="94"/>
      <c r="J933" s="91"/>
      <c r="K933" s="91"/>
      <c r="L933" s="94"/>
      <c r="M933" s="93"/>
      <c r="N933" s="92"/>
      <c r="O933" s="92"/>
      <c r="P933" s="91">
        <f t="shared" si="69"/>
        <v>0</v>
      </c>
      <c r="Q933" s="91">
        <f t="shared" si="70"/>
        <v>0</v>
      </c>
      <c r="R933" s="91"/>
    </row>
    <row r="934" spans="2:18" ht="12" customHeight="1" x14ac:dyDescent="0.3">
      <c r="B934" s="98">
        <f t="shared" si="71"/>
        <v>931</v>
      </c>
      <c r="C934" s="97" t="str">
        <f t="shared" si="68"/>
        <v>Jan-00</v>
      </c>
      <c r="D934" s="96"/>
      <c r="E934" s="95"/>
      <c r="F934" s="95"/>
      <c r="G934" s="95"/>
      <c r="H934" s="94"/>
      <c r="I934" s="94"/>
      <c r="J934" s="91"/>
      <c r="K934" s="91"/>
      <c r="L934" s="94"/>
      <c r="M934" s="93"/>
      <c r="N934" s="92"/>
      <c r="O934" s="92"/>
      <c r="P934" s="91">
        <f t="shared" si="69"/>
        <v>0</v>
      </c>
      <c r="Q934" s="91">
        <f t="shared" si="70"/>
        <v>0</v>
      </c>
      <c r="R934" s="91"/>
    </row>
    <row r="935" spans="2:18" ht="12" customHeight="1" x14ac:dyDescent="0.3">
      <c r="B935" s="98">
        <f t="shared" si="71"/>
        <v>932</v>
      </c>
      <c r="C935" s="97" t="str">
        <f t="shared" si="68"/>
        <v>Jan-00</v>
      </c>
      <c r="D935" s="96"/>
      <c r="E935" s="95"/>
      <c r="F935" s="95"/>
      <c r="G935" s="95"/>
      <c r="H935" s="94"/>
      <c r="I935" s="94"/>
      <c r="J935" s="91"/>
      <c r="K935" s="91"/>
      <c r="L935" s="94"/>
      <c r="M935" s="93"/>
      <c r="N935" s="92"/>
      <c r="O935" s="92"/>
      <c r="P935" s="91">
        <f t="shared" si="69"/>
        <v>0</v>
      </c>
      <c r="Q935" s="91">
        <f t="shared" si="70"/>
        <v>0</v>
      </c>
      <c r="R935" s="91"/>
    </row>
    <row r="936" spans="2:18" ht="12" customHeight="1" x14ac:dyDescent="0.3">
      <c r="B936" s="98">
        <f t="shared" si="71"/>
        <v>933</v>
      </c>
      <c r="C936" s="97" t="str">
        <f t="shared" si="68"/>
        <v>Jan-00</v>
      </c>
      <c r="D936" s="96"/>
      <c r="E936" s="95"/>
      <c r="F936" s="95"/>
      <c r="G936" s="95"/>
      <c r="H936" s="94"/>
      <c r="I936" s="94"/>
      <c r="J936" s="91"/>
      <c r="K936" s="91"/>
      <c r="L936" s="94"/>
      <c r="M936" s="93"/>
      <c r="N936" s="92"/>
      <c r="O936" s="92"/>
      <c r="P936" s="91">
        <f t="shared" si="69"/>
        <v>0</v>
      </c>
      <c r="Q936" s="91">
        <f t="shared" si="70"/>
        <v>0</v>
      </c>
      <c r="R936" s="91"/>
    </row>
    <row r="937" spans="2:18" ht="12" customHeight="1" x14ac:dyDescent="0.3">
      <c r="B937" s="98">
        <f t="shared" si="71"/>
        <v>934</v>
      </c>
      <c r="C937" s="97" t="str">
        <f t="shared" si="68"/>
        <v>Jan-00</v>
      </c>
      <c r="D937" s="96"/>
      <c r="E937" s="95"/>
      <c r="F937" s="95"/>
      <c r="G937" s="95"/>
      <c r="H937" s="94"/>
      <c r="I937" s="94"/>
      <c r="J937" s="91"/>
      <c r="K937" s="91"/>
      <c r="L937" s="94"/>
      <c r="M937" s="93"/>
      <c r="N937" s="92"/>
      <c r="O937" s="92"/>
      <c r="P937" s="91">
        <f t="shared" si="69"/>
        <v>0</v>
      </c>
      <c r="Q937" s="91">
        <f t="shared" si="70"/>
        <v>0</v>
      </c>
      <c r="R937" s="91"/>
    </row>
    <row r="938" spans="2:18" ht="12" customHeight="1" x14ac:dyDescent="0.3">
      <c r="B938" s="98">
        <f t="shared" si="71"/>
        <v>935</v>
      </c>
      <c r="C938" s="97" t="str">
        <f t="shared" si="68"/>
        <v>Jan-00</v>
      </c>
      <c r="D938" s="96"/>
      <c r="E938" s="95"/>
      <c r="F938" s="95"/>
      <c r="G938" s="95"/>
      <c r="H938" s="94"/>
      <c r="I938" s="94"/>
      <c r="J938" s="91"/>
      <c r="K938" s="91"/>
      <c r="L938" s="94"/>
      <c r="M938" s="93"/>
      <c r="N938" s="92"/>
      <c r="O938" s="92"/>
      <c r="P938" s="91">
        <f t="shared" si="69"/>
        <v>0</v>
      </c>
      <c r="Q938" s="91">
        <f t="shared" si="70"/>
        <v>0</v>
      </c>
      <c r="R938" s="91"/>
    </row>
    <row r="939" spans="2:18" ht="12" customHeight="1" x14ac:dyDescent="0.3">
      <c r="B939" s="98">
        <f t="shared" si="71"/>
        <v>936</v>
      </c>
      <c r="C939" s="97" t="str">
        <f t="shared" si="68"/>
        <v>Jan-00</v>
      </c>
      <c r="D939" s="96"/>
      <c r="E939" s="95"/>
      <c r="F939" s="95"/>
      <c r="G939" s="95"/>
      <c r="H939" s="94"/>
      <c r="I939" s="94"/>
      <c r="J939" s="91"/>
      <c r="K939" s="91"/>
      <c r="L939" s="94"/>
      <c r="M939" s="93"/>
      <c r="N939" s="92"/>
      <c r="O939" s="92"/>
      <c r="P939" s="91">
        <f t="shared" si="69"/>
        <v>0</v>
      </c>
      <c r="Q939" s="91">
        <f t="shared" si="70"/>
        <v>0</v>
      </c>
      <c r="R939" s="91"/>
    </row>
    <row r="940" spans="2:18" ht="12" customHeight="1" x14ac:dyDescent="0.3">
      <c r="B940" s="98">
        <f t="shared" si="71"/>
        <v>937</v>
      </c>
      <c r="C940" s="97" t="str">
        <f t="shared" si="68"/>
        <v>Jan-00</v>
      </c>
      <c r="D940" s="96"/>
      <c r="E940" s="95"/>
      <c r="F940" s="95"/>
      <c r="G940" s="95"/>
      <c r="H940" s="94"/>
      <c r="I940" s="94"/>
      <c r="J940" s="91"/>
      <c r="K940" s="91"/>
      <c r="L940" s="94"/>
      <c r="M940" s="93"/>
      <c r="N940" s="92"/>
      <c r="O940" s="92"/>
      <c r="P940" s="91">
        <f t="shared" si="69"/>
        <v>0</v>
      </c>
      <c r="Q940" s="91">
        <f t="shared" si="70"/>
        <v>0</v>
      </c>
      <c r="R940" s="91"/>
    </row>
    <row r="941" spans="2:18" ht="12" customHeight="1" x14ac:dyDescent="0.3">
      <c r="B941" s="98">
        <f t="shared" si="71"/>
        <v>938</v>
      </c>
      <c r="C941" s="97" t="str">
        <f t="shared" si="68"/>
        <v>Jan-00</v>
      </c>
      <c r="D941" s="96"/>
      <c r="E941" s="95"/>
      <c r="F941" s="95"/>
      <c r="G941" s="95"/>
      <c r="H941" s="94"/>
      <c r="I941" s="94"/>
      <c r="J941" s="91"/>
      <c r="K941" s="91"/>
      <c r="L941" s="94"/>
      <c r="M941" s="93"/>
      <c r="N941" s="92"/>
      <c r="O941" s="92"/>
      <c r="P941" s="91">
        <f t="shared" si="69"/>
        <v>0</v>
      </c>
      <c r="Q941" s="91">
        <f t="shared" si="70"/>
        <v>0</v>
      </c>
      <c r="R941" s="91"/>
    </row>
    <row r="942" spans="2:18" ht="12" customHeight="1" x14ac:dyDescent="0.3">
      <c r="B942" s="98">
        <f t="shared" si="71"/>
        <v>939</v>
      </c>
      <c r="C942" s="97" t="str">
        <f t="shared" si="68"/>
        <v>Jan-00</v>
      </c>
      <c r="D942" s="96"/>
      <c r="E942" s="95"/>
      <c r="F942" s="95"/>
      <c r="G942" s="95"/>
      <c r="H942" s="94"/>
      <c r="I942" s="94"/>
      <c r="J942" s="91"/>
      <c r="K942" s="91"/>
      <c r="L942" s="94"/>
      <c r="M942" s="93"/>
      <c r="N942" s="92"/>
      <c r="O942" s="92"/>
      <c r="P942" s="91">
        <f t="shared" si="69"/>
        <v>0</v>
      </c>
      <c r="Q942" s="91">
        <f t="shared" si="70"/>
        <v>0</v>
      </c>
      <c r="R942" s="91"/>
    </row>
    <row r="943" spans="2:18" ht="12" customHeight="1" x14ac:dyDescent="0.3">
      <c r="B943" s="98">
        <f t="shared" si="71"/>
        <v>940</v>
      </c>
      <c r="C943" s="97" t="str">
        <f t="shared" si="68"/>
        <v>Jan-00</v>
      </c>
      <c r="D943" s="96"/>
      <c r="E943" s="95"/>
      <c r="F943" s="95"/>
      <c r="G943" s="95"/>
      <c r="H943" s="94"/>
      <c r="I943" s="94"/>
      <c r="J943" s="91"/>
      <c r="K943" s="91"/>
      <c r="L943" s="94"/>
      <c r="M943" s="93"/>
      <c r="N943" s="92"/>
      <c r="O943" s="92"/>
      <c r="P943" s="91">
        <f t="shared" si="69"/>
        <v>0</v>
      </c>
      <c r="Q943" s="91">
        <f t="shared" si="70"/>
        <v>0</v>
      </c>
      <c r="R943" s="91"/>
    </row>
    <row r="944" spans="2:18" ht="12" customHeight="1" x14ac:dyDescent="0.3">
      <c r="B944" s="98">
        <f t="shared" si="71"/>
        <v>941</v>
      </c>
      <c r="C944" s="97" t="str">
        <f t="shared" si="68"/>
        <v>Jan-00</v>
      </c>
      <c r="D944" s="96"/>
      <c r="E944" s="95"/>
      <c r="F944" s="95"/>
      <c r="G944" s="95"/>
      <c r="H944" s="94"/>
      <c r="I944" s="94"/>
      <c r="J944" s="91"/>
      <c r="K944" s="91"/>
      <c r="L944" s="94"/>
      <c r="M944" s="93"/>
      <c r="N944" s="92"/>
      <c r="O944" s="92"/>
      <c r="P944" s="91">
        <f t="shared" si="69"/>
        <v>0</v>
      </c>
      <c r="Q944" s="91">
        <f t="shared" si="70"/>
        <v>0</v>
      </c>
      <c r="R944" s="91"/>
    </row>
    <row r="945" spans="2:18" ht="12" customHeight="1" x14ac:dyDescent="0.3">
      <c r="B945" s="98">
        <f t="shared" si="71"/>
        <v>942</v>
      </c>
      <c r="C945" s="97" t="str">
        <f t="shared" si="68"/>
        <v>Jan-00</v>
      </c>
      <c r="D945" s="96"/>
      <c r="E945" s="95"/>
      <c r="F945" s="95"/>
      <c r="G945" s="95"/>
      <c r="H945" s="94"/>
      <c r="I945" s="94"/>
      <c r="J945" s="91"/>
      <c r="K945" s="91"/>
      <c r="L945" s="94"/>
      <c r="M945" s="93"/>
      <c r="N945" s="92"/>
      <c r="O945" s="92"/>
      <c r="P945" s="91">
        <f t="shared" si="69"/>
        <v>0</v>
      </c>
      <c r="Q945" s="91">
        <f t="shared" si="70"/>
        <v>0</v>
      </c>
      <c r="R945" s="91"/>
    </row>
    <row r="946" spans="2:18" ht="12" customHeight="1" x14ac:dyDescent="0.3">
      <c r="B946" s="98">
        <f t="shared" si="71"/>
        <v>943</v>
      </c>
      <c r="C946" s="97" t="str">
        <f t="shared" si="68"/>
        <v>Jan-00</v>
      </c>
      <c r="D946" s="96"/>
      <c r="E946" s="95"/>
      <c r="F946" s="95"/>
      <c r="G946" s="95"/>
      <c r="H946" s="94"/>
      <c r="I946" s="94"/>
      <c r="J946" s="91"/>
      <c r="K946" s="91"/>
      <c r="L946" s="94"/>
      <c r="M946" s="93"/>
      <c r="N946" s="92"/>
      <c r="O946" s="92"/>
      <c r="P946" s="91">
        <f t="shared" si="69"/>
        <v>0</v>
      </c>
      <c r="Q946" s="91">
        <f t="shared" si="70"/>
        <v>0</v>
      </c>
      <c r="R946" s="91"/>
    </row>
    <row r="947" spans="2:18" ht="12" customHeight="1" x14ac:dyDescent="0.3">
      <c r="B947" s="98">
        <f t="shared" si="71"/>
        <v>944</v>
      </c>
      <c r="C947" s="97" t="str">
        <f t="shared" si="68"/>
        <v>Jan-00</v>
      </c>
      <c r="D947" s="96"/>
      <c r="E947" s="95"/>
      <c r="F947" s="95"/>
      <c r="G947" s="95"/>
      <c r="H947" s="94"/>
      <c r="I947" s="94"/>
      <c r="J947" s="91"/>
      <c r="K947" s="91"/>
      <c r="L947" s="94"/>
      <c r="M947" s="93"/>
      <c r="N947" s="92"/>
      <c r="O947" s="92"/>
      <c r="P947" s="91">
        <f t="shared" si="69"/>
        <v>0</v>
      </c>
      <c r="Q947" s="91">
        <f t="shared" si="70"/>
        <v>0</v>
      </c>
      <c r="R947" s="91"/>
    </row>
    <row r="948" spans="2:18" ht="12" customHeight="1" x14ac:dyDescent="0.3">
      <c r="B948" s="98">
        <f t="shared" si="71"/>
        <v>945</v>
      </c>
      <c r="C948" s="97" t="str">
        <f t="shared" si="68"/>
        <v>Jan-00</v>
      </c>
      <c r="D948" s="96"/>
      <c r="E948" s="95"/>
      <c r="F948" s="95"/>
      <c r="G948" s="95"/>
      <c r="H948" s="94"/>
      <c r="I948" s="94"/>
      <c r="J948" s="91"/>
      <c r="K948" s="91"/>
      <c r="L948" s="94"/>
      <c r="M948" s="93"/>
      <c r="N948" s="92"/>
      <c r="O948" s="92"/>
      <c r="P948" s="91">
        <f t="shared" si="69"/>
        <v>0</v>
      </c>
      <c r="Q948" s="91">
        <f t="shared" si="70"/>
        <v>0</v>
      </c>
      <c r="R948" s="91"/>
    </row>
    <row r="949" spans="2:18" ht="12" customHeight="1" x14ac:dyDescent="0.3">
      <c r="B949" s="98">
        <f t="shared" si="71"/>
        <v>946</v>
      </c>
      <c r="C949" s="97" t="str">
        <f t="shared" si="68"/>
        <v>Jan-00</v>
      </c>
      <c r="D949" s="96"/>
      <c r="E949" s="95"/>
      <c r="F949" s="95"/>
      <c r="G949" s="95"/>
      <c r="H949" s="94"/>
      <c r="I949" s="94"/>
      <c r="J949" s="91"/>
      <c r="K949" s="91"/>
      <c r="L949" s="94"/>
      <c r="M949" s="93"/>
      <c r="N949" s="92"/>
      <c r="O949" s="92"/>
      <c r="P949" s="91">
        <f t="shared" si="69"/>
        <v>0</v>
      </c>
      <c r="Q949" s="91">
        <f t="shared" si="70"/>
        <v>0</v>
      </c>
      <c r="R949" s="91"/>
    </row>
    <row r="950" spans="2:18" ht="12" customHeight="1" x14ac:dyDescent="0.3">
      <c r="B950" s="98">
        <f t="shared" si="71"/>
        <v>947</v>
      </c>
      <c r="C950" s="97" t="str">
        <f t="shared" si="68"/>
        <v>Jan-00</v>
      </c>
      <c r="D950" s="96"/>
      <c r="E950" s="95"/>
      <c r="F950" s="95"/>
      <c r="G950" s="95"/>
      <c r="H950" s="94"/>
      <c r="I950" s="94"/>
      <c r="J950" s="91"/>
      <c r="K950" s="91"/>
      <c r="L950" s="94"/>
      <c r="M950" s="93"/>
      <c r="N950" s="92"/>
      <c r="O950" s="92"/>
      <c r="P950" s="91">
        <f t="shared" si="69"/>
        <v>0</v>
      </c>
      <c r="Q950" s="91">
        <f t="shared" si="70"/>
        <v>0</v>
      </c>
      <c r="R950" s="91"/>
    </row>
    <row r="951" spans="2:18" ht="12" customHeight="1" x14ac:dyDescent="0.3">
      <c r="B951" s="98">
        <f t="shared" si="71"/>
        <v>948</v>
      </c>
      <c r="C951" s="97" t="str">
        <f t="shared" si="68"/>
        <v>Jan-00</v>
      </c>
      <c r="D951" s="96"/>
      <c r="E951" s="95"/>
      <c r="F951" s="95"/>
      <c r="G951" s="95"/>
      <c r="H951" s="94"/>
      <c r="I951" s="94"/>
      <c r="J951" s="91"/>
      <c r="K951" s="91"/>
      <c r="L951" s="94"/>
      <c r="M951" s="93"/>
      <c r="N951" s="92"/>
      <c r="O951" s="92"/>
      <c r="P951" s="91">
        <f t="shared" si="69"/>
        <v>0</v>
      </c>
      <c r="Q951" s="91">
        <f t="shared" si="70"/>
        <v>0</v>
      </c>
      <c r="R951" s="91"/>
    </row>
    <row r="952" spans="2:18" ht="12" customHeight="1" x14ac:dyDescent="0.3">
      <c r="B952" s="98">
        <f t="shared" si="71"/>
        <v>949</v>
      </c>
      <c r="C952" s="97" t="str">
        <f t="shared" si="68"/>
        <v>Jan-00</v>
      </c>
      <c r="D952" s="96"/>
      <c r="E952" s="95"/>
      <c r="F952" s="95"/>
      <c r="G952" s="95"/>
      <c r="H952" s="94"/>
      <c r="I952" s="94"/>
      <c r="J952" s="91"/>
      <c r="K952" s="91"/>
      <c r="L952" s="94"/>
      <c r="M952" s="93"/>
      <c r="N952" s="92"/>
      <c r="O952" s="92"/>
      <c r="P952" s="91">
        <f t="shared" si="69"/>
        <v>0</v>
      </c>
      <c r="Q952" s="91">
        <f t="shared" si="70"/>
        <v>0</v>
      </c>
      <c r="R952" s="91"/>
    </row>
    <row r="953" spans="2:18" ht="12" customHeight="1" x14ac:dyDescent="0.3">
      <c r="B953" s="98">
        <f t="shared" si="71"/>
        <v>950</v>
      </c>
      <c r="C953" s="97" t="str">
        <f t="shared" si="68"/>
        <v>Jan-00</v>
      </c>
      <c r="D953" s="96"/>
      <c r="E953" s="95"/>
      <c r="F953" s="95"/>
      <c r="G953" s="95"/>
      <c r="H953" s="94"/>
      <c r="I953" s="94"/>
      <c r="J953" s="91"/>
      <c r="K953" s="91"/>
      <c r="L953" s="94"/>
      <c r="M953" s="93"/>
      <c r="N953" s="92"/>
      <c r="O953" s="92"/>
      <c r="P953" s="91">
        <f t="shared" si="69"/>
        <v>0</v>
      </c>
      <c r="Q953" s="91">
        <f t="shared" si="70"/>
        <v>0</v>
      </c>
      <c r="R953" s="91"/>
    </row>
    <row r="954" spans="2:18" ht="12" customHeight="1" x14ac:dyDescent="0.3">
      <c r="B954" s="98">
        <f t="shared" si="71"/>
        <v>951</v>
      </c>
      <c r="C954" s="97" t="str">
        <f t="shared" si="68"/>
        <v>Jan-00</v>
      </c>
      <c r="D954" s="96"/>
      <c r="E954" s="95"/>
      <c r="F954" s="95"/>
      <c r="G954" s="95"/>
      <c r="H954" s="94"/>
      <c r="I954" s="94"/>
      <c r="J954" s="91"/>
      <c r="K954" s="91"/>
      <c r="L954" s="94"/>
      <c r="M954" s="93"/>
      <c r="N954" s="92"/>
      <c r="O954" s="92"/>
      <c r="P954" s="91">
        <f t="shared" si="69"/>
        <v>0</v>
      </c>
      <c r="Q954" s="91">
        <f t="shared" si="70"/>
        <v>0</v>
      </c>
      <c r="R954" s="91"/>
    </row>
    <row r="955" spans="2:18" ht="12" customHeight="1" x14ac:dyDescent="0.3">
      <c r="B955" s="98">
        <f t="shared" si="71"/>
        <v>952</v>
      </c>
      <c r="C955" s="97" t="str">
        <f t="shared" si="68"/>
        <v>Jan-00</v>
      </c>
      <c r="D955" s="96"/>
      <c r="E955" s="95"/>
      <c r="F955" s="95"/>
      <c r="G955" s="95"/>
      <c r="H955" s="94"/>
      <c r="I955" s="94"/>
      <c r="J955" s="91"/>
      <c r="K955" s="91"/>
      <c r="L955" s="94"/>
      <c r="M955" s="93"/>
      <c r="N955" s="92"/>
      <c r="O955" s="92"/>
      <c r="P955" s="91">
        <f t="shared" si="69"/>
        <v>0</v>
      </c>
      <c r="Q955" s="91">
        <f t="shared" si="70"/>
        <v>0</v>
      </c>
      <c r="R955" s="91"/>
    </row>
    <row r="956" spans="2:18" ht="12" customHeight="1" x14ac:dyDescent="0.3">
      <c r="B956" s="98">
        <f t="shared" si="71"/>
        <v>953</v>
      </c>
      <c r="C956" s="97" t="str">
        <f t="shared" si="68"/>
        <v>Jan-00</v>
      </c>
      <c r="D956" s="96"/>
      <c r="E956" s="95"/>
      <c r="F956" s="95"/>
      <c r="G956" s="95"/>
      <c r="H956" s="94"/>
      <c r="I956" s="94"/>
      <c r="J956" s="91"/>
      <c r="K956" s="91"/>
      <c r="L956" s="94"/>
      <c r="M956" s="93"/>
      <c r="N956" s="92"/>
      <c r="O956" s="92"/>
      <c r="P956" s="91">
        <f t="shared" si="69"/>
        <v>0</v>
      </c>
      <c r="Q956" s="91">
        <f t="shared" si="70"/>
        <v>0</v>
      </c>
      <c r="R956" s="91"/>
    </row>
    <row r="957" spans="2:18" ht="12" customHeight="1" x14ac:dyDescent="0.3">
      <c r="B957" s="98">
        <f t="shared" si="71"/>
        <v>954</v>
      </c>
      <c r="C957" s="97" t="str">
        <f t="shared" si="68"/>
        <v>Jan-00</v>
      </c>
      <c r="D957" s="96"/>
      <c r="E957" s="95"/>
      <c r="F957" s="95"/>
      <c r="G957" s="95"/>
      <c r="H957" s="94"/>
      <c r="I957" s="94"/>
      <c r="J957" s="91"/>
      <c r="K957" s="91"/>
      <c r="L957" s="94"/>
      <c r="M957" s="93"/>
      <c r="N957" s="92"/>
      <c r="O957" s="92"/>
      <c r="P957" s="91">
        <f t="shared" si="69"/>
        <v>0</v>
      </c>
      <c r="Q957" s="91">
        <f t="shared" si="70"/>
        <v>0</v>
      </c>
      <c r="R957" s="91"/>
    </row>
    <row r="958" spans="2:18" ht="12" customHeight="1" x14ac:dyDescent="0.3">
      <c r="B958" s="98">
        <f t="shared" si="71"/>
        <v>955</v>
      </c>
      <c r="C958" s="97" t="str">
        <f t="shared" si="68"/>
        <v>Jan-00</v>
      </c>
      <c r="D958" s="96"/>
      <c r="E958" s="95"/>
      <c r="F958" s="95"/>
      <c r="G958" s="95"/>
      <c r="H958" s="94"/>
      <c r="I958" s="94"/>
      <c r="J958" s="91"/>
      <c r="K958" s="91"/>
      <c r="L958" s="94"/>
      <c r="M958" s="93"/>
      <c r="N958" s="92"/>
      <c r="O958" s="92"/>
      <c r="P958" s="91">
        <f t="shared" si="69"/>
        <v>0</v>
      </c>
      <c r="Q958" s="91">
        <f t="shared" si="70"/>
        <v>0</v>
      </c>
      <c r="R958" s="91"/>
    </row>
    <row r="959" spans="2:18" ht="12" customHeight="1" x14ac:dyDescent="0.3">
      <c r="B959" s="98">
        <f t="shared" si="71"/>
        <v>956</v>
      </c>
      <c r="C959" s="97" t="str">
        <f t="shared" si="68"/>
        <v>Jan-00</v>
      </c>
      <c r="D959" s="96"/>
      <c r="E959" s="95"/>
      <c r="F959" s="95"/>
      <c r="G959" s="95"/>
      <c r="H959" s="94"/>
      <c r="I959" s="94"/>
      <c r="J959" s="91"/>
      <c r="K959" s="91"/>
      <c r="L959" s="94"/>
      <c r="M959" s="93"/>
      <c r="N959" s="92"/>
      <c r="O959" s="92"/>
      <c r="P959" s="91">
        <f t="shared" si="69"/>
        <v>0</v>
      </c>
      <c r="Q959" s="91">
        <f t="shared" si="70"/>
        <v>0</v>
      </c>
      <c r="R959" s="91"/>
    </row>
    <row r="960" spans="2:18" ht="12" customHeight="1" x14ac:dyDescent="0.3">
      <c r="B960" s="98">
        <f t="shared" si="71"/>
        <v>957</v>
      </c>
      <c r="C960" s="97" t="str">
        <f t="shared" si="68"/>
        <v>Jan-00</v>
      </c>
      <c r="D960" s="96"/>
      <c r="E960" s="95"/>
      <c r="F960" s="95"/>
      <c r="G960" s="95"/>
      <c r="H960" s="94"/>
      <c r="I960" s="94"/>
      <c r="J960" s="91"/>
      <c r="K960" s="91"/>
      <c r="L960" s="94"/>
      <c r="M960" s="93"/>
      <c r="N960" s="92"/>
      <c r="O960" s="92"/>
      <c r="P960" s="91">
        <f t="shared" si="69"/>
        <v>0</v>
      </c>
      <c r="Q960" s="91">
        <f t="shared" si="70"/>
        <v>0</v>
      </c>
      <c r="R960" s="91"/>
    </row>
    <row r="961" spans="2:18" ht="12" customHeight="1" x14ac:dyDescent="0.3">
      <c r="B961" s="98">
        <f t="shared" si="71"/>
        <v>958</v>
      </c>
      <c r="C961" s="97" t="str">
        <f t="shared" si="68"/>
        <v>Jan-00</v>
      </c>
      <c r="D961" s="96"/>
      <c r="E961" s="95"/>
      <c r="F961" s="95"/>
      <c r="G961" s="95"/>
      <c r="H961" s="94"/>
      <c r="I961" s="94"/>
      <c r="J961" s="91"/>
      <c r="K961" s="91"/>
      <c r="L961" s="94"/>
      <c r="M961" s="93"/>
      <c r="N961" s="92"/>
      <c r="O961" s="92"/>
      <c r="P961" s="91">
        <f t="shared" si="69"/>
        <v>0</v>
      </c>
      <c r="Q961" s="91">
        <f t="shared" si="70"/>
        <v>0</v>
      </c>
      <c r="R961" s="91"/>
    </row>
    <row r="962" spans="2:18" ht="12" customHeight="1" x14ac:dyDescent="0.3">
      <c r="B962" s="98">
        <f t="shared" si="71"/>
        <v>959</v>
      </c>
      <c r="C962" s="97" t="str">
        <f t="shared" si="68"/>
        <v>Jan-00</v>
      </c>
      <c r="D962" s="96"/>
      <c r="E962" s="95"/>
      <c r="F962" s="95"/>
      <c r="G962" s="95"/>
      <c r="H962" s="94"/>
      <c r="I962" s="94"/>
      <c r="J962" s="91"/>
      <c r="K962" s="91"/>
      <c r="L962" s="94"/>
      <c r="M962" s="93"/>
      <c r="N962" s="92"/>
      <c r="O962" s="92"/>
      <c r="P962" s="91">
        <f t="shared" si="69"/>
        <v>0</v>
      </c>
      <c r="Q962" s="91">
        <f t="shared" si="70"/>
        <v>0</v>
      </c>
      <c r="R962" s="91"/>
    </row>
    <row r="963" spans="2:18" ht="12" customHeight="1" x14ac:dyDescent="0.3">
      <c r="B963" s="98">
        <f t="shared" si="71"/>
        <v>960</v>
      </c>
      <c r="C963" s="97" t="str">
        <f t="shared" si="68"/>
        <v>Jan-00</v>
      </c>
      <c r="D963" s="96"/>
      <c r="E963" s="95"/>
      <c r="F963" s="95"/>
      <c r="G963" s="95"/>
      <c r="H963" s="94"/>
      <c r="I963" s="94"/>
      <c r="J963" s="91"/>
      <c r="K963" s="91"/>
      <c r="L963" s="94"/>
      <c r="M963" s="93"/>
      <c r="N963" s="92"/>
      <c r="O963" s="92"/>
      <c r="P963" s="91">
        <f t="shared" si="69"/>
        <v>0</v>
      </c>
      <c r="Q963" s="91">
        <f t="shared" si="70"/>
        <v>0</v>
      </c>
      <c r="R963" s="91"/>
    </row>
    <row r="964" spans="2:18" ht="12" customHeight="1" x14ac:dyDescent="0.3">
      <c r="B964" s="98">
        <f t="shared" si="71"/>
        <v>961</v>
      </c>
      <c r="C964" s="97" t="str">
        <f t="shared" ref="C964:C1027" si="72">CONCATENATE(TEXT(D964,"mmm"),"-",TEXT(D964,"yy"))</f>
        <v>Jan-00</v>
      </c>
      <c r="D964" s="96"/>
      <c r="E964" s="95"/>
      <c r="F964" s="95"/>
      <c r="G964" s="95"/>
      <c r="H964" s="94"/>
      <c r="I964" s="94"/>
      <c r="J964" s="91"/>
      <c r="K964" s="91"/>
      <c r="L964" s="94"/>
      <c r="M964" s="93"/>
      <c r="N964" s="92"/>
      <c r="O964" s="92"/>
      <c r="P964" s="91">
        <f t="shared" ref="P964:P1027" si="73">O964*1%</f>
        <v>0</v>
      </c>
      <c r="Q964" s="91">
        <f t="shared" ref="Q964:Q1027" si="74">O964-P964</f>
        <v>0</v>
      </c>
      <c r="R964" s="91"/>
    </row>
    <row r="965" spans="2:18" ht="12" customHeight="1" x14ac:dyDescent="0.3">
      <c r="B965" s="98">
        <f t="shared" ref="B965:B1028" si="75">+B964+1</f>
        <v>962</v>
      </c>
      <c r="C965" s="97" t="str">
        <f t="shared" si="72"/>
        <v>Jan-00</v>
      </c>
      <c r="D965" s="96"/>
      <c r="E965" s="95"/>
      <c r="F965" s="95"/>
      <c r="G965" s="95"/>
      <c r="H965" s="94"/>
      <c r="I965" s="94"/>
      <c r="J965" s="91"/>
      <c r="K965" s="91"/>
      <c r="L965" s="94"/>
      <c r="M965" s="93"/>
      <c r="N965" s="92"/>
      <c r="O965" s="92"/>
      <c r="P965" s="91">
        <f t="shared" si="73"/>
        <v>0</v>
      </c>
      <c r="Q965" s="91">
        <f t="shared" si="74"/>
        <v>0</v>
      </c>
      <c r="R965" s="91"/>
    </row>
    <row r="966" spans="2:18" ht="12" customHeight="1" x14ac:dyDescent="0.3">
      <c r="B966" s="98">
        <f t="shared" si="75"/>
        <v>963</v>
      </c>
      <c r="C966" s="97" t="str">
        <f t="shared" si="72"/>
        <v>Jan-00</v>
      </c>
      <c r="D966" s="96"/>
      <c r="E966" s="95"/>
      <c r="F966" s="95"/>
      <c r="G966" s="95"/>
      <c r="H966" s="94"/>
      <c r="I966" s="94"/>
      <c r="J966" s="91"/>
      <c r="K966" s="91"/>
      <c r="L966" s="94"/>
      <c r="M966" s="93"/>
      <c r="N966" s="92"/>
      <c r="O966" s="92"/>
      <c r="P966" s="91">
        <f t="shared" si="73"/>
        <v>0</v>
      </c>
      <c r="Q966" s="91">
        <f t="shared" si="74"/>
        <v>0</v>
      </c>
      <c r="R966" s="91"/>
    </row>
    <row r="967" spans="2:18" ht="12" customHeight="1" x14ac:dyDescent="0.3">
      <c r="B967" s="98">
        <f t="shared" si="75"/>
        <v>964</v>
      </c>
      <c r="C967" s="97" t="str">
        <f t="shared" si="72"/>
        <v>Jan-00</v>
      </c>
      <c r="D967" s="96"/>
      <c r="E967" s="95"/>
      <c r="F967" s="95"/>
      <c r="G967" s="95"/>
      <c r="H967" s="94"/>
      <c r="I967" s="94"/>
      <c r="J967" s="91"/>
      <c r="K967" s="91"/>
      <c r="L967" s="94"/>
      <c r="M967" s="93"/>
      <c r="N967" s="92"/>
      <c r="O967" s="92"/>
      <c r="P967" s="91">
        <f t="shared" si="73"/>
        <v>0</v>
      </c>
      <c r="Q967" s="91">
        <f t="shared" si="74"/>
        <v>0</v>
      </c>
      <c r="R967" s="91"/>
    </row>
    <row r="968" spans="2:18" ht="12" customHeight="1" x14ac:dyDescent="0.3">
      <c r="B968" s="98">
        <f t="shared" si="75"/>
        <v>965</v>
      </c>
      <c r="C968" s="97" t="str">
        <f t="shared" si="72"/>
        <v>Jan-00</v>
      </c>
      <c r="D968" s="96"/>
      <c r="E968" s="95"/>
      <c r="F968" s="95"/>
      <c r="G968" s="95"/>
      <c r="H968" s="94"/>
      <c r="I968" s="94"/>
      <c r="J968" s="91"/>
      <c r="K968" s="91"/>
      <c r="L968" s="94"/>
      <c r="M968" s="93"/>
      <c r="N968" s="92"/>
      <c r="O968" s="92"/>
      <c r="P968" s="91">
        <f t="shared" si="73"/>
        <v>0</v>
      </c>
      <c r="Q968" s="91">
        <f t="shared" si="74"/>
        <v>0</v>
      </c>
      <c r="R968" s="91"/>
    </row>
    <row r="969" spans="2:18" ht="12" customHeight="1" x14ac:dyDescent="0.3">
      <c r="B969" s="98">
        <f t="shared" si="75"/>
        <v>966</v>
      </c>
      <c r="C969" s="97" t="str">
        <f t="shared" si="72"/>
        <v>Jan-00</v>
      </c>
      <c r="D969" s="96"/>
      <c r="E969" s="95"/>
      <c r="F969" s="95"/>
      <c r="G969" s="95"/>
      <c r="H969" s="94"/>
      <c r="I969" s="94"/>
      <c r="J969" s="91"/>
      <c r="K969" s="91"/>
      <c r="L969" s="94"/>
      <c r="M969" s="93"/>
      <c r="N969" s="92"/>
      <c r="O969" s="92"/>
      <c r="P969" s="91">
        <f t="shared" si="73"/>
        <v>0</v>
      </c>
      <c r="Q969" s="91">
        <f t="shared" si="74"/>
        <v>0</v>
      </c>
      <c r="R969" s="91"/>
    </row>
    <row r="970" spans="2:18" ht="12" customHeight="1" x14ac:dyDescent="0.3">
      <c r="B970" s="98">
        <f t="shared" si="75"/>
        <v>967</v>
      </c>
      <c r="C970" s="97" t="str">
        <f t="shared" si="72"/>
        <v>Jan-00</v>
      </c>
      <c r="D970" s="96"/>
      <c r="E970" s="95"/>
      <c r="F970" s="95"/>
      <c r="G970" s="95"/>
      <c r="H970" s="94"/>
      <c r="I970" s="94"/>
      <c r="J970" s="91"/>
      <c r="K970" s="91"/>
      <c r="L970" s="94"/>
      <c r="M970" s="93"/>
      <c r="N970" s="92"/>
      <c r="O970" s="92"/>
      <c r="P970" s="91">
        <f t="shared" si="73"/>
        <v>0</v>
      </c>
      <c r="Q970" s="91">
        <f t="shared" si="74"/>
        <v>0</v>
      </c>
      <c r="R970" s="91"/>
    </row>
    <row r="971" spans="2:18" ht="12" customHeight="1" x14ac:dyDescent="0.3">
      <c r="B971" s="98">
        <f t="shared" si="75"/>
        <v>968</v>
      </c>
      <c r="C971" s="97" t="str">
        <f t="shared" si="72"/>
        <v>Jan-00</v>
      </c>
      <c r="D971" s="96"/>
      <c r="E971" s="95"/>
      <c r="F971" s="95"/>
      <c r="G971" s="95"/>
      <c r="H971" s="94"/>
      <c r="I971" s="94"/>
      <c r="J971" s="91"/>
      <c r="K971" s="91"/>
      <c r="L971" s="94"/>
      <c r="M971" s="93"/>
      <c r="N971" s="92"/>
      <c r="O971" s="92"/>
      <c r="P971" s="91">
        <f t="shared" si="73"/>
        <v>0</v>
      </c>
      <c r="Q971" s="91">
        <f t="shared" si="74"/>
        <v>0</v>
      </c>
      <c r="R971" s="91"/>
    </row>
    <row r="972" spans="2:18" ht="12" customHeight="1" x14ac:dyDescent="0.3">
      <c r="B972" s="98">
        <f t="shared" si="75"/>
        <v>969</v>
      </c>
      <c r="C972" s="97" t="str">
        <f t="shared" si="72"/>
        <v>Jan-00</v>
      </c>
      <c r="D972" s="96"/>
      <c r="E972" s="95"/>
      <c r="F972" s="95"/>
      <c r="G972" s="95"/>
      <c r="H972" s="94"/>
      <c r="I972" s="94"/>
      <c r="J972" s="91"/>
      <c r="K972" s="91"/>
      <c r="L972" s="94"/>
      <c r="M972" s="93"/>
      <c r="N972" s="92"/>
      <c r="O972" s="92"/>
      <c r="P972" s="91">
        <f t="shared" si="73"/>
        <v>0</v>
      </c>
      <c r="Q972" s="91">
        <f t="shared" si="74"/>
        <v>0</v>
      </c>
      <c r="R972" s="91"/>
    </row>
    <row r="973" spans="2:18" ht="12" customHeight="1" x14ac:dyDescent="0.3">
      <c r="B973" s="98">
        <f t="shared" si="75"/>
        <v>970</v>
      </c>
      <c r="C973" s="97" t="str">
        <f t="shared" si="72"/>
        <v>Jan-00</v>
      </c>
      <c r="D973" s="96"/>
      <c r="E973" s="95"/>
      <c r="F973" s="95"/>
      <c r="G973" s="95"/>
      <c r="H973" s="94"/>
      <c r="I973" s="94"/>
      <c r="J973" s="91"/>
      <c r="K973" s="91"/>
      <c r="L973" s="94"/>
      <c r="M973" s="93"/>
      <c r="N973" s="92"/>
      <c r="O973" s="92"/>
      <c r="P973" s="91">
        <f t="shared" si="73"/>
        <v>0</v>
      </c>
      <c r="Q973" s="91">
        <f t="shared" si="74"/>
        <v>0</v>
      </c>
      <c r="R973" s="91"/>
    </row>
    <row r="974" spans="2:18" ht="12" customHeight="1" x14ac:dyDescent="0.3">
      <c r="B974" s="98">
        <f t="shared" si="75"/>
        <v>971</v>
      </c>
      <c r="C974" s="97" t="str">
        <f t="shared" si="72"/>
        <v>Jan-00</v>
      </c>
      <c r="D974" s="96"/>
      <c r="E974" s="95"/>
      <c r="F974" s="95"/>
      <c r="G974" s="95"/>
      <c r="H974" s="94"/>
      <c r="I974" s="94"/>
      <c r="J974" s="91"/>
      <c r="K974" s="91"/>
      <c r="L974" s="94"/>
      <c r="M974" s="93"/>
      <c r="N974" s="92"/>
      <c r="O974" s="92"/>
      <c r="P974" s="91">
        <f t="shared" si="73"/>
        <v>0</v>
      </c>
      <c r="Q974" s="91">
        <f t="shared" si="74"/>
        <v>0</v>
      </c>
      <c r="R974" s="91"/>
    </row>
    <row r="975" spans="2:18" ht="12" customHeight="1" x14ac:dyDescent="0.3">
      <c r="B975" s="98">
        <f t="shared" si="75"/>
        <v>972</v>
      </c>
      <c r="C975" s="97" t="str">
        <f t="shared" si="72"/>
        <v>Jan-00</v>
      </c>
      <c r="D975" s="96"/>
      <c r="E975" s="95"/>
      <c r="F975" s="95"/>
      <c r="G975" s="95"/>
      <c r="H975" s="94"/>
      <c r="I975" s="94"/>
      <c r="J975" s="91"/>
      <c r="K975" s="91"/>
      <c r="L975" s="94"/>
      <c r="M975" s="93"/>
      <c r="N975" s="92"/>
      <c r="O975" s="92"/>
      <c r="P975" s="91">
        <f t="shared" si="73"/>
        <v>0</v>
      </c>
      <c r="Q975" s="91">
        <f t="shared" si="74"/>
        <v>0</v>
      </c>
      <c r="R975" s="91"/>
    </row>
    <row r="976" spans="2:18" ht="12" customHeight="1" x14ac:dyDescent="0.3">
      <c r="B976" s="98">
        <f t="shared" si="75"/>
        <v>973</v>
      </c>
      <c r="C976" s="97" t="str">
        <f t="shared" si="72"/>
        <v>Jan-00</v>
      </c>
      <c r="D976" s="96"/>
      <c r="E976" s="95"/>
      <c r="F976" s="95"/>
      <c r="G976" s="95"/>
      <c r="H976" s="94"/>
      <c r="I976" s="94"/>
      <c r="J976" s="91"/>
      <c r="K976" s="91"/>
      <c r="L976" s="94"/>
      <c r="M976" s="93"/>
      <c r="N976" s="92"/>
      <c r="O976" s="92"/>
      <c r="P976" s="91">
        <f t="shared" si="73"/>
        <v>0</v>
      </c>
      <c r="Q976" s="91">
        <f t="shared" si="74"/>
        <v>0</v>
      </c>
      <c r="R976" s="91"/>
    </row>
    <row r="977" spans="2:18" ht="12" customHeight="1" x14ac:dyDescent="0.3">
      <c r="B977" s="98">
        <f t="shared" si="75"/>
        <v>974</v>
      </c>
      <c r="C977" s="97" t="str">
        <f t="shared" si="72"/>
        <v>Jan-00</v>
      </c>
      <c r="D977" s="96"/>
      <c r="E977" s="95"/>
      <c r="F977" s="95"/>
      <c r="G977" s="95"/>
      <c r="H977" s="94"/>
      <c r="I977" s="94"/>
      <c r="J977" s="91"/>
      <c r="K977" s="91"/>
      <c r="L977" s="94"/>
      <c r="M977" s="93"/>
      <c r="N977" s="92"/>
      <c r="O977" s="92"/>
      <c r="P977" s="91">
        <f t="shared" si="73"/>
        <v>0</v>
      </c>
      <c r="Q977" s="91">
        <f t="shared" si="74"/>
        <v>0</v>
      </c>
      <c r="R977" s="91"/>
    </row>
    <row r="978" spans="2:18" ht="12" customHeight="1" x14ac:dyDescent="0.3">
      <c r="B978" s="98">
        <f t="shared" si="75"/>
        <v>975</v>
      </c>
      <c r="C978" s="97" t="str">
        <f t="shared" si="72"/>
        <v>Jan-00</v>
      </c>
      <c r="D978" s="96"/>
      <c r="E978" s="95"/>
      <c r="F978" s="95"/>
      <c r="G978" s="95"/>
      <c r="H978" s="94"/>
      <c r="I978" s="94"/>
      <c r="J978" s="91"/>
      <c r="K978" s="91"/>
      <c r="L978" s="94"/>
      <c r="M978" s="93"/>
      <c r="N978" s="92"/>
      <c r="O978" s="92"/>
      <c r="P978" s="91">
        <f t="shared" si="73"/>
        <v>0</v>
      </c>
      <c r="Q978" s="91">
        <f t="shared" si="74"/>
        <v>0</v>
      </c>
      <c r="R978" s="91"/>
    </row>
    <row r="979" spans="2:18" ht="12" customHeight="1" x14ac:dyDescent="0.3">
      <c r="B979" s="98">
        <f t="shared" si="75"/>
        <v>976</v>
      </c>
      <c r="C979" s="97" t="str">
        <f t="shared" si="72"/>
        <v>Jan-00</v>
      </c>
      <c r="D979" s="96"/>
      <c r="E979" s="95"/>
      <c r="F979" s="95"/>
      <c r="G979" s="95"/>
      <c r="H979" s="94"/>
      <c r="I979" s="94"/>
      <c r="J979" s="91"/>
      <c r="K979" s="91"/>
      <c r="L979" s="94"/>
      <c r="M979" s="93"/>
      <c r="N979" s="92"/>
      <c r="O979" s="92"/>
      <c r="P979" s="91">
        <f t="shared" si="73"/>
        <v>0</v>
      </c>
      <c r="Q979" s="91">
        <f t="shared" si="74"/>
        <v>0</v>
      </c>
      <c r="R979" s="91"/>
    </row>
    <row r="980" spans="2:18" ht="12" customHeight="1" x14ac:dyDescent="0.3">
      <c r="B980" s="98">
        <f t="shared" si="75"/>
        <v>977</v>
      </c>
      <c r="C980" s="97" t="str">
        <f t="shared" si="72"/>
        <v>Jan-00</v>
      </c>
      <c r="D980" s="96"/>
      <c r="E980" s="95"/>
      <c r="F980" s="95"/>
      <c r="G980" s="95"/>
      <c r="H980" s="94"/>
      <c r="I980" s="94"/>
      <c r="J980" s="91"/>
      <c r="K980" s="91"/>
      <c r="L980" s="94"/>
      <c r="M980" s="93"/>
      <c r="N980" s="92"/>
      <c r="O980" s="92"/>
      <c r="P980" s="91">
        <f t="shared" si="73"/>
        <v>0</v>
      </c>
      <c r="Q980" s="91">
        <f t="shared" si="74"/>
        <v>0</v>
      </c>
      <c r="R980" s="91"/>
    </row>
    <row r="981" spans="2:18" ht="12" customHeight="1" x14ac:dyDescent="0.3">
      <c r="B981" s="98">
        <f t="shared" si="75"/>
        <v>978</v>
      </c>
      <c r="C981" s="97" t="str">
        <f t="shared" si="72"/>
        <v>Jan-00</v>
      </c>
      <c r="D981" s="96"/>
      <c r="E981" s="95"/>
      <c r="F981" s="95"/>
      <c r="G981" s="95"/>
      <c r="H981" s="94"/>
      <c r="I981" s="94"/>
      <c r="J981" s="91"/>
      <c r="K981" s="91"/>
      <c r="L981" s="94"/>
      <c r="M981" s="93"/>
      <c r="N981" s="92"/>
      <c r="O981" s="92"/>
      <c r="P981" s="91">
        <f t="shared" si="73"/>
        <v>0</v>
      </c>
      <c r="Q981" s="91">
        <f t="shared" si="74"/>
        <v>0</v>
      </c>
      <c r="R981" s="91"/>
    </row>
    <row r="982" spans="2:18" ht="12" customHeight="1" x14ac:dyDescent="0.3">
      <c r="B982" s="98">
        <f t="shared" si="75"/>
        <v>979</v>
      </c>
      <c r="C982" s="97" t="str">
        <f t="shared" si="72"/>
        <v>Jan-00</v>
      </c>
      <c r="D982" s="96"/>
      <c r="E982" s="95"/>
      <c r="F982" s="95"/>
      <c r="G982" s="95"/>
      <c r="H982" s="94"/>
      <c r="I982" s="94"/>
      <c r="J982" s="91"/>
      <c r="K982" s="91"/>
      <c r="L982" s="94"/>
      <c r="M982" s="93"/>
      <c r="N982" s="92"/>
      <c r="O982" s="92"/>
      <c r="P982" s="91">
        <f t="shared" si="73"/>
        <v>0</v>
      </c>
      <c r="Q982" s="91">
        <f t="shared" si="74"/>
        <v>0</v>
      </c>
      <c r="R982" s="91"/>
    </row>
    <row r="983" spans="2:18" ht="12" customHeight="1" x14ac:dyDescent="0.3">
      <c r="B983" s="98">
        <f t="shared" si="75"/>
        <v>980</v>
      </c>
      <c r="C983" s="97" t="str">
        <f t="shared" si="72"/>
        <v>Jan-00</v>
      </c>
      <c r="D983" s="96"/>
      <c r="E983" s="95"/>
      <c r="F983" s="95"/>
      <c r="G983" s="95"/>
      <c r="H983" s="94"/>
      <c r="I983" s="94"/>
      <c r="J983" s="91"/>
      <c r="K983" s="91"/>
      <c r="L983" s="94"/>
      <c r="M983" s="93"/>
      <c r="N983" s="92"/>
      <c r="O983" s="92"/>
      <c r="P983" s="91">
        <f t="shared" si="73"/>
        <v>0</v>
      </c>
      <c r="Q983" s="91">
        <f t="shared" si="74"/>
        <v>0</v>
      </c>
      <c r="R983" s="91"/>
    </row>
    <row r="984" spans="2:18" ht="12" customHeight="1" x14ac:dyDescent="0.3">
      <c r="B984" s="98">
        <f t="shared" si="75"/>
        <v>981</v>
      </c>
      <c r="C984" s="97" t="str">
        <f t="shared" si="72"/>
        <v>Jan-00</v>
      </c>
      <c r="D984" s="96"/>
      <c r="E984" s="95"/>
      <c r="F984" s="95"/>
      <c r="G984" s="95"/>
      <c r="H984" s="94"/>
      <c r="I984" s="94"/>
      <c r="J984" s="91"/>
      <c r="K984" s="91"/>
      <c r="L984" s="94"/>
      <c r="M984" s="93"/>
      <c r="N984" s="92"/>
      <c r="O984" s="92"/>
      <c r="P984" s="91">
        <f t="shared" si="73"/>
        <v>0</v>
      </c>
      <c r="Q984" s="91">
        <f t="shared" si="74"/>
        <v>0</v>
      </c>
      <c r="R984" s="91"/>
    </row>
    <row r="985" spans="2:18" ht="12" customHeight="1" x14ac:dyDescent="0.3">
      <c r="B985" s="98">
        <f t="shared" si="75"/>
        <v>982</v>
      </c>
      <c r="C985" s="97" t="str">
        <f t="shared" si="72"/>
        <v>Jan-00</v>
      </c>
      <c r="D985" s="96"/>
      <c r="E985" s="95"/>
      <c r="F985" s="95"/>
      <c r="G985" s="95"/>
      <c r="H985" s="94"/>
      <c r="I985" s="94"/>
      <c r="J985" s="91"/>
      <c r="K985" s="91"/>
      <c r="L985" s="94"/>
      <c r="M985" s="93"/>
      <c r="N985" s="92"/>
      <c r="O985" s="92"/>
      <c r="P985" s="91">
        <f t="shared" si="73"/>
        <v>0</v>
      </c>
      <c r="Q985" s="91">
        <f t="shared" si="74"/>
        <v>0</v>
      </c>
      <c r="R985" s="91"/>
    </row>
    <row r="986" spans="2:18" ht="12" customHeight="1" x14ac:dyDescent="0.3">
      <c r="B986" s="98">
        <f t="shared" si="75"/>
        <v>983</v>
      </c>
      <c r="C986" s="97" t="str">
        <f t="shared" si="72"/>
        <v>Jan-00</v>
      </c>
      <c r="D986" s="96"/>
      <c r="E986" s="95"/>
      <c r="F986" s="95"/>
      <c r="G986" s="95"/>
      <c r="H986" s="94"/>
      <c r="I986" s="94"/>
      <c r="J986" s="91"/>
      <c r="K986" s="91"/>
      <c r="L986" s="94"/>
      <c r="M986" s="93"/>
      <c r="N986" s="92"/>
      <c r="O986" s="92"/>
      <c r="P986" s="91">
        <f t="shared" si="73"/>
        <v>0</v>
      </c>
      <c r="Q986" s="91">
        <f t="shared" si="74"/>
        <v>0</v>
      </c>
      <c r="R986" s="91"/>
    </row>
    <row r="987" spans="2:18" ht="12" customHeight="1" x14ac:dyDescent="0.3">
      <c r="B987" s="98">
        <f t="shared" si="75"/>
        <v>984</v>
      </c>
      <c r="C987" s="97" t="str">
        <f t="shared" si="72"/>
        <v>Jan-00</v>
      </c>
      <c r="D987" s="96"/>
      <c r="E987" s="95"/>
      <c r="F987" s="95"/>
      <c r="G987" s="95"/>
      <c r="H987" s="94"/>
      <c r="I987" s="94"/>
      <c r="J987" s="91"/>
      <c r="K987" s="91"/>
      <c r="L987" s="94"/>
      <c r="M987" s="93"/>
      <c r="N987" s="92"/>
      <c r="O987" s="92"/>
      <c r="P987" s="91">
        <f t="shared" si="73"/>
        <v>0</v>
      </c>
      <c r="Q987" s="91">
        <f t="shared" si="74"/>
        <v>0</v>
      </c>
      <c r="R987" s="91"/>
    </row>
    <row r="988" spans="2:18" ht="12" customHeight="1" x14ac:dyDescent="0.3">
      <c r="B988" s="98">
        <f t="shared" si="75"/>
        <v>985</v>
      </c>
      <c r="C988" s="97" t="str">
        <f t="shared" si="72"/>
        <v>Jan-00</v>
      </c>
      <c r="D988" s="96"/>
      <c r="E988" s="95"/>
      <c r="F988" s="95"/>
      <c r="G988" s="95"/>
      <c r="H988" s="94"/>
      <c r="I988" s="94"/>
      <c r="J988" s="91"/>
      <c r="K988" s="91"/>
      <c r="L988" s="94"/>
      <c r="M988" s="93"/>
      <c r="N988" s="92"/>
      <c r="O988" s="92"/>
      <c r="P988" s="91">
        <f t="shared" si="73"/>
        <v>0</v>
      </c>
      <c r="Q988" s="91">
        <f t="shared" si="74"/>
        <v>0</v>
      </c>
      <c r="R988" s="91"/>
    </row>
    <row r="989" spans="2:18" ht="12" customHeight="1" x14ac:dyDescent="0.3">
      <c r="B989" s="98">
        <f t="shared" si="75"/>
        <v>986</v>
      </c>
      <c r="C989" s="97" t="str">
        <f t="shared" si="72"/>
        <v>Jan-00</v>
      </c>
      <c r="D989" s="96"/>
      <c r="E989" s="95"/>
      <c r="F989" s="95"/>
      <c r="G989" s="95"/>
      <c r="H989" s="94"/>
      <c r="I989" s="94"/>
      <c r="J989" s="91"/>
      <c r="K989" s="91"/>
      <c r="L989" s="94"/>
      <c r="M989" s="93"/>
      <c r="N989" s="92"/>
      <c r="O989" s="92"/>
      <c r="P989" s="91">
        <f t="shared" si="73"/>
        <v>0</v>
      </c>
      <c r="Q989" s="91">
        <f t="shared" si="74"/>
        <v>0</v>
      </c>
      <c r="R989" s="91"/>
    </row>
    <row r="990" spans="2:18" ht="12" customHeight="1" x14ac:dyDescent="0.3">
      <c r="B990" s="98">
        <f t="shared" si="75"/>
        <v>987</v>
      </c>
      <c r="C990" s="97" t="str">
        <f t="shared" si="72"/>
        <v>Jan-00</v>
      </c>
      <c r="D990" s="96"/>
      <c r="E990" s="95"/>
      <c r="F990" s="95"/>
      <c r="G990" s="95"/>
      <c r="H990" s="94"/>
      <c r="I990" s="94"/>
      <c r="J990" s="91"/>
      <c r="K990" s="91"/>
      <c r="L990" s="94"/>
      <c r="M990" s="93"/>
      <c r="N990" s="92"/>
      <c r="O990" s="92"/>
      <c r="P990" s="91">
        <f t="shared" si="73"/>
        <v>0</v>
      </c>
      <c r="Q990" s="91">
        <f t="shared" si="74"/>
        <v>0</v>
      </c>
      <c r="R990" s="91"/>
    </row>
    <row r="991" spans="2:18" ht="12" customHeight="1" x14ac:dyDescent="0.3">
      <c r="B991" s="98">
        <f t="shared" si="75"/>
        <v>988</v>
      </c>
      <c r="C991" s="97" t="str">
        <f t="shared" si="72"/>
        <v>Jan-00</v>
      </c>
      <c r="D991" s="96"/>
      <c r="E991" s="95"/>
      <c r="F991" s="95"/>
      <c r="G991" s="95"/>
      <c r="H991" s="94"/>
      <c r="I991" s="94"/>
      <c r="J991" s="91"/>
      <c r="K991" s="91"/>
      <c r="L991" s="94"/>
      <c r="M991" s="93"/>
      <c r="N991" s="92"/>
      <c r="O991" s="92"/>
      <c r="P991" s="91">
        <f t="shared" si="73"/>
        <v>0</v>
      </c>
      <c r="Q991" s="91">
        <f t="shared" si="74"/>
        <v>0</v>
      </c>
      <c r="R991" s="91"/>
    </row>
    <row r="992" spans="2:18" ht="12" customHeight="1" x14ac:dyDescent="0.3">
      <c r="B992" s="98">
        <f t="shared" si="75"/>
        <v>989</v>
      </c>
      <c r="C992" s="97" t="str">
        <f t="shared" si="72"/>
        <v>Jan-00</v>
      </c>
      <c r="D992" s="96"/>
      <c r="E992" s="95"/>
      <c r="F992" s="95"/>
      <c r="G992" s="95"/>
      <c r="H992" s="94"/>
      <c r="I992" s="94"/>
      <c r="J992" s="91"/>
      <c r="K992" s="91"/>
      <c r="L992" s="94"/>
      <c r="M992" s="93"/>
      <c r="N992" s="92"/>
      <c r="O992" s="92"/>
      <c r="P992" s="91">
        <f t="shared" si="73"/>
        <v>0</v>
      </c>
      <c r="Q992" s="91">
        <f t="shared" si="74"/>
        <v>0</v>
      </c>
      <c r="R992" s="91"/>
    </row>
    <row r="993" spans="2:18" ht="12" customHeight="1" x14ac:dyDescent="0.3">
      <c r="B993" s="98">
        <f t="shared" si="75"/>
        <v>990</v>
      </c>
      <c r="C993" s="97" t="str">
        <f t="shared" si="72"/>
        <v>Jan-00</v>
      </c>
      <c r="D993" s="96"/>
      <c r="E993" s="95"/>
      <c r="F993" s="95"/>
      <c r="G993" s="95"/>
      <c r="H993" s="94"/>
      <c r="I993" s="94"/>
      <c r="J993" s="91"/>
      <c r="K993" s="91"/>
      <c r="L993" s="94"/>
      <c r="M993" s="93"/>
      <c r="N993" s="92"/>
      <c r="O993" s="92"/>
      <c r="P993" s="91">
        <f t="shared" si="73"/>
        <v>0</v>
      </c>
      <c r="Q993" s="91">
        <f t="shared" si="74"/>
        <v>0</v>
      </c>
      <c r="R993" s="91"/>
    </row>
    <row r="994" spans="2:18" ht="12" customHeight="1" x14ac:dyDescent="0.3">
      <c r="B994" s="98">
        <f t="shared" si="75"/>
        <v>991</v>
      </c>
      <c r="C994" s="97" t="str">
        <f t="shared" si="72"/>
        <v>Jan-00</v>
      </c>
      <c r="D994" s="96"/>
      <c r="E994" s="95"/>
      <c r="F994" s="95"/>
      <c r="G994" s="95"/>
      <c r="H994" s="94"/>
      <c r="I994" s="94"/>
      <c r="J994" s="91"/>
      <c r="K994" s="91"/>
      <c r="L994" s="94"/>
      <c r="M994" s="93"/>
      <c r="N994" s="92"/>
      <c r="O994" s="92"/>
      <c r="P994" s="91">
        <f t="shared" si="73"/>
        <v>0</v>
      </c>
      <c r="Q994" s="91">
        <f t="shared" si="74"/>
        <v>0</v>
      </c>
      <c r="R994" s="91"/>
    </row>
    <row r="995" spans="2:18" ht="12" customHeight="1" x14ac:dyDescent="0.3">
      <c r="B995" s="98">
        <f t="shared" si="75"/>
        <v>992</v>
      </c>
      <c r="C995" s="97" t="str">
        <f t="shared" si="72"/>
        <v>Jan-00</v>
      </c>
      <c r="D995" s="96"/>
      <c r="E995" s="95"/>
      <c r="F995" s="95"/>
      <c r="G995" s="95"/>
      <c r="H995" s="94"/>
      <c r="I995" s="94"/>
      <c r="J995" s="91"/>
      <c r="K995" s="91"/>
      <c r="L995" s="94"/>
      <c r="M995" s="93"/>
      <c r="N995" s="92"/>
      <c r="O995" s="92"/>
      <c r="P995" s="91">
        <f t="shared" si="73"/>
        <v>0</v>
      </c>
      <c r="Q995" s="91">
        <f t="shared" si="74"/>
        <v>0</v>
      </c>
      <c r="R995" s="91"/>
    </row>
    <row r="996" spans="2:18" ht="12" customHeight="1" x14ac:dyDescent="0.3">
      <c r="B996" s="98">
        <f t="shared" si="75"/>
        <v>993</v>
      </c>
      <c r="C996" s="97" t="str">
        <f t="shared" si="72"/>
        <v>Jan-00</v>
      </c>
      <c r="D996" s="96"/>
      <c r="E996" s="95"/>
      <c r="F996" s="95"/>
      <c r="G996" s="95"/>
      <c r="H996" s="94"/>
      <c r="I996" s="94"/>
      <c r="J996" s="91"/>
      <c r="K996" s="91"/>
      <c r="L996" s="94"/>
      <c r="M996" s="93"/>
      <c r="N996" s="92"/>
      <c r="O996" s="92"/>
      <c r="P996" s="91">
        <f t="shared" si="73"/>
        <v>0</v>
      </c>
      <c r="Q996" s="91">
        <f t="shared" si="74"/>
        <v>0</v>
      </c>
      <c r="R996" s="91"/>
    </row>
    <row r="997" spans="2:18" ht="12" customHeight="1" x14ac:dyDescent="0.3">
      <c r="B997" s="98">
        <f t="shared" si="75"/>
        <v>994</v>
      </c>
      <c r="C997" s="97" t="str">
        <f t="shared" si="72"/>
        <v>Jan-00</v>
      </c>
      <c r="D997" s="96"/>
      <c r="E997" s="95"/>
      <c r="F997" s="95"/>
      <c r="G997" s="95"/>
      <c r="H997" s="94"/>
      <c r="I997" s="94"/>
      <c r="J997" s="91"/>
      <c r="K997" s="91"/>
      <c r="L997" s="94"/>
      <c r="M997" s="93"/>
      <c r="N997" s="92"/>
      <c r="O997" s="92"/>
      <c r="P997" s="91">
        <f t="shared" si="73"/>
        <v>0</v>
      </c>
      <c r="Q997" s="91">
        <f t="shared" si="74"/>
        <v>0</v>
      </c>
      <c r="R997" s="91"/>
    </row>
    <row r="998" spans="2:18" ht="12" customHeight="1" x14ac:dyDescent="0.3">
      <c r="B998" s="98">
        <f t="shared" si="75"/>
        <v>995</v>
      </c>
      <c r="C998" s="97" t="str">
        <f t="shared" si="72"/>
        <v>Jan-00</v>
      </c>
      <c r="D998" s="96"/>
      <c r="E998" s="95"/>
      <c r="F998" s="95"/>
      <c r="G998" s="95"/>
      <c r="H998" s="94"/>
      <c r="I998" s="94"/>
      <c r="J998" s="91"/>
      <c r="K998" s="91"/>
      <c r="L998" s="94"/>
      <c r="M998" s="93"/>
      <c r="N998" s="92"/>
      <c r="O998" s="92"/>
      <c r="P998" s="91">
        <f t="shared" si="73"/>
        <v>0</v>
      </c>
      <c r="Q998" s="91">
        <f t="shared" si="74"/>
        <v>0</v>
      </c>
      <c r="R998" s="91"/>
    </row>
    <row r="999" spans="2:18" ht="12" customHeight="1" x14ac:dyDescent="0.3">
      <c r="B999" s="98">
        <f t="shared" si="75"/>
        <v>996</v>
      </c>
      <c r="C999" s="97" t="str">
        <f t="shared" si="72"/>
        <v>Jan-00</v>
      </c>
      <c r="D999" s="96"/>
      <c r="E999" s="95"/>
      <c r="F999" s="95"/>
      <c r="G999" s="95"/>
      <c r="H999" s="94"/>
      <c r="I999" s="94"/>
      <c r="J999" s="91"/>
      <c r="K999" s="91"/>
      <c r="L999" s="94"/>
      <c r="M999" s="93"/>
      <c r="N999" s="92"/>
      <c r="O999" s="92"/>
      <c r="P999" s="91">
        <f t="shared" si="73"/>
        <v>0</v>
      </c>
      <c r="Q999" s="91">
        <f t="shared" si="74"/>
        <v>0</v>
      </c>
      <c r="R999" s="91"/>
    </row>
    <row r="1000" spans="2:18" ht="12" customHeight="1" x14ac:dyDescent="0.3">
      <c r="B1000" s="98">
        <f t="shared" si="75"/>
        <v>997</v>
      </c>
      <c r="C1000" s="97" t="str">
        <f t="shared" si="72"/>
        <v>Jan-00</v>
      </c>
      <c r="D1000" s="96"/>
      <c r="E1000" s="95"/>
      <c r="F1000" s="95"/>
      <c r="G1000" s="95"/>
      <c r="H1000" s="94"/>
      <c r="I1000" s="94"/>
      <c r="J1000" s="91"/>
      <c r="K1000" s="91"/>
      <c r="L1000" s="94"/>
      <c r="M1000" s="93"/>
      <c r="N1000" s="92"/>
      <c r="O1000" s="92"/>
      <c r="P1000" s="91">
        <f t="shared" si="73"/>
        <v>0</v>
      </c>
      <c r="Q1000" s="91">
        <f t="shared" si="74"/>
        <v>0</v>
      </c>
      <c r="R1000" s="91"/>
    </row>
    <row r="1001" spans="2:18" ht="12" customHeight="1" x14ac:dyDescent="0.3">
      <c r="B1001" s="98">
        <f t="shared" si="75"/>
        <v>998</v>
      </c>
      <c r="C1001" s="97" t="str">
        <f t="shared" si="72"/>
        <v>Jan-00</v>
      </c>
      <c r="D1001" s="96"/>
      <c r="E1001" s="95"/>
      <c r="F1001" s="95"/>
      <c r="G1001" s="95"/>
      <c r="H1001" s="94"/>
      <c r="I1001" s="94"/>
      <c r="J1001" s="91"/>
      <c r="K1001" s="91"/>
      <c r="L1001" s="94"/>
      <c r="M1001" s="93"/>
      <c r="N1001" s="92"/>
      <c r="O1001" s="92"/>
      <c r="P1001" s="91">
        <f t="shared" si="73"/>
        <v>0</v>
      </c>
      <c r="Q1001" s="91">
        <f t="shared" si="74"/>
        <v>0</v>
      </c>
      <c r="R1001" s="91"/>
    </row>
    <row r="1002" spans="2:18" ht="12" customHeight="1" x14ac:dyDescent="0.3">
      <c r="B1002" s="98">
        <f t="shared" si="75"/>
        <v>999</v>
      </c>
      <c r="C1002" s="97" t="str">
        <f t="shared" si="72"/>
        <v>Jan-00</v>
      </c>
      <c r="D1002" s="96"/>
      <c r="E1002" s="95"/>
      <c r="F1002" s="95"/>
      <c r="G1002" s="95"/>
      <c r="H1002" s="94"/>
      <c r="I1002" s="94"/>
      <c r="J1002" s="91"/>
      <c r="K1002" s="91"/>
      <c r="L1002" s="94"/>
      <c r="M1002" s="93"/>
      <c r="N1002" s="92"/>
      <c r="O1002" s="92"/>
      <c r="P1002" s="91">
        <f t="shared" si="73"/>
        <v>0</v>
      </c>
      <c r="Q1002" s="91">
        <f t="shared" si="74"/>
        <v>0</v>
      </c>
      <c r="R1002" s="91"/>
    </row>
    <row r="1003" spans="2:18" ht="12" customHeight="1" x14ac:dyDescent="0.3">
      <c r="B1003" s="98">
        <f t="shared" si="75"/>
        <v>1000</v>
      </c>
      <c r="C1003" s="97" t="str">
        <f t="shared" si="72"/>
        <v>Jan-00</v>
      </c>
      <c r="D1003" s="96"/>
      <c r="E1003" s="95"/>
      <c r="F1003" s="95"/>
      <c r="G1003" s="95"/>
      <c r="H1003" s="94"/>
      <c r="I1003" s="94"/>
      <c r="J1003" s="91"/>
      <c r="K1003" s="91"/>
      <c r="L1003" s="94"/>
      <c r="M1003" s="93"/>
      <c r="N1003" s="92"/>
      <c r="O1003" s="92"/>
      <c r="P1003" s="91">
        <f t="shared" si="73"/>
        <v>0</v>
      </c>
      <c r="Q1003" s="91">
        <f t="shared" si="74"/>
        <v>0</v>
      </c>
      <c r="R1003" s="91"/>
    </row>
    <row r="1004" spans="2:18" ht="12" customHeight="1" x14ac:dyDescent="0.3">
      <c r="B1004" s="98">
        <f t="shared" si="75"/>
        <v>1001</v>
      </c>
      <c r="C1004" s="97" t="str">
        <f t="shared" si="72"/>
        <v>Jan-00</v>
      </c>
      <c r="D1004" s="96"/>
      <c r="E1004" s="95"/>
      <c r="F1004" s="95"/>
      <c r="G1004" s="95"/>
      <c r="H1004" s="94"/>
      <c r="I1004" s="94"/>
      <c r="J1004" s="91"/>
      <c r="K1004" s="91"/>
      <c r="L1004" s="94"/>
      <c r="M1004" s="93"/>
      <c r="N1004" s="92"/>
      <c r="O1004" s="92"/>
      <c r="P1004" s="91">
        <f t="shared" si="73"/>
        <v>0</v>
      </c>
      <c r="Q1004" s="91">
        <f t="shared" si="74"/>
        <v>0</v>
      </c>
      <c r="R1004" s="91"/>
    </row>
    <row r="1005" spans="2:18" ht="12" customHeight="1" x14ac:dyDescent="0.3">
      <c r="B1005" s="98">
        <f t="shared" si="75"/>
        <v>1002</v>
      </c>
      <c r="C1005" s="97" t="str">
        <f t="shared" si="72"/>
        <v>Jan-00</v>
      </c>
      <c r="D1005" s="96"/>
      <c r="E1005" s="95"/>
      <c r="F1005" s="95"/>
      <c r="G1005" s="95"/>
      <c r="H1005" s="94"/>
      <c r="I1005" s="94"/>
      <c r="J1005" s="91"/>
      <c r="K1005" s="91"/>
      <c r="L1005" s="94"/>
      <c r="M1005" s="93"/>
      <c r="N1005" s="92"/>
      <c r="O1005" s="92"/>
      <c r="P1005" s="91">
        <f t="shared" si="73"/>
        <v>0</v>
      </c>
      <c r="Q1005" s="91">
        <f t="shared" si="74"/>
        <v>0</v>
      </c>
      <c r="R1005" s="91"/>
    </row>
    <row r="1006" spans="2:18" ht="12" customHeight="1" x14ac:dyDescent="0.3">
      <c r="B1006" s="98">
        <f t="shared" si="75"/>
        <v>1003</v>
      </c>
      <c r="C1006" s="97" t="str">
        <f t="shared" si="72"/>
        <v>Jan-00</v>
      </c>
      <c r="D1006" s="96"/>
      <c r="E1006" s="95"/>
      <c r="F1006" s="95"/>
      <c r="G1006" s="95"/>
      <c r="H1006" s="94"/>
      <c r="I1006" s="94"/>
      <c r="J1006" s="91"/>
      <c r="K1006" s="91"/>
      <c r="L1006" s="94"/>
      <c r="M1006" s="93"/>
      <c r="N1006" s="92"/>
      <c r="O1006" s="92"/>
      <c r="P1006" s="91">
        <f t="shared" si="73"/>
        <v>0</v>
      </c>
      <c r="Q1006" s="91">
        <f t="shared" si="74"/>
        <v>0</v>
      </c>
      <c r="R1006" s="91"/>
    </row>
    <row r="1007" spans="2:18" ht="12" customHeight="1" x14ac:dyDescent="0.3">
      <c r="B1007" s="98">
        <f t="shared" si="75"/>
        <v>1004</v>
      </c>
      <c r="C1007" s="97" t="str">
        <f t="shared" si="72"/>
        <v>Jan-00</v>
      </c>
      <c r="D1007" s="96"/>
      <c r="E1007" s="95"/>
      <c r="F1007" s="95"/>
      <c r="G1007" s="95"/>
      <c r="H1007" s="94"/>
      <c r="I1007" s="94"/>
      <c r="J1007" s="91"/>
      <c r="K1007" s="91"/>
      <c r="L1007" s="94"/>
      <c r="M1007" s="93"/>
      <c r="N1007" s="92"/>
      <c r="O1007" s="92"/>
      <c r="P1007" s="91">
        <f t="shared" si="73"/>
        <v>0</v>
      </c>
      <c r="Q1007" s="91">
        <f t="shared" si="74"/>
        <v>0</v>
      </c>
      <c r="R1007" s="91"/>
    </row>
    <row r="1008" spans="2:18" ht="12" customHeight="1" x14ac:dyDescent="0.3">
      <c r="B1008" s="98">
        <f t="shared" si="75"/>
        <v>1005</v>
      </c>
      <c r="C1008" s="97" t="str">
        <f t="shared" si="72"/>
        <v>Jan-00</v>
      </c>
      <c r="D1008" s="96"/>
      <c r="E1008" s="95"/>
      <c r="F1008" s="95"/>
      <c r="G1008" s="95"/>
      <c r="H1008" s="94"/>
      <c r="I1008" s="94"/>
      <c r="J1008" s="91"/>
      <c r="K1008" s="91"/>
      <c r="L1008" s="94"/>
      <c r="M1008" s="93"/>
      <c r="N1008" s="92"/>
      <c r="O1008" s="92"/>
      <c r="P1008" s="91">
        <f t="shared" si="73"/>
        <v>0</v>
      </c>
      <c r="Q1008" s="91">
        <f t="shared" si="74"/>
        <v>0</v>
      </c>
      <c r="R1008" s="91"/>
    </row>
    <row r="1009" spans="2:18" ht="12" customHeight="1" x14ac:dyDescent="0.3">
      <c r="B1009" s="98">
        <f t="shared" si="75"/>
        <v>1006</v>
      </c>
      <c r="C1009" s="97" t="str">
        <f t="shared" si="72"/>
        <v>Jan-00</v>
      </c>
      <c r="D1009" s="96"/>
      <c r="E1009" s="95"/>
      <c r="F1009" s="95"/>
      <c r="G1009" s="95"/>
      <c r="H1009" s="94"/>
      <c r="I1009" s="94"/>
      <c r="J1009" s="91"/>
      <c r="K1009" s="91"/>
      <c r="L1009" s="94"/>
      <c r="M1009" s="93"/>
      <c r="N1009" s="92"/>
      <c r="O1009" s="92"/>
      <c r="P1009" s="91">
        <f t="shared" si="73"/>
        <v>0</v>
      </c>
      <c r="Q1009" s="91">
        <f t="shared" si="74"/>
        <v>0</v>
      </c>
      <c r="R1009" s="91"/>
    </row>
    <row r="1010" spans="2:18" ht="12" customHeight="1" x14ac:dyDescent="0.3">
      <c r="B1010" s="98">
        <f t="shared" si="75"/>
        <v>1007</v>
      </c>
      <c r="C1010" s="97" t="str">
        <f t="shared" si="72"/>
        <v>Jan-00</v>
      </c>
      <c r="D1010" s="96"/>
      <c r="E1010" s="95"/>
      <c r="F1010" s="95"/>
      <c r="G1010" s="95"/>
      <c r="H1010" s="94"/>
      <c r="I1010" s="94"/>
      <c r="J1010" s="91"/>
      <c r="K1010" s="91"/>
      <c r="L1010" s="94"/>
      <c r="M1010" s="93"/>
      <c r="N1010" s="92"/>
      <c r="O1010" s="92"/>
      <c r="P1010" s="91">
        <f t="shared" si="73"/>
        <v>0</v>
      </c>
      <c r="Q1010" s="91">
        <f t="shared" si="74"/>
        <v>0</v>
      </c>
      <c r="R1010" s="91"/>
    </row>
    <row r="1011" spans="2:18" ht="12" customHeight="1" x14ac:dyDescent="0.3">
      <c r="B1011" s="98">
        <f t="shared" si="75"/>
        <v>1008</v>
      </c>
      <c r="C1011" s="97" t="str">
        <f t="shared" si="72"/>
        <v>Jan-00</v>
      </c>
      <c r="D1011" s="96"/>
      <c r="E1011" s="95"/>
      <c r="F1011" s="95"/>
      <c r="G1011" s="95"/>
      <c r="H1011" s="94"/>
      <c r="I1011" s="94"/>
      <c r="J1011" s="91"/>
      <c r="K1011" s="91"/>
      <c r="L1011" s="94"/>
      <c r="M1011" s="93"/>
      <c r="N1011" s="92"/>
      <c r="O1011" s="92"/>
      <c r="P1011" s="91">
        <f t="shared" si="73"/>
        <v>0</v>
      </c>
      <c r="Q1011" s="91">
        <f t="shared" si="74"/>
        <v>0</v>
      </c>
      <c r="R1011" s="91"/>
    </row>
    <row r="1012" spans="2:18" ht="12" customHeight="1" x14ac:dyDescent="0.3">
      <c r="B1012" s="98">
        <f t="shared" si="75"/>
        <v>1009</v>
      </c>
      <c r="C1012" s="97" t="str">
        <f t="shared" si="72"/>
        <v>Jan-00</v>
      </c>
      <c r="D1012" s="96"/>
      <c r="E1012" s="95"/>
      <c r="F1012" s="95"/>
      <c r="G1012" s="95"/>
      <c r="H1012" s="94"/>
      <c r="I1012" s="94"/>
      <c r="J1012" s="91"/>
      <c r="K1012" s="91"/>
      <c r="L1012" s="94"/>
      <c r="M1012" s="93"/>
      <c r="N1012" s="92"/>
      <c r="O1012" s="92"/>
      <c r="P1012" s="91">
        <f t="shared" si="73"/>
        <v>0</v>
      </c>
      <c r="Q1012" s="91">
        <f t="shared" si="74"/>
        <v>0</v>
      </c>
      <c r="R1012" s="91"/>
    </row>
    <row r="1013" spans="2:18" ht="12" customHeight="1" x14ac:dyDescent="0.3">
      <c r="B1013" s="98">
        <f t="shared" si="75"/>
        <v>1010</v>
      </c>
      <c r="C1013" s="97" t="str">
        <f t="shared" si="72"/>
        <v>Jan-00</v>
      </c>
      <c r="D1013" s="96"/>
      <c r="E1013" s="95"/>
      <c r="F1013" s="95"/>
      <c r="G1013" s="95"/>
      <c r="H1013" s="94"/>
      <c r="I1013" s="94"/>
      <c r="J1013" s="91"/>
      <c r="K1013" s="91"/>
      <c r="L1013" s="94"/>
      <c r="M1013" s="93"/>
      <c r="N1013" s="92"/>
      <c r="O1013" s="92"/>
      <c r="P1013" s="91">
        <f t="shared" si="73"/>
        <v>0</v>
      </c>
      <c r="Q1013" s="91">
        <f t="shared" si="74"/>
        <v>0</v>
      </c>
      <c r="R1013" s="91"/>
    </row>
    <row r="1014" spans="2:18" ht="12" customHeight="1" x14ac:dyDescent="0.3">
      <c r="B1014" s="98">
        <f t="shared" si="75"/>
        <v>1011</v>
      </c>
      <c r="C1014" s="97" t="str">
        <f t="shared" si="72"/>
        <v>Jan-00</v>
      </c>
      <c r="D1014" s="96"/>
      <c r="E1014" s="95"/>
      <c r="F1014" s="95"/>
      <c r="G1014" s="95"/>
      <c r="H1014" s="94"/>
      <c r="I1014" s="94"/>
      <c r="J1014" s="91"/>
      <c r="K1014" s="91"/>
      <c r="L1014" s="94"/>
      <c r="M1014" s="93"/>
      <c r="N1014" s="92"/>
      <c r="O1014" s="92"/>
      <c r="P1014" s="91">
        <f t="shared" si="73"/>
        <v>0</v>
      </c>
      <c r="Q1014" s="91">
        <f t="shared" si="74"/>
        <v>0</v>
      </c>
      <c r="R1014" s="91"/>
    </row>
    <row r="1015" spans="2:18" ht="12" customHeight="1" x14ac:dyDescent="0.3">
      <c r="B1015" s="98">
        <f t="shared" si="75"/>
        <v>1012</v>
      </c>
      <c r="C1015" s="97" t="str">
        <f t="shared" si="72"/>
        <v>Jan-00</v>
      </c>
      <c r="D1015" s="96"/>
      <c r="E1015" s="95"/>
      <c r="F1015" s="95"/>
      <c r="G1015" s="95"/>
      <c r="H1015" s="94"/>
      <c r="I1015" s="94"/>
      <c r="J1015" s="91"/>
      <c r="K1015" s="91"/>
      <c r="L1015" s="94"/>
      <c r="M1015" s="93"/>
      <c r="N1015" s="92"/>
      <c r="O1015" s="92"/>
      <c r="P1015" s="91">
        <f t="shared" si="73"/>
        <v>0</v>
      </c>
      <c r="Q1015" s="91">
        <f t="shared" si="74"/>
        <v>0</v>
      </c>
      <c r="R1015" s="91"/>
    </row>
    <row r="1016" spans="2:18" ht="12" customHeight="1" x14ac:dyDescent="0.3">
      <c r="B1016" s="98">
        <f t="shared" si="75"/>
        <v>1013</v>
      </c>
      <c r="C1016" s="97" t="str">
        <f t="shared" si="72"/>
        <v>Jan-00</v>
      </c>
      <c r="D1016" s="96"/>
      <c r="E1016" s="95"/>
      <c r="F1016" s="95"/>
      <c r="G1016" s="95"/>
      <c r="H1016" s="94"/>
      <c r="I1016" s="94"/>
      <c r="J1016" s="91"/>
      <c r="K1016" s="91"/>
      <c r="L1016" s="94"/>
      <c r="M1016" s="93"/>
      <c r="N1016" s="92"/>
      <c r="O1016" s="92"/>
      <c r="P1016" s="91">
        <f t="shared" si="73"/>
        <v>0</v>
      </c>
      <c r="Q1016" s="91">
        <f t="shared" si="74"/>
        <v>0</v>
      </c>
      <c r="R1016" s="91"/>
    </row>
    <row r="1017" spans="2:18" ht="12" customHeight="1" x14ac:dyDescent="0.3">
      <c r="B1017" s="98">
        <f t="shared" si="75"/>
        <v>1014</v>
      </c>
      <c r="C1017" s="97" t="str">
        <f t="shared" si="72"/>
        <v>Jan-00</v>
      </c>
      <c r="D1017" s="96"/>
      <c r="E1017" s="95"/>
      <c r="F1017" s="95"/>
      <c r="G1017" s="95"/>
      <c r="H1017" s="94"/>
      <c r="I1017" s="94"/>
      <c r="J1017" s="91"/>
      <c r="K1017" s="91"/>
      <c r="L1017" s="94"/>
      <c r="M1017" s="93"/>
      <c r="N1017" s="92"/>
      <c r="O1017" s="92"/>
      <c r="P1017" s="91">
        <f t="shared" si="73"/>
        <v>0</v>
      </c>
      <c r="Q1017" s="91">
        <f t="shared" si="74"/>
        <v>0</v>
      </c>
      <c r="R1017" s="91"/>
    </row>
    <row r="1018" spans="2:18" ht="12" customHeight="1" x14ac:dyDescent="0.3">
      <c r="B1018" s="98">
        <f t="shared" si="75"/>
        <v>1015</v>
      </c>
      <c r="C1018" s="97" t="str">
        <f t="shared" si="72"/>
        <v>Jan-00</v>
      </c>
      <c r="D1018" s="96"/>
      <c r="E1018" s="95"/>
      <c r="F1018" s="95"/>
      <c r="G1018" s="95"/>
      <c r="H1018" s="94"/>
      <c r="I1018" s="94"/>
      <c r="J1018" s="91"/>
      <c r="K1018" s="91"/>
      <c r="L1018" s="94"/>
      <c r="M1018" s="93"/>
      <c r="N1018" s="92"/>
      <c r="O1018" s="92"/>
      <c r="P1018" s="91">
        <f t="shared" si="73"/>
        <v>0</v>
      </c>
      <c r="Q1018" s="91">
        <f t="shared" si="74"/>
        <v>0</v>
      </c>
      <c r="R1018" s="91"/>
    </row>
    <row r="1019" spans="2:18" ht="12" customHeight="1" x14ac:dyDescent="0.3">
      <c r="B1019" s="98">
        <f t="shared" si="75"/>
        <v>1016</v>
      </c>
      <c r="C1019" s="97" t="str">
        <f t="shared" si="72"/>
        <v>Jan-00</v>
      </c>
      <c r="D1019" s="96"/>
      <c r="E1019" s="95"/>
      <c r="F1019" s="95"/>
      <c r="G1019" s="95"/>
      <c r="H1019" s="94"/>
      <c r="I1019" s="94"/>
      <c r="J1019" s="91"/>
      <c r="K1019" s="91"/>
      <c r="L1019" s="94"/>
      <c r="M1019" s="93"/>
      <c r="N1019" s="92"/>
      <c r="O1019" s="92"/>
      <c r="P1019" s="91">
        <f t="shared" si="73"/>
        <v>0</v>
      </c>
      <c r="Q1019" s="91">
        <f t="shared" si="74"/>
        <v>0</v>
      </c>
      <c r="R1019" s="91"/>
    </row>
    <row r="1020" spans="2:18" ht="12" customHeight="1" x14ac:dyDescent="0.3">
      <c r="B1020" s="98">
        <f t="shared" si="75"/>
        <v>1017</v>
      </c>
      <c r="C1020" s="97" t="str">
        <f t="shared" si="72"/>
        <v>Jan-00</v>
      </c>
      <c r="D1020" s="96"/>
      <c r="E1020" s="95"/>
      <c r="F1020" s="95"/>
      <c r="G1020" s="95"/>
      <c r="H1020" s="94"/>
      <c r="I1020" s="94"/>
      <c r="J1020" s="91"/>
      <c r="K1020" s="91"/>
      <c r="L1020" s="94"/>
      <c r="M1020" s="93"/>
      <c r="N1020" s="92"/>
      <c r="O1020" s="92"/>
      <c r="P1020" s="91">
        <f t="shared" si="73"/>
        <v>0</v>
      </c>
      <c r="Q1020" s="91">
        <f t="shared" si="74"/>
        <v>0</v>
      </c>
      <c r="R1020" s="91"/>
    </row>
    <row r="1021" spans="2:18" ht="12" customHeight="1" x14ac:dyDescent="0.3">
      <c r="B1021" s="98">
        <f t="shared" si="75"/>
        <v>1018</v>
      </c>
      <c r="C1021" s="97" t="str">
        <f t="shared" si="72"/>
        <v>Jan-00</v>
      </c>
      <c r="D1021" s="96"/>
      <c r="E1021" s="95"/>
      <c r="F1021" s="95"/>
      <c r="G1021" s="95"/>
      <c r="H1021" s="94"/>
      <c r="I1021" s="94"/>
      <c r="J1021" s="91"/>
      <c r="K1021" s="91"/>
      <c r="L1021" s="94"/>
      <c r="M1021" s="93"/>
      <c r="N1021" s="92"/>
      <c r="O1021" s="92"/>
      <c r="P1021" s="91">
        <f t="shared" si="73"/>
        <v>0</v>
      </c>
      <c r="Q1021" s="91">
        <f t="shared" si="74"/>
        <v>0</v>
      </c>
      <c r="R1021" s="91"/>
    </row>
    <row r="1022" spans="2:18" ht="12" customHeight="1" x14ac:dyDescent="0.3">
      <c r="B1022" s="98">
        <f t="shared" si="75"/>
        <v>1019</v>
      </c>
      <c r="C1022" s="97" t="str">
        <f t="shared" si="72"/>
        <v>Jan-00</v>
      </c>
      <c r="D1022" s="96"/>
      <c r="E1022" s="95"/>
      <c r="F1022" s="95"/>
      <c r="G1022" s="95"/>
      <c r="H1022" s="94"/>
      <c r="I1022" s="94"/>
      <c r="J1022" s="91"/>
      <c r="K1022" s="91"/>
      <c r="L1022" s="94"/>
      <c r="M1022" s="93"/>
      <c r="N1022" s="92"/>
      <c r="O1022" s="92"/>
      <c r="P1022" s="91">
        <f t="shared" si="73"/>
        <v>0</v>
      </c>
      <c r="Q1022" s="91">
        <f t="shared" si="74"/>
        <v>0</v>
      </c>
      <c r="R1022" s="91"/>
    </row>
    <row r="1023" spans="2:18" ht="12" customHeight="1" x14ac:dyDescent="0.3">
      <c r="B1023" s="98">
        <f t="shared" si="75"/>
        <v>1020</v>
      </c>
      <c r="C1023" s="97" t="str">
        <f t="shared" si="72"/>
        <v>Jan-00</v>
      </c>
      <c r="D1023" s="96"/>
      <c r="E1023" s="95"/>
      <c r="F1023" s="95"/>
      <c r="G1023" s="95"/>
      <c r="H1023" s="94"/>
      <c r="I1023" s="94"/>
      <c r="J1023" s="91"/>
      <c r="K1023" s="91"/>
      <c r="L1023" s="94"/>
      <c r="M1023" s="93"/>
      <c r="N1023" s="92"/>
      <c r="O1023" s="92"/>
      <c r="P1023" s="91">
        <f t="shared" si="73"/>
        <v>0</v>
      </c>
      <c r="Q1023" s="91">
        <f t="shared" si="74"/>
        <v>0</v>
      </c>
      <c r="R1023" s="91"/>
    </row>
    <row r="1024" spans="2:18" ht="12" customHeight="1" x14ac:dyDescent="0.3">
      <c r="B1024" s="98">
        <f t="shared" si="75"/>
        <v>1021</v>
      </c>
      <c r="C1024" s="97" t="str">
        <f t="shared" si="72"/>
        <v>Jan-00</v>
      </c>
      <c r="D1024" s="96"/>
      <c r="E1024" s="95"/>
      <c r="F1024" s="95"/>
      <c r="G1024" s="95"/>
      <c r="H1024" s="94"/>
      <c r="I1024" s="94"/>
      <c r="J1024" s="91"/>
      <c r="K1024" s="91"/>
      <c r="L1024" s="94"/>
      <c r="M1024" s="93"/>
      <c r="N1024" s="92"/>
      <c r="O1024" s="92"/>
      <c r="P1024" s="91">
        <f t="shared" si="73"/>
        <v>0</v>
      </c>
      <c r="Q1024" s="91">
        <f t="shared" si="74"/>
        <v>0</v>
      </c>
      <c r="R1024" s="91"/>
    </row>
    <row r="1025" spans="2:18" ht="12" customHeight="1" x14ac:dyDescent="0.3">
      <c r="B1025" s="98">
        <f t="shared" si="75"/>
        <v>1022</v>
      </c>
      <c r="C1025" s="97" t="str">
        <f t="shared" si="72"/>
        <v>Jan-00</v>
      </c>
      <c r="D1025" s="96"/>
      <c r="E1025" s="95"/>
      <c r="F1025" s="95"/>
      <c r="G1025" s="95"/>
      <c r="H1025" s="94"/>
      <c r="I1025" s="94"/>
      <c r="J1025" s="91"/>
      <c r="K1025" s="91"/>
      <c r="L1025" s="94"/>
      <c r="M1025" s="93"/>
      <c r="N1025" s="92"/>
      <c r="O1025" s="92"/>
      <c r="P1025" s="91">
        <f t="shared" si="73"/>
        <v>0</v>
      </c>
      <c r="Q1025" s="91">
        <f t="shared" si="74"/>
        <v>0</v>
      </c>
      <c r="R1025" s="91"/>
    </row>
    <row r="1026" spans="2:18" ht="12" customHeight="1" x14ac:dyDescent="0.3">
      <c r="B1026" s="98">
        <f t="shared" si="75"/>
        <v>1023</v>
      </c>
      <c r="C1026" s="97" t="str">
        <f t="shared" si="72"/>
        <v>Jan-00</v>
      </c>
      <c r="D1026" s="96"/>
      <c r="E1026" s="95"/>
      <c r="F1026" s="95"/>
      <c r="G1026" s="95"/>
      <c r="H1026" s="94"/>
      <c r="I1026" s="94"/>
      <c r="J1026" s="91"/>
      <c r="K1026" s="91"/>
      <c r="L1026" s="94"/>
      <c r="M1026" s="93"/>
      <c r="N1026" s="92"/>
      <c r="O1026" s="92"/>
      <c r="P1026" s="91">
        <f t="shared" si="73"/>
        <v>0</v>
      </c>
      <c r="Q1026" s="91">
        <f t="shared" si="74"/>
        <v>0</v>
      </c>
      <c r="R1026" s="91"/>
    </row>
    <row r="1027" spans="2:18" ht="12" customHeight="1" x14ac:dyDescent="0.3">
      <c r="B1027" s="98">
        <f t="shared" si="75"/>
        <v>1024</v>
      </c>
      <c r="C1027" s="97" t="str">
        <f t="shared" si="72"/>
        <v>Jan-00</v>
      </c>
      <c r="D1027" s="96"/>
      <c r="E1027" s="95"/>
      <c r="F1027" s="95"/>
      <c r="G1027" s="95"/>
      <c r="H1027" s="94"/>
      <c r="I1027" s="94"/>
      <c r="J1027" s="91"/>
      <c r="K1027" s="91"/>
      <c r="L1027" s="94"/>
      <c r="M1027" s="93"/>
      <c r="N1027" s="92"/>
      <c r="O1027" s="92"/>
      <c r="P1027" s="91">
        <f t="shared" si="73"/>
        <v>0</v>
      </c>
      <c r="Q1027" s="91">
        <f t="shared" si="74"/>
        <v>0</v>
      </c>
      <c r="R1027" s="91"/>
    </row>
    <row r="1028" spans="2:18" ht="12" customHeight="1" x14ac:dyDescent="0.3">
      <c r="B1028" s="98">
        <f t="shared" si="75"/>
        <v>1025</v>
      </c>
      <c r="C1028" s="97" t="str">
        <f t="shared" ref="C1028:C1091" si="76">CONCATENATE(TEXT(D1028,"mmm"),"-",TEXT(D1028,"yy"))</f>
        <v>Jan-00</v>
      </c>
      <c r="D1028" s="96"/>
      <c r="E1028" s="95"/>
      <c r="F1028" s="95"/>
      <c r="G1028" s="95"/>
      <c r="H1028" s="94"/>
      <c r="I1028" s="94"/>
      <c r="J1028" s="91"/>
      <c r="K1028" s="91"/>
      <c r="L1028" s="94"/>
      <c r="M1028" s="93"/>
      <c r="N1028" s="92"/>
      <c r="O1028" s="92"/>
      <c r="P1028" s="91">
        <f t="shared" ref="P1028:P1091" si="77">O1028*1%</f>
        <v>0</v>
      </c>
      <c r="Q1028" s="91">
        <f t="shared" ref="Q1028:Q1091" si="78">O1028-P1028</f>
        <v>0</v>
      </c>
      <c r="R1028" s="91"/>
    </row>
    <row r="1029" spans="2:18" ht="12" customHeight="1" x14ac:dyDescent="0.3">
      <c r="B1029" s="98">
        <f t="shared" ref="B1029:B1092" si="79">+B1028+1</f>
        <v>1026</v>
      </c>
      <c r="C1029" s="97" t="str">
        <f t="shared" si="76"/>
        <v>Jan-00</v>
      </c>
      <c r="D1029" s="96"/>
      <c r="E1029" s="95"/>
      <c r="F1029" s="95"/>
      <c r="G1029" s="95"/>
      <c r="H1029" s="94"/>
      <c r="I1029" s="94"/>
      <c r="J1029" s="91"/>
      <c r="K1029" s="91"/>
      <c r="L1029" s="94"/>
      <c r="M1029" s="93"/>
      <c r="N1029" s="92"/>
      <c r="O1029" s="92"/>
      <c r="P1029" s="91">
        <f t="shared" si="77"/>
        <v>0</v>
      </c>
      <c r="Q1029" s="91">
        <f t="shared" si="78"/>
        <v>0</v>
      </c>
      <c r="R1029" s="91"/>
    </row>
    <row r="1030" spans="2:18" ht="12" customHeight="1" x14ac:dyDescent="0.3">
      <c r="B1030" s="98">
        <f t="shared" si="79"/>
        <v>1027</v>
      </c>
      <c r="C1030" s="97" t="str">
        <f t="shared" si="76"/>
        <v>Jan-00</v>
      </c>
      <c r="D1030" s="96"/>
      <c r="E1030" s="95"/>
      <c r="F1030" s="95"/>
      <c r="G1030" s="95"/>
      <c r="H1030" s="94"/>
      <c r="I1030" s="94"/>
      <c r="J1030" s="91"/>
      <c r="K1030" s="91"/>
      <c r="L1030" s="94"/>
      <c r="M1030" s="93"/>
      <c r="N1030" s="92"/>
      <c r="O1030" s="92"/>
      <c r="P1030" s="91">
        <f t="shared" si="77"/>
        <v>0</v>
      </c>
      <c r="Q1030" s="91">
        <f t="shared" si="78"/>
        <v>0</v>
      </c>
      <c r="R1030" s="91"/>
    </row>
    <row r="1031" spans="2:18" ht="12" customHeight="1" x14ac:dyDescent="0.3">
      <c r="B1031" s="98">
        <f t="shared" si="79"/>
        <v>1028</v>
      </c>
      <c r="C1031" s="97" t="str">
        <f t="shared" si="76"/>
        <v>Jan-00</v>
      </c>
      <c r="D1031" s="96"/>
      <c r="E1031" s="95"/>
      <c r="F1031" s="95"/>
      <c r="G1031" s="95"/>
      <c r="H1031" s="94"/>
      <c r="I1031" s="94"/>
      <c r="J1031" s="91"/>
      <c r="K1031" s="91"/>
      <c r="L1031" s="94"/>
      <c r="M1031" s="93"/>
      <c r="N1031" s="92"/>
      <c r="O1031" s="92"/>
      <c r="P1031" s="91">
        <f t="shared" si="77"/>
        <v>0</v>
      </c>
      <c r="Q1031" s="91">
        <f t="shared" si="78"/>
        <v>0</v>
      </c>
      <c r="R1031" s="91"/>
    </row>
    <row r="1032" spans="2:18" ht="12" customHeight="1" x14ac:dyDescent="0.3">
      <c r="B1032" s="98">
        <f t="shared" si="79"/>
        <v>1029</v>
      </c>
      <c r="C1032" s="97" t="str">
        <f t="shared" si="76"/>
        <v>Jan-00</v>
      </c>
      <c r="D1032" s="96"/>
      <c r="E1032" s="95"/>
      <c r="F1032" s="95"/>
      <c r="G1032" s="95"/>
      <c r="H1032" s="94"/>
      <c r="I1032" s="94"/>
      <c r="J1032" s="91"/>
      <c r="K1032" s="91"/>
      <c r="L1032" s="94"/>
      <c r="M1032" s="93"/>
      <c r="N1032" s="92"/>
      <c r="O1032" s="92"/>
      <c r="P1032" s="91">
        <f t="shared" si="77"/>
        <v>0</v>
      </c>
      <c r="Q1032" s="91">
        <f t="shared" si="78"/>
        <v>0</v>
      </c>
      <c r="R1032" s="91"/>
    </row>
    <row r="1033" spans="2:18" ht="12" customHeight="1" x14ac:dyDescent="0.3">
      <c r="B1033" s="98">
        <f t="shared" si="79"/>
        <v>1030</v>
      </c>
      <c r="C1033" s="97" t="str">
        <f t="shared" si="76"/>
        <v>Jan-00</v>
      </c>
      <c r="D1033" s="96"/>
      <c r="E1033" s="95"/>
      <c r="F1033" s="95"/>
      <c r="G1033" s="95"/>
      <c r="H1033" s="94"/>
      <c r="I1033" s="94"/>
      <c r="J1033" s="91"/>
      <c r="K1033" s="91"/>
      <c r="L1033" s="94"/>
      <c r="M1033" s="93"/>
      <c r="N1033" s="92"/>
      <c r="O1033" s="92"/>
      <c r="P1033" s="91">
        <f t="shared" si="77"/>
        <v>0</v>
      </c>
      <c r="Q1033" s="91">
        <f t="shared" si="78"/>
        <v>0</v>
      </c>
      <c r="R1033" s="91"/>
    </row>
    <row r="1034" spans="2:18" ht="12" customHeight="1" x14ac:dyDescent="0.3">
      <c r="B1034" s="98">
        <f t="shared" si="79"/>
        <v>1031</v>
      </c>
      <c r="C1034" s="97" t="str">
        <f t="shared" si="76"/>
        <v>Jan-00</v>
      </c>
      <c r="D1034" s="96"/>
      <c r="E1034" s="95"/>
      <c r="F1034" s="95"/>
      <c r="G1034" s="95"/>
      <c r="H1034" s="94"/>
      <c r="I1034" s="94"/>
      <c r="J1034" s="91"/>
      <c r="K1034" s="91"/>
      <c r="L1034" s="94"/>
      <c r="M1034" s="93"/>
      <c r="N1034" s="92"/>
      <c r="O1034" s="92"/>
      <c r="P1034" s="91">
        <f t="shared" si="77"/>
        <v>0</v>
      </c>
      <c r="Q1034" s="91">
        <f t="shared" si="78"/>
        <v>0</v>
      </c>
      <c r="R1034" s="91"/>
    </row>
    <row r="1035" spans="2:18" ht="12" customHeight="1" x14ac:dyDescent="0.3">
      <c r="B1035" s="98">
        <f t="shared" si="79"/>
        <v>1032</v>
      </c>
      <c r="C1035" s="97" t="str">
        <f t="shared" si="76"/>
        <v>Jan-00</v>
      </c>
      <c r="D1035" s="96"/>
      <c r="E1035" s="95"/>
      <c r="F1035" s="95"/>
      <c r="G1035" s="95"/>
      <c r="H1035" s="94"/>
      <c r="I1035" s="94"/>
      <c r="J1035" s="91"/>
      <c r="K1035" s="91"/>
      <c r="L1035" s="94"/>
      <c r="M1035" s="93"/>
      <c r="N1035" s="92"/>
      <c r="O1035" s="92"/>
      <c r="P1035" s="91">
        <f t="shared" si="77"/>
        <v>0</v>
      </c>
      <c r="Q1035" s="91">
        <f t="shared" si="78"/>
        <v>0</v>
      </c>
      <c r="R1035" s="91"/>
    </row>
    <row r="1036" spans="2:18" ht="12" customHeight="1" x14ac:dyDescent="0.3">
      <c r="B1036" s="98">
        <f t="shared" si="79"/>
        <v>1033</v>
      </c>
      <c r="C1036" s="97" t="str">
        <f t="shared" si="76"/>
        <v>Jan-00</v>
      </c>
      <c r="D1036" s="96"/>
      <c r="E1036" s="95"/>
      <c r="F1036" s="95"/>
      <c r="G1036" s="95"/>
      <c r="H1036" s="94"/>
      <c r="I1036" s="94"/>
      <c r="J1036" s="91"/>
      <c r="K1036" s="91"/>
      <c r="L1036" s="94"/>
      <c r="M1036" s="93"/>
      <c r="N1036" s="92"/>
      <c r="O1036" s="92"/>
      <c r="P1036" s="91">
        <f t="shared" si="77"/>
        <v>0</v>
      </c>
      <c r="Q1036" s="91">
        <f t="shared" si="78"/>
        <v>0</v>
      </c>
      <c r="R1036" s="91"/>
    </row>
    <row r="1037" spans="2:18" ht="12" customHeight="1" x14ac:dyDescent="0.3">
      <c r="B1037" s="98">
        <f t="shared" si="79"/>
        <v>1034</v>
      </c>
      <c r="C1037" s="97" t="str">
        <f t="shared" si="76"/>
        <v>Jan-00</v>
      </c>
      <c r="D1037" s="96"/>
      <c r="E1037" s="95"/>
      <c r="F1037" s="95"/>
      <c r="G1037" s="95"/>
      <c r="H1037" s="94"/>
      <c r="I1037" s="94"/>
      <c r="J1037" s="91"/>
      <c r="K1037" s="91"/>
      <c r="L1037" s="94"/>
      <c r="M1037" s="93"/>
      <c r="N1037" s="92"/>
      <c r="O1037" s="92"/>
      <c r="P1037" s="91">
        <f t="shared" si="77"/>
        <v>0</v>
      </c>
      <c r="Q1037" s="91">
        <f t="shared" si="78"/>
        <v>0</v>
      </c>
      <c r="R1037" s="91"/>
    </row>
    <row r="1038" spans="2:18" ht="12" customHeight="1" x14ac:dyDescent="0.3">
      <c r="B1038" s="98">
        <f t="shared" si="79"/>
        <v>1035</v>
      </c>
      <c r="C1038" s="97" t="str">
        <f t="shared" si="76"/>
        <v>Jan-00</v>
      </c>
      <c r="D1038" s="96"/>
      <c r="E1038" s="95"/>
      <c r="F1038" s="95"/>
      <c r="G1038" s="95"/>
      <c r="H1038" s="94"/>
      <c r="I1038" s="94"/>
      <c r="J1038" s="91"/>
      <c r="K1038" s="91"/>
      <c r="L1038" s="94"/>
      <c r="M1038" s="93"/>
      <c r="N1038" s="92"/>
      <c r="O1038" s="92"/>
      <c r="P1038" s="91">
        <f t="shared" si="77"/>
        <v>0</v>
      </c>
      <c r="Q1038" s="91">
        <f t="shared" si="78"/>
        <v>0</v>
      </c>
      <c r="R1038" s="91"/>
    </row>
    <row r="1039" spans="2:18" ht="12" customHeight="1" x14ac:dyDescent="0.3">
      <c r="B1039" s="98">
        <f t="shared" si="79"/>
        <v>1036</v>
      </c>
      <c r="C1039" s="97" t="str">
        <f t="shared" si="76"/>
        <v>Jan-00</v>
      </c>
      <c r="D1039" s="96"/>
      <c r="E1039" s="95"/>
      <c r="F1039" s="95"/>
      <c r="G1039" s="95"/>
      <c r="H1039" s="94"/>
      <c r="I1039" s="94"/>
      <c r="J1039" s="91"/>
      <c r="K1039" s="91"/>
      <c r="L1039" s="94"/>
      <c r="M1039" s="93"/>
      <c r="N1039" s="92"/>
      <c r="O1039" s="92"/>
      <c r="P1039" s="91">
        <f t="shared" si="77"/>
        <v>0</v>
      </c>
      <c r="Q1039" s="91">
        <f t="shared" si="78"/>
        <v>0</v>
      </c>
      <c r="R1039" s="91"/>
    </row>
    <row r="1040" spans="2:18" ht="12" customHeight="1" x14ac:dyDescent="0.3">
      <c r="B1040" s="98">
        <f t="shared" si="79"/>
        <v>1037</v>
      </c>
      <c r="C1040" s="97" t="str">
        <f t="shared" si="76"/>
        <v>Jan-00</v>
      </c>
      <c r="D1040" s="96"/>
      <c r="E1040" s="95"/>
      <c r="F1040" s="95"/>
      <c r="G1040" s="95"/>
      <c r="H1040" s="94"/>
      <c r="I1040" s="94"/>
      <c r="J1040" s="91"/>
      <c r="K1040" s="91"/>
      <c r="L1040" s="94"/>
      <c r="M1040" s="93"/>
      <c r="N1040" s="92"/>
      <c r="O1040" s="92"/>
      <c r="P1040" s="91">
        <f t="shared" si="77"/>
        <v>0</v>
      </c>
      <c r="Q1040" s="91">
        <f t="shared" si="78"/>
        <v>0</v>
      </c>
      <c r="R1040" s="91"/>
    </row>
    <row r="1041" spans="2:18" ht="12" customHeight="1" x14ac:dyDescent="0.3">
      <c r="B1041" s="98">
        <f t="shared" si="79"/>
        <v>1038</v>
      </c>
      <c r="C1041" s="97" t="str">
        <f t="shared" si="76"/>
        <v>Jan-00</v>
      </c>
      <c r="D1041" s="96"/>
      <c r="E1041" s="95"/>
      <c r="F1041" s="95"/>
      <c r="G1041" s="95"/>
      <c r="H1041" s="94"/>
      <c r="I1041" s="94"/>
      <c r="J1041" s="91"/>
      <c r="K1041" s="91"/>
      <c r="L1041" s="94"/>
      <c r="M1041" s="93"/>
      <c r="N1041" s="92"/>
      <c r="O1041" s="92"/>
      <c r="P1041" s="91">
        <f t="shared" si="77"/>
        <v>0</v>
      </c>
      <c r="Q1041" s="91">
        <f t="shared" si="78"/>
        <v>0</v>
      </c>
      <c r="R1041" s="91"/>
    </row>
    <row r="1042" spans="2:18" ht="12" customHeight="1" x14ac:dyDescent="0.3">
      <c r="B1042" s="98">
        <f t="shared" si="79"/>
        <v>1039</v>
      </c>
      <c r="C1042" s="97" t="str">
        <f t="shared" si="76"/>
        <v>Jan-00</v>
      </c>
      <c r="D1042" s="96"/>
      <c r="E1042" s="95"/>
      <c r="F1042" s="95"/>
      <c r="G1042" s="95"/>
      <c r="H1042" s="94"/>
      <c r="I1042" s="94"/>
      <c r="J1042" s="91"/>
      <c r="K1042" s="91"/>
      <c r="L1042" s="94"/>
      <c r="M1042" s="93"/>
      <c r="N1042" s="92"/>
      <c r="O1042" s="92"/>
      <c r="P1042" s="91">
        <f t="shared" si="77"/>
        <v>0</v>
      </c>
      <c r="Q1042" s="91">
        <f t="shared" si="78"/>
        <v>0</v>
      </c>
      <c r="R1042" s="91"/>
    </row>
    <row r="1043" spans="2:18" ht="12" customHeight="1" x14ac:dyDescent="0.3">
      <c r="B1043" s="98">
        <f t="shared" si="79"/>
        <v>1040</v>
      </c>
      <c r="C1043" s="97" t="str">
        <f t="shared" si="76"/>
        <v>Jan-00</v>
      </c>
      <c r="D1043" s="96"/>
      <c r="E1043" s="95"/>
      <c r="F1043" s="95"/>
      <c r="G1043" s="95"/>
      <c r="H1043" s="94"/>
      <c r="I1043" s="94"/>
      <c r="J1043" s="91"/>
      <c r="K1043" s="91"/>
      <c r="L1043" s="94"/>
      <c r="M1043" s="93"/>
      <c r="N1043" s="92"/>
      <c r="O1043" s="92"/>
      <c r="P1043" s="91">
        <f t="shared" si="77"/>
        <v>0</v>
      </c>
      <c r="Q1043" s="91">
        <f t="shared" si="78"/>
        <v>0</v>
      </c>
      <c r="R1043" s="91"/>
    </row>
    <row r="1044" spans="2:18" ht="12" customHeight="1" x14ac:dyDescent="0.3">
      <c r="B1044" s="98">
        <f t="shared" si="79"/>
        <v>1041</v>
      </c>
      <c r="C1044" s="97" t="str">
        <f t="shared" si="76"/>
        <v>Jan-00</v>
      </c>
      <c r="D1044" s="96"/>
      <c r="E1044" s="95"/>
      <c r="F1044" s="95"/>
      <c r="G1044" s="95"/>
      <c r="H1044" s="94"/>
      <c r="I1044" s="94"/>
      <c r="J1044" s="91"/>
      <c r="K1044" s="91"/>
      <c r="L1044" s="94"/>
      <c r="M1044" s="93"/>
      <c r="N1044" s="92"/>
      <c r="O1044" s="92"/>
      <c r="P1044" s="91">
        <f t="shared" si="77"/>
        <v>0</v>
      </c>
      <c r="Q1044" s="91">
        <f t="shared" si="78"/>
        <v>0</v>
      </c>
      <c r="R1044" s="91"/>
    </row>
    <row r="1045" spans="2:18" ht="12" customHeight="1" x14ac:dyDescent="0.3">
      <c r="B1045" s="98">
        <f t="shared" si="79"/>
        <v>1042</v>
      </c>
      <c r="C1045" s="97" t="str">
        <f t="shared" si="76"/>
        <v>Jan-00</v>
      </c>
      <c r="D1045" s="96"/>
      <c r="E1045" s="95"/>
      <c r="F1045" s="95"/>
      <c r="G1045" s="95"/>
      <c r="H1045" s="94"/>
      <c r="I1045" s="94"/>
      <c r="J1045" s="91"/>
      <c r="K1045" s="91"/>
      <c r="L1045" s="94"/>
      <c r="M1045" s="93"/>
      <c r="N1045" s="92"/>
      <c r="O1045" s="92"/>
      <c r="P1045" s="91">
        <f t="shared" si="77"/>
        <v>0</v>
      </c>
      <c r="Q1045" s="91">
        <f t="shared" si="78"/>
        <v>0</v>
      </c>
      <c r="R1045" s="91"/>
    </row>
    <row r="1046" spans="2:18" ht="12" customHeight="1" x14ac:dyDescent="0.3">
      <c r="B1046" s="98">
        <f t="shared" si="79"/>
        <v>1043</v>
      </c>
      <c r="C1046" s="97" t="str">
        <f t="shared" si="76"/>
        <v>Jan-00</v>
      </c>
      <c r="D1046" s="96"/>
      <c r="E1046" s="95"/>
      <c r="F1046" s="95"/>
      <c r="G1046" s="95"/>
      <c r="H1046" s="94"/>
      <c r="I1046" s="94"/>
      <c r="J1046" s="91"/>
      <c r="K1046" s="91"/>
      <c r="L1046" s="94"/>
      <c r="M1046" s="93"/>
      <c r="N1046" s="92"/>
      <c r="O1046" s="92"/>
      <c r="P1046" s="91">
        <f t="shared" si="77"/>
        <v>0</v>
      </c>
      <c r="Q1046" s="91">
        <f t="shared" si="78"/>
        <v>0</v>
      </c>
      <c r="R1046" s="91"/>
    </row>
    <row r="1047" spans="2:18" ht="12" customHeight="1" x14ac:dyDescent="0.3">
      <c r="B1047" s="98">
        <f t="shared" si="79"/>
        <v>1044</v>
      </c>
      <c r="C1047" s="97" t="str">
        <f t="shared" si="76"/>
        <v>Jan-00</v>
      </c>
      <c r="D1047" s="96"/>
      <c r="E1047" s="95"/>
      <c r="F1047" s="95"/>
      <c r="G1047" s="95"/>
      <c r="H1047" s="94"/>
      <c r="I1047" s="94"/>
      <c r="J1047" s="91"/>
      <c r="K1047" s="91"/>
      <c r="L1047" s="94"/>
      <c r="M1047" s="93"/>
      <c r="N1047" s="92"/>
      <c r="O1047" s="92"/>
      <c r="P1047" s="91">
        <f t="shared" si="77"/>
        <v>0</v>
      </c>
      <c r="Q1047" s="91">
        <f t="shared" si="78"/>
        <v>0</v>
      </c>
      <c r="R1047" s="91"/>
    </row>
    <row r="1048" spans="2:18" ht="12" customHeight="1" x14ac:dyDescent="0.3">
      <c r="B1048" s="98">
        <f t="shared" si="79"/>
        <v>1045</v>
      </c>
      <c r="C1048" s="97" t="str">
        <f t="shared" si="76"/>
        <v>Jan-00</v>
      </c>
      <c r="D1048" s="96"/>
      <c r="E1048" s="95"/>
      <c r="F1048" s="95"/>
      <c r="G1048" s="95"/>
      <c r="H1048" s="94"/>
      <c r="I1048" s="94"/>
      <c r="J1048" s="91"/>
      <c r="K1048" s="91"/>
      <c r="L1048" s="94"/>
      <c r="M1048" s="93"/>
      <c r="N1048" s="92"/>
      <c r="O1048" s="92"/>
      <c r="P1048" s="91">
        <f t="shared" si="77"/>
        <v>0</v>
      </c>
      <c r="Q1048" s="91">
        <f t="shared" si="78"/>
        <v>0</v>
      </c>
      <c r="R1048" s="91"/>
    </row>
    <row r="1049" spans="2:18" ht="12" customHeight="1" x14ac:dyDescent="0.3">
      <c r="B1049" s="98">
        <f t="shared" si="79"/>
        <v>1046</v>
      </c>
      <c r="C1049" s="97" t="str">
        <f t="shared" si="76"/>
        <v>Jan-00</v>
      </c>
      <c r="D1049" s="96"/>
      <c r="E1049" s="95"/>
      <c r="F1049" s="95"/>
      <c r="G1049" s="95"/>
      <c r="H1049" s="94"/>
      <c r="I1049" s="94"/>
      <c r="J1049" s="91"/>
      <c r="K1049" s="91"/>
      <c r="L1049" s="94"/>
      <c r="M1049" s="93"/>
      <c r="N1049" s="92"/>
      <c r="O1049" s="92"/>
      <c r="P1049" s="91">
        <f t="shared" si="77"/>
        <v>0</v>
      </c>
      <c r="Q1049" s="91">
        <f t="shared" si="78"/>
        <v>0</v>
      </c>
      <c r="R1049" s="91"/>
    </row>
    <row r="1050" spans="2:18" ht="12" customHeight="1" x14ac:dyDescent="0.3">
      <c r="B1050" s="98">
        <f t="shared" si="79"/>
        <v>1047</v>
      </c>
      <c r="C1050" s="97" t="str">
        <f t="shared" si="76"/>
        <v>Jan-00</v>
      </c>
      <c r="D1050" s="96"/>
      <c r="E1050" s="95"/>
      <c r="F1050" s="95"/>
      <c r="G1050" s="95"/>
      <c r="H1050" s="94"/>
      <c r="I1050" s="94"/>
      <c r="J1050" s="91"/>
      <c r="K1050" s="91"/>
      <c r="L1050" s="94"/>
      <c r="M1050" s="93"/>
      <c r="N1050" s="92"/>
      <c r="O1050" s="92"/>
      <c r="P1050" s="91">
        <f t="shared" si="77"/>
        <v>0</v>
      </c>
      <c r="Q1050" s="91">
        <f t="shared" si="78"/>
        <v>0</v>
      </c>
      <c r="R1050" s="91"/>
    </row>
    <row r="1051" spans="2:18" ht="12" customHeight="1" x14ac:dyDescent="0.3">
      <c r="B1051" s="98">
        <f t="shared" si="79"/>
        <v>1048</v>
      </c>
      <c r="C1051" s="97" t="str">
        <f t="shared" si="76"/>
        <v>Jan-00</v>
      </c>
      <c r="D1051" s="96"/>
      <c r="E1051" s="95"/>
      <c r="F1051" s="95"/>
      <c r="G1051" s="95"/>
      <c r="H1051" s="94"/>
      <c r="I1051" s="94"/>
      <c r="J1051" s="91"/>
      <c r="K1051" s="91"/>
      <c r="L1051" s="94"/>
      <c r="M1051" s="93"/>
      <c r="N1051" s="92"/>
      <c r="O1051" s="92"/>
      <c r="P1051" s="91">
        <f t="shared" si="77"/>
        <v>0</v>
      </c>
      <c r="Q1051" s="91">
        <f t="shared" si="78"/>
        <v>0</v>
      </c>
      <c r="R1051" s="91"/>
    </row>
    <row r="1052" spans="2:18" ht="12" customHeight="1" x14ac:dyDescent="0.3">
      <c r="B1052" s="98">
        <f t="shared" si="79"/>
        <v>1049</v>
      </c>
      <c r="C1052" s="97" t="str">
        <f t="shared" si="76"/>
        <v>Jan-00</v>
      </c>
      <c r="D1052" s="96"/>
      <c r="E1052" s="95"/>
      <c r="F1052" s="95"/>
      <c r="G1052" s="95"/>
      <c r="H1052" s="94"/>
      <c r="I1052" s="94"/>
      <c r="J1052" s="91"/>
      <c r="K1052" s="91"/>
      <c r="L1052" s="94"/>
      <c r="M1052" s="93"/>
      <c r="N1052" s="92"/>
      <c r="O1052" s="92"/>
      <c r="P1052" s="91">
        <f t="shared" si="77"/>
        <v>0</v>
      </c>
      <c r="Q1052" s="91">
        <f t="shared" si="78"/>
        <v>0</v>
      </c>
      <c r="R1052" s="91"/>
    </row>
    <row r="1053" spans="2:18" ht="12" customHeight="1" x14ac:dyDescent="0.3">
      <c r="B1053" s="98">
        <f t="shared" si="79"/>
        <v>1050</v>
      </c>
      <c r="C1053" s="97" t="str">
        <f t="shared" si="76"/>
        <v>Jan-00</v>
      </c>
      <c r="D1053" s="96"/>
      <c r="E1053" s="95"/>
      <c r="F1053" s="95"/>
      <c r="G1053" s="95"/>
      <c r="H1053" s="94"/>
      <c r="I1053" s="94"/>
      <c r="J1053" s="91"/>
      <c r="K1053" s="91"/>
      <c r="L1053" s="94"/>
      <c r="M1053" s="93"/>
      <c r="N1053" s="92"/>
      <c r="O1053" s="92"/>
      <c r="P1053" s="91">
        <f t="shared" si="77"/>
        <v>0</v>
      </c>
      <c r="Q1053" s="91">
        <f t="shared" si="78"/>
        <v>0</v>
      </c>
      <c r="R1053" s="91"/>
    </row>
    <row r="1054" spans="2:18" ht="12" customHeight="1" x14ac:dyDescent="0.3">
      <c r="B1054" s="98">
        <f t="shared" si="79"/>
        <v>1051</v>
      </c>
      <c r="C1054" s="97" t="str">
        <f t="shared" si="76"/>
        <v>Jan-00</v>
      </c>
      <c r="D1054" s="96"/>
      <c r="E1054" s="95"/>
      <c r="F1054" s="95"/>
      <c r="G1054" s="95"/>
      <c r="H1054" s="94"/>
      <c r="I1054" s="94"/>
      <c r="J1054" s="91"/>
      <c r="K1054" s="91"/>
      <c r="L1054" s="94"/>
      <c r="M1054" s="93"/>
      <c r="N1054" s="92"/>
      <c r="O1054" s="92"/>
      <c r="P1054" s="91">
        <f t="shared" si="77"/>
        <v>0</v>
      </c>
      <c r="Q1054" s="91">
        <f t="shared" si="78"/>
        <v>0</v>
      </c>
      <c r="R1054" s="91"/>
    </row>
    <row r="1055" spans="2:18" ht="12" customHeight="1" x14ac:dyDescent="0.3">
      <c r="B1055" s="98">
        <f t="shared" si="79"/>
        <v>1052</v>
      </c>
      <c r="C1055" s="97" t="str">
        <f t="shared" si="76"/>
        <v>Jan-00</v>
      </c>
      <c r="D1055" s="96"/>
      <c r="E1055" s="95"/>
      <c r="F1055" s="95"/>
      <c r="G1055" s="95"/>
      <c r="H1055" s="94"/>
      <c r="I1055" s="94"/>
      <c r="J1055" s="91"/>
      <c r="K1055" s="91"/>
      <c r="L1055" s="94"/>
      <c r="M1055" s="93"/>
      <c r="N1055" s="92"/>
      <c r="O1055" s="92"/>
      <c r="P1055" s="91">
        <f t="shared" si="77"/>
        <v>0</v>
      </c>
      <c r="Q1055" s="91">
        <f t="shared" si="78"/>
        <v>0</v>
      </c>
      <c r="R1055" s="91"/>
    </row>
    <row r="1056" spans="2:18" ht="12" customHeight="1" x14ac:dyDescent="0.3">
      <c r="B1056" s="98">
        <f t="shared" si="79"/>
        <v>1053</v>
      </c>
      <c r="C1056" s="97" t="str">
        <f t="shared" si="76"/>
        <v>Jan-00</v>
      </c>
      <c r="D1056" s="96"/>
      <c r="E1056" s="95"/>
      <c r="F1056" s="95"/>
      <c r="G1056" s="95"/>
      <c r="H1056" s="94"/>
      <c r="I1056" s="94"/>
      <c r="J1056" s="91"/>
      <c r="K1056" s="91"/>
      <c r="L1056" s="94"/>
      <c r="M1056" s="93"/>
      <c r="N1056" s="92"/>
      <c r="O1056" s="92"/>
      <c r="P1056" s="91">
        <f t="shared" si="77"/>
        <v>0</v>
      </c>
      <c r="Q1056" s="91">
        <f t="shared" si="78"/>
        <v>0</v>
      </c>
      <c r="R1056" s="91"/>
    </row>
    <row r="1057" spans="2:18" ht="12" customHeight="1" x14ac:dyDescent="0.3">
      <c r="B1057" s="98">
        <f t="shared" si="79"/>
        <v>1054</v>
      </c>
      <c r="C1057" s="97" t="str">
        <f t="shared" si="76"/>
        <v>Jan-00</v>
      </c>
      <c r="D1057" s="96"/>
      <c r="E1057" s="95"/>
      <c r="F1057" s="95"/>
      <c r="G1057" s="95"/>
      <c r="H1057" s="94"/>
      <c r="I1057" s="94"/>
      <c r="J1057" s="91"/>
      <c r="K1057" s="91"/>
      <c r="L1057" s="94"/>
      <c r="M1057" s="93"/>
      <c r="N1057" s="92"/>
      <c r="O1057" s="92"/>
      <c r="P1057" s="91">
        <f t="shared" si="77"/>
        <v>0</v>
      </c>
      <c r="Q1057" s="91">
        <f t="shared" si="78"/>
        <v>0</v>
      </c>
      <c r="R1057" s="91"/>
    </row>
    <row r="1058" spans="2:18" ht="12" customHeight="1" x14ac:dyDescent="0.3">
      <c r="B1058" s="98">
        <f t="shared" si="79"/>
        <v>1055</v>
      </c>
      <c r="C1058" s="97" t="str">
        <f t="shared" si="76"/>
        <v>Jan-00</v>
      </c>
      <c r="D1058" s="96"/>
      <c r="E1058" s="95"/>
      <c r="F1058" s="95"/>
      <c r="G1058" s="95"/>
      <c r="H1058" s="94"/>
      <c r="I1058" s="94"/>
      <c r="J1058" s="91"/>
      <c r="K1058" s="91"/>
      <c r="L1058" s="94"/>
      <c r="M1058" s="93"/>
      <c r="N1058" s="92"/>
      <c r="O1058" s="92"/>
      <c r="P1058" s="91">
        <f t="shared" si="77"/>
        <v>0</v>
      </c>
      <c r="Q1058" s="91">
        <f t="shared" si="78"/>
        <v>0</v>
      </c>
      <c r="R1058" s="91"/>
    </row>
    <row r="1059" spans="2:18" ht="12" customHeight="1" x14ac:dyDescent="0.3">
      <c r="B1059" s="98">
        <f t="shared" si="79"/>
        <v>1056</v>
      </c>
      <c r="C1059" s="97" t="str">
        <f t="shared" si="76"/>
        <v>Jan-00</v>
      </c>
      <c r="D1059" s="96"/>
      <c r="E1059" s="95"/>
      <c r="F1059" s="95"/>
      <c r="G1059" s="95"/>
      <c r="H1059" s="94"/>
      <c r="I1059" s="94"/>
      <c r="J1059" s="91"/>
      <c r="K1059" s="91"/>
      <c r="L1059" s="94"/>
      <c r="M1059" s="93"/>
      <c r="N1059" s="92"/>
      <c r="O1059" s="92"/>
      <c r="P1059" s="91">
        <f t="shared" si="77"/>
        <v>0</v>
      </c>
      <c r="Q1059" s="91">
        <f t="shared" si="78"/>
        <v>0</v>
      </c>
      <c r="R1059" s="91"/>
    </row>
    <row r="1060" spans="2:18" ht="12" customHeight="1" x14ac:dyDescent="0.3">
      <c r="B1060" s="98">
        <f t="shared" si="79"/>
        <v>1057</v>
      </c>
      <c r="C1060" s="97" t="str">
        <f t="shared" si="76"/>
        <v>Jan-00</v>
      </c>
      <c r="D1060" s="96"/>
      <c r="E1060" s="95"/>
      <c r="F1060" s="95"/>
      <c r="G1060" s="95"/>
      <c r="H1060" s="94"/>
      <c r="I1060" s="94"/>
      <c r="J1060" s="91"/>
      <c r="K1060" s="91"/>
      <c r="L1060" s="94"/>
      <c r="M1060" s="93"/>
      <c r="N1060" s="92"/>
      <c r="O1060" s="92"/>
      <c r="P1060" s="91">
        <f t="shared" si="77"/>
        <v>0</v>
      </c>
      <c r="Q1060" s="91">
        <f t="shared" si="78"/>
        <v>0</v>
      </c>
      <c r="R1060" s="91"/>
    </row>
    <row r="1061" spans="2:18" ht="12" customHeight="1" x14ac:dyDescent="0.3">
      <c r="B1061" s="98">
        <f t="shared" si="79"/>
        <v>1058</v>
      </c>
      <c r="C1061" s="97" t="str">
        <f t="shared" si="76"/>
        <v>Jan-00</v>
      </c>
      <c r="D1061" s="96"/>
      <c r="E1061" s="95"/>
      <c r="F1061" s="95"/>
      <c r="G1061" s="95"/>
      <c r="H1061" s="94"/>
      <c r="I1061" s="94"/>
      <c r="J1061" s="91"/>
      <c r="K1061" s="91"/>
      <c r="L1061" s="94"/>
      <c r="M1061" s="93"/>
      <c r="N1061" s="92"/>
      <c r="O1061" s="92"/>
      <c r="P1061" s="91">
        <f t="shared" si="77"/>
        <v>0</v>
      </c>
      <c r="Q1061" s="91">
        <f t="shared" si="78"/>
        <v>0</v>
      </c>
      <c r="R1061" s="91"/>
    </row>
    <row r="1062" spans="2:18" ht="12" customHeight="1" x14ac:dyDescent="0.3">
      <c r="B1062" s="98">
        <f t="shared" si="79"/>
        <v>1059</v>
      </c>
      <c r="C1062" s="97" t="str">
        <f t="shared" si="76"/>
        <v>Jan-00</v>
      </c>
      <c r="D1062" s="96"/>
      <c r="E1062" s="95"/>
      <c r="F1062" s="95"/>
      <c r="G1062" s="95"/>
      <c r="H1062" s="94"/>
      <c r="I1062" s="94"/>
      <c r="J1062" s="91"/>
      <c r="K1062" s="91"/>
      <c r="L1062" s="94"/>
      <c r="M1062" s="93"/>
      <c r="N1062" s="92"/>
      <c r="O1062" s="92"/>
      <c r="P1062" s="91">
        <f t="shared" si="77"/>
        <v>0</v>
      </c>
      <c r="Q1062" s="91">
        <f t="shared" si="78"/>
        <v>0</v>
      </c>
      <c r="R1062" s="91"/>
    </row>
    <row r="1063" spans="2:18" ht="12" customHeight="1" x14ac:dyDescent="0.3">
      <c r="B1063" s="98">
        <f t="shared" si="79"/>
        <v>1060</v>
      </c>
      <c r="C1063" s="97" t="str">
        <f t="shared" si="76"/>
        <v>Jan-00</v>
      </c>
      <c r="D1063" s="96"/>
      <c r="E1063" s="95"/>
      <c r="F1063" s="95"/>
      <c r="G1063" s="95"/>
      <c r="H1063" s="94"/>
      <c r="I1063" s="94"/>
      <c r="J1063" s="91"/>
      <c r="K1063" s="91"/>
      <c r="L1063" s="94"/>
      <c r="M1063" s="93"/>
      <c r="N1063" s="92"/>
      <c r="O1063" s="92"/>
      <c r="P1063" s="91">
        <f t="shared" si="77"/>
        <v>0</v>
      </c>
      <c r="Q1063" s="91">
        <f t="shared" si="78"/>
        <v>0</v>
      </c>
      <c r="R1063" s="91"/>
    </row>
    <row r="1064" spans="2:18" ht="12" customHeight="1" x14ac:dyDescent="0.3">
      <c r="B1064" s="98">
        <f t="shared" si="79"/>
        <v>1061</v>
      </c>
      <c r="C1064" s="97" t="str">
        <f t="shared" si="76"/>
        <v>Jan-00</v>
      </c>
      <c r="D1064" s="96"/>
      <c r="E1064" s="95"/>
      <c r="F1064" s="95"/>
      <c r="G1064" s="95"/>
      <c r="H1064" s="94"/>
      <c r="I1064" s="94"/>
      <c r="J1064" s="91"/>
      <c r="K1064" s="91"/>
      <c r="L1064" s="94"/>
      <c r="M1064" s="93"/>
      <c r="N1064" s="92"/>
      <c r="O1064" s="92"/>
      <c r="P1064" s="91">
        <f t="shared" si="77"/>
        <v>0</v>
      </c>
      <c r="Q1064" s="91">
        <f t="shared" si="78"/>
        <v>0</v>
      </c>
      <c r="R1064" s="91"/>
    </row>
    <row r="1065" spans="2:18" ht="12" customHeight="1" x14ac:dyDescent="0.3">
      <c r="B1065" s="98">
        <f t="shared" si="79"/>
        <v>1062</v>
      </c>
      <c r="C1065" s="97" t="str">
        <f t="shared" si="76"/>
        <v>Jan-00</v>
      </c>
      <c r="D1065" s="96"/>
      <c r="E1065" s="95"/>
      <c r="F1065" s="95"/>
      <c r="G1065" s="95"/>
      <c r="H1065" s="94"/>
      <c r="I1065" s="94"/>
      <c r="J1065" s="91"/>
      <c r="K1065" s="91"/>
      <c r="L1065" s="94"/>
      <c r="M1065" s="93"/>
      <c r="N1065" s="92"/>
      <c r="O1065" s="92"/>
      <c r="P1065" s="91">
        <f t="shared" si="77"/>
        <v>0</v>
      </c>
      <c r="Q1065" s="91">
        <f t="shared" si="78"/>
        <v>0</v>
      </c>
      <c r="R1065" s="91"/>
    </row>
    <row r="1066" spans="2:18" ht="12" customHeight="1" x14ac:dyDescent="0.3">
      <c r="B1066" s="98">
        <f t="shared" si="79"/>
        <v>1063</v>
      </c>
      <c r="C1066" s="97" t="str">
        <f t="shared" si="76"/>
        <v>Jan-00</v>
      </c>
      <c r="D1066" s="96"/>
      <c r="E1066" s="95"/>
      <c r="F1066" s="95"/>
      <c r="G1066" s="95"/>
      <c r="H1066" s="94"/>
      <c r="I1066" s="94"/>
      <c r="J1066" s="91"/>
      <c r="K1066" s="91"/>
      <c r="L1066" s="94"/>
      <c r="M1066" s="93"/>
      <c r="N1066" s="92"/>
      <c r="O1066" s="92"/>
      <c r="P1066" s="91">
        <f t="shared" si="77"/>
        <v>0</v>
      </c>
      <c r="Q1066" s="91">
        <f t="shared" si="78"/>
        <v>0</v>
      </c>
      <c r="R1066" s="91"/>
    </row>
    <row r="1067" spans="2:18" ht="12" customHeight="1" x14ac:dyDescent="0.3">
      <c r="B1067" s="98">
        <f t="shared" si="79"/>
        <v>1064</v>
      </c>
      <c r="C1067" s="97" t="str">
        <f t="shared" si="76"/>
        <v>Jan-00</v>
      </c>
      <c r="D1067" s="96"/>
      <c r="E1067" s="95"/>
      <c r="F1067" s="95"/>
      <c r="G1067" s="95"/>
      <c r="H1067" s="94"/>
      <c r="I1067" s="94"/>
      <c r="J1067" s="91"/>
      <c r="K1067" s="91"/>
      <c r="L1067" s="94"/>
      <c r="M1067" s="93"/>
      <c r="N1067" s="92"/>
      <c r="O1067" s="92"/>
      <c r="P1067" s="91">
        <f t="shared" si="77"/>
        <v>0</v>
      </c>
      <c r="Q1067" s="91">
        <f t="shared" si="78"/>
        <v>0</v>
      </c>
      <c r="R1067" s="91"/>
    </row>
    <row r="1068" spans="2:18" ht="12" customHeight="1" x14ac:dyDescent="0.3">
      <c r="B1068" s="98">
        <f t="shared" si="79"/>
        <v>1065</v>
      </c>
      <c r="C1068" s="97" t="str">
        <f t="shared" si="76"/>
        <v>Jan-00</v>
      </c>
      <c r="D1068" s="96"/>
      <c r="E1068" s="95"/>
      <c r="F1068" s="95"/>
      <c r="G1068" s="95"/>
      <c r="H1068" s="94"/>
      <c r="I1068" s="94"/>
      <c r="J1068" s="91"/>
      <c r="K1068" s="91"/>
      <c r="L1068" s="94"/>
      <c r="M1068" s="93"/>
      <c r="N1068" s="92"/>
      <c r="O1068" s="92"/>
      <c r="P1068" s="91">
        <f t="shared" si="77"/>
        <v>0</v>
      </c>
      <c r="Q1068" s="91">
        <f t="shared" si="78"/>
        <v>0</v>
      </c>
      <c r="R1068" s="91"/>
    </row>
    <row r="1069" spans="2:18" ht="12" customHeight="1" x14ac:dyDescent="0.3">
      <c r="B1069" s="98">
        <f t="shared" si="79"/>
        <v>1066</v>
      </c>
      <c r="C1069" s="97" t="str">
        <f t="shared" si="76"/>
        <v>Jan-00</v>
      </c>
      <c r="D1069" s="96"/>
      <c r="E1069" s="95"/>
      <c r="F1069" s="95"/>
      <c r="G1069" s="95"/>
      <c r="H1069" s="94"/>
      <c r="I1069" s="94"/>
      <c r="J1069" s="91"/>
      <c r="K1069" s="91"/>
      <c r="L1069" s="94"/>
      <c r="M1069" s="93"/>
      <c r="N1069" s="92"/>
      <c r="O1069" s="92"/>
      <c r="P1069" s="91">
        <f t="shared" si="77"/>
        <v>0</v>
      </c>
      <c r="Q1069" s="91">
        <f t="shared" si="78"/>
        <v>0</v>
      </c>
      <c r="R1069" s="91"/>
    </row>
    <row r="1070" spans="2:18" ht="12" customHeight="1" x14ac:dyDescent="0.3">
      <c r="B1070" s="98">
        <f t="shared" si="79"/>
        <v>1067</v>
      </c>
      <c r="C1070" s="97" t="str">
        <f t="shared" si="76"/>
        <v>Jan-00</v>
      </c>
      <c r="D1070" s="96"/>
      <c r="E1070" s="95"/>
      <c r="F1070" s="95"/>
      <c r="G1070" s="95"/>
      <c r="H1070" s="94"/>
      <c r="I1070" s="94"/>
      <c r="J1070" s="91"/>
      <c r="K1070" s="91"/>
      <c r="L1070" s="94"/>
      <c r="M1070" s="93"/>
      <c r="N1070" s="92"/>
      <c r="O1070" s="92"/>
      <c r="P1070" s="91">
        <f t="shared" si="77"/>
        <v>0</v>
      </c>
      <c r="Q1070" s="91">
        <f t="shared" si="78"/>
        <v>0</v>
      </c>
      <c r="R1070" s="91"/>
    </row>
    <row r="1071" spans="2:18" ht="12" customHeight="1" x14ac:dyDescent="0.3">
      <c r="B1071" s="98">
        <f t="shared" si="79"/>
        <v>1068</v>
      </c>
      <c r="C1071" s="97" t="str">
        <f t="shared" si="76"/>
        <v>Jan-00</v>
      </c>
      <c r="D1071" s="96"/>
      <c r="E1071" s="95"/>
      <c r="F1071" s="95"/>
      <c r="G1071" s="95"/>
      <c r="H1071" s="94"/>
      <c r="I1071" s="94"/>
      <c r="J1071" s="91"/>
      <c r="K1071" s="91"/>
      <c r="L1071" s="94"/>
      <c r="M1071" s="93"/>
      <c r="N1071" s="92"/>
      <c r="O1071" s="92"/>
      <c r="P1071" s="91">
        <f t="shared" si="77"/>
        <v>0</v>
      </c>
      <c r="Q1071" s="91">
        <f t="shared" si="78"/>
        <v>0</v>
      </c>
      <c r="R1071" s="91"/>
    </row>
    <row r="1072" spans="2:18" ht="12" customHeight="1" x14ac:dyDescent="0.3">
      <c r="B1072" s="98">
        <f t="shared" si="79"/>
        <v>1069</v>
      </c>
      <c r="C1072" s="97" t="str">
        <f t="shared" si="76"/>
        <v>Jan-00</v>
      </c>
      <c r="D1072" s="96"/>
      <c r="E1072" s="95"/>
      <c r="F1072" s="95"/>
      <c r="G1072" s="95"/>
      <c r="H1072" s="94"/>
      <c r="I1072" s="94"/>
      <c r="J1072" s="91"/>
      <c r="K1072" s="91"/>
      <c r="L1072" s="94"/>
      <c r="M1072" s="93"/>
      <c r="N1072" s="92"/>
      <c r="O1072" s="92"/>
      <c r="P1072" s="91">
        <f t="shared" si="77"/>
        <v>0</v>
      </c>
      <c r="Q1072" s="91">
        <f t="shared" si="78"/>
        <v>0</v>
      </c>
      <c r="R1072" s="91"/>
    </row>
    <row r="1073" spans="2:18" ht="12" customHeight="1" x14ac:dyDescent="0.3">
      <c r="B1073" s="98">
        <f t="shared" si="79"/>
        <v>1070</v>
      </c>
      <c r="C1073" s="97" t="str">
        <f t="shared" si="76"/>
        <v>Jan-00</v>
      </c>
      <c r="D1073" s="96"/>
      <c r="E1073" s="95"/>
      <c r="F1073" s="95"/>
      <c r="G1073" s="95"/>
      <c r="H1073" s="94"/>
      <c r="I1073" s="94"/>
      <c r="J1073" s="91"/>
      <c r="K1073" s="91"/>
      <c r="L1073" s="94"/>
      <c r="M1073" s="93"/>
      <c r="N1073" s="92"/>
      <c r="O1073" s="92"/>
      <c r="P1073" s="91">
        <f t="shared" si="77"/>
        <v>0</v>
      </c>
      <c r="Q1073" s="91">
        <f t="shared" si="78"/>
        <v>0</v>
      </c>
      <c r="R1073" s="91"/>
    </row>
    <row r="1074" spans="2:18" ht="12" customHeight="1" x14ac:dyDescent="0.3">
      <c r="B1074" s="98">
        <f t="shared" si="79"/>
        <v>1071</v>
      </c>
      <c r="C1074" s="97" t="str">
        <f t="shared" si="76"/>
        <v>Jan-00</v>
      </c>
      <c r="D1074" s="96"/>
      <c r="E1074" s="95"/>
      <c r="F1074" s="95"/>
      <c r="G1074" s="95"/>
      <c r="H1074" s="94"/>
      <c r="I1074" s="94"/>
      <c r="J1074" s="91"/>
      <c r="K1074" s="91"/>
      <c r="L1074" s="94"/>
      <c r="M1074" s="93"/>
      <c r="N1074" s="92"/>
      <c r="O1074" s="92"/>
      <c r="P1074" s="91">
        <f t="shared" si="77"/>
        <v>0</v>
      </c>
      <c r="Q1074" s="91">
        <f t="shared" si="78"/>
        <v>0</v>
      </c>
      <c r="R1074" s="91"/>
    </row>
    <row r="1075" spans="2:18" ht="12" customHeight="1" x14ac:dyDescent="0.3">
      <c r="B1075" s="98">
        <f t="shared" si="79"/>
        <v>1072</v>
      </c>
      <c r="C1075" s="97" t="str">
        <f t="shared" si="76"/>
        <v>Jan-00</v>
      </c>
      <c r="D1075" s="96"/>
      <c r="E1075" s="95"/>
      <c r="F1075" s="95"/>
      <c r="G1075" s="95"/>
      <c r="H1075" s="94"/>
      <c r="I1075" s="94"/>
      <c r="J1075" s="91"/>
      <c r="K1075" s="91"/>
      <c r="L1075" s="94"/>
      <c r="M1075" s="93"/>
      <c r="N1075" s="92"/>
      <c r="O1075" s="92"/>
      <c r="P1075" s="91">
        <f t="shared" si="77"/>
        <v>0</v>
      </c>
      <c r="Q1075" s="91">
        <f t="shared" si="78"/>
        <v>0</v>
      </c>
      <c r="R1075" s="91"/>
    </row>
    <row r="1076" spans="2:18" ht="12" customHeight="1" x14ac:dyDescent="0.3">
      <c r="B1076" s="98">
        <f t="shared" si="79"/>
        <v>1073</v>
      </c>
      <c r="C1076" s="97" t="str">
        <f t="shared" si="76"/>
        <v>Jan-00</v>
      </c>
      <c r="D1076" s="96"/>
      <c r="E1076" s="95"/>
      <c r="F1076" s="95"/>
      <c r="G1076" s="95"/>
      <c r="H1076" s="94"/>
      <c r="I1076" s="94"/>
      <c r="J1076" s="91"/>
      <c r="K1076" s="91"/>
      <c r="L1076" s="94"/>
      <c r="M1076" s="93"/>
      <c r="N1076" s="92"/>
      <c r="O1076" s="92"/>
      <c r="P1076" s="91">
        <f t="shared" si="77"/>
        <v>0</v>
      </c>
      <c r="Q1076" s="91">
        <f t="shared" si="78"/>
        <v>0</v>
      </c>
      <c r="R1076" s="91"/>
    </row>
    <row r="1077" spans="2:18" ht="12" customHeight="1" x14ac:dyDescent="0.3">
      <c r="B1077" s="98">
        <f t="shared" si="79"/>
        <v>1074</v>
      </c>
      <c r="C1077" s="97" t="str">
        <f t="shared" si="76"/>
        <v>Jan-00</v>
      </c>
      <c r="D1077" s="96"/>
      <c r="E1077" s="95"/>
      <c r="F1077" s="95"/>
      <c r="G1077" s="95"/>
      <c r="H1077" s="94"/>
      <c r="I1077" s="94"/>
      <c r="J1077" s="91"/>
      <c r="K1077" s="91"/>
      <c r="L1077" s="94"/>
      <c r="M1077" s="93"/>
      <c r="N1077" s="92"/>
      <c r="O1077" s="92"/>
      <c r="P1077" s="91">
        <f t="shared" si="77"/>
        <v>0</v>
      </c>
      <c r="Q1077" s="91">
        <f t="shared" si="78"/>
        <v>0</v>
      </c>
      <c r="R1077" s="91"/>
    </row>
    <row r="1078" spans="2:18" ht="12" customHeight="1" x14ac:dyDescent="0.3">
      <c r="B1078" s="98">
        <f t="shared" si="79"/>
        <v>1075</v>
      </c>
      <c r="C1078" s="97" t="str">
        <f t="shared" si="76"/>
        <v>Jan-00</v>
      </c>
      <c r="D1078" s="96"/>
      <c r="E1078" s="95"/>
      <c r="F1078" s="95"/>
      <c r="G1078" s="95"/>
      <c r="H1078" s="94"/>
      <c r="I1078" s="94"/>
      <c r="J1078" s="91"/>
      <c r="K1078" s="91"/>
      <c r="L1078" s="94"/>
      <c r="M1078" s="93"/>
      <c r="N1078" s="92"/>
      <c r="O1078" s="92"/>
      <c r="P1078" s="91">
        <f t="shared" si="77"/>
        <v>0</v>
      </c>
      <c r="Q1078" s="91">
        <f t="shared" si="78"/>
        <v>0</v>
      </c>
      <c r="R1078" s="91"/>
    </row>
    <row r="1079" spans="2:18" ht="12" customHeight="1" x14ac:dyDescent="0.3">
      <c r="B1079" s="98">
        <f t="shared" si="79"/>
        <v>1076</v>
      </c>
      <c r="C1079" s="97" t="str">
        <f t="shared" si="76"/>
        <v>Jan-00</v>
      </c>
      <c r="D1079" s="96"/>
      <c r="E1079" s="95"/>
      <c r="F1079" s="95"/>
      <c r="G1079" s="95"/>
      <c r="H1079" s="94"/>
      <c r="I1079" s="94"/>
      <c r="J1079" s="91"/>
      <c r="K1079" s="91"/>
      <c r="L1079" s="94"/>
      <c r="M1079" s="93"/>
      <c r="N1079" s="92"/>
      <c r="O1079" s="92"/>
      <c r="P1079" s="91">
        <f t="shared" si="77"/>
        <v>0</v>
      </c>
      <c r="Q1079" s="91">
        <f t="shared" si="78"/>
        <v>0</v>
      </c>
      <c r="R1079" s="91"/>
    </row>
    <row r="1080" spans="2:18" ht="12" customHeight="1" x14ac:dyDescent="0.3">
      <c r="B1080" s="98">
        <f t="shared" si="79"/>
        <v>1077</v>
      </c>
      <c r="C1080" s="97" t="str">
        <f t="shared" si="76"/>
        <v>Jan-00</v>
      </c>
      <c r="D1080" s="96"/>
      <c r="E1080" s="95"/>
      <c r="F1080" s="95"/>
      <c r="G1080" s="95"/>
      <c r="H1080" s="94"/>
      <c r="I1080" s="94"/>
      <c r="J1080" s="91"/>
      <c r="K1080" s="91"/>
      <c r="L1080" s="94"/>
      <c r="M1080" s="93"/>
      <c r="N1080" s="92"/>
      <c r="O1080" s="92"/>
      <c r="P1080" s="91">
        <f t="shared" si="77"/>
        <v>0</v>
      </c>
      <c r="Q1080" s="91">
        <f t="shared" si="78"/>
        <v>0</v>
      </c>
      <c r="R1080" s="91"/>
    </row>
    <row r="1081" spans="2:18" ht="12" customHeight="1" x14ac:dyDescent="0.3">
      <c r="B1081" s="98">
        <f t="shared" si="79"/>
        <v>1078</v>
      </c>
      <c r="C1081" s="97" t="str">
        <f t="shared" si="76"/>
        <v>Jan-00</v>
      </c>
      <c r="D1081" s="96"/>
      <c r="E1081" s="95"/>
      <c r="F1081" s="95"/>
      <c r="G1081" s="95"/>
      <c r="H1081" s="94"/>
      <c r="I1081" s="94"/>
      <c r="J1081" s="91"/>
      <c r="K1081" s="91"/>
      <c r="L1081" s="94"/>
      <c r="M1081" s="93"/>
      <c r="N1081" s="92"/>
      <c r="O1081" s="92"/>
      <c r="P1081" s="91">
        <f t="shared" si="77"/>
        <v>0</v>
      </c>
      <c r="Q1081" s="91">
        <f t="shared" si="78"/>
        <v>0</v>
      </c>
      <c r="R1081" s="91"/>
    </row>
    <row r="1082" spans="2:18" ht="12" customHeight="1" x14ac:dyDescent="0.3">
      <c r="B1082" s="98">
        <f t="shared" si="79"/>
        <v>1079</v>
      </c>
      <c r="C1082" s="97" t="str">
        <f t="shared" si="76"/>
        <v>Jan-00</v>
      </c>
      <c r="D1082" s="96"/>
      <c r="E1082" s="95"/>
      <c r="F1082" s="95"/>
      <c r="G1082" s="95"/>
      <c r="H1082" s="94"/>
      <c r="I1082" s="94"/>
      <c r="J1082" s="91"/>
      <c r="K1082" s="91"/>
      <c r="L1082" s="94"/>
      <c r="M1082" s="93"/>
      <c r="N1082" s="92"/>
      <c r="O1082" s="92"/>
      <c r="P1082" s="91">
        <f t="shared" si="77"/>
        <v>0</v>
      </c>
      <c r="Q1082" s="91">
        <f t="shared" si="78"/>
        <v>0</v>
      </c>
      <c r="R1082" s="91"/>
    </row>
    <row r="1083" spans="2:18" ht="12" customHeight="1" x14ac:dyDescent="0.3">
      <c r="B1083" s="98">
        <f t="shared" si="79"/>
        <v>1080</v>
      </c>
      <c r="C1083" s="97" t="str">
        <f t="shared" si="76"/>
        <v>Jan-00</v>
      </c>
      <c r="D1083" s="96"/>
      <c r="E1083" s="95"/>
      <c r="F1083" s="95"/>
      <c r="G1083" s="95"/>
      <c r="H1083" s="94"/>
      <c r="I1083" s="94"/>
      <c r="J1083" s="91"/>
      <c r="K1083" s="91"/>
      <c r="L1083" s="94"/>
      <c r="M1083" s="93"/>
      <c r="N1083" s="92"/>
      <c r="O1083" s="92"/>
      <c r="P1083" s="91">
        <f t="shared" si="77"/>
        <v>0</v>
      </c>
      <c r="Q1083" s="91">
        <f t="shared" si="78"/>
        <v>0</v>
      </c>
      <c r="R1083" s="91"/>
    </row>
    <row r="1084" spans="2:18" ht="12" customHeight="1" x14ac:dyDescent="0.3">
      <c r="B1084" s="98">
        <f t="shared" si="79"/>
        <v>1081</v>
      </c>
      <c r="C1084" s="97" t="str">
        <f t="shared" si="76"/>
        <v>Jan-00</v>
      </c>
      <c r="D1084" s="96"/>
      <c r="E1084" s="95"/>
      <c r="F1084" s="95"/>
      <c r="G1084" s="95"/>
      <c r="H1084" s="94"/>
      <c r="I1084" s="94"/>
      <c r="J1084" s="91"/>
      <c r="K1084" s="91"/>
      <c r="L1084" s="94"/>
      <c r="M1084" s="93"/>
      <c r="N1084" s="92"/>
      <c r="O1084" s="92"/>
      <c r="P1084" s="91">
        <f t="shared" si="77"/>
        <v>0</v>
      </c>
      <c r="Q1084" s="91">
        <f t="shared" si="78"/>
        <v>0</v>
      </c>
      <c r="R1084" s="91"/>
    </row>
    <row r="1085" spans="2:18" ht="12" customHeight="1" x14ac:dyDescent="0.3">
      <c r="B1085" s="98">
        <f t="shared" si="79"/>
        <v>1082</v>
      </c>
      <c r="C1085" s="97" t="str">
        <f t="shared" si="76"/>
        <v>Jan-00</v>
      </c>
      <c r="D1085" s="96"/>
      <c r="E1085" s="95"/>
      <c r="F1085" s="95"/>
      <c r="G1085" s="95"/>
      <c r="H1085" s="94"/>
      <c r="I1085" s="94"/>
      <c r="J1085" s="91"/>
      <c r="K1085" s="91"/>
      <c r="L1085" s="94"/>
      <c r="M1085" s="93"/>
      <c r="N1085" s="92"/>
      <c r="O1085" s="92"/>
      <c r="P1085" s="91">
        <f t="shared" si="77"/>
        <v>0</v>
      </c>
      <c r="Q1085" s="91">
        <f t="shared" si="78"/>
        <v>0</v>
      </c>
      <c r="R1085" s="91"/>
    </row>
    <row r="1086" spans="2:18" ht="12" customHeight="1" x14ac:dyDescent="0.3">
      <c r="B1086" s="98">
        <f t="shared" si="79"/>
        <v>1083</v>
      </c>
      <c r="C1086" s="97" t="str">
        <f t="shared" si="76"/>
        <v>Jan-00</v>
      </c>
      <c r="D1086" s="96"/>
      <c r="E1086" s="95"/>
      <c r="F1086" s="95"/>
      <c r="G1086" s="95"/>
      <c r="H1086" s="94"/>
      <c r="I1086" s="94"/>
      <c r="J1086" s="91"/>
      <c r="K1086" s="91"/>
      <c r="L1086" s="94"/>
      <c r="M1086" s="93"/>
      <c r="N1086" s="92"/>
      <c r="O1086" s="92"/>
      <c r="P1086" s="91">
        <f t="shared" si="77"/>
        <v>0</v>
      </c>
      <c r="Q1086" s="91">
        <f t="shared" si="78"/>
        <v>0</v>
      </c>
      <c r="R1086" s="91"/>
    </row>
    <row r="1087" spans="2:18" ht="12" customHeight="1" x14ac:dyDescent="0.3">
      <c r="B1087" s="98">
        <f t="shared" si="79"/>
        <v>1084</v>
      </c>
      <c r="C1087" s="97" t="str">
        <f t="shared" si="76"/>
        <v>Jan-00</v>
      </c>
      <c r="D1087" s="96"/>
      <c r="E1087" s="95"/>
      <c r="F1087" s="95"/>
      <c r="G1087" s="95"/>
      <c r="H1087" s="94"/>
      <c r="I1087" s="94"/>
      <c r="J1087" s="91"/>
      <c r="K1087" s="91"/>
      <c r="L1087" s="94"/>
      <c r="M1087" s="93"/>
      <c r="N1087" s="92"/>
      <c r="O1087" s="92"/>
      <c r="P1087" s="91">
        <f t="shared" si="77"/>
        <v>0</v>
      </c>
      <c r="Q1087" s="91">
        <f t="shared" si="78"/>
        <v>0</v>
      </c>
      <c r="R1087" s="91"/>
    </row>
    <row r="1088" spans="2:18" ht="12" customHeight="1" x14ac:dyDescent="0.3">
      <c r="B1088" s="98">
        <f t="shared" si="79"/>
        <v>1085</v>
      </c>
      <c r="C1088" s="97" t="str">
        <f t="shared" si="76"/>
        <v>Jan-00</v>
      </c>
      <c r="D1088" s="96"/>
      <c r="E1088" s="95"/>
      <c r="F1088" s="95"/>
      <c r="G1088" s="95"/>
      <c r="H1088" s="94"/>
      <c r="I1088" s="94"/>
      <c r="J1088" s="91"/>
      <c r="K1088" s="91"/>
      <c r="L1088" s="94"/>
      <c r="M1088" s="93"/>
      <c r="N1088" s="92"/>
      <c r="O1088" s="92"/>
      <c r="P1088" s="91">
        <f t="shared" si="77"/>
        <v>0</v>
      </c>
      <c r="Q1088" s="91">
        <f t="shared" si="78"/>
        <v>0</v>
      </c>
      <c r="R1088" s="91"/>
    </row>
    <row r="1089" spans="2:18" ht="12" customHeight="1" x14ac:dyDescent="0.3">
      <c r="B1089" s="98">
        <f t="shared" si="79"/>
        <v>1086</v>
      </c>
      <c r="C1089" s="97" t="str">
        <f t="shared" si="76"/>
        <v>Jan-00</v>
      </c>
      <c r="D1089" s="96"/>
      <c r="E1089" s="95"/>
      <c r="F1089" s="95"/>
      <c r="G1089" s="95"/>
      <c r="H1089" s="94"/>
      <c r="I1089" s="94"/>
      <c r="J1089" s="91"/>
      <c r="K1089" s="91"/>
      <c r="L1089" s="94"/>
      <c r="M1089" s="93"/>
      <c r="N1089" s="92"/>
      <c r="O1089" s="92"/>
      <c r="P1089" s="91">
        <f t="shared" si="77"/>
        <v>0</v>
      </c>
      <c r="Q1089" s="91">
        <f t="shared" si="78"/>
        <v>0</v>
      </c>
      <c r="R1089" s="91"/>
    </row>
    <row r="1090" spans="2:18" ht="12" customHeight="1" x14ac:dyDescent="0.3">
      <c r="B1090" s="98">
        <f t="shared" si="79"/>
        <v>1087</v>
      </c>
      <c r="C1090" s="97" t="str">
        <f t="shared" si="76"/>
        <v>Jan-00</v>
      </c>
      <c r="D1090" s="96"/>
      <c r="E1090" s="95"/>
      <c r="F1090" s="95"/>
      <c r="G1090" s="95"/>
      <c r="H1090" s="94"/>
      <c r="I1090" s="94"/>
      <c r="J1090" s="91"/>
      <c r="K1090" s="91"/>
      <c r="L1090" s="94"/>
      <c r="M1090" s="93"/>
      <c r="N1090" s="92"/>
      <c r="O1090" s="92"/>
      <c r="P1090" s="91">
        <f t="shared" si="77"/>
        <v>0</v>
      </c>
      <c r="Q1090" s="91">
        <f t="shared" si="78"/>
        <v>0</v>
      </c>
      <c r="R1090" s="91"/>
    </row>
    <row r="1091" spans="2:18" ht="12" customHeight="1" x14ac:dyDescent="0.3">
      <c r="B1091" s="98">
        <f t="shared" si="79"/>
        <v>1088</v>
      </c>
      <c r="C1091" s="97" t="str">
        <f t="shared" si="76"/>
        <v>Jan-00</v>
      </c>
      <c r="D1091" s="96"/>
      <c r="E1091" s="95"/>
      <c r="F1091" s="95"/>
      <c r="G1091" s="95"/>
      <c r="H1091" s="94"/>
      <c r="I1091" s="94"/>
      <c r="J1091" s="91"/>
      <c r="K1091" s="91"/>
      <c r="L1091" s="94"/>
      <c r="M1091" s="93"/>
      <c r="N1091" s="92"/>
      <c r="O1091" s="92"/>
      <c r="P1091" s="91">
        <f t="shared" si="77"/>
        <v>0</v>
      </c>
      <c r="Q1091" s="91">
        <f t="shared" si="78"/>
        <v>0</v>
      </c>
      <c r="R1091" s="91"/>
    </row>
    <row r="1092" spans="2:18" ht="12" customHeight="1" x14ac:dyDescent="0.3">
      <c r="B1092" s="98">
        <f t="shared" si="79"/>
        <v>1089</v>
      </c>
      <c r="C1092" s="97" t="str">
        <f t="shared" ref="C1092:C1155" si="80">CONCATENATE(TEXT(D1092,"mmm"),"-",TEXT(D1092,"yy"))</f>
        <v>Jan-00</v>
      </c>
      <c r="D1092" s="96"/>
      <c r="E1092" s="95"/>
      <c r="F1092" s="95"/>
      <c r="G1092" s="95"/>
      <c r="H1092" s="94"/>
      <c r="I1092" s="94"/>
      <c r="J1092" s="91"/>
      <c r="K1092" s="91"/>
      <c r="L1092" s="94"/>
      <c r="M1092" s="93"/>
      <c r="N1092" s="92"/>
      <c r="O1092" s="92"/>
      <c r="P1092" s="91">
        <f t="shared" ref="P1092:P1155" si="81">O1092*1%</f>
        <v>0</v>
      </c>
      <c r="Q1092" s="91">
        <f t="shared" ref="Q1092:Q1155" si="82">O1092-P1092</f>
        <v>0</v>
      </c>
      <c r="R1092" s="91"/>
    </row>
    <row r="1093" spans="2:18" ht="12" customHeight="1" x14ac:dyDescent="0.3">
      <c r="B1093" s="98">
        <f t="shared" ref="B1093:B1156" si="83">+B1092+1</f>
        <v>1090</v>
      </c>
      <c r="C1093" s="97" t="str">
        <f t="shared" si="80"/>
        <v>Jan-00</v>
      </c>
      <c r="D1093" s="96"/>
      <c r="E1093" s="95"/>
      <c r="F1093" s="95"/>
      <c r="G1093" s="95"/>
      <c r="H1093" s="94"/>
      <c r="I1093" s="94"/>
      <c r="J1093" s="91"/>
      <c r="K1093" s="91"/>
      <c r="L1093" s="94"/>
      <c r="M1093" s="93"/>
      <c r="N1093" s="92"/>
      <c r="O1093" s="92"/>
      <c r="P1093" s="91">
        <f t="shared" si="81"/>
        <v>0</v>
      </c>
      <c r="Q1093" s="91">
        <f t="shared" si="82"/>
        <v>0</v>
      </c>
      <c r="R1093" s="91"/>
    </row>
    <row r="1094" spans="2:18" ht="12" customHeight="1" x14ac:dyDescent="0.3">
      <c r="B1094" s="98">
        <f t="shared" si="83"/>
        <v>1091</v>
      </c>
      <c r="C1094" s="97" t="str">
        <f t="shared" si="80"/>
        <v>Jan-00</v>
      </c>
      <c r="D1094" s="96"/>
      <c r="E1094" s="95"/>
      <c r="F1094" s="95"/>
      <c r="G1094" s="95"/>
      <c r="H1094" s="94"/>
      <c r="I1094" s="94"/>
      <c r="J1094" s="91"/>
      <c r="K1094" s="91"/>
      <c r="L1094" s="94"/>
      <c r="M1094" s="93"/>
      <c r="N1094" s="92"/>
      <c r="O1094" s="92"/>
      <c r="P1094" s="91">
        <f t="shared" si="81"/>
        <v>0</v>
      </c>
      <c r="Q1094" s="91">
        <f t="shared" si="82"/>
        <v>0</v>
      </c>
      <c r="R1094" s="91"/>
    </row>
    <row r="1095" spans="2:18" ht="12" customHeight="1" x14ac:dyDescent="0.3">
      <c r="B1095" s="98">
        <f t="shared" si="83"/>
        <v>1092</v>
      </c>
      <c r="C1095" s="97" t="str">
        <f t="shared" si="80"/>
        <v>Jan-00</v>
      </c>
      <c r="D1095" s="96"/>
      <c r="E1095" s="95"/>
      <c r="F1095" s="95"/>
      <c r="G1095" s="95"/>
      <c r="H1095" s="94"/>
      <c r="I1095" s="94"/>
      <c r="J1095" s="91"/>
      <c r="K1095" s="91"/>
      <c r="L1095" s="94"/>
      <c r="M1095" s="93"/>
      <c r="N1095" s="92"/>
      <c r="O1095" s="92"/>
      <c r="P1095" s="91">
        <f t="shared" si="81"/>
        <v>0</v>
      </c>
      <c r="Q1095" s="91">
        <f t="shared" si="82"/>
        <v>0</v>
      </c>
      <c r="R1095" s="91"/>
    </row>
    <row r="1096" spans="2:18" ht="12" customHeight="1" x14ac:dyDescent="0.3">
      <c r="B1096" s="98">
        <f t="shared" si="83"/>
        <v>1093</v>
      </c>
      <c r="C1096" s="97" t="str">
        <f t="shared" si="80"/>
        <v>Jan-00</v>
      </c>
      <c r="D1096" s="96"/>
      <c r="E1096" s="95"/>
      <c r="F1096" s="95"/>
      <c r="G1096" s="95"/>
      <c r="H1096" s="94"/>
      <c r="I1096" s="94"/>
      <c r="J1096" s="91"/>
      <c r="K1096" s="91"/>
      <c r="L1096" s="94"/>
      <c r="M1096" s="93"/>
      <c r="N1096" s="92"/>
      <c r="O1096" s="92"/>
      <c r="P1096" s="91">
        <f t="shared" si="81"/>
        <v>0</v>
      </c>
      <c r="Q1096" s="91">
        <f t="shared" si="82"/>
        <v>0</v>
      </c>
      <c r="R1096" s="91"/>
    </row>
    <row r="1097" spans="2:18" ht="12" customHeight="1" x14ac:dyDescent="0.3">
      <c r="B1097" s="98">
        <f t="shared" si="83"/>
        <v>1094</v>
      </c>
      <c r="C1097" s="97" t="str">
        <f t="shared" si="80"/>
        <v>Jan-00</v>
      </c>
      <c r="D1097" s="96"/>
      <c r="E1097" s="95"/>
      <c r="F1097" s="95"/>
      <c r="G1097" s="95"/>
      <c r="H1097" s="94"/>
      <c r="I1097" s="94"/>
      <c r="J1097" s="91"/>
      <c r="K1097" s="91"/>
      <c r="L1097" s="94"/>
      <c r="M1097" s="93"/>
      <c r="N1097" s="92"/>
      <c r="O1097" s="92"/>
      <c r="P1097" s="91">
        <f t="shared" si="81"/>
        <v>0</v>
      </c>
      <c r="Q1097" s="91">
        <f t="shared" si="82"/>
        <v>0</v>
      </c>
      <c r="R1097" s="91"/>
    </row>
    <row r="1098" spans="2:18" ht="12" customHeight="1" x14ac:dyDescent="0.3">
      <c r="B1098" s="98">
        <f t="shared" si="83"/>
        <v>1095</v>
      </c>
      <c r="C1098" s="97" t="str">
        <f t="shared" si="80"/>
        <v>Jan-00</v>
      </c>
      <c r="D1098" s="96"/>
      <c r="E1098" s="95"/>
      <c r="F1098" s="95"/>
      <c r="G1098" s="95"/>
      <c r="H1098" s="94"/>
      <c r="I1098" s="94"/>
      <c r="J1098" s="91"/>
      <c r="K1098" s="91"/>
      <c r="L1098" s="94"/>
      <c r="M1098" s="93"/>
      <c r="N1098" s="92"/>
      <c r="O1098" s="92"/>
      <c r="P1098" s="91">
        <f t="shared" si="81"/>
        <v>0</v>
      </c>
      <c r="Q1098" s="91">
        <f t="shared" si="82"/>
        <v>0</v>
      </c>
      <c r="R1098" s="91"/>
    </row>
    <row r="1099" spans="2:18" ht="12" customHeight="1" x14ac:dyDescent="0.3">
      <c r="B1099" s="98">
        <f t="shared" si="83"/>
        <v>1096</v>
      </c>
      <c r="C1099" s="97" t="str">
        <f t="shared" si="80"/>
        <v>Jan-00</v>
      </c>
      <c r="D1099" s="96"/>
      <c r="E1099" s="95"/>
      <c r="F1099" s="95"/>
      <c r="G1099" s="95"/>
      <c r="H1099" s="94"/>
      <c r="I1099" s="94"/>
      <c r="J1099" s="91"/>
      <c r="K1099" s="91"/>
      <c r="L1099" s="94"/>
      <c r="M1099" s="93"/>
      <c r="N1099" s="92"/>
      <c r="O1099" s="92"/>
      <c r="P1099" s="91">
        <f t="shared" si="81"/>
        <v>0</v>
      </c>
      <c r="Q1099" s="91">
        <f t="shared" si="82"/>
        <v>0</v>
      </c>
      <c r="R1099" s="91"/>
    </row>
    <row r="1100" spans="2:18" ht="12" customHeight="1" x14ac:dyDescent="0.3">
      <c r="B1100" s="98">
        <f t="shared" si="83"/>
        <v>1097</v>
      </c>
      <c r="C1100" s="97" t="str">
        <f t="shared" si="80"/>
        <v>Jan-00</v>
      </c>
      <c r="D1100" s="96"/>
      <c r="E1100" s="95"/>
      <c r="F1100" s="95"/>
      <c r="G1100" s="95"/>
      <c r="H1100" s="94"/>
      <c r="I1100" s="94"/>
      <c r="J1100" s="91"/>
      <c r="K1100" s="91"/>
      <c r="L1100" s="94"/>
      <c r="M1100" s="93"/>
      <c r="N1100" s="92"/>
      <c r="O1100" s="92"/>
      <c r="P1100" s="91">
        <f t="shared" si="81"/>
        <v>0</v>
      </c>
      <c r="Q1100" s="91">
        <f t="shared" si="82"/>
        <v>0</v>
      </c>
      <c r="R1100" s="91"/>
    </row>
    <row r="1101" spans="2:18" ht="12" customHeight="1" x14ac:dyDescent="0.3">
      <c r="B1101" s="98">
        <f t="shared" si="83"/>
        <v>1098</v>
      </c>
      <c r="C1101" s="97" t="str">
        <f t="shared" si="80"/>
        <v>Jan-00</v>
      </c>
      <c r="D1101" s="96"/>
      <c r="E1101" s="95"/>
      <c r="F1101" s="95"/>
      <c r="G1101" s="95"/>
      <c r="H1101" s="94"/>
      <c r="I1101" s="94"/>
      <c r="J1101" s="91"/>
      <c r="K1101" s="91"/>
      <c r="L1101" s="94"/>
      <c r="M1101" s="93"/>
      <c r="N1101" s="92"/>
      <c r="O1101" s="92"/>
      <c r="P1101" s="91">
        <f t="shared" si="81"/>
        <v>0</v>
      </c>
      <c r="Q1101" s="91">
        <f t="shared" si="82"/>
        <v>0</v>
      </c>
      <c r="R1101" s="91"/>
    </row>
    <row r="1102" spans="2:18" ht="12" customHeight="1" x14ac:dyDescent="0.3">
      <c r="B1102" s="98">
        <f t="shared" si="83"/>
        <v>1099</v>
      </c>
      <c r="C1102" s="97" t="str">
        <f t="shared" si="80"/>
        <v>Jan-00</v>
      </c>
      <c r="D1102" s="96"/>
      <c r="E1102" s="95"/>
      <c r="F1102" s="95"/>
      <c r="G1102" s="95"/>
      <c r="H1102" s="94"/>
      <c r="I1102" s="94"/>
      <c r="J1102" s="91"/>
      <c r="K1102" s="91"/>
      <c r="L1102" s="94"/>
      <c r="M1102" s="93"/>
      <c r="N1102" s="92"/>
      <c r="O1102" s="92"/>
      <c r="P1102" s="91">
        <f t="shared" si="81"/>
        <v>0</v>
      </c>
      <c r="Q1102" s="91">
        <f t="shared" si="82"/>
        <v>0</v>
      </c>
      <c r="R1102" s="91"/>
    </row>
    <row r="1103" spans="2:18" ht="12" customHeight="1" x14ac:dyDescent="0.3">
      <c r="B1103" s="98">
        <f t="shared" si="83"/>
        <v>1100</v>
      </c>
      <c r="C1103" s="97" t="str">
        <f t="shared" si="80"/>
        <v>Jan-00</v>
      </c>
      <c r="D1103" s="96"/>
      <c r="E1103" s="95"/>
      <c r="F1103" s="95"/>
      <c r="G1103" s="95"/>
      <c r="H1103" s="94"/>
      <c r="I1103" s="94"/>
      <c r="J1103" s="91"/>
      <c r="K1103" s="91"/>
      <c r="L1103" s="94"/>
      <c r="M1103" s="93"/>
      <c r="N1103" s="92"/>
      <c r="O1103" s="92"/>
      <c r="P1103" s="91">
        <f t="shared" si="81"/>
        <v>0</v>
      </c>
      <c r="Q1103" s="91">
        <f t="shared" si="82"/>
        <v>0</v>
      </c>
      <c r="R1103" s="91"/>
    </row>
    <row r="1104" spans="2:18" ht="12" customHeight="1" x14ac:dyDescent="0.3">
      <c r="B1104" s="98">
        <f t="shared" si="83"/>
        <v>1101</v>
      </c>
      <c r="C1104" s="97" t="str">
        <f t="shared" si="80"/>
        <v>Jan-00</v>
      </c>
      <c r="D1104" s="96"/>
      <c r="E1104" s="95"/>
      <c r="F1104" s="95"/>
      <c r="G1104" s="95"/>
      <c r="H1104" s="94"/>
      <c r="I1104" s="94"/>
      <c r="J1104" s="91"/>
      <c r="K1104" s="91"/>
      <c r="L1104" s="94"/>
      <c r="M1104" s="93"/>
      <c r="N1104" s="92"/>
      <c r="O1104" s="92"/>
      <c r="P1104" s="91">
        <f t="shared" si="81"/>
        <v>0</v>
      </c>
      <c r="Q1104" s="91">
        <f t="shared" si="82"/>
        <v>0</v>
      </c>
      <c r="R1104" s="91"/>
    </row>
    <row r="1105" spans="2:18" ht="12" customHeight="1" x14ac:dyDescent="0.3">
      <c r="B1105" s="98">
        <f t="shared" si="83"/>
        <v>1102</v>
      </c>
      <c r="C1105" s="97" t="str">
        <f t="shared" si="80"/>
        <v>Jan-00</v>
      </c>
      <c r="D1105" s="96"/>
      <c r="E1105" s="95"/>
      <c r="F1105" s="95"/>
      <c r="G1105" s="95"/>
      <c r="H1105" s="94"/>
      <c r="I1105" s="94"/>
      <c r="J1105" s="91"/>
      <c r="K1105" s="91"/>
      <c r="L1105" s="94"/>
      <c r="M1105" s="93"/>
      <c r="N1105" s="92"/>
      <c r="O1105" s="92"/>
      <c r="P1105" s="91">
        <f t="shared" si="81"/>
        <v>0</v>
      </c>
      <c r="Q1105" s="91">
        <f t="shared" si="82"/>
        <v>0</v>
      </c>
      <c r="R1105" s="91"/>
    </row>
    <row r="1106" spans="2:18" ht="12" customHeight="1" x14ac:dyDescent="0.3">
      <c r="B1106" s="98">
        <f t="shared" si="83"/>
        <v>1103</v>
      </c>
      <c r="C1106" s="97" t="str">
        <f t="shared" si="80"/>
        <v>Jan-00</v>
      </c>
      <c r="D1106" s="96"/>
      <c r="E1106" s="95"/>
      <c r="F1106" s="95"/>
      <c r="G1106" s="95"/>
      <c r="H1106" s="94"/>
      <c r="I1106" s="94"/>
      <c r="J1106" s="91"/>
      <c r="K1106" s="91"/>
      <c r="L1106" s="94"/>
      <c r="M1106" s="93"/>
      <c r="N1106" s="92"/>
      <c r="O1106" s="92"/>
      <c r="P1106" s="91">
        <f t="shared" si="81"/>
        <v>0</v>
      </c>
      <c r="Q1106" s="91">
        <f t="shared" si="82"/>
        <v>0</v>
      </c>
      <c r="R1106" s="91"/>
    </row>
    <row r="1107" spans="2:18" ht="12" customHeight="1" x14ac:dyDescent="0.3">
      <c r="B1107" s="98">
        <f t="shared" si="83"/>
        <v>1104</v>
      </c>
      <c r="C1107" s="97" t="str">
        <f t="shared" si="80"/>
        <v>Jan-00</v>
      </c>
      <c r="D1107" s="96"/>
      <c r="E1107" s="95"/>
      <c r="F1107" s="95"/>
      <c r="G1107" s="95"/>
      <c r="H1107" s="94"/>
      <c r="I1107" s="94"/>
      <c r="J1107" s="91"/>
      <c r="K1107" s="91"/>
      <c r="L1107" s="94"/>
      <c r="M1107" s="93"/>
      <c r="N1107" s="92"/>
      <c r="O1107" s="92"/>
      <c r="P1107" s="91">
        <f t="shared" si="81"/>
        <v>0</v>
      </c>
      <c r="Q1107" s="91">
        <f t="shared" si="82"/>
        <v>0</v>
      </c>
      <c r="R1107" s="91"/>
    </row>
    <row r="1108" spans="2:18" ht="12" customHeight="1" x14ac:dyDescent="0.3">
      <c r="B1108" s="98">
        <f t="shared" si="83"/>
        <v>1105</v>
      </c>
      <c r="C1108" s="97" t="str">
        <f t="shared" si="80"/>
        <v>Jan-00</v>
      </c>
      <c r="D1108" s="96"/>
      <c r="E1108" s="95"/>
      <c r="F1108" s="95"/>
      <c r="G1108" s="95"/>
      <c r="H1108" s="94"/>
      <c r="I1108" s="94"/>
      <c r="J1108" s="91"/>
      <c r="K1108" s="91"/>
      <c r="L1108" s="94"/>
      <c r="M1108" s="93"/>
      <c r="N1108" s="92"/>
      <c r="O1108" s="92"/>
      <c r="P1108" s="91">
        <f t="shared" si="81"/>
        <v>0</v>
      </c>
      <c r="Q1108" s="91">
        <f t="shared" si="82"/>
        <v>0</v>
      </c>
      <c r="R1108" s="91"/>
    </row>
    <row r="1109" spans="2:18" ht="12" customHeight="1" x14ac:dyDescent="0.3">
      <c r="B1109" s="98">
        <f t="shared" si="83"/>
        <v>1106</v>
      </c>
      <c r="C1109" s="97" t="str">
        <f t="shared" si="80"/>
        <v>Jan-00</v>
      </c>
      <c r="D1109" s="96"/>
      <c r="E1109" s="95"/>
      <c r="F1109" s="95"/>
      <c r="G1109" s="95"/>
      <c r="H1109" s="94"/>
      <c r="I1109" s="94"/>
      <c r="J1109" s="91"/>
      <c r="K1109" s="91"/>
      <c r="L1109" s="94"/>
      <c r="M1109" s="93"/>
      <c r="N1109" s="92"/>
      <c r="O1109" s="92"/>
      <c r="P1109" s="91">
        <f t="shared" si="81"/>
        <v>0</v>
      </c>
      <c r="Q1109" s="91">
        <f t="shared" si="82"/>
        <v>0</v>
      </c>
      <c r="R1109" s="91"/>
    </row>
    <row r="1110" spans="2:18" ht="12" customHeight="1" x14ac:dyDescent="0.3">
      <c r="B1110" s="98">
        <f t="shared" si="83"/>
        <v>1107</v>
      </c>
      <c r="C1110" s="97" t="str">
        <f t="shared" si="80"/>
        <v>Jan-00</v>
      </c>
      <c r="D1110" s="96"/>
      <c r="E1110" s="95"/>
      <c r="F1110" s="95"/>
      <c r="G1110" s="95"/>
      <c r="H1110" s="94"/>
      <c r="I1110" s="94"/>
      <c r="J1110" s="91"/>
      <c r="K1110" s="91"/>
      <c r="L1110" s="94"/>
      <c r="M1110" s="93"/>
      <c r="N1110" s="92"/>
      <c r="O1110" s="92"/>
      <c r="P1110" s="91">
        <f t="shared" si="81"/>
        <v>0</v>
      </c>
      <c r="Q1110" s="91">
        <f t="shared" si="82"/>
        <v>0</v>
      </c>
      <c r="R1110" s="91"/>
    </row>
    <row r="1111" spans="2:18" ht="12" customHeight="1" x14ac:dyDescent="0.3">
      <c r="B1111" s="98">
        <f t="shared" si="83"/>
        <v>1108</v>
      </c>
      <c r="C1111" s="97" t="str">
        <f t="shared" si="80"/>
        <v>Jan-00</v>
      </c>
      <c r="D1111" s="96"/>
      <c r="E1111" s="95"/>
      <c r="F1111" s="95"/>
      <c r="G1111" s="95"/>
      <c r="H1111" s="94"/>
      <c r="I1111" s="94"/>
      <c r="J1111" s="91"/>
      <c r="K1111" s="91"/>
      <c r="L1111" s="94"/>
      <c r="M1111" s="93"/>
      <c r="N1111" s="92"/>
      <c r="O1111" s="92"/>
      <c r="P1111" s="91">
        <f t="shared" si="81"/>
        <v>0</v>
      </c>
      <c r="Q1111" s="91">
        <f t="shared" si="82"/>
        <v>0</v>
      </c>
      <c r="R1111" s="91"/>
    </row>
    <row r="1112" spans="2:18" ht="12" customHeight="1" x14ac:dyDescent="0.3">
      <c r="B1112" s="98">
        <f t="shared" si="83"/>
        <v>1109</v>
      </c>
      <c r="C1112" s="97" t="str">
        <f t="shared" si="80"/>
        <v>Jan-00</v>
      </c>
      <c r="D1112" s="96"/>
      <c r="E1112" s="95"/>
      <c r="F1112" s="95"/>
      <c r="G1112" s="95"/>
      <c r="H1112" s="94"/>
      <c r="I1112" s="94"/>
      <c r="J1112" s="91"/>
      <c r="K1112" s="91"/>
      <c r="L1112" s="94"/>
      <c r="M1112" s="93"/>
      <c r="N1112" s="92"/>
      <c r="O1112" s="92"/>
      <c r="P1112" s="91">
        <f t="shared" si="81"/>
        <v>0</v>
      </c>
      <c r="Q1112" s="91">
        <f t="shared" si="82"/>
        <v>0</v>
      </c>
      <c r="R1112" s="91"/>
    </row>
    <row r="1113" spans="2:18" ht="12" customHeight="1" x14ac:dyDescent="0.3">
      <c r="B1113" s="98">
        <f t="shared" si="83"/>
        <v>1110</v>
      </c>
      <c r="C1113" s="97" t="str">
        <f t="shared" si="80"/>
        <v>Jan-00</v>
      </c>
      <c r="D1113" s="96"/>
      <c r="E1113" s="95"/>
      <c r="F1113" s="95"/>
      <c r="G1113" s="95"/>
      <c r="H1113" s="94"/>
      <c r="I1113" s="94"/>
      <c r="J1113" s="91"/>
      <c r="K1113" s="91"/>
      <c r="L1113" s="94"/>
      <c r="M1113" s="93"/>
      <c r="N1113" s="92"/>
      <c r="O1113" s="92"/>
      <c r="P1113" s="91">
        <f t="shared" si="81"/>
        <v>0</v>
      </c>
      <c r="Q1113" s="91">
        <f t="shared" si="82"/>
        <v>0</v>
      </c>
      <c r="R1113" s="91"/>
    </row>
    <row r="1114" spans="2:18" ht="12" customHeight="1" x14ac:dyDescent="0.3">
      <c r="B1114" s="98">
        <f t="shared" si="83"/>
        <v>1111</v>
      </c>
      <c r="C1114" s="97" t="str">
        <f t="shared" si="80"/>
        <v>Jan-00</v>
      </c>
      <c r="D1114" s="96"/>
      <c r="E1114" s="95"/>
      <c r="F1114" s="95"/>
      <c r="G1114" s="95"/>
      <c r="H1114" s="94"/>
      <c r="I1114" s="94"/>
      <c r="J1114" s="91"/>
      <c r="K1114" s="91"/>
      <c r="L1114" s="94"/>
      <c r="M1114" s="93"/>
      <c r="N1114" s="92"/>
      <c r="O1114" s="92"/>
      <c r="P1114" s="91">
        <f t="shared" si="81"/>
        <v>0</v>
      </c>
      <c r="Q1114" s="91">
        <f t="shared" si="82"/>
        <v>0</v>
      </c>
      <c r="R1114" s="91"/>
    </row>
    <row r="1115" spans="2:18" ht="12" customHeight="1" x14ac:dyDescent="0.3">
      <c r="B1115" s="98">
        <f t="shared" si="83"/>
        <v>1112</v>
      </c>
      <c r="C1115" s="97" t="str">
        <f t="shared" si="80"/>
        <v>Jan-00</v>
      </c>
      <c r="D1115" s="96"/>
      <c r="E1115" s="95"/>
      <c r="F1115" s="95"/>
      <c r="G1115" s="95"/>
      <c r="H1115" s="94"/>
      <c r="I1115" s="94"/>
      <c r="J1115" s="91"/>
      <c r="K1115" s="91"/>
      <c r="L1115" s="94"/>
      <c r="M1115" s="93"/>
      <c r="N1115" s="92"/>
      <c r="O1115" s="92"/>
      <c r="P1115" s="91">
        <f t="shared" si="81"/>
        <v>0</v>
      </c>
      <c r="Q1115" s="91">
        <f t="shared" si="82"/>
        <v>0</v>
      </c>
      <c r="R1115" s="91"/>
    </row>
    <row r="1116" spans="2:18" ht="12" customHeight="1" x14ac:dyDescent="0.3">
      <c r="B1116" s="98">
        <f t="shared" si="83"/>
        <v>1113</v>
      </c>
      <c r="C1116" s="97" t="str">
        <f t="shared" si="80"/>
        <v>Jan-00</v>
      </c>
      <c r="D1116" s="96"/>
      <c r="E1116" s="95"/>
      <c r="F1116" s="95"/>
      <c r="G1116" s="95"/>
      <c r="H1116" s="94"/>
      <c r="I1116" s="94"/>
      <c r="J1116" s="91"/>
      <c r="K1116" s="91"/>
      <c r="L1116" s="94"/>
      <c r="M1116" s="93"/>
      <c r="N1116" s="92"/>
      <c r="O1116" s="92"/>
      <c r="P1116" s="91">
        <f t="shared" si="81"/>
        <v>0</v>
      </c>
      <c r="Q1116" s="91">
        <f t="shared" si="82"/>
        <v>0</v>
      </c>
      <c r="R1116" s="91"/>
    </row>
    <row r="1117" spans="2:18" ht="12" customHeight="1" x14ac:dyDescent="0.3">
      <c r="B1117" s="98">
        <f t="shared" si="83"/>
        <v>1114</v>
      </c>
      <c r="C1117" s="97" t="str">
        <f t="shared" si="80"/>
        <v>Jan-00</v>
      </c>
      <c r="D1117" s="96"/>
      <c r="E1117" s="95"/>
      <c r="F1117" s="95"/>
      <c r="G1117" s="95"/>
      <c r="H1117" s="94"/>
      <c r="I1117" s="94"/>
      <c r="J1117" s="91"/>
      <c r="K1117" s="91"/>
      <c r="L1117" s="94"/>
      <c r="M1117" s="93"/>
      <c r="N1117" s="92"/>
      <c r="O1117" s="92"/>
      <c r="P1117" s="91">
        <f t="shared" si="81"/>
        <v>0</v>
      </c>
      <c r="Q1117" s="91">
        <f t="shared" si="82"/>
        <v>0</v>
      </c>
      <c r="R1117" s="91"/>
    </row>
    <row r="1118" spans="2:18" ht="12" customHeight="1" x14ac:dyDescent="0.3">
      <c r="B1118" s="98">
        <f t="shared" si="83"/>
        <v>1115</v>
      </c>
      <c r="C1118" s="97" t="str">
        <f t="shared" si="80"/>
        <v>Jan-00</v>
      </c>
      <c r="D1118" s="96"/>
      <c r="E1118" s="95"/>
      <c r="F1118" s="95"/>
      <c r="G1118" s="95"/>
      <c r="H1118" s="94"/>
      <c r="I1118" s="94"/>
      <c r="J1118" s="91"/>
      <c r="K1118" s="91"/>
      <c r="L1118" s="94"/>
      <c r="M1118" s="93"/>
      <c r="N1118" s="92"/>
      <c r="O1118" s="92"/>
      <c r="P1118" s="91">
        <f t="shared" si="81"/>
        <v>0</v>
      </c>
      <c r="Q1118" s="91">
        <f t="shared" si="82"/>
        <v>0</v>
      </c>
      <c r="R1118" s="91"/>
    </row>
    <row r="1119" spans="2:18" ht="12" customHeight="1" x14ac:dyDescent="0.3">
      <c r="B1119" s="98">
        <f t="shared" si="83"/>
        <v>1116</v>
      </c>
      <c r="C1119" s="97" t="str">
        <f t="shared" si="80"/>
        <v>Jan-00</v>
      </c>
      <c r="D1119" s="96"/>
      <c r="E1119" s="95"/>
      <c r="F1119" s="95"/>
      <c r="G1119" s="95"/>
      <c r="H1119" s="94"/>
      <c r="I1119" s="94"/>
      <c r="J1119" s="91"/>
      <c r="K1119" s="91"/>
      <c r="L1119" s="94"/>
      <c r="M1119" s="93"/>
      <c r="N1119" s="92"/>
      <c r="O1119" s="92"/>
      <c r="P1119" s="91">
        <f t="shared" si="81"/>
        <v>0</v>
      </c>
      <c r="Q1119" s="91">
        <f t="shared" si="82"/>
        <v>0</v>
      </c>
      <c r="R1119" s="91"/>
    </row>
    <row r="1120" spans="2:18" ht="12" customHeight="1" x14ac:dyDescent="0.3">
      <c r="B1120" s="98">
        <f t="shared" si="83"/>
        <v>1117</v>
      </c>
      <c r="C1120" s="97" t="str">
        <f t="shared" si="80"/>
        <v>Jan-00</v>
      </c>
      <c r="D1120" s="96"/>
      <c r="E1120" s="95"/>
      <c r="F1120" s="95"/>
      <c r="G1120" s="95"/>
      <c r="H1120" s="94"/>
      <c r="I1120" s="94"/>
      <c r="J1120" s="91"/>
      <c r="K1120" s="91"/>
      <c r="L1120" s="94"/>
      <c r="M1120" s="93"/>
      <c r="N1120" s="92"/>
      <c r="O1120" s="92"/>
      <c r="P1120" s="91">
        <f t="shared" si="81"/>
        <v>0</v>
      </c>
      <c r="Q1120" s="91">
        <f t="shared" si="82"/>
        <v>0</v>
      </c>
      <c r="R1120" s="91"/>
    </row>
    <row r="1121" spans="2:18" ht="12" customHeight="1" x14ac:dyDescent="0.3">
      <c r="B1121" s="98">
        <f t="shared" si="83"/>
        <v>1118</v>
      </c>
      <c r="C1121" s="97" t="str">
        <f t="shared" si="80"/>
        <v>Jan-00</v>
      </c>
      <c r="D1121" s="96"/>
      <c r="E1121" s="95"/>
      <c r="F1121" s="95"/>
      <c r="G1121" s="95"/>
      <c r="H1121" s="94"/>
      <c r="I1121" s="94"/>
      <c r="J1121" s="91"/>
      <c r="K1121" s="91"/>
      <c r="L1121" s="94"/>
      <c r="M1121" s="93"/>
      <c r="N1121" s="92"/>
      <c r="O1121" s="92"/>
      <c r="P1121" s="91">
        <f t="shared" si="81"/>
        <v>0</v>
      </c>
      <c r="Q1121" s="91">
        <f t="shared" si="82"/>
        <v>0</v>
      </c>
      <c r="R1121" s="91"/>
    </row>
    <row r="1122" spans="2:18" ht="12" customHeight="1" x14ac:dyDescent="0.3">
      <c r="B1122" s="98">
        <f t="shared" si="83"/>
        <v>1119</v>
      </c>
      <c r="C1122" s="97" t="str">
        <f t="shared" si="80"/>
        <v>Jan-00</v>
      </c>
      <c r="D1122" s="96"/>
      <c r="E1122" s="95"/>
      <c r="F1122" s="95"/>
      <c r="G1122" s="95"/>
      <c r="H1122" s="94"/>
      <c r="I1122" s="94"/>
      <c r="J1122" s="91"/>
      <c r="K1122" s="91"/>
      <c r="L1122" s="94"/>
      <c r="M1122" s="93"/>
      <c r="N1122" s="92"/>
      <c r="O1122" s="92"/>
      <c r="P1122" s="91">
        <f t="shared" si="81"/>
        <v>0</v>
      </c>
      <c r="Q1122" s="91">
        <f t="shared" si="82"/>
        <v>0</v>
      </c>
      <c r="R1122" s="91"/>
    </row>
    <row r="1123" spans="2:18" ht="12" customHeight="1" x14ac:dyDescent="0.3">
      <c r="B1123" s="98">
        <f t="shared" si="83"/>
        <v>1120</v>
      </c>
      <c r="C1123" s="97" t="str">
        <f t="shared" si="80"/>
        <v>Jan-00</v>
      </c>
      <c r="D1123" s="96"/>
      <c r="E1123" s="95"/>
      <c r="F1123" s="95"/>
      <c r="G1123" s="95"/>
      <c r="H1123" s="94"/>
      <c r="I1123" s="94"/>
      <c r="J1123" s="91"/>
      <c r="K1123" s="91"/>
      <c r="L1123" s="94"/>
      <c r="M1123" s="93"/>
      <c r="N1123" s="92"/>
      <c r="O1123" s="92"/>
      <c r="P1123" s="91">
        <f t="shared" si="81"/>
        <v>0</v>
      </c>
      <c r="Q1123" s="91">
        <f t="shared" si="82"/>
        <v>0</v>
      </c>
      <c r="R1123" s="91"/>
    </row>
    <row r="1124" spans="2:18" ht="12" customHeight="1" x14ac:dyDescent="0.3">
      <c r="B1124" s="98">
        <f t="shared" si="83"/>
        <v>1121</v>
      </c>
      <c r="C1124" s="97" t="str">
        <f t="shared" si="80"/>
        <v>Jan-00</v>
      </c>
      <c r="D1124" s="96"/>
      <c r="E1124" s="95"/>
      <c r="F1124" s="95"/>
      <c r="G1124" s="95"/>
      <c r="H1124" s="94"/>
      <c r="I1124" s="94"/>
      <c r="J1124" s="91"/>
      <c r="K1124" s="91"/>
      <c r="L1124" s="94"/>
      <c r="M1124" s="93"/>
      <c r="N1124" s="92"/>
      <c r="O1124" s="92"/>
      <c r="P1124" s="91">
        <f t="shared" si="81"/>
        <v>0</v>
      </c>
      <c r="Q1124" s="91">
        <f t="shared" si="82"/>
        <v>0</v>
      </c>
      <c r="R1124" s="91"/>
    </row>
    <row r="1125" spans="2:18" ht="12" customHeight="1" x14ac:dyDescent="0.3">
      <c r="B1125" s="98">
        <f t="shared" si="83"/>
        <v>1122</v>
      </c>
      <c r="C1125" s="97" t="str">
        <f t="shared" si="80"/>
        <v>Jan-00</v>
      </c>
      <c r="D1125" s="96"/>
      <c r="E1125" s="95"/>
      <c r="F1125" s="95"/>
      <c r="G1125" s="95"/>
      <c r="H1125" s="94"/>
      <c r="I1125" s="94"/>
      <c r="J1125" s="91"/>
      <c r="K1125" s="91"/>
      <c r="L1125" s="94"/>
      <c r="M1125" s="93"/>
      <c r="N1125" s="92"/>
      <c r="O1125" s="92"/>
      <c r="P1125" s="91">
        <f t="shared" si="81"/>
        <v>0</v>
      </c>
      <c r="Q1125" s="91">
        <f t="shared" si="82"/>
        <v>0</v>
      </c>
      <c r="R1125" s="91"/>
    </row>
    <row r="1126" spans="2:18" ht="12" customHeight="1" x14ac:dyDescent="0.3">
      <c r="B1126" s="98">
        <f t="shared" si="83"/>
        <v>1123</v>
      </c>
      <c r="C1126" s="97" t="str">
        <f t="shared" si="80"/>
        <v>Jan-00</v>
      </c>
      <c r="D1126" s="96"/>
      <c r="E1126" s="95"/>
      <c r="F1126" s="95"/>
      <c r="G1126" s="95"/>
      <c r="H1126" s="94"/>
      <c r="I1126" s="94"/>
      <c r="J1126" s="91"/>
      <c r="K1126" s="91"/>
      <c r="L1126" s="94"/>
      <c r="M1126" s="93"/>
      <c r="N1126" s="92"/>
      <c r="O1126" s="92"/>
      <c r="P1126" s="91">
        <f t="shared" si="81"/>
        <v>0</v>
      </c>
      <c r="Q1126" s="91">
        <f t="shared" si="82"/>
        <v>0</v>
      </c>
      <c r="R1126" s="91"/>
    </row>
    <row r="1127" spans="2:18" ht="12" customHeight="1" x14ac:dyDescent="0.3">
      <c r="B1127" s="98">
        <f t="shared" si="83"/>
        <v>1124</v>
      </c>
      <c r="C1127" s="97" t="str">
        <f t="shared" si="80"/>
        <v>Jan-00</v>
      </c>
      <c r="D1127" s="96"/>
      <c r="E1127" s="95"/>
      <c r="F1127" s="95"/>
      <c r="G1127" s="95"/>
      <c r="H1127" s="94"/>
      <c r="I1127" s="94"/>
      <c r="J1127" s="91"/>
      <c r="K1127" s="91"/>
      <c r="L1127" s="94"/>
      <c r="M1127" s="93"/>
      <c r="N1127" s="92"/>
      <c r="O1127" s="92"/>
      <c r="P1127" s="91">
        <f t="shared" si="81"/>
        <v>0</v>
      </c>
      <c r="Q1127" s="91">
        <f t="shared" si="82"/>
        <v>0</v>
      </c>
      <c r="R1127" s="91"/>
    </row>
    <row r="1128" spans="2:18" ht="12" customHeight="1" x14ac:dyDescent="0.3">
      <c r="B1128" s="98">
        <f t="shared" si="83"/>
        <v>1125</v>
      </c>
      <c r="C1128" s="97" t="str">
        <f t="shared" si="80"/>
        <v>Jan-00</v>
      </c>
      <c r="D1128" s="96"/>
      <c r="E1128" s="95"/>
      <c r="F1128" s="95"/>
      <c r="G1128" s="95"/>
      <c r="H1128" s="94"/>
      <c r="I1128" s="94"/>
      <c r="J1128" s="91"/>
      <c r="K1128" s="91"/>
      <c r="L1128" s="94"/>
      <c r="M1128" s="93"/>
      <c r="N1128" s="92"/>
      <c r="O1128" s="92"/>
      <c r="P1128" s="91">
        <f t="shared" si="81"/>
        <v>0</v>
      </c>
      <c r="Q1128" s="91">
        <f t="shared" si="82"/>
        <v>0</v>
      </c>
      <c r="R1128" s="91"/>
    </row>
    <row r="1129" spans="2:18" ht="12" customHeight="1" x14ac:dyDescent="0.3">
      <c r="B1129" s="98">
        <f t="shared" si="83"/>
        <v>1126</v>
      </c>
      <c r="C1129" s="97" t="str">
        <f t="shared" si="80"/>
        <v>Jan-00</v>
      </c>
      <c r="D1129" s="96"/>
      <c r="E1129" s="95"/>
      <c r="F1129" s="95"/>
      <c r="G1129" s="95"/>
      <c r="H1129" s="94"/>
      <c r="I1129" s="94"/>
      <c r="J1129" s="91"/>
      <c r="K1129" s="91"/>
      <c r="L1129" s="94"/>
      <c r="M1129" s="93"/>
      <c r="N1129" s="92"/>
      <c r="O1129" s="92"/>
      <c r="P1129" s="91">
        <f t="shared" si="81"/>
        <v>0</v>
      </c>
      <c r="Q1129" s="91">
        <f t="shared" si="82"/>
        <v>0</v>
      </c>
      <c r="R1129" s="91"/>
    </row>
    <row r="1130" spans="2:18" ht="12" customHeight="1" x14ac:dyDescent="0.3">
      <c r="B1130" s="98">
        <f t="shared" si="83"/>
        <v>1127</v>
      </c>
      <c r="C1130" s="97" t="str">
        <f t="shared" si="80"/>
        <v>Jan-00</v>
      </c>
      <c r="D1130" s="96"/>
      <c r="E1130" s="95"/>
      <c r="F1130" s="95"/>
      <c r="G1130" s="95"/>
      <c r="H1130" s="94"/>
      <c r="I1130" s="94"/>
      <c r="J1130" s="91"/>
      <c r="K1130" s="91"/>
      <c r="L1130" s="94"/>
      <c r="M1130" s="93"/>
      <c r="N1130" s="92"/>
      <c r="O1130" s="92"/>
      <c r="P1130" s="91">
        <f t="shared" si="81"/>
        <v>0</v>
      </c>
      <c r="Q1130" s="91">
        <f t="shared" si="82"/>
        <v>0</v>
      </c>
      <c r="R1130" s="91"/>
    </row>
    <row r="1131" spans="2:18" ht="12" customHeight="1" x14ac:dyDescent="0.3">
      <c r="B1131" s="98">
        <f t="shared" si="83"/>
        <v>1128</v>
      </c>
      <c r="C1131" s="97" t="str">
        <f t="shared" si="80"/>
        <v>Jan-00</v>
      </c>
      <c r="D1131" s="96"/>
      <c r="E1131" s="95"/>
      <c r="F1131" s="95"/>
      <c r="G1131" s="95"/>
      <c r="H1131" s="94"/>
      <c r="I1131" s="94"/>
      <c r="J1131" s="91"/>
      <c r="K1131" s="91"/>
      <c r="L1131" s="94"/>
      <c r="M1131" s="93"/>
      <c r="N1131" s="92"/>
      <c r="O1131" s="92"/>
      <c r="P1131" s="91">
        <f t="shared" si="81"/>
        <v>0</v>
      </c>
      <c r="Q1131" s="91">
        <f t="shared" si="82"/>
        <v>0</v>
      </c>
      <c r="R1131" s="91"/>
    </row>
    <row r="1132" spans="2:18" ht="12" customHeight="1" x14ac:dyDescent="0.3">
      <c r="B1132" s="98">
        <f t="shared" si="83"/>
        <v>1129</v>
      </c>
      <c r="C1132" s="97" t="str">
        <f t="shared" si="80"/>
        <v>Jan-00</v>
      </c>
      <c r="D1132" s="96"/>
      <c r="E1132" s="95"/>
      <c r="F1132" s="95"/>
      <c r="G1132" s="95"/>
      <c r="H1132" s="94"/>
      <c r="I1132" s="94"/>
      <c r="J1132" s="91"/>
      <c r="K1132" s="91"/>
      <c r="L1132" s="94"/>
      <c r="M1132" s="93"/>
      <c r="N1132" s="92"/>
      <c r="O1132" s="92"/>
      <c r="P1132" s="91">
        <f t="shared" si="81"/>
        <v>0</v>
      </c>
      <c r="Q1132" s="91">
        <f t="shared" si="82"/>
        <v>0</v>
      </c>
      <c r="R1132" s="91"/>
    </row>
    <row r="1133" spans="2:18" ht="12" customHeight="1" x14ac:dyDescent="0.3">
      <c r="B1133" s="98">
        <f t="shared" si="83"/>
        <v>1130</v>
      </c>
      <c r="C1133" s="97" t="str">
        <f t="shared" si="80"/>
        <v>Jan-00</v>
      </c>
      <c r="D1133" s="96"/>
      <c r="E1133" s="95"/>
      <c r="F1133" s="95"/>
      <c r="G1133" s="95"/>
      <c r="H1133" s="94"/>
      <c r="I1133" s="94"/>
      <c r="J1133" s="91"/>
      <c r="K1133" s="91"/>
      <c r="L1133" s="94"/>
      <c r="M1133" s="93"/>
      <c r="N1133" s="92"/>
      <c r="O1133" s="92"/>
      <c r="P1133" s="91">
        <f t="shared" si="81"/>
        <v>0</v>
      </c>
      <c r="Q1133" s="91">
        <f t="shared" si="82"/>
        <v>0</v>
      </c>
      <c r="R1133" s="91"/>
    </row>
    <row r="1134" spans="2:18" ht="12" customHeight="1" x14ac:dyDescent="0.3">
      <c r="B1134" s="98">
        <f t="shared" si="83"/>
        <v>1131</v>
      </c>
      <c r="C1134" s="97" t="str">
        <f t="shared" si="80"/>
        <v>Jan-00</v>
      </c>
      <c r="D1134" s="96"/>
      <c r="E1134" s="95"/>
      <c r="F1134" s="95"/>
      <c r="G1134" s="95"/>
      <c r="H1134" s="94"/>
      <c r="I1134" s="94"/>
      <c r="J1134" s="91"/>
      <c r="K1134" s="91"/>
      <c r="L1134" s="94"/>
      <c r="M1134" s="93"/>
      <c r="N1134" s="92"/>
      <c r="O1134" s="92"/>
      <c r="P1134" s="91">
        <f t="shared" si="81"/>
        <v>0</v>
      </c>
      <c r="Q1134" s="91">
        <f t="shared" si="82"/>
        <v>0</v>
      </c>
      <c r="R1134" s="91"/>
    </row>
    <row r="1135" spans="2:18" ht="12" customHeight="1" x14ac:dyDescent="0.3">
      <c r="B1135" s="98">
        <f t="shared" si="83"/>
        <v>1132</v>
      </c>
      <c r="C1135" s="97" t="str">
        <f t="shared" si="80"/>
        <v>Jan-00</v>
      </c>
      <c r="D1135" s="96"/>
      <c r="E1135" s="95"/>
      <c r="F1135" s="95"/>
      <c r="G1135" s="95"/>
      <c r="H1135" s="94"/>
      <c r="I1135" s="94"/>
      <c r="J1135" s="91"/>
      <c r="K1135" s="91"/>
      <c r="L1135" s="94"/>
      <c r="M1135" s="93"/>
      <c r="N1135" s="92"/>
      <c r="O1135" s="92"/>
      <c r="P1135" s="91">
        <f t="shared" si="81"/>
        <v>0</v>
      </c>
      <c r="Q1135" s="91">
        <f t="shared" si="82"/>
        <v>0</v>
      </c>
      <c r="R1135" s="91"/>
    </row>
    <row r="1136" spans="2:18" ht="12" customHeight="1" x14ac:dyDescent="0.3">
      <c r="B1136" s="98">
        <f t="shared" si="83"/>
        <v>1133</v>
      </c>
      <c r="C1136" s="97" t="str">
        <f t="shared" si="80"/>
        <v>Jan-00</v>
      </c>
      <c r="D1136" s="96"/>
      <c r="E1136" s="95"/>
      <c r="F1136" s="95"/>
      <c r="G1136" s="95"/>
      <c r="H1136" s="94"/>
      <c r="I1136" s="94"/>
      <c r="J1136" s="91"/>
      <c r="K1136" s="91"/>
      <c r="L1136" s="94"/>
      <c r="M1136" s="93"/>
      <c r="N1136" s="92"/>
      <c r="O1136" s="92"/>
      <c r="P1136" s="91">
        <f t="shared" si="81"/>
        <v>0</v>
      </c>
      <c r="Q1136" s="91">
        <f t="shared" si="82"/>
        <v>0</v>
      </c>
      <c r="R1136" s="91"/>
    </row>
    <row r="1137" spans="2:18" ht="12" customHeight="1" x14ac:dyDescent="0.3">
      <c r="B1137" s="98">
        <f t="shared" si="83"/>
        <v>1134</v>
      </c>
      <c r="C1137" s="97" t="str">
        <f t="shared" si="80"/>
        <v>Jan-00</v>
      </c>
      <c r="D1137" s="96"/>
      <c r="E1137" s="95"/>
      <c r="F1137" s="95"/>
      <c r="G1137" s="95"/>
      <c r="H1137" s="94"/>
      <c r="I1137" s="94"/>
      <c r="J1137" s="91"/>
      <c r="K1137" s="91"/>
      <c r="L1137" s="94"/>
      <c r="M1137" s="93"/>
      <c r="N1137" s="92"/>
      <c r="O1137" s="92"/>
      <c r="P1137" s="91">
        <f t="shared" si="81"/>
        <v>0</v>
      </c>
      <c r="Q1137" s="91">
        <f t="shared" si="82"/>
        <v>0</v>
      </c>
      <c r="R1137" s="91"/>
    </row>
    <row r="1138" spans="2:18" ht="12" customHeight="1" x14ac:dyDescent="0.3">
      <c r="B1138" s="98">
        <f t="shared" si="83"/>
        <v>1135</v>
      </c>
      <c r="C1138" s="97" t="str">
        <f t="shared" si="80"/>
        <v>Jan-00</v>
      </c>
      <c r="D1138" s="96"/>
      <c r="E1138" s="95"/>
      <c r="F1138" s="95"/>
      <c r="G1138" s="95"/>
      <c r="H1138" s="94"/>
      <c r="I1138" s="94"/>
      <c r="J1138" s="91"/>
      <c r="K1138" s="91"/>
      <c r="L1138" s="94"/>
      <c r="M1138" s="93"/>
      <c r="N1138" s="92"/>
      <c r="O1138" s="92"/>
      <c r="P1138" s="91">
        <f t="shared" si="81"/>
        <v>0</v>
      </c>
      <c r="Q1138" s="91">
        <f t="shared" si="82"/>
        <v>0</v>
      </c>
      <c r="R1138" s="91"/>
    </row>
    <row r="1139" spans="2:18" ht="12" customHeight="1" x14ac:dyDescent="0.3">
      <c r="B1139" s="98">
        <f t="shared" si="83"/>
        <v>1136</v>
      </c>
      <c r="C1139" s="97" t="str">
        <f t="shared" si="80"/>
        <v>Jan-00</v>
      </c>
      <c r="D1139" s="96"/>
      <c r="E1139" s="95"/>
      <c r="F1139" s="95"/>
      <c r="G1139" s="95"/>
      <c r="H1139" s="94"/>
      <c r="I1139" s="94"/>
      <c r="J1139" s="91"/>
      <c r="K1139" s="91"/>
      <c r="L1139" s="94"/>
      <c r="M1139" s="93"/>
      <c r="N1139" s="92"/>
      <c r="O1139" s="92"/>
      <c r="P1139" s="91">
        <f t="shared" si="81"/>
        <v>0</v>
      </c>
      <c r="Q1139" s="91">
        <f t="shared" si="82"/>
        <v>0</v>
      </c>
      <c r="R1139" s="91"/>
    </row>
    <row r="1140" spans="2:18" ht="12" customHeight="1" x14ac:dyDescent="0.3">
      <c r="B1140" s="98">
        <f t="shared" si="83"/>
        <v>1137</v>
      </c>
      <c r="C1140" s="97" t="str">
        <f t="shared" si="80"/>
        <v>Jan-00</v>
      </c>
      <c r="D1140" s="96"/>
      <c r="E1140" s="95"/>
      <c r="F1140" s="95"/>
      <c r="G1140" s="95"/>
      <c r="H1140" s="94"/>
      <c r="I1140" s="94"/>
      <c r="J1140" s="91"/>
      <c r="K1140" s="91"/>
      <c r="L1140" s="94"/>
      <c r="M1140" s="93"/>
      <c r="N1140" s="92"/>
      <c r="O1140" s="92"/>
      <c r="P1140" s="91">
        <f t="shared" si="81"/>
        <v>0</v>
      </c>
      <c r="Q1140" s="91">
        <f t="shared" si="82"/>
        <v>0</v>
      </c>
      <c r="R1140" s="91"/>
    </row>
    <row r="1141" spans="2:18" ht="12" customHeight="1" x14ac:dyDescent="0.3">
      <c r="B1141" s="98">
        <f t="shared" si="83"/>
        <v>1138</v>
      </c>
      <c r="C1141" s="97" t="str">
        <f t="shared" si="80"/>
        <v>Jan-00</v>
      </c>
      <c r="D1141" s="96"/>
      <c r="E1141" s="95"/>
      <c r="F1141" s="95"/>
      <c r="G1141" s="95"/>
      <c r="H1141" s="94"/>
      <c r="I1141" s="94"/>
      <c r="J1141" s="91"/>
      <c r="K1141" s="91"/>
      <c r="L1141" s="94"/>
      <c r="M1141" s="93"/>
      <c r="N1141" s="92"/>
      <c r="O1141" s="92"/>
      <c r="P1141" s="91">
        <f t="shared" si="81"/>
        <v>0</v>
      </c>
      <c r="Q1141" s="91">
        <f t="shared" si="82"/>
        <v>0</v>
      </c>
      <c r="R1141" s="91"/>
    </row>
    <row r="1142" spans="2:18" ht="12" customHeight="1" x14ac:dyDescent="0.3">
      <c r="B1142" s="98">
        <f t="shared" si="83"/>
        <v>1139</v>
      </c>
      <c r="C1142" s="97" t="str">
        <f t="shared" si="80"/>
        <v>Jan-00</v>
      </c>
      <c r="D1142" s="96"/>
      <c r="E1142" s="95"/>
      <c r="F1142" s="95"/>
      <c r="G1142" s="95"/>
      <c r="H1142" s="94"/>
      <c r="I1142" s="94"/>
      <c r="J1142" s="91"/>
      <c r="K1142" s="91"/>
      <c r="L1142" s="94"/>
      <c r="M1142" s="93"/>
      <c r="N1142" s="92"/>
      <c r="O1142" s="92"/>
      <c r="P1142" s="91">
        <f t="shared" si="81"/>
        <v>0</v>
      </c>
      <c r="Q1142" s="91">
        <f t="shared" si="82"/>
        <v>0</v>
      </c>
      <c r="R1142" s="91"/>
    </row>
    <row r="1143" spans="2:18" ht="12" customHeight="1" x14ac:dyDescent="0.3">
      <c r="B1143" s="98">
        <f t="shared" si="83"/>
        <v>1140</v>
      </c>
      <c r="C1143" s="97" t="str">
        <f t="shared" si="80"/>
        <v>Jan-00</v>
      </c>
      <c r="D1143" s="96"/>
      <c r="E1143" s="95"/>
      <c r="F1143" s="95"/>
      <c r="G1143" s="95"/>
      <c r="H1143" s="94"/>
      <c r="I1143" s="94"/>
      <c r="J1143" s="91"/>
      <c r="K1143" s="91"/>
      <c r="L1143" s="94"/>
      <c r="M1143" s="93"/>
      <c r="N1143" s="92"/>
      <c r="O1143" s="92"/>
      <c r="P1143" s="91">
        <f t="shared" si="81"/>
        <v>0</v>
      </c>
      <c r="Q1143" s="91">
        <f t="shared" si="82"/>
        <v>0</v>
      </c>
      <c r="R1143" s="91"/>
    </row>
    <row r="1144" spans="2:18" ht="12" customHeight="1" x14ac:dyDescent="0.3">
      <c r="B1144" s="98">
        <f t="shared" si="83"/>
        <v>1141</v>
      </c>
      <c r="C1144" s="97" t="str">
        <f t="shared" si="80"/>
        <v>Jan-00</v>
      </c>
      <c r="D1144" s="96"/>
      <c r="E1144" s="95"/>
      <c r="F1144" s="95"/>
      <c r="G1144" s="95"/>
      <c r="H1144" s="94"/>
      <c r="I1144" s="94"/>
      <c r="J1144" s="91"/>
      <c r="K1144" s="91"/>
      <c r="L1144" s="94"/>
      <c r="M1144" s="93"/>
      <c r="N1144" s="92"/>
      <c r="O1144" s="92"/>
      <c r="P1144" s="91">
        <f t="shared" si="81"/>
        <v>0</v>
      </c>
      <c r="Q1144" s="91">
        <f t="shared" si="82"/>
        <v>0</v>
      </c>
      <c r="R1144" s="91"/>
    </row>
    <row r="1145" spans="2:18" ht="12" customHeight="1" x14ac:dyDescent="0.3">
      <c r="B1145" s="98">
        <f t="shared" si="83"/>
        <v>1142</v>
      </c>
      <c r="C1145" s="97" t="str">
        <f t="shared" si="80"/>
        <v>Jan-00</v>
      </c>
      <c r="D1145" s="96"/>
      <c r="E1145" s="95"/>
      <c r="F1145" s="95"/>
      <c r="G1145" s="95"/>
      <c r="H1145" s="94"/>
      <c r="I1145" s="94"/>
      <c r="J1145" s="91"/>
      <c r="K1145" s="91"/>
      <c r="L1145" s="94"/>
      <c r="M1145" s="93"/>
      <c r="N1145" s="92"/>
      <c r="O1145" s="92"/>
      <c r="P1145" s="91">
        <f t="shared" si="81"/>
        <v>0</v>
      </c>
      <c r="Q1145" s="91">
        <f t="shared" si="82"/>
        <v>0</v>
      </c>
      <c r="R1145" s="91"/>
    </row>
    <row r="1146" spans="2:18" ht="12" customHeight="1" x14ac:dyDescent="0.3">
      <c r="B1146" s="98">
        <f t="shared" si="83"/>
        <v>1143</v>
      </c>
      <c r="C1146" s="97" t="str">
        <f t="shared" si="80"/>
        <v>Jan-00</v>
      </c>
      <c r="D1146" s="96"/>
      <c r="E1146" s="95"/>
      <c r="F1146" s="95"/>
      <c r="G1146" s="95"/>
      <c r="H1146" s="94"/>
      <c r="I1146" s="94"/>
      <c r="J1146" s="91"/>
      <c r="K1146" s="91"/>
      <c r="L1146" s="94"/>
      <c r="M1146" s="93"/>
      <c r="N1146" s="92"/>
      <c r="O1146" s="92"/>
      <c r="P1146" s="91">
        <f t="shared" si="81"/>
        <v>0</v>
      </c>
      <c r="Q1146" s="91">
        <f t="shared" si="82"/>
        <v>0</v>
      </c>
      <c r="R1146" s="91"/>
    </row>
    <row r="1147" spans="2:18" ht="12" customHeight="1" x14ac:dyDescent="0.3">
      <c r="B1147" s="98">
        <f t="shared" si="83"/>
        <v>1144</v>
      </c>
      <c r="C1147" s="97" t="str">
        <f t="shared" si="80"/>
        <v>Jan-00</v>
      </c>
      <c r="D1147" s="96"/>
      <c r="E1147" s="95"/>
      <c r="F1147" s="95"/>
      <c r="G1147" s="95"/>
      <c r="H1147" s="94"/>
      <c r="I1147" s="94"/>
      <c r="J1147" s="91"/>
      <c r="K1147" s="91"/>
      <c r="L1147" s="94"/>
      <c r="M1147" s="93"/>
      <c r="N1147" s="92"/>
      <c r="O1147" s="92"/>
      <c r="P1147" s="91">
        <f t="shared" si="81"/>
        <v>0</v>
      </c>
      <c r="Q1147" s="91">
        <f t="shared" si="82"/>
        <v>0</v>
      </c>
      <c r="R1147" s="91"/>
    </row>
    <row r="1148" spans="2:18" ht="12" customHeight="1" x14ac:dyDescent="0.3">
      <c r="B1148" s="98">
        <f t="shared" si="83"/>
        <v>1145</v>
      </c>
      <c r="C1148" s="97" t="str">
        <f t="shared" si="80"/>
        <v>Jan-00</v>
      </c>
      <c r="D1148" s="96"/>
      <c r="E1148" s="95"/>
      <c r="F1148" s="95"/>
      <c r="G1148" s="95"/>
      <c r="H1148" s="94"/>
      <c r="I1148" s="94"/>
      <c r="J1148" s="91"/>
      <c r="K1148" s="91"/>
      <c r="L1148" s="94"/>
      <c r="M1148" s="93"/>
      <c r="N1148" s="92"/>
      <c r="O1148" s="92"/>
      <c r="P1148" s="91">
        <f t="shared" si="81"/>
        <v>0</v>
      </c>
      <c r="Q1148" s="91">
        <f t="shared" si="82"/>
        <v>0</v>
      </c>
      <c r="R1148" s="91"/>
    </row>
    <row r="1149" spans="2:18" ht="12" customHeight="1" x14ac:dyDescent="0.3">
      <c r="B1149" s="98">
        <f t="shared" si="83"/>
        <v>1146</v>
      </c>
      <c r="C1149" s="97" t="str">
        <f t="shared" si="80"/>
        <v>Jan-00</v>
      </c>
      <c r="D1149" s="96"/>
      <c r="E1149" s="95"/>
      <c r="F1149" s="95"/>
      <c r="G1149" s="95"/>
      <c r="H1149" s="94"/>
      <c r="I1149" s="94"/>
      <c r="J1149" s="91"/>
      <c r="K1149" s="91"/>
      <c r="L1149" s="94"/>
      <c r="M1149" s="93"/>
      <c r="N1149" s="92"/>
      <c r="O1149" s="92"/>
      <c r="P1149" s="91">
        <f t="shared" si="81"/>
        <v>0</v>
      </c>
      <c r="Q1149" s="91">
        <f t="shared" si="82"/>
        <v>0</v>
      </c>
      <c r="R1149" s="91"/>
    </row>
    <row r="1150" spans="2:18" ht="12" customHeight="1" x14ac:dyDescent="0.3">
      <c r="B1150" s="98">
        <f t="shared" si="83"/>
        <v>1147</v>
      </c>
      <c r="C1150" s="97" t="str">
        <f t="shared" si="80"/>
        <v>Jan-00</v>
      </c>
      <c r="D1150" s="96"/>
      <c r="E1150" s="95"/>
      <c r="F1150" s="95"/>
      <c r="G1150" s="95"/>
      <c r="H1150" s="94"/>
      <c r="I1150" s="94"/>
      <c r="J1150" s="91"/>
      <c r="K1150" s="91"/>
      <c r="L1150" s="94"/>
      <c r="M1150" s="93"/>
      <c r="N1150" s="92"/>
      <c r="O1150" s="92"/>
      <c r="P1150" s="91">
        <f t="shared" si="81"/>
        <v>0</v>
      </c>
      <c r="Q1150" s="91">
        <f t="shared" si="82"/>
        <v>0</v>
      </c>
      <c r="R1150" s="91"/>
    </row>
    <row r="1151" spans="2:18" ht="12" customHeight="1" x14ac:dyDescent="0.3">
      <c r="B1151" s="98">
        <f t="shared" si="83"/>
        <v>1148</v>
      </c>
      <c r="C1151" s="97" t="str">
        <f t="shared" si="80"/>
        <v>Jan-00</v>
      </c>
      <c r="D1151" s="96"/>
      <c r="E1151" s="95"/>
      <c r="F1151" s="95"/>
      <c r="G1151" s="95"/>
      <c r="H1151" s="94"/>
      <c r="I1151" s="94"/>
      <c r="J1151" s="91"/>
      <c r="K1151" s="91"/>
      <c r="L1151" s="94"/>
      <c r="M1151" s="93"/>
      <c r="N1151" s="92"/>
      <c r="O1151" s="92"/>
      <c r="P1151" s="91">
        <f t="shared" si="81"/>
        <v>0</v>
      </c>
      <c r="Q1151" s="91">
        <f t="shared" si="82"/>
        <v>0</v>
      </c>
      <c r="R1151" s="91"/>
    </row>
    <row r="1152" spans="2:18" ht="12" customHeight="1" x14ac:dyDescent="0.3">
      <c r="B1152" s="98">
        <f t="shared" si="83"/>
        <v>1149</v>
      </c>
      <c r="C1152" s="97" t="str">
        <f t="shared" si="80"/>
        <v>Jan-00</v>
      </c>
      <c r="D1152" s="96"/>
      <c r="E1152" s="95"/>
      <c r="F1152" s="95"/>
      <c r="G1152" s="95"/>
      <c r="H1152" s="94"/>
      <c r="I1152" s="94"/>
      <c r="J1152" s="91"/>
      <c r="K1152" s="91"/>
      <c r="L1152" s="94"/>
      <c r="M1152" s="93"/>
      <c r="N1152" s="92"/>
      <c r="O1152" s="92"/>
      <c r="P1152" s="91">
        <f t="shared" si="81"/>
        <v>0</v>
      </c>
      <c r="Q1152" s="91">
        <f t="shared" si="82"/>
        <v>0</v>
      </c>
      <c r="R1152" s="91"/>
    </row>
    <row r="1153" spans="2:18" ht="12" customHeight="1" x14ac:dyDescent="0.3">
      <c r="B1153" s="98">
        <f t="shared" si="83"/>
        <v>1150</v>
      </c>
      <c r="C1153" s="97" t="str">
        <f t="shared" si="80"/>
        <v>Jan-00</v>
      </c>
      <c r="D1153" s="96"/>
      <c r="E1153" s="95"/>
      <c r="F1153" s="95"/>
      <c r="G1153" s="95"/>
      <c r="H1153" s="94"/>
      <c r="I1153" s="94"/>
      <c r="J1153" s="91"/>
      <c r="K1153" s="91"/>
      <c r="L1153" s="94"/>
      <c r="M1153" s="93"/>
      <c r="N1153" s="92"/>
      <c r="O1153" s="92"/>
      <c r="P1153" s="91">
        <f t="shared" si="81"/>
        <v>0</v>
      </c>
      <c r="Q1153" s="91">
        <f t="shared" si="82"/>
        <v>0</v>
      </c>
      <c r="R1153" s="91"/>
    </row>
    <row r="1154" spans="2:18" ht="12" customHeight="1" x14ac:dyDescent="0.3">
      <c r="B1154" s="98">
        <f t="shared" si="83"/>
        <v>1151</v>
      </c>
      <c r="C1154" s="97" t="str">
        <f t="shared" si="80"/>
        <v>Jan-00</v>
      </c>
      <c r="D1154" s="96"/>
      <c r="E1154" s="95"/>
      <c r="F1154" s="95"/>
      <c r="G1154" s="95"/>
      <c r="H1154" s="94"/>
      <c r="I1154" s="94"/>
      <c r="J1154" s="91"/>
      <c r="K1154" s="91"/>
      <c r="L1154" s="94"/>
      <c r="M1154" s="93"/>
      <c r="N1154" s="92"/>
      <c r="O1154" s="92"/>
      <c r="P1154" s="91">
        <f t="shared" si="81"/>
        <v>0</v>
      </c>
      <c r="Q1154" s="91">
        <f t="shared" si="82"/>
        <v>0</v>
      </c>
      <c r="R1154" s="91"/>
    </row>
    <row r="1155" spans="2:18" ht="12" customHeight="1" x14ac:dyDescent="0.3">
      <c r="B1155" s="98">
        <f t="shared" si="83"/>
        <v>1152</v>
      </c>
      <c r="C1155" s="97" t="str">
        <f t="shared" si="80"/>
        <v>Jan-00</v>
      </c>
      <c r="D1155" s="96"/>
      <c r="E1155" s="95"/>
      <c r="F1155" s="95"/>
      <c r="G1155" s="95"/>
      <c r="H1155" s="94"/>
      <c r="I1155" s="94"/>
      <c r="J1155" s="91"/>
      <c r="K1155" s="91"/>
      <c r="L1155" s="94"/>
      <c r="M1155" s="93"/>
      <c r="N1155" s="92"/>
      <c r="O1155" s="92"/>
      <c r="P1155" s="91">
        <f t="shared" si="81"/>
        <v>0</v>
      </c>
      <c r="Q1155" s="91">
        <f t="shared" si="82"/>
        <v>0</v>
      </c>
      <c r="R1155" s="91"/>
    </row>
    <row r="1156" spans="2:18" ht="12" customHeight="1" x14ac:dyDescent="0.3">
      <c r="B1156" s="98">
        <f t="shared" si="83"/>
        <v>1153</v>
      </c>
      <c r="C1156" s="97" t="str">
        <f t="shared" ref="C1156:C1219" si="84">CONCATENATE(TEXT(D1156,"mmm"),"-",TEXT(D1156,"yy"))</f>
        <v>Jan-00</v>
      </c>
      <c r="D1156" s="96"/>
      <c r="E1156" s="95"/>
      <c r="F1156" s="95"/>
      <c r="G1156" s="95"/>
      <c r="H1156" s="94"/>
      <c r="I1156" s="94"/>
      <c r="J1156" s="91"/>
      <c r="K1156" s="91"/>
      <c r="L1156" s="94"/>
      <c r="M1156" s="93"/>
      <c r="N1156" s="92"/>
      <c r="O1156" s="92"/>
      <c r="P1156" s="91">
        <f t="shared" ref="P1156:P1219" si="85">O1156*1%</f>
        <v>0</v>
      </c>
      <c r="Q1156" s="91">
        <f t="shared" ref="Q1156:Q1219" si="86">O1156-P1156</f>
        <v>0</v>
      </c>
      <c r="R1156" s="91"/>
    </row>
    <row r="1157" spans="2:18" ht="12" customHeight="1" x14ac:dyDescent="0.3">
      <c r="B1157" s="98">
        <f t="shared" ref="B1157:B1220" si="87">+B1156+1</f>
        <v>1154</v>
      </c>
      <c r="C1157" s="97" t="str">
        <f t="shared" si="84"/>
        <v>Jan-00</v>
      </c>
      <c r="D1157" s="96"/>
      <c r="E1157" s="95"/>
      <c r="F1157" s="95"/>
      <c r="G1157" s="95"/>
      <c r="H1157" s="94"/>
      <c r="I1157" s="94"/>
      <c r="J1157" s="91"/>
      <c r="K1157" s="91"/>
      <c r="L1157" s="94"/>
      <c r="M1157" s="93"/>
      <c r="N1157" s="92"/>
      <c r="O1157" s="92"/>
      <c r="P1157" s="91">
        <f t="shared" si="85"/>
        <v>0</v>
      </c>
      <c r="Q1157" s="91">
        <f t="shared" si="86"/>
        <v>0</v>
      </c>
      <c r="R1157" s="91"/>
    </row>
    <row r="1158" spans="2:18" ht="12" customHeight="1" x14ac:dyDescent="0.3">
      <c r="B1158" s="98">
        <f t="shared" si="87"/>
        <v>1155</v>
      </c>
      <c r="C1158" s="97" t="str">
        <f t="shared" si="84"/>
        <v>Jan-00</v>
      </c>
      <c r="D1158" s="96"/>
      <c r="E1158" s="95"/>
      <c r="F1158" s="95"/>
      <c r="G1158" s="95"/>
      <c r="H1158" s="94"/>
      <c r="I1158" s="94"/>
      <c r="J1158" s="91"/>
      <c r="K1158" s="91"/>
      <c r="L1158" s="94"/>
      <c r="M1158" s="93"/>
      <c r="N1158" s="92"/>
      <c r="O1158" s="92"/>
      <c r="P1158" s="91">
        <f t="shared" si="85"/>
        <v>0</v>
      </c>
      <c r="Q1158" s="91">
        <f t="shared" si="86"/>
        <v>0</v>
      </c>
      <c r="R1158" s="91"/>
    </row>
    <row r="1159" spans="2:18" ht="12" customHeight="1" x14ac:dyDescent="0.3">
      <c r="B1159" s="98">
        <f t="shared" si="87"/>
        <v>1156</v>
      </c>
      <c r="C1159" s="97" t="str">
        <f t="shared" si="84"/>
        <v>Jan-00</v>
      </c>
      <c r="D1159" s="96"/>
      <c r="E1159" s="95"/>
      <c r="F1159" s="95"/>
      <c r="G1159" s="95"/>
      <c r="H1159" s="94"/>
      <c r="I1159" s="94"/>
      <c r="J1159" s="91"/>
      <c r="K1159" s="91"/>
      <c r="L1159" s="94"/>
      <c r="M1159" s="93"/>
      <c r="N1159" s="92"/>
      <c r="O1159" s="92"/>
      <c r="P1159" s="91">
        <f t="shared" si="85"/>
        <v>0</v>
      </c>
      <c r="Q1159" s="91">
        <f t="shared" si="86"/>
        <v>0</v>
      </c>
      <c r="R1159" s="91"/>
    </row>
    <row r="1160" spans="2:18" ht="12" customHeight="1" x14ac:dyDescent="0.3">
      <c r="B1160" s="98">
        <f t="shared" si="87"/>
        <v>1157</v>
      </c>
      <c r="C1160" s="97" t="str">
        <f t="shared" si="84"/>
        <v>Jan-00</v>
      </c>
      <c r="D1160" s="96"/>
      <c r="E1160" s="95"/>
      <c r="F1160" s="95"/>
      <c r="G1160" s="95"/>
      <c r="H1160" s="94"/>
      <c r="I1160" s="94"/>
      <c r="J1160" s="91"/>
      <c r="K1160" s="91"/>
      <c r="L1160" s="94"/>
      <c r="M1160" s="93"/>
      <c r="N1160" s="92"/>
      <c r="O1160" s="92"/>
      <c r="P1160" s="91">
        <f t="shared" si="85"/>
        <v>0</v>
      </c>
      <c r="Q1160" s="91">
        <f t="shared" si="86"/>
        <v>0</v>
      </c>
      <c r="R1160" s="91"/>
    </row>
    <row r="1161" spans="2:18" ht="12" customHeight="1" x14ac:dyDescent="0.3">
      <c r="B1161" s="98">
        <f t="shared" si="87"/>
        <v>1158</v>
      </c>
      <c r="C1161" s="97" t="str">
        <f t="shared" si="84"/>
        <v>Jan-00</v>
      </c>
      <c r="D1161" s="96"/>
      <c r="E1161" s="95"/>
      <c r="F1161" s="95"/>
      <c r="G1161" s="95"/>
      <c r="H1161" s="94"/>
      <c r="I1161" s="94"/>
      <c r="J1161" s="91"/>
      <c r="K1161" s="91"/>
      <c r="L1161" s="94"/>
      <c r="M1161" s="93"/>
      <c r="N1161" s="92"/>
      <c r="O1161" s="92"/>
      <c r="P1161" s="91">
        <f t="shared" si="85"/>
        <v>0</v>
      </c>
      <c r="Q1161" s="91">
        <f t="shared" si="86"/>
        <v>0</v>
      </c>
      <c r="R1161" s="91"/>
    </row>
    <row r="1162" spans="2:18" ht="12" customHeight="1" x14ac:dyDescent="0.3">
      <c r="B1162" s="98">
        <f t="shared" si="87"/>
        <v>1159</v>
      </c>
      <c r="C1162" s="97" t="str">
        <f t="shared" si="84"/>
        <v>Jan-00</v>
      </c>
      <c r="D1162" s="96"/>
      <c r="E1162" s="95"/>
      <c r="F1162" s="95"/>
      <c r="G1162" s="95"/>
      <c r="H1162" s="94"/>
      <c r="I1162" s="94"/>
      <c r="J1162" s="91"/>
      <c r="K1162" s="91"/>
      <c r="L1162" s="94"/>
      <c r="M1162" s="93"/>
      <c r="N1162" s="92"/>
      <c r="O1162" s="92"/>
      <c r="P1162" s="91">
        <f t="shared" si="85"/>
        <v>0</v>
      </c>
      <c r="Q1162" s="91">
        <f t="shared" si="86"/>
        <v>0</v>
      </c>
      <c r="R1162" s="91"/>
    </row>
    <row r="1163" spans="2:18" ht="12" customHeight="1" x14ac:dyDescent="0.3">
      <c r="B1163" s="98">
        <f t="shared" si="87"/>
        <v>1160</v>
      </c>
      <c r="C1163" s="97" t="str">
        <f t="shared" si="84"/>
        <v>Jan-00</v>
      </c>
      <c r="D1163" s="96"/>
      <c r="E1163" s="95"/>
      <c r="F1163" s="95"/>
      <c r="G1163" s="95"/>
      <c r="H1163" s="94"/>
      <c r="I1163" s="94"/>
      <c r="J1163" s="91"/>
      <c r="K1163" s="91"/>
      <c r="L1163" s="94"/>
      <c r="M1163" s="93"/>
      <c r="N1163" s="92"/>
      <c r="O1163" s="92"/>
      <c r="P1163" s="91">
        <f t="shared" si="85"/>
        <v>0</v>
      </c>
      <c r="Q1163" s="91">
        <f t="shared" si="86"/>
        <v>0</v>
      </c>
      <c r="R1163" s="91"/>
    </row>
    <row r="1164" spans="2:18" ht="12" customHeight="1" x14ac:dyDescent="0.3">
      <c r="B1164" s="98">
        <f t="shared" si="87"/>
        <v>1161</v>
      </c>
      <c r="C1164" s="97" t="str">
        <f t="shared" si="84"/>
        <v>Jan-00</v>
      </c>
      <c r="D1164" s="96"/>
      <c r="E1164" s="95"/>
      <c r="F1164" s="95"/>
      <c r="G1164" s="95"/>
      <c r="H1164" s="94"/>
      <c r="I1164" s="94"/>
      <c r="J1164" s="91"/>
      <c r="K1164" s="91"/>
      <c r="L1164" s="94"/>
      <c r="M1164" s="93"/>
      <c r="N1164" s="92"/>
      <c r="O1164" s="92"/>
      <c r="P1164" s="91">
        <f t="shared" si="85"/>
        <v>0</v>
      </c>
      <c r="Q1164" s="91">
        <f t="shared" si="86"/>
        <v>0</v>
      </c>
      <c r="R1164" s="91"/>
    </row>
    <row r="1165" spans="2:18" ht="12" customHeight="1" x14ac:dyDescent="0.3">
      <c r="B1165" s="98">
        <f t="shared" si="87"/>
        <v>1162</v>
      </c>
      <c r="C1165" s="97" t="str">
        <f t="shared" si="84"/>
        <v>Jan-00</v>
      </c>
      <c r="D1165" s="96"/>
      <c r="E1165" s="95"/>
      <c r="F1165" s="95"/>
      <c r="G1165" s="95"/>
      <c r="H1165" s="94"/>
      <c r="I1165" s="94"/>
      <c r="J1165" s="91"/>
      <c r="K1165" s="91"/>
      <c r="L1165" s="94"/>
      <c r="M1165" s="93"/>
      <c r="N1165" s="92"/>
      <c r="O1165" s="92"/>
      <c r="P1165" s="91">
        <f t="shared" si="85"/>
        <v>0</v>
      </c>
      <c r="Q1165" s="91">
        <f t="shared" si="86"/>
        <v>0</v>
      </c>
      <c r="R1165" s="91"/>
    </row>
    <row r="1166" spans="2:18" ht="12" customHeight="1" x14ac:dyDescent="0.3">
      <c r="B1166" s="98">
        <f t="shared" si="87"/>
        <v>1163</v>
      </c>
      <c r="C1166" s="97" t="str">
        <f t="shared" si="84"/>
        <v>Jan-00</v>
      </c>
      <c r="D1166" s="96"/>
      <c r="E1166" s="95"/>
      <c r="F1166" s="95"/>
      <c r="G1166" s="95"/>
      <c r="H1166" s="94"/>
      <c r="I1166" s="94"/>
      <c r="J1166" s="91"/>
      <c r="K1166" s="91"/>
      <c r="L1166" s="94"/>
      <c r="M1166" s="93"/>
      <c r="N1166" s="92"/>
      <c r="O1166" s="92"/>
      <c r="P1166" s="91">
        <f t="shared" si="85"/>
        <v>0</v>
      </c>
      <c r="Q1166" s="91">
        <f t="shared" si="86"/>
        <v>0</v>
      </c>
      <c r="R1166" s="91"/>
    </row>
    <row r="1167" spans="2:18" ht="12" customHeight="1" x14ac:dyDescent="0.3">
      <c r="B1167" s="98">
        <f t="shared" si="87"/>
        <v>1164</v>
      </c>
      <c r="C1167" s="97" t="str">
        <f t="shared" si="84"/>
        <v>Jan-00</v>
      </c>
      <c r="D1167" s="96"/>
      <c r="E1167" s="95"/>
      <c r="F1167" s="95"/>
      <c r="G1167" s="95"/>
      <c r="H1167" s="94"/>
      <c r="I1167" s="94"/>
      <c r="J1167" s="91"/>
      <c r="K1167" s="91"/>
      <c r="L1167" s="94"/>
      <c r="M1167" s="93"/>
      <c r="N1167" s="92"/>
      <c r="O1167" s="92"/>
      <c r="P1167" s="91">
        <f t="shared" si="85"/>
        <v>0</v>
      </c>
      <c r="Q1167" s="91">
        <f t="shared" si="86"/>
        <v>0</v>
      </c>
      <c r="R1167" s="91"/>
    </row>
    <row r="1168" spans="2:18" ht="12" customHeight="1" x14ac:dyDescent="0.3">
      <c r="B1168" s="98">
        <f t="shared" si="87"/>
        <v>1165</v>
      </c>
      <c r="C1168" s="97" t="str">
        <f t="shared" si="84"/>
        <v>Jan-00</v>
      </c>
      <c r="D1168" s="96"/>
      <c r="E1168" s="95"/>
      <c r="F1168" s="95"/>
      <c r="G1168" s="95"/>
      <c r="H1168" s="94"/>
      <c r="I1168" s="94"/>
      <c r="J1168" s="91"/>
      <c r="K1168" s="91"/>
      <c r="L1168" s="94"/>
      <c r="M1168" s="93"/>
      <c r="N1168" s="92"/>
      <c r="O1168" s="92"/>
      <c r="P1168" s="91">
        <f t="shared" si="85"/>
        <v>0</v>
      </c>
      <c r="Q1168" s="91">
        <f t="shared" si="86"/>
        <v>0</v>
      </c>
      <c r="R1168" s="91"/>
    </row>
    <row r="1169" spans="2:18" ht="12" customHeight="1" x14ac:dyDescent="0.3">
      <c r="B1169" s="98">
        <f t="shared" si="87"/>
        <v>1166</v>
      </c>
      <c r="C1169" s="97" t="str">
        <f t="shared" si="84"/>
        <v>Jan-00</v>
      </c>
      <c r="D1169" s="96"/>
      <c r="E1169" s="95"/>
      <c r="F1169" s="95"/>
      <c r="G1169" s="95"/>
      <c r="H1169" s="94"/>
      <c r="I1169" s="94"/>
      <c r="J1169" s="91"/>
      <c r="K1169" s="91"/>
      <c r="L1169" s="94"/>
      <c r="M1169" s="93"/>
      <c r="N1169" s="92"/>
      <c r="O1169" s="92"/>
      <c r="P1169" s="91">
        <f t="shared" si="85"/>
        <v>0</v>
      </c>
      <c r="Q1169" s="91">
        <f t="shared" si="86"/>
        <v>0</v>
      </c>
      <c r="R1169" s="91"/>
    </row>
    <row r="1170" spans="2:18" ht="12" customHeight="1" x14ac:dyDescent="0.3">
      <c r="B1170" s="98">
        <f t="shared" si="87"/>
        <v>1167</v>
      </c>
      <c r="C1170" s="97" t="str">
        <f t="shared" si="84"/>
        <v>Jan-00</v>
      </c>
      <c r="D1170" s="96"/>
      <c r="E1170" s="95"/>
      <c r="F1170" s="95"/>
      <c r="G1170" s="95"/>
      <c r="H1170" s="94"/>
      <c r="I1170" s="94"/>
      <c r="J1170" s="91"/>
      <c r="K1170" s="91"/>
      <c r="L1170" s="94"/>
      <c r="M1170" s="93"/>
      <c r="N1170" s="92"/>
      <c r="O1170" s="92"/>
      <c r="P1170" s="91">
        <f t="shared" si="85"/>
        <v>0</v>
      </c>
      <c r="Q1170" s="91">
        <f t="shared" si="86"/>
        <v>0</v>
      </c>
      <c r="R1170" s="91"/>
    </row>
    <row r="1171" spans="2:18" ht="12" customHeight="1" x14ac:dyDescent="0.3">
      <c r="B1171" s="98">
        <f t="shared" si="87"/>
        <v>1168</v>
      </c>
      <c r="C1171" s="97" t="str">
        <f t="shared" si="84"/>
        <v>Jan-00</v>
      </c>
      <c r="D1171" s="96"/>
      <c r="E1171" s="95"/>
      <c r="F1171" s="95"/>
      <c r="G1171" s="95"/>
      <c r="H1171" s="94"/>
      <c r="I1171" s="94"/>
      <c r="J1171" s="91"/>
      <c r="K1171" s="91"/>
      <c r="L1171" s="94"/>
      <c r="M1171" s="93"/>
      <c r="N1171" s="92"/>
      <c r="O1171" s="92"/>
      <c r="P1171" s="91">
        <f t="shared" si="85"/>
        <v>0</v>
      </c>
      <c r="Q1171" s="91">
        <f t="shared" si="86"/>
        <v>0</v>
      </c>
      <c r="R1171" s="91"/>
    </row>
    <row r="1172" spans="2:18" ht="12" customHeight="1" x14ac:dyDescent="0.3">
      <c r="B1172" s="98">
        <f t="shared" si="87"/>
        <v>1169</v>
      </c>
      <c r="C1172" s="97" t="str">
        <f t="shared" si="84"/>
        <v>Jan-00</v>
      </c>
      <c r="D1172" s="96"/>
      <c r="E1172" s="95"/>
      <c r="F1172" s="95"/>
      <c r="G1172" s="95"/>
      <c r="H1172" s="94"/>
      <c r="I1172" s="94"/>
      <c r="J1172" s="91"/>
      <c r="K1172" s="91"/>
      <c r="L1172" s="94"/>
      <c r="M1172" s="93"/>
      <c r="N1172" s="92"/>
      <c r="O1172" s="92"/>
      <c r="P1172" s="91">
        <f t="shared" si="85"/>
        <v>0</v>
      </c>
      <c r="Q1172" s="91">
        <f t="shared" si="86"/>
        <v>0</v>
      </c>
      <c r="R1172" s="91"/>
    </row>
    <row r="1173" spans="2:18" ht="12" customHeight="1" x14ac:dyDescent="0.3">
      <c r="B1173" s="98">
        <f t="shared" si="87"/>
        <v>1170</v>
      </c>
      <c r="C1173" s="97" t="str">
        <f t="shared" si="84"/>
        <v>Jan-00</v>
      </c>
      <c r="D1173" s="96"/>
      <c r="E1173" s="95"/>
      <c r="F1173" s="95"/>
      <c r="G1173" s="95"/>
      <c r="H1173" s="94"/>
      <c r="I1173" s="94"/>
      <c r="J1173" s="91"/>
      <c r="K1173" s="91"/>
      <c r="L1173" s="94"/>
      <c r="M1173" s="93"/>
      <c r="N1173" s="92"/>
      <c r="O1173" s="92"/>
      <c r="P1173" s="91">
        <f t="shared" si="85"/>
        <v>0</v>
      </c>
      <c r="Q1173" s="91">
        <f t="shared" si="86"/>
        <v>0</v>
      </c>
      <c r="R1173" s="91"/>
    </row>
    <row r="1174" spans="2:18" ht="12" customHeight="1" x14ac:dyDescent="0.3">
      <c r="B1174" s="98">
        <f t="shared" si="87"/>
        <v>1171</v>
      </c>
      <c r="C1174" s="97" t="str">
        <f t="shared" si="84"/>
        <v>Jan-00</v>
      </c>
      <c r="D1174" s="96"/>
      <c r="E1174" s="95"/>
      <c r="F1174" s="95"/>
      <c r="G1174" s="95"/>
      <c r="H1174" s="94"/>
      <c r="I1174" s="94"/>
      <c r="J1174" s="91"/>
      <c r="K1174" s="91"/>
      <c r="L1174" s="94"/>
      <c r="M1174" s="93"/>
      <c r="N1174" s="92"/>
      <c r="O1174" s="92"/>
      <c r="P1174" s="91">
        <f t="shared" si="85"/>
        <v>0</v>
      </c>
      <c r="Q1174" s="91">
        <f t="shared" si="86"/>
        <v>0</v>
      </c>
      <c r="R1174" s="91"/>
    </row>
    <row r="1175" spans="2:18" ht="12" customHeight="1" x14ac:dyDescent="0.3">
      <c r="B1175" s="98">
        <f t="shared" si="87"/>
        <v>1172</v>
      </c>
      <c r="C1175" s="97" t="str">
        <f t="shared" si="84"/>
        <v>Jan-00</v>
      </c>
      <c r="D1175" s="96"/>
      <c r="E1175" s="95"/>
      <c r="F1175" s="95"/>
      <c r="G1175" s="95"/>
      <c r="H1175" s="94"/>
      <c r="I1175" s="94"/>
      <c r="J1175" s="91"/>
      <c r="K1175" s="91"/>
      <c r="L1175" s="94"/>
      <c r="M1175" s="93"/>
      <c r="N1175" s="92"/>
      <c r="O1175" s="92"/>
      <c r="P1175" s="91">
        <f t="shared" si="85"/>
        <v>0</v>
      </c>
      <c r="Q1175" s="91">
        <f t="shared" si="86"/>
        <v>0</v>
      </c>
      <c r="R1175" s="91"/>
    </row>
    <row r="1176" spans="2:18" ht="12" customHeight="1" x14ac:dyDescent="0.3">
      <c r="B1176" s="98">
        <f t="shared" si="87"/>
        <v>1173</v>
      </c>
      <c r="C1176" s="97" t="str">
        <f t="shared" si="84"/>
        <v>Jan-00</v>
      </c>
      <c r="D1176" s="96"/>
      <c r="E1176" s="95"/>
      <c r="F1176" s="95"/>
      <c r="G1176" s="95"/>
      <c r="H1176" s="94"/>
      <c r="I1176" s="94"/>
      <c r="J1176" s="91"/>
      <c r="K1176" s="91"/>
      <c r="L1176" s="94"/>
      <c r="M1176" s="93"/>
      <c r="N1176" s="92"/>
      <c r="O1176" s="92"/>
      <c r="P1176" s="91">
        <f t="shared" si="85"/>
        <v>0</v>
      </c>
      <c r="Q1176" s="91">
        <f t="shared" si="86"/>
        <v>0</v>
      </c>
      <c r="R1176" s="91"/>
    </row>
    <row r="1177" spans="2:18" ht="12" customHeight="1" x14ac:dyDescent="0.3">
      <c r="B1177" s="98">
        <f t="shared" si="87"/>
        <v>1174</v>
      </c>
      <c r="C1177" s="97" t="str">
        <f t="shared" si="84"/>
        <v>Jan-00</v>
      </c>
      <c r="D1177" s="96"/>
      <c r="E1177" s="95"/>
      <c r="F1177" s="95"/>
      <c r="G1177" s="95"/>
      <c r="H1177" s="94"/>
      <c r="I1177" s="94"/>
      <c r="J1177" s="91"/>
      <c r="K1177" s="91"/>
      <c r="L1177" s="94"/>
      <c r="M1177" s="93"/>
      <c r="N1177" s="92"/>
      <c r="O1177" s="92"/>
      <c r="P1177" s="91">
        <f t="shared" si="85"/>
        <v>0</v>
      </c>
      <c r="Q1177" s="91">
        <f t="shared" si="86"/>
        <v>0</v>
      </c>
      <c r="R1177" s="91"/>
    </row>
    <row r="1178" spans="2:18" ht="12" customHeight="1" x14ac:dyDescent="0.3">
      <c r="B1178" s="98">
        <f t="shared" si="87"/>
        <v>1175</v>
      </c>
      <c r="C1178" s="97" t="str">
        <f t="shared" si="84"/>
        <v>Jan-00</v>
      </c>
      <c r="D1178" s="96"/>
      <c r="E1178" s="95"/>
      <c r="F1178" s="95"/>
      <c r="G1178" s="95"/>
      <c r="H1178" s="94"/>
      <c r="I1178" s="94"/>
      <c r="J1178" s="91"/>
      <c r="K1178" s="91"/>
      <c r="L1178" s="94"/>
      <c r="M1178" s="93"/>
      <c r="N1178" s="92"/>
      <c r="O1178" s="92"/>
      <c r="P1178" s="91">
        <f t="shared" si="85"/>
        <v>0</v>
      </c>
      <c r="Q1178" s="91">
        <f t="shared" si="86"/>
        <v>0</v>
      </c>
      <c r="R1178" s="91"/>
    </row>
    <row r="1179" spans="2:18" ht="12" customHeight="1" x14ac:dyDescent="0.3">
      <c r="B1179" s="98">
        <f t="shared" si="87"/>
        <v>1176</v>
      </c>
      <c r="C1179" s="97" t="str">
        <f t="shared" si="84"/>
        <v>Jan-00</v>
      </c>
      <c r="D1179" s="96"/>
      <c r="E1179" s="95"/>
      <c r="F1179" s="95"/>
      <c r="G1179" s="95"/>
      <c r="H1179" s="94"/>
      <c r="I1179" s="94"/>
      <c r="J1179" s="91"/>
      <c r="K1179" s="91"/>
      <c r="L1179" s="94"/>
      <c r="M1179" s="93"/>
      <c r="N1179" s="92"/>
      <c r="O1179" s="92"/>
      <c r="P1179" s="91">
        <f t="shared" si="85"/>
        <v>0</v>
      </c>
      <c r="Q1179" s="91">
        <f t="shared" si="86"/>
        <v>0</v>
      </c>
      <c r="R1179" s="91"/>
    </row>
    <row r="1180" spans="2:18" ht="12" customHeight="1" x14ac:dyDescent="0.3">
      <c r="B1180" s="98">
        <f t="shared" si="87"/>
        <v>1177</v>
      </c>
      <c r="C1180" s="97" t="str">
        <f t="shared" si="84"/>
        <v>Jan-00</v>
      </c>
      <c r="D1180" s="96"/>
      <c r="E1180" s="95"/>
      <c r="F1180" s="95"/>
      <c r="G1180" s="95"/>
      <c r="H1180" s="94"/>
      <c r="I1180" s="94"/>
      <c r="J1180" s="91"/>
      <c r="K1180" s="91"/>
      <c r="L1180" s="94"/>
      <c r="M1180" s="93"/>
      <c r="N1180" s="92"/>
      <c r="O1180" s="92"/>
      <c r="P1180" s="91">
        <f t="shared" si="85"/>
        <v>0</v>
      </c>
      <c r="Q1180" s="91">
        <f t="shared" si="86"/>
        <v>0</v>
      </c>
      <c r="R1180" s="91"/>
    </row>
    <row r="1181" spans="2:18" ht="12" customHeight="1" x14ac:dyDescent="0.3">
      <c r="B1181" s="98">
        <f t="shared" si="87"/>
        <v>1178</v>
      </c>
      <c r="C1181" s="97" t="str">
        <f t="shared" si="84"/>
        <v>Jan-00</v>
      </c>
      <c r="D1181" s="96"/>
      <c r="E1181" s="95"/>
      <c r="F1181" s="95"/>
      <c r="G1181" s="95"/>
      <c r="H1181" s="94"/>
      <c r="I1181" s="94"/>
      <c r="J1181" s="91"/>
      <c r="K1181" s="91"/>
      <c r="L1181" s="94"/>
      <c r="M1181" s="93"/>
      <c r="N1181" s="92"/>
      <c r="O1181" s="92"/>
      <c r="P1181" s="91">
        <f t="shared" si="85"/>
        <v>0</v>
      </c>
      <c r="Q1181" s="91">
        <f t="shared" si="86"/>
        <v>0</v>
      </c>
      <c r="R1181" s="91"/>
    </row>
    <row r="1182" spans="2:18" ht="12" customHeight="1" x14ac:dyDescent="0.3">
      <c r="B1182" s="98">
        <f t="shared" si="87"/>
        <v>1179</v>
      </c>
      <c r="C1182" s="97" t="str">
        <f t="shared" si="84"/>
        <v>Jan-00</v>
      </c>
      <c r="D1182" s="96"/>
      <c r="E1182" s="95"/>
      <c r="F1182" s="95"/>
      <c r="G1182" s="95"/>
      <c r="H1182" s="94"/>
      <c r="I1182" s="94"/>
      <c r="J1182" s="91"/>
      <c r="K1182" s="91"/>
      <c r="L1182" s="94"/>
      <c r="M1182" s="93"/>
      <c r="N1182" s="92"/>
      <c r="O1182" s="92"/>
      <c r="P1182" s="91">
        <f t="shared" si="85"/>
        <v>0</v>
      </c>
      <c r="Q1182" s="91">
        <f t="shared" si="86"/>
        <v>0</v>
      </c>
      <c r="R1182" s="91"/>
    </row>
    <row r="1183" spans="2:18" ht="12" customHeight="1" x14ac:dyDescent="0.3">
      <c r="B1183" s="98">
        <f t="shared" si="87"/>
        <v>1180</v>
      </c>
      <c r="C1183" s="97" t="str">
        <f t="shared" si="84"/>
        <v>Jan-00</v>
      </c>
      <c r="D1183" s="96"/>
      <c r="E1183" s="95"/>
      <c r="F1183" s="95"/>
      <c r="G1183" s="95"/>
      <c r="H1183" s="94"/>
      <c r="I1183" s="94"/>
      <c r="J1183" s="91"/>
      <c r="K1183" s="91"/>
      <c r="L1183" s="94"/>
      <c r="M1183" s="93"/>
      <c r="N1183" s="92"/>
      <c r="O1183" s="92"/>
      <c r="P1183" s="91">
        <f t="shared" si="85"/>
        <v>0</v>
      </c>
      <c r="Q1183" s="91">
        <f t="shared" si="86"/>
        <v>0</v>
      </c>
      <c r="R1183" s="91"/>
    </row>
    <row r="1184" spans="2:18" ht="12" customHeight="1" x14ac:dyDescent="0.3">
      <c r="B1184" s="98">
        <f t="shared" si="87"/>
        <v>1181</v>
      </c>
      <c r="C1184" s="97" t="str">
        <f t="shared" si="84"/>
        <v>Jan-00</v>
      </c>
      <c r="D1184" s="96"/>
      <c r="E1184" s="95"/>
      <c r="F1184" s="95"/>
      <c r="G1184" s="95"/>
      <c r="H1184" s="94"/>
      <c r="I1184" s="94"/>
      <c r="J1184" s="91"/>
      <c r="K1184" s="91"/>
      <c r="L1184" s="94"/>
      <c r="M1184" s="93"/>
      <c r="N1184" s="92"/>
      <c r="O1184" s="92"/>
      <c r="P1184" s="91">
        <f t="shared" si="85"/>
        <v>0</v>
      </c>
      <c r="Q1184" s="91">
        <f t="shared" si="86"/>
        <v>0</v>
      </c>
      <c r="R1184" s="91"/>
    </row>
    <row r="1185" spans="2:18" ht="12" customHeight="1" x14ac:dyDescent="0.3">
      <c r="B1185" s="98">
        <f t="shared" si="87"/>
        <v>1182</v>
      </c>
      <c r="C1185" s="97" t="str">
        <f t="shared" si="84"/>
        <v>Jan-00</v>
      </c>
      <c r="D1185" s="96"/>
      <c r="E1185" s="95"/>
      <c r="F1185" s="95"/>
      <c r="G1185" s="95"/>
      <c r="H1185" s="94"/>
      <c r="I1185" s="94"/>
      <c r="J1185" s="91"/>
      <c r="K1185" s="91"/>
      <c r="L1185" s="94"/>
      <c r="M1185" s="93"/>
      <c r="N1185" s="92"/>
      <c r="O1185" s="92"/>
      <c r="P1185" s="91">
        <f t="shared" si="85"/>
        <v>0</v>
      </c>
      <c r="Q1185" s="91">
        <f t="shared" si="86"/>
        <v>0</v>
      </c>
      <c r="R1185" s="91"/>
    </row>
    <row r="1186" spans="2:18" ht="12" customHeight="1" x14ac:dyDescent="0.3">
      <c r="B1186" s="98">
        <f t="shared" si="87"/>
        <v>1183</v>
      </c>
      <c r="C1186" s="97" t="str">
        <f t="shared" si="84"/>
        <v>Jan-00</v>
      </c>
      <c r="D1186" s="96"/>
      <c r="E1186" s="95"/>
      <c r="F1186" s="95"/>
      <c r="G1186" s="95"/>
      <c r="H1186" s="94"/>
      <c r="I1186" s="94"/>
      <c r="J1186" s="91"/>
      <c r="K1186" s="91"/>
      <c r="L1186" s="94"/>
      <c r="M1186" s="93"/>
      <c r="N1186" s="92"/>
      <c r="O1186" s="92"/>
      <c r="P1186" s="91">
        <f t="shared" si="85"/>
        <v>0</v>
      </c>
      <c r="Q1186" s="91">
        <f t="shared" si="86"/>
        <v>0</v>
      </c>
      <c r="R1186" s="91"/>
    </row>
    <row r="1187" spans="2:18" ht="12" customHeight="1" x14ac:dyDescent="0.3">
      <c r="B1187" s="98">
        <f t="shared" si="87"/>
        <v>1184</v>
      </c>
      <c r="C1187" s="97" t="str">
        <f t="shared" si="84"/>
        <v>Jan-00</v>
      </c>
      <c r="D1187" s="96"/>
      <c r="E1187" s="95"/>
      <c r="F1187" s="95"/>
      <c r="G1187" s="95"/>
      <c r="H1187" s="94"/>
      <c r="I1187" s="94"/>
      <c r="J1187" s="91"/>
      <c r="K1187" s="91"/>
      <c r="L1187" s="94"/>
      <c r="M1187" s="93"/>
      <c r="N1187" s="92"/>
      <c r="O1187" s="92"/>
      <c r="P1187" s="91">
        <f t="shared" si="85"/>
        <v>0</v>
      </c>
      <c r="Q1187" s="91">
        <f t="shared" si="86"/>
        <v>0</v>
      </c>
      <c r="R1187" s="91"/>
    </row>
    <row r="1188" spans="2:18" ht="12" customHeight="1" x14ac:dyDescent="0.3">
      <c r="B1188" s="98">
        <f t="shared" si="87"/>
        <v>1185</v>
      </c>
      <c r="C1188" s="97" t="str">
        <f t="shared" si="84"/>
        <v>Jan-00</v>
      </c>
      <c r="D1188" s="96"/>
      <c r="E1188" s="95"/>
      <c r="F1188" s="95"/>
      <c r="G1188" s="95"/>
      <c r="H1188" s="94"/>
      <c r="I1188" s="94"/>
      <c r="J1188" s="91"/>
      <c r="K1188" s="91"/>
      <c r="L1188" s="94"/>
      <c r="M1188" s="93"/>
      <c r="N1188" s="92"/>
      <c r="O1188" s="92"/>
      <c r="P1188" s="91">
        <f t="shared" si="85"/>
        <v>0</v>
      </c>
      <c r="Q1188" s="91">
        <f t="shared" si="86"/>
        <v>0</v>
      </c>
      <c r="R1188" s="91"/>
    </row>
    <row r="1189" spans="2:18" ht="12" customHeight="1" x14ac:dyDescent="0.3">
      <c r="B1189" s="98">
        <f t="shared" si="87"/>
        <v>1186</v>
      </c>
      <c r="C1189" s="97" t="str">
        <f t="shared" si="84"/>
        <v>Jan-00</v>
      </c>
      <c r="D1189" s="96"/>
      <c r="E1189" s="95"/>
      <c r="F1189" s="95"/>
      <c r="G1189" s="95"/>
      <c r="H1189" s="94"/>
      <c r="I1189" s="94"/>
      <c r="J1189" s="91"/>
      <c r="K1189" s="91"/>
      <c r="L1189" s="94"/>
      <c r="M1189" s="93"/>
      <c r="N1189" s="92"/>
      <c r="O1189" s="92"/>
      <c r="P1189" s="91">
        <f t="shared" si="85"/>
        <v>0</v>
      </c>
      <c r="Q1189" s="91">
        <f t="shared" si="86"/>
        <v>0</v>
      </c>
      <c r="R1189" s="91"/>
    </row>
    <row r="1190" spans="2:18" ht="12" customHeight="1" x14ac:dyDescent="0.3">
      <c r="B1190" s="98">
        <f t="shared" si="87"/>
        <v>1187</v>
      </c>
      <c r="C1190" s="97" t="str">
        <f t="shared" si="84"/>
        <v>Jan-00</v>
      </c>
      <c r="D1190" s="96"/>
      <c r="E1190" s="95"/>
      <c r="F1190" s="95"/>
      <c r="G1190" s="95"/>
      <c r="H1190" s="94"/>
      <c r="I1190" s="94"/>
      <c r="J1190" s="91"/>
      <c r="K1190" s="91"/>
      <c r="L1190" s="94"/>
      <c r="M1190" s="93"/>
      <c r="N1190" s="92"/>
      <c r="O1190" s="92"/>
      <c r="P1190" s="91">
        <f t="shared" si="85"/>
        <v>0</v>
      </c>
      <c r="Q1190" s="91">
        <f t="shared" si="86"/>
        <v>0</v>
      </c>
      <c r="R1190" s="91"/>
    </row>
    <row r="1191" spans="2:18" ht="12" customHeight="1" x14ac:dyDescent="0.3">
      <c r="B1191" s="98">
        <f t="shared" si="87"/>
        <v>1188</v>
      </c>
      <c r="C1191" s="97" t="str">
        <f t="shared" si="84"/>
        <v>Jan-00</v>
      </c>
      <c r="D1191" s="96"/>
      <c r="E1191" s="95"/>
      <c r="F1191" s="95"/>
      <c r="G1191" s="95"/>
      <c r="H1191" s="94"/>
      <c r="I1191" s="94"/>
      <c r="J1191" s="91"/>
      <c r="K1191" s="91"/>
      <c r="L1191" s="94"/>
      <c r="M1191" s="93"/>
      <c r="N1191" s="92"/>
      <c r="O1191" s="92"/>
      <c r="P1191" s="91">
        <f t="shared" si="85"/>
        <v>0</v>
      </c>
      <c r="Q1191" s="91">
        <f t="shared" si="86"/>
        <v>0</v>
      </c>
      <c r="R1191" s="91"/>
    </row>
    <row r="1192" spans="2:18" ht="12" customHeight="1" x14ac:dyDescent="0.3">
      <c r="B1192" s="98">
        <f t="shared" si="87"/>
        <v>1189</v>
      </c>
      <c r="C1192" s="97" t="str">
        <f t="shared" si="84"/>
        <v>Jan-00</v>
      </c>
      <c r="D1192" s="96"/>
      <c r="E1192" s="95"/>
      <c r="F1192" s="95"/>
      <c r="G1192" s="95"/>
      <c r="H1192" s="94"/>
      <c r="I1192" s="94"/>
      <c r="J1192" s="91"/>
      <c r="K1192" s="91"/>
      <c r="L1192" s="94"/>
      <c r="M1192" s="93"/>
      <c r="N1192" s="92"/>
      <c r="O1192" s="92"/>
      <c r="P1192" s="91">
        <f t="shared" si="85"/>
        <v>0</v>
      </c>
      <c r="Q1192" s="91">
        <f t="shared" si="86"/>
        <v>0</v>
      </c>
      <c r="R1192" s="91"/>
    </row>
    <row r="1193" spans="2:18" ht="12" customHeight="1" x14ac:dyDescent="0.3">
      <c r="B1193" s="98">
        <f t="shared" si="87"/>
        <v>1190</v>
      </c>
      <c r="C1193" s="97" t="str">
        <f t="shared" si="84"/>
        <v>Jan-00</v>
      </c>
      <c r="D1193" s="96"/>
      <c r="E1193" s="95"/>
      <c r="F1193" s="95"/>
      <c r="G1193" s="95"/>
      <c r="H1193" s="94"/>
      <c r="I1193" s="94"/>
      <c r="J1193" s="91"/>
      <c r="K1193" s="91"/>
      <c r="L1193" s="94"/>
      <c r="M1193" s="93"/>
      <c r="N1193" s="92"/>
      <c r="O1193" s="92"/>
      <c r="P1193" s="91">
        <f t="shared" si="85"/>
        <v>0</v>
      </c>
      <c r="Q1193" s="91">
        <f t="shared" si="86"/>
        <v>0</v>
      </c>
      <c r="R1193" s="91"/>
    </row>
    <row r="1194" spans="2:18" ht="12" customHeight="1" x14ac:dyDescent="0.3">
      <c r="B1194" s="98">
        <f t="shared" si="87"/>
        <v>1191</v>
      </c>
      <c r="C1194" s="97" t="str">
        <f t="shared" si="84"/>
        <v>Jan-00</v>
      </c>
      <c r="D1194" s="96"/>
      <c r="E1194" s="95"/>
      <c r="F1194" s="95"/>
      <c r="G1194" s="95"/>
      <c r="H1194" s="94"/>
      <c r="I1194" s="94"/>
      <c r="J1194" s="91"/>
      <c r="K1194" s="91"/>
      <c r="L1194" s="94"/>
      <c r="M1194" s="93"/>
      <c r="N1194" s="92"/>
      <c r="O1194" s="92"/>
      <c r="P1194" s="91">
        <f t="shared" si="85"/>
        <v>0</v>
      </c>
      <c r="Q1194" s="91">
        <f t="shared" si="86"/>
        <v>0</v>
      </c>
      <c r="R1194" s="91"/>
    </row>
    <row r="1195" spans="2:18" ht="12" customHeight="1" x14ac:dyDescent="0.3">
      <c r="B1195" s="98">
        <f t="shared" si="87"/>
        <v>1192</v>
      </c>
      <c r="C1195" s="97" t="str">
        <f t="shared" si="84"/>
        <v>Jan-00</v>
      </c>
      <c r="D1195" s="96"/>
      <c r="E1195" s="95"/>
      <c r="F1195" s="95"/>
      <c r="G1195" s="95"/>
      <c r="H1195" s="94"/>
      <c r="I1195" s="94"/>
      <c r="J1195" s="91"/>
      <c r="K1195" s="91"/>
      <c r="L1195" s="94"/>
      <c r="M1195" s="93"/>
      <c r="N1195" s="92"/>
      <c r="O1195" s="92"/>
      <c r="P1195" s="91">
        <f t="shared" si="85"/>
        <v>0</v>
      </c>
      <c r="Q1195" s="91">
        <f t="shared" si="86"/>
        <v>0</v>
      </c>
      <c r="R1195" s="91"/>
    </row>
    <row r="1196" spans="2:18" ht="12" customHeight="1" x14ac:dyDescent="0.3">
      <c r="B1196" s="98">
        <f t="shared" si="87"/>
        <v>1193</v>
      </c>
      <c r="C1196" s="97" t="str">
        <f t="shared" si="84"/>
        <v>Jan-00</v>
      </c>
      <c r="D1196" s="96"/>
      <c r="E1196" s="95"/>
      <c r="F1196" s="95"/>
      <c r="G1196" s="95"/>
      <c r="H1196" s="94"/>
      <c r="I1196" s="94"/>
      <c r="J1196" s="91"/>
      <c r="K1196" s="91"/>
      <c r="L1196" s="94"/>
      <c r="M1196" s="93"/>
      <c r="N1196" s="92"/>
      <c r="O1196" s="92"/>
      <c r="P1196" s="91">
        <f t="shared" si="85"/>
        <v>0</v>
      </c>
      <c r="Q1196" s="91">
        <f t="shared" si="86"/>
        <v>0</v>
      </c>
      <c r="R1196" s="91"/>
    </row>
    <row r="1197" spans="2:18" ht="12" customHeight="1" x14ac:dyDescent="0.3">
      <c r="B1197" s="98">
        <f t="shared" si="87"/>
        <v>1194</v>
      </c>
      <c r="C1197" s="97" t="str">
        <f t="shared" si="84"/>
        <v>Jan-00</v>
      </c>
      <c r="D1197" s="96"/>
      <c r="E1197" s="95"/>
      <c r="F1197" s="95"/>
      <c r="G1197" s="95"/>
      <c r="H1197" s="94"/>
      <c r="I1197" s="94"/>
      <c r="J1197" s="91"/>
      <c r="K1197" s="91"/>
      <c r="L1197" s="94"/>
      <c r="M1197" s="93"/>
      <c r="N1197" s="92"/>
      <c r="O1197" s="92"/>
      <c r="P1197" s="91">
        <f t="shared" si="85"/>
        <v>0</v>
      </c>
      <c r="Q1197" s="91">
        <f t="shared" si="86"/>
        <v>0</v>
      </c>
      <c r="R1197" s="91"/>
    </row>
    <row r="1198" spans="2:18" ht="12" customHeight="1" x14ac:dyDescent="0.3">
      <c r="B1198" s="98">
        <f t="shared" si="87"/>
        <v>1195</v>
      </c>
      <c r="C1198" s="97" t="str">
        <f t="shared" si="84"/>
        <v>Jan-00</v>
      </c>
      <c r="D1198" s="96"/>
      <c r="E1198" s="95"/>
      <c r="F1198" s="95"/>
      <c r="G1198" s="95"/>
      <c r="H1198" s="94"/>
      <c r="I1198" s="94"/>
      <c r="J1198" s="91"/>
      <c r="K1198" s="91"/>
      <c r="L1198" s="94"/>
      <c r="M1198" s="93"/>
      <c r="N1198" s="92"/>
      <c r="O1198" s="92"/>
      <c r="P1198" s="91">
        <f t="shared" si="85"/>
        <v>0</v>
      </c>
      <c r="Q1198" s="91">
        <f t="shared" si="86"/>
        <v>0</v>
      </c>
      <c r="R1198" s="91"/>
    </row>
    <row r="1199" spans="2:18" ht="12" customHeight="1" x14ac:dyDescent="0.3">
      <c r="B1199" s="98">
        <f t="shared" si="87"/>
        <v>1196</v>
      </c>
      <c r="C1199" s="97" t="str">
        <f t="shared" si="84"/>
        <v>Jan-00</v>
      </c>
      <c r="D1199" s="96"/>
      <c r="E1199" s="95"/>
      <c r="F1199" s="95"/>
      <c r="G1199" s="95"/>
      <c r="H1199" s="94"/>
      <c r="I1199" s="94"/>
      <c r="J1199" s="91"/>
      <c r="K1199" s="91"/>
      <c r="L1199" s="94"/>
      <c r="M1199" s="93"/>
      <c r="N1199" s="92"/>
      <c r="O1199" s="92"/>
      <c r="P1199" s="91">
        <f t="shared" si="85"/>
        <v>0</v>
      </c>
      <c r="Q1199" s="91">
        <f t="shared" si="86"/>
        <v>0</v>
      </c>
      <c r="R1199" s="91"/>
    </row>
    <row r="1200" spans="2:18" ht="12" customHeight="1" x14ac:dyDescent="0.3">
      <c r="B1200" s="98">
        <f t="shared" si="87"/>
        <v>1197</v>
      </c>
      <c r="C1200" s="97" t="str">
        <f t="shared" si="84"/>
        <v>Jan-00</v>
      </c>
      <c r="D1200" s="96"/>
      <c r="E1200" s="95"/>
      <c r="F1200" s="95"/>
      <c r="G1200" s="95"/>
      <c r="H1200" s="94"/>
      <c r="I1200" s="94"/>
      <c r="J1200" s="91"/>
      <c r="K1200" s="91"/>
      <c r="L1200" s="94"/>
      <c r="M1200" s="93"/>
      <c r="N1200" s="92"/>
      <c r="O1200" s="92"/>
      <c r="P1200" s="91">
        <f t="shared" si="85"/>
        <v>0</v>
      </c>
      <c r="Q1200" s="91">
        <f t="shared" si="86"/>
        <v>0</v>
      </c>
      <c r="R1200" s="91"/>
    </row>
    <row r="1201" spans="2:18" ht="12" customHeight="1" x14ac:dyDescent="0.3">
      <c r="B1201" s="98">
        <f t="shared" si="87"/>
        <v>1198</v>
      </c>
      <c r="C1201" s="97" t="str">
        <f t="shared" si="84"/>
        <v>Jan-00</v>
      </c>
      <c r="D1201" s="96"/>
      <c r="E1201" s="95"/>
      <c r="F1201" s="95"/>
      <c r="G1201" s="95"/>
      <c r="H1201" s="94"/>
      <c r="I1201" s="94"/>
      <c r="J1201" s="91"/>
      <c r="K1201" s="91"/>
      <c r="L1201" s="94"/>
      <c r="M1201" s="93"/>
      <c r="N1201" s="92"/>
      <c r="O1201" s="92"/>
      <c r="P1201" s="91">
        <f t="shared" si="85"/>
        <v>0</v>
      </c>
      <c r="Q1201" s="91">
        <f t="shared" si="86"/>
        <v>0</v>
      </c>
      <c r="R1201" s="91"/>
    </row>
    <row r="1202" spans="2:18" ht="12" customHeight="1" x14ac:dyDescent="0.3">
      <c r="B1202" s="98">
        <f t="shared" si="87"/>
        <v>1199</v>
      </c>
      <c r="C1202" s="97" t="str">
        <f t="shared" si="84"/>
        <v>Jan-00</v>
      </c>
      <c r="D1202" s="96"/>
      <c r="E1202" s="95"/>
      <c r="F1202" s="95"/>
      <c r="G1202" s="95"/>
      <c r="H1202" s="94"/>
      <c r="I1202" s="94"/>
      <c r="J1202" s="91"/>
      <c r="K1202" s="91"/>
      <c r="L1202" s="94"/>
      <c r="M1202" s="93"/>
      <c r="N1202" s="92"/>
      <c r="O1202" s="92"/>
      <c r="P1202" s="91">
        <f t="shared" si="85"/>
        <v>0</v>
      </c>
      <c r="Q1202" s="91">
        <f t="shared" si="86"/>
        <v>0</v>
      </c>
      <c r="R1202" s="91"/>
    </row>
    <row r="1203" spans="2:18" ht="12" customHeight="1" x14ac:dyDescent="0.3">
      <c r="B1203" s="98">
        <f t="shared" si="87"/>
        <v>1200</v>
      </c>
      <c r="C1203" s="97" t="str">
        <f t="shared" si="84"/>
        <v>Jan-00</v>
      </c>
      <c r="D1203" s="96"/>
      <c r="E1203" s="95"/>
      <c r="F1203" s="95"/>
      <c r="G1203" s="95"/>
      <c r="H1203" s="94"/>
      <c r="I1203" s="94"/>
      <c r="J1203" s="91"/>
      <c r="K1203" s="91"/>
      <c r="L1203" s="94"/>
      <c r="M1203" s="93"/>
      <c r="N1203" s="92"/>
      <c r="O1203" s="92"/>
      <c r="P1203" s="91">
        <f t="shared" si="85"/>
        <v>0</v>
      </c>
      <c r="Q1203" s="91">
        <f t="shared" si="86"/>
        <v>0</v>
      </c>
      <c r="R1203" s="91"/>
    </row>
    <row r="1204" spans="2:18" ht="12" customHeight="1" x14ac:dyDescent="0.3">
      <c r="B1204" s="98">
        <f t="shared" si="87"/>
        <v>1201</v>
      </c>
      <c r="C1204" s="97" t="str">
        <f t="shared" si="84"/>
        <v>Jan-00</v>
      </c>
      <c r="D1204" s="96"/>
      <c r="E1204" s="95"/>
      <c r="F1204" s="95"/>
      <c r="G1204" s="95"/>
      <c r="H1204" s="94"/>
      <c r="I1204" s="94"/>
      <c r="J1204" s="91"/>
      <c r="K1204" s="91"/>
      <c r="L1204" s="94"/>
      <c r="M1204" s="93"/>
      <c r="N1204" s="92"/>
      <c r="O1204" s="92"/>
      <c r="P1204" s="91">
        <f t="shared" si="85"/>
        <v>0</v>
      </c>
      <c r="Q1204" s="91">
        <f t="shared" si="86"/>
        <v>0</v>
      </c>
      <c r="R1204" s="91"/>
    </row>
    <row r="1205" spans="2:18" ht="12" customHeight="1" x14ac:dyDescent="0.3">
      <c r="B1205" s="98">
        <f t="shared" si="87"/>
        <v>1202</v>
      </c>
      <c r="C1205" s="97" t="str">
        <f t="shared" si="84"/>
        <v>Jan-00</v>
      </c>
      <c r="D1205" s="96"/>
      <c r="E1205" s="95"/>
      <c r="F1205" s="95"/>
      <c r="G1205" s="95"/>
      <c r="H1205" s="94"/>
      <c r="I1205" s="94"/>
      <c r="J1205" s="91"/>
      <c r="K1205" s="91"/>
      <c r="L1205" s="94"/>
      <c r="M1205" s="93"/>
      <c r="N1205" s="92"/>
      <c r="O1205" s="92"/>
      <c r="P1205" s="91">
        <f t="shared" si="85"/>
        <v>0</v>
      </c>
      <c r="Q1205" s="91">
        <f t="shared" si="86"/>
        <v>0</v>
      </c>
      <c r="R1205" s="91"/>
    </row>
    <row r="1206" spans="2:18" ht="12" customHeight="1" x14ac:dyDescent="0.3">
      <c r="B1206" s="98">
        <f t="shared" si="87"/>
        <v>1203</v>
      </c>
      <c r="C1206" s="97" t="str">
        <f t="shared" si="84"/>
        <v>Jan-00</v>
      </c>
      <c r="D1206" s="96"/>
      <c r="E1206" s="95"/>
      <c r="F1206" s="95"/>
      <c r="G1206" s="95"/>
      <c r="H1206" s="94"/>
      <c r="I1206" s="94"/>
      <c r="J1206" s="91"/>
      <c r="K1206" s="91"/>
      <c r="L1206" s="94"/>
      <c r="M1206" s="93"/>
      <c r="N1206" s="92"/>
      <c r="O1206" s="92"/>
      <c r="P1206" s="91">
        <f t="shared" si="85"/>
        <v>0</v>
      </c>
      <c r="Q1206" s="91">
        <f t="shared" si="86"/>
        <v>0</v>
      </c>
      <c r="R1206" s="91"/>
    </row>
    <row r="1207" spans="2:18" ht="12" customHeight="1" x14ac:dyDescent="0.3">
      <c r="B1207" s="98">
        <f t="shared" si="87"/>
        <v>1204</v>
      </c>
      <c r="C1207" s="97" t="str">
        <f t="shared" si="84"/>
        <v>Jan-00</v>
      </c>
      <c r="D1207" s="96"/>
      <c r="E1207" s="95"/>
      <c r="F1207" s="95"/>
      <c r="G1207" s="95"/>
      <c r="H1207" s="94"/>
      <c r="I1207" s="94"/>
      <c r="J1207" s="91"/>
      <c r="K1207" s="91"/>
      <c r="L1207" s="94"/>
      <c r="M1207" s="93"/>
      <c r="N1207" s="92"/>
      <c r="O1207" s="92"/>
      <c r="P1207" s="91">
        <f t="shared" si="85"/>
        <v>0</v>
      </c>
      <c r="Q1207" s="91">
        <f t="shared" si="86"/>
        <v>0</v>
      </c>
      <c r="R1207" s="91"/>
    </row>
    <row r="1208" spans="2:18" ht="12" customHeight="1" x14ac:dyDescent="0.3">
      <c r="B1208" s="98">
        <f t="shared" si="87"/>
        <v>1205</v>
      </c>
      <c r="C1208" s="97" t="str">
        <f t="shared" si="84"/>
        <v>Jan-00</v>
      </c>
      <c r="D1208" s="96"/>
      <c r="E1208" s="95"/>
      <c r="F1208" s="95"/>
      <c r="G1208" s="95"/>
      <c r="H1208" s="94"/>
      <c r="I1208" s="94"/>
      <c r="J1208" s="91"/>
      <c r="K1208" s="91"/>
      <c r="L1208" s="94"/>
      <c r="M1208" s="93"/>
      <c r="N1208" s="92"/>
      <c r="O1208" s="92"/>
      <c r="P1208" s="91">
        <f t="shared" si="85"/>
        <v>0</v>
      </c>
      <c r="Q1208" s="91">
        <f t="shared" si="86"/>
        <v>0</v>
      </c>
      <c r="R1208" s="91"/>
    </row>
    <row r="1209" spans="2:18" ht="12" customHeight="1" x14ac:dyDescent="0.3">
      <c r="B1209" s="98">
        <f t="shared" si="87"/>
        <v>1206</v>
      </c>
      <c r="C1209" s="97" t="str">
        <f t="shared" si="84"/>
        <v>Jan-00</v>
      </c>
      <c r="D1209" s="96"/>
      <c r="E1209" s="95"/>
      <c r="F1209" s="95"/>
      <c r="G1209" s="95"/>
      <c r="H1209" s="94"/>
      <c r="I1209" s="94"/>
      <c r="J1209" s="91"/>
      <c r="K1209" s="91"/>
      <c r="L1209" s="94"/>
      <c r="M1209" s="93"/>
      <c r="N1209" s="92"/>
      <c r="O1209" s="92"/>
      <c r="P1209" s="91">
        <f t="shared" si="85"/>
        <v>0</v>
      </c>
      <c r="Q1209" s="91">
        <f t="shared" si="86"/>
        <v>0</v>
      </c>
      <c r="R1209" s="91"/>
    </row>
    <row r="1210" spans="2:18" ht="12" customHeight="1" x14ac:dyDescent="0.3">
      <c r="B1210" s="98">
        <f t="shared" si="87"/>
        <v>1207</v>
      </c>
      <c r="C1210" s="97" t="str">
        <f t="shared" si="84"/>
        <v>Jan-00</v>
      </c>
      <c r="D1210" s="96"/>
      <c r="E1210" s="95"/>
      <c r="F1210" s="95"/>
      <c r="G1210" s="95"/>
      <c r="H1210" s="94"/>
      <c r="I1210" s="94"/>
      <c r="J1210" s="91"/>
      <c r="K1210" s="91"/>
      <c r="L1210" s="94"/>
      <c r="M1210" s="93"/>
      <c r="N1210" s="92"/>
      <c r="O1210" s="92"/>
      <c r="P1210" s="91">
        <f t="shared" si="85"/>
        <v>0</v>
      </c>
      <c r="Q1210" s="91">
        <f t="shared" si="86"/>
        <v>0</v>
      </c>
      <c r="R1210" s="91"/>
    </row>
    <row r="1211" spans="2:18" ht="12" customHeight="1" x14ac:dyDescent="0.3">
      <c r="B1211" s="98">
        <f t="shared" si="87"/>
        <v>1208</v>
      </c>
      <c r="C1211" s="97" t="str">
        <f t="shared" si="84"/>
        <v>Jan-00</v>
      </c>
      <c r="D1211" s="96"/>
      <c r="E1211" s="95"/>
      <c r="F1211" s="95"/>
      <c r="G1211" s="95"/>
      <c r="H1211" s="94"/>
      <c r="I1211" s="94"/>
      <c r="J1211" s="91"/>
      <c r="K1211" s="91"/>
      <c r="L1211" s="94"/>
      <c r="M1211" s="93"/>
      <c r="N1211" s="92"/>
      <c r="O1211" s="92"/>
      <c r="P1211" s="91">
        <f t="shared" si="85"/>
        <v>0</v>
      </c>
      <c r="Q1211" s="91">
        <f t="shared" si="86"/>
        <v>0</v>
      </c>
      <c r="R1211" s="91"/>
    </row>
    <row r="1212" spans="2:18" ht="12" customHeight="1" x14ac:dyDescent="0.3">
      <c r="B1212" s="98">
        <f t="shared" si="87"/>
        <v>1209</v>
      </c>
      <c r="C1212" s="97" t="str">
        <f t="shared" si="84"/>
        <v>Jan-00</v>
      </c>
      <c r="D1212" s="96"/>
      <c r="E1212" s="95"/>
      <c r="F1212" s="95"/>
      <c r="G1212" s="95"/>
      <c r="H1212" s="94"/>
      <c r="I1212" s="94"/>
      <c r="J1212" s="91"/>
      <c r="K1212" s="91"/>
      <c r="L1212" s="94"/>
      <c r="M1212" s="93"/>
      <c r="N1212" s="92"/>
      <c r="O1212" s="92"/>
      <c r="P1212" s="91">
        <f t="shared" si="85"/>
        <v>0</v>
      </c>
      <c r="Q1212" s="91">
        <f t="shared" si="86"/>
        <v>0</v>
      </c>
      <c r="R1212" s="91"/>
    </row>
    <row r="1213" spans="2:18" ht="12" customHeight="1" x14ac:dyDescent="0.3">
      <c r="B1213" s="98">
        <f t="shared" si="87"/>
        <v>1210</v>
      </c>
      <c r="C1213" s="97" t="str">
        <f t="shared" si="84"/>
        <v>Jan-00</v>
      </c>
      <c r="D1213" s="96"/>
      <c r="E1213" s="95"/>
      <c r="F1213" s="95"/>
      <c r="G1213" s="95"/>
      <c r="H1213" s="94"/>
      <c r="I1213" s="94"/>
      <c r="J1213" s="91"/>
      <c r="K1213" s="91"/>
      <c r="L1213" s="94"/>
      <c r="M1213" s="93"/>
      <c r="N1213" s="92"/>
      <c r="O1213" s="92"/>
      <c r="P1213" s="91">
        <f t="shared" si="85"/>
        <v>0</v>
      </c>
      <c r="Q1213" s="91">
        <f t="shared" si="86"/>
        <v>0</v>
      </c>
      <c r="R1213" s="91"/>
    </row>
    <row r="1214" spans="2:18" ht="12" customHeight="1" x14ac:dyDescent="0.3">
      <c r="B1214" s="98">
        <f t="shared" si="87"/>
        <v>1211</v>
      </c>
      <c r="C1214" s="97" t="str">
        <f t="shared" si="84"/>
        <v>Jan-00</v>
      </c>
      <c r="D1214" s="96"/>
      <c r="E1214" s="95"/>
      <c r="F1214" s="95"/>
      <c r="G1214" s="95"/>
      <c r="H1214" s="94"/>
      <c r="I1214" s="94"/>
      <c r="J1214" s="91"/>
      <c r="K1214" s="91"/>
      <c r="L1214" s="94"/>
      <c r="M1214" s="93"/>
      <c r="N1214" s="92"/>
      <c r="O1214" s="92"/>
      <c r="P1214" s="91">
        <f t="shared" si="85"/>
        <v>0</v>
      </c>
      <c r="Q1214" s="91">
        <f t="shared" si="86"/>
        <v>0</v>
      </c>
      <c r="R1214" s="91"/>
    </row>
    <row r="1215" spans="2:18" ht="12" customHeight="1" x14ac:dyDescent="0.3">
      <c r="B1215" s="98">
        <f t="shared" si="87"/>
        <v>1212</v>
      </c>
      <c r="C1215" s="97" t="str">
        <f t="shared" si="84"/>
        <v>Jan-00</v>
      </c>
      <c r="D1215" s="96"/>
      <c r="E1215" s="95"/>
      <c r="F1215" s="95"/>
      <c r="G1215" s="95"/>
      <c r="H1215" s="94"/>
      <c r="I1215" s="94"/>
      <c r="J1215" s="91"/>
      <c r="K1215" s="91"/>
      <c r="L1215" s="94"/>
      <c r="M1215" s="93"/>
      <c r="N1215" s="92"/>
      <c r="O1215" s="92"/>
      <c r="P1215" s="91">
        <f t="shared" si="85"/>
        <v>0</v>
      </c>
      <c r="Q1215" s="91">
        <f t="shared" si="86"/>
        <v>0</v>
      </c>
      <c r="R1215" s="91"/>
    </row>
    <row r="1216" spans="2:18" ht="12" customHeight="1" x14ac:dyDescent="0.3">
      <c r="B1216" s="98">
        <f t="shared" si="87"/>
        <v>1213</v>
      </c>
      <c r="C1216" s="97" t="str">
        <f t="shared" si="84"/>
        <v>Jan-00</v>
      </c>
      <c r="D1216" s="96"/>
      <c r="E1216" s="95"/>
      <c r="F1216" s="95"/>
      <c r="G1216" s="95"/>
      <c r="H1216" s="94"/>
      <c r="I1216" s="94"/>
      <c r="J1216" s="91"/>
      <c r="K1216" s="91"/>
      <c r="L1216" s="94"/>
      <c r="M1216" s="93"/>
      <c r="N1216" s="92"/>
      <c r="O1216" s="92"/>
      <c r="P1216" s="91">
        <f t="shared" si="85"/>
        <v>0</v>
      </c>
      <c r="Q1216" s="91">
        <f t="shared" si="86"/>
        <v>0</v>
      </c>
      <c r="R1216" s="91"/>
    </row>
    <row r="1217" spans="2:18" ht="12" customHeight="1" x14ac:dyDescent="0.3">
      <c r="B1217" s="98">
        <f t="shared" si="87"/>
        <v>1214</v>
      </c>
      <c r="C1217" s="97" t="str">
        <f t="shared" si="84"/>
        <v>Jan-00</v>
      </c>
      <c r="D1217" s="96"/>
      <c r="E1217" s="95"/>
      <c r="F1217" s="95"/>
      <c r="G1217" s="95"/>
      <c r="H1217" s="94"/>
      <c r="I1217" s="94"/>
      <c r="J1217" s="91"/>
      <c r="K1217" s="91"/>
      <c r="L1217" s="94"/>
      <c r="M1217" s="93"/>
      <c r="N1217" s="92"/>
      <c r="O1217" s="92"/>
      <c r="P1217" s="91">
        <f t="shared" si="85"/>
        <v>0</v>
      </c>
      <c r="Q1217" s="91">
        <f t="shared" si="86"/>
        <v>0</v>
      </c>
      <c r="R1217" s="91"/>
    </row>
    <row r="1218" spans="2:18" ht="12" customHeight="1" x14ac:dyDescent="0.3">
      <c r="B1218" s="98">
        <f t="shared" si="87"/>
        <v>1215</v>
      </c>
      <c r="C1218" s="97" t="str">
        <f t="shared" si="84"/>
        <v>Jan-00</v>
      </c>
      <c r="D1218" s="96"/>
      <c r="E1218" s="95"/>
      <c r="F1218" s="95"/>
      <c r="G1218" s="95"/>
      <c r="H1218" s="94"/>
      <c r="I1218" s="94"/>
      <c r="J1218" s="91"/>
      <c r="K1218" s="91"/>
      <c r="L1218" s="94"/>
      <c r="M1218" s="93"/>
      <c r="N1218" s="92"/>
      <c r="O1218" s="92"/>
      <c r="P1218" s="91">
        <f t="shared" si="85"/>
        <v>0</v>
      </c>
      <c r="Q1218" s="91">
        <f t="shared" si="86"/>
        <v>0</v>
      </c>
      <c r="R1218" s="91"/>
    </row>
    <row r="1219" spans="2:18" ht="12" customHeight="1" x14ac:dyDescent="0.3">
      <c r="B1219" s="98">
        <f t="shared" si="87"/>
        <v>1216</v>
      </c>
      <c r="C1219" s="97" t="str">
        <f t="shared" si="84"/>
        <v>Jan-00</v>
      </c>
      <c r="D1219" s="96"/>
      <c r="E1219" s="95"/>
      <c r="F1219" s="95"/>
      <c r="G1219" s="95"/>
      <c r="H1219" s="94"/>
      <c r="I1219" s="94"/>
      <c r="J1219" s="91"/>
      <c r="K1219" s="91"/>
      <c r="L1219" s="94"/>
      <c r="M1219" s="93"/>
      <c r="N1219" s="92"/>
      <c r="O1219" s="92"/>
      <c r="P1219" s="91">
        <f t="shared" si="85"/>
        <v>0</v>
      </c>
      <c r="Q1219" s="91">
        <f t="shared" si="86"/>
        <v>0</v>
      </c>
      <c r="R1219" s="91"/>
    </row>
    <row r="1220" spans="2:18" ht="12" customHeight="1" x14ac:dyDescent="0.3">
      <c r="B1220" s="98">
        <f t="shared" si="87"/>
        <v>1217</v>
      </c>
      <c r="C1220" s="97" t="str">
        <f t="shared" ref="C1220:C1283" si="88">CONCATENATE(TEXT(D1220,"mmm"),"-",TEXT(D1220,"yy"))</f>
        <v>Jan-00</v>
      </c>
      <c r="D1220" s="96"/>
      <c r="E1220" s="95"/>
      <c r="F1220" s="95"/>
      <c r="G1220" s="95"/>
      <c r="H1220" s="94"/>
      <c r="I1220" s="94"/>
      <c r="J1220" s="91"/>
      <c r="K1220" s="91"/>
      <c r="L1220" s="94"/>
      <c r="M1220" s="93"/>
      <c r="N1220" s="92"/>
      <c r="O1220" s="92"/>
      <c r="P1220" s="91">
        <f t="shared" ref="P1220:P1283" si="89">O1220*1%</f>
        <v>0</v>
      </c>
      <c r="Q1220" s="91">
        <f t="shared" ref="Q1220:Q1283" si="90">O1220-P1220</f>
        <v>0</v>
      </c>
      <c r="R1220" s="91"/>
    </row>
    <row r="1221" spans="2:18" ht="12" customHeight="1" x14ac:dyDescent="0.3">
      <c r="B1221" s="98">
        <f t="shared" ref="B1221:B1284" si="91">+B1220+1</f>
        <v>1218</v>
      </c>
      <c r="C1221" s="97" t="str">
        <f t="shared" si="88"/>
        <v>Jan-00</v>
      </c>
      <c r="D1221" s="96"/>
      <c r="E1221" s="95"/>
      <c r="F1221" s="95"/>
      <c r="G1221" s="95"/>
      <c r="H1221" s="94"/>
      <c r="I1221" s="94"/>
      <c r="J1221" s="91"/>
      <c r="K1221" s="91"/>
      <c r="L1221" s="94"/>
      <c r="M1221" s="93"/>
      <c r="N1221" s="92"/>
      <c r="O1221" s="92"/>
      <c r="P1221" s="91">
        <f t="shared" si="89"/>
        <v>0</v>
      </c>
      <c r="Q1221" s="91">
        <f t="shared" si="90"/>
        <v>0</v>
      </c>
      <c r="R1221" s="91"/>
    </row>
    <row r="1222" spans="2:18" ht="12" customHeight="1" x14ac:dyDescent="0.3">
      <c r="B1222" s="98">
        <f t="shared" si="91"/>
        <v>1219</v>
      </c>
      <c r="C1222" s="97" t="str">
        <f t="shared" si="88"/>
        <v>Jan-00</v>
      </c>
      <c r="D1222" s="96"/>
      <c r="E1222" s="95"/>
      <c r="F1222" s="95"/>
      <c r="G1222" s="95"/>
      <c r="H1222" s="94"/>
      <c r="I1222" s="94"/>
      <c r="J1222" s="91"/>
      <c r="K1222" s="91"/>
      <c r="L1222" s="94"/>
      <c r="M1222" s="93"/>
      <c r="N1222" s="92"/>
      <c r="O1222" s="92"/>
      <c r="P1222" s="91">
        <f t="shared" si="89"/>
        <v>0</v>
      </c>
      <c r="Q1222" s="91">
        <f t="shared" si="90"/>
        <v>0</v>
      </c>
      <c r="R1222" s="91"/>
    </row>
    <row r="1223" spans="2:18" ht="12" customHeight="1" x14ac:dyDescent="0.3">
      <c r="B1223" s="98">
        <f t="shared" si="91"/>
        <v>1220</v>
      </c>
      <c r="C1223" s="97" t="str">
        <f t="shared" si="88"/>
        <v>Jan-00</v>
      </c>
      <c r="D1223" s="96"/>
      <c r="E1223" s="95"/>
      <c r="F1223" s="95"/>
      <c r="G1223" s="95"/>
      <c r="H1223" s="94"/>
      <c r="I1223" s="94"/>
      <c r="J1223" s="91"/>
      <c r="K1223" s="91"/>
      <c r="L1223" s="94"/>
      <c r="M1223" s="93"/>
      <c r="N1223" s="92"/>
      <c r="O1223" s="92"/>
      <c r="P1223" s="91">
        <f t="shared" si="89"/>
        <v>0</v>
      </c>
      <c r="Q1223" s="91">
        <f t="shared" si="90"/>
        <v>0</v>
      </c>
      <c r="R1223" s="91"/>
    </row>
    <row r="1224" spans="2:18" ht="12" customHeight="1" x14ac:dyDescent="0.3">
      <c r="B1224" s="98">
        <f t="shared" si="91"/>
        <v>1221</v>
      </c>
      <c r="C1224" s="97" t="str">
        <f t="shared" si="88"/>
        <v>Jan-00</v>
      </c>
      <c r="D1224" s="96"/>
      <c r="E1224" s="95"/>
      <c r="F1224" s="95"/>
      <c r="G1224" s="95"/>
      <c r="H1224" s="94"/>
      <c r="I1224" s="94"/>
      <c r="J1224" s="91"/>
      <c r="K1224" s="91"/>
      <c r="L1224" s="94"/>
      <c r="M1224" s="93"/>
      <c r="N1224" s="92"/>
      <c r="O1224" s="92"/>
      <c r="P1224" s="91">
        <f t="shared" si="89"/>
        <v>0</v>
      </c>
      <c r="Q1224" s="91">
        <f t="shared" si="90"/>
        <v>0</v>
      </c>
      <c r="R1224" s="91"/>
    </row>
    <row r="1225" spans="2:18" ht="12" customHeight="1" x14ac:dyDescent="0.3">
      <c r="B1225" s="98">
        <f t="shared" si="91"/>
        <v>1222</v>
      </c>
      <c r="C1225" s="97" t="str">
        <f t="shared" si="88"/>
        <v>Jan-00</v>
      </c>
      <c r="D1225" s="96"/>
      <c r="E1225" s="95"/>
      <c r="F1225" s="95"/>
      <c r="G1225" s="95"/>
      <c r="H1225" s="94"/>
      <c r="I1225" s="94"/>
      <c r="J1225" s="91"/>
      <c r="K1225" s="91"/>
      <c r="L1225" s="94"/>
      <c r="M1225" s="93"/>
      <c r="N1225" s="92"/>
      <c r="O1225" s="92"/>
      <c r="P1225" s="91">
        <f t="shared" si="89"/>
        <v>0</v>
      </c>
      <c r="Q1225" s="91">
        <f t="shared" si="90"/>
        <v>0</v>
      </c>
      <c r="R1225" s="91"/>
    </row>
    <row r="1226" spans="2:18" ht="12" customHeight="1" x14ac:dyDescent="0.3">
      <c r="B1226" s="98">
        <f t="shared" si="91"/>
        <v>1223</v>
      </c>
      <c r="C1226" s="97" t="str">
        <f t="shared" si="88"/>
        <v>Jan-00</v>
      </c>
      <c r="D1226" s="96"/>
      <c r="E1226" s="95"/>
      <c r="F1226" s="95"/>
      <c r="G1226" s="95"/>
      <c r="H1226" s="94"/>
      <c r="I1226" s="94"/>
      <c r="J1226" s="91"/>
      <c r="K1226" s="91"/>
      <c r="L1226" s="94"/>
      <c r="M1226" s="93"/>
      <c r="N1226" s="92"/>
      <c r="O1226" s="92"/>
      <c r="P1226" s="91">
        <f t="shared" si="89"/>
        <v>0</v>
      </c>
      <c r="Q1226" s="91">
        <f t="shared" si="90"/>
        <v>0</v>
      </c>
      <c r="R1226" s="91"/>
    </row>
    <row r="1227" spans="2:18" ht="12" customHeight="1" x14ac:dyDescent="0.3">
      <c r="B1227" s="98">
        <f t="shared" si="91"/>
        <v>1224</v>
      </c>
      <c r="C1227" s="97" t="str">
        <f t="shared" si="88"/>
        <v>Jan-00</v>
      </c>
      <c r="D1227" s="96"/>
      <c r="E1227" s="95"/>
      <c r="F1227" s="95"/>
      <c r="G1227" s="95"/>
      <c r="H1227" s="94"/>
      <c r="I1227" s="94"/>
      <c r="J1227" s="91"/>
      <c r="K1227" s="91"/>
      <c r="L1227" s="94"/>
      <c r="M1227" s="93"/>
      <c r="N1227" s="92"/>
      <c r="O1227" s="92"/>
      <c r="P1227" s="91">
        <f t="shared" si="89"/>
        <v>0</v>
      </c>
      <c r="Q1227" s="91">
        <f t="shared" si="90"/>
        <v>0</v>
      </c>
      <c r="R1227" s="91"/>
    </row>
    <row r="1228" spans="2:18" ht="12" customHeight="1" x14ac:dyDescent="0.3">
      <c r="B1228" s="98">
        <f t="shared" si="91"/>
        <v>1225</v>
      </c>
      <c r="C1228" s="97" t="str">
        <f t="shared" si="88"/>
        <v>Jan-00</v>
      </c>
      <c r="D1228" s="96"/>
      <c r="E1228" s="95"/>
      <c r="F1228" s="95"/>
      <c r="G1228" s="95"/>
      <c r="H1228" s="94"/>
      <c r="I1228" s="94"/>
      <c r="J1228" s="91"/>
      <c r="K1228" s="91"/>
      <c r="L1228" s="94"/>
      <c r="M1228" s="93"/>
      <c r="N1228" s="92"/>
      <c r="O1228" s="92"/>
      <c r="P1228" s="91">
        <f t="shared" si="89"/>
        <v>0</v>
      </c>
      <c r="Q1228" s="91">
        <f t="shared" si="90"/>
        <v>0</v>
      </c>
      <c r="R1228" s="91"/>
    </row>
    <row r="1229" spans="2:18" ht="12" customHeight="1" x14ac:dyDescent="0.3">
      <c r="B1229" s="98">
        <f t="shared" si="91"/>
        <v>1226</v>
      </c>
      <c r="C1229" s="97" t="str">
        <f t="shared" si="88"/>
        <v>Jan-00</v>
      </c>
      <c r="D1229" s="96"/>
      <c r="E1229" s="95"/>
      <c r="F1229" s="95"/>
      <c r="G1229" s="95"/>
      <c r="H1229" s="94"/>
      <c r="I1229" s="94"/>
      <c r="J1229" s="91"/>
      <c r="K1229" s="91"/>
      <c r="L1229" s="94"/>
      <c r="M1229" s="93"/>
      <c r="N1229" s="92"/>
      <c r="O1229" s="92"/>
      <c r="P1229" s="91">
        <f t="shared" si="89"/>
        <v>0</v>
      </c>
      <c r="Q1229" s="91">
        <f t="shared" si="90"/>
        <v>0</v>
      </c>
      <c r="R1229" s="91"/>
    </row>
    <row r="1230" spans="2:18" ht="12" customHeight="1" x14ac:dyDescent="0.3">
      <c r="B1230" s="98">
        <f t="shared" si="91"/>
        <v>1227</v>
      </c>
      <c r="C1230" s="97" t="str">
        <f t="shared" si="88"/>
        <v>Jan-00</v>
      </c>
      <c r="D1230" s="96"/>
      <c r="E1230" s="95"/>
      <c r="F1230" s="95"/>
      <c r="G1230" s="95"/>
      <c r="H1230" s="94"/>
      <c r="I1230" s="94"/>
      <c r="J1230" s="91"/>
      <c r="K1230" s="91"/>
      <c r="L1230" s="94"/>
      <c r="M1230" s="93"/>
      <c r="N1230" s="92"/>
      <c r="O1230" s="92"/>
      <c r="P1230" s="91">
        <f t="shared" si="89"/>
        <v>0</v>
      </c>
      <c r="Q1230" s="91">
        <f t="shared" si="90"/>
        <v>0</v>
      </c>
      <c r="R1230" s="91"/>
    </row>
    <row r="1231" spans="2:18" ht="12" customHeight="1" x14ac:dyDescent="0.3">
      <c r="B1231" s="98">
        <f t="shared" si="91"/>
        <v>1228</v>
      </c>
      <c r="C1231" s="97" t="str">
        <f t="shared" si="88"/>
        <v>Jan-00</v>
      </c>
      <c r="D1231" s="96"/>
      <c r="E1231" s="95"/>
      <c r="F1231" s="95"/>
      <c r="G1231" s="95"/>
      <c r="H1231" s="94"/>
      <c r="I1231" s="94"/>
      <c r="J1231" s="91"/>
      <c r="K1231" s="91"/>
      <c r="L1231" s="94"/>
      <c r="M1231" s="93"/>
      <c r="N1231" s="92"/>
      <c r="O1231" s="92"/>
      <c r="P1231" s="91">
        <f t="shared" si="89"/>
        <v>0</v>
      </c>
      <c r="Q1231" s="91">
        <f t="shared" si="90"/>
        <v>0</v>
      </c>
      <c r="R1231" s="91"/>
    </row>
    <row r="1232" spans="2:18" ht="12" customHeight="1" x14ac:dyDescent="0.3">
      <c r="B1232" s="98">
        <f t="shared" si="91"/>
        <v>1229</v>
      </c>
      <c r="C1232" s="97" t="str">
        <f t="shared" si="88"/>
        <v>Jan-00</v>
      </c>
      <c r="D1232" s="96"/>
      <c r="E1232" s="95"/>
      <c r="F1232" s="95"/>
      <c r="G1232" s="95"/>
      <c r="H1232" s="94"/>
      <c r="I1232" s="94"/>
      <c r="J1232" s="91"/>
      <c r="K1232" s="91"/>
      <c r="L1232" s="94"/>
      <c r="M1232" s="93"/>
      <c r="N1232" s="92"/>
      <c r="O1232" s="92"/>
      <c r="P1232" s="91">
        <f t="shared" si="89"/>
        <v>0</v>
      </c>
      <c r="Q1232" s="91">
        <f t="shared" si="90"/>
        <v>0</v>
      </c>
      <c r="R1232" s="91"/>
    </row>
    <row r="1233" spans="2:18" ht="12" customHeight="1" x14ac:dyDescent="0.3">
      <c r="B1233" s="98">
        <f t="shared" si="91"/>
        <v>1230</v>
      </c>
      <c r="C1233" s="97" t="str">
        <f t="shared" si="88"/>
        <v>Jan-00</v>
      </c>
      <c r="D1233" s="96"/>
      <c r="E1233" s="95"/>
      <c r="F1233" s="95"/>
      <c r="G1233" s="95"/>
      <c r="H1233" s="94"/>
      <c r="I1233" s="94"/>
      <c r="J1233" s="91"/>
      <c r="K1233" s="91"/>
      <c r="L1233" s="94"/>
      <c r="M1233" s="93"/>
      <c r="N1233" s="92"/>
      <c r="O1233" s="92"/>
      <c r="P1233" s="91">
        <f t="shared" si="89"/>
        <v>0</v>
      </c>
      <c r="Q1233" s="91">
        <f t="shared" si="90"/>
        <v>0</v>
      </c>
      <c r="R1233" s="91"/>
    </row>
    <row r="1234" spans="2:18" ht="12" customHeight="1" x14ac:dyDescent="0.3">
      <c r="B1234" s="98">
        <f t="shared" si="91"/>
        <v>1231</v>
      </c>
      <c r="C1234" s="97" t="str">
        <f t="shared" si="88"/>
        <v>Jan-00</v>
      </c>
      <c r="D1234" s="96"/>
      <c r="E1234" s="95"/>
      <c r="F1234" s="95"/>
      <c r="G1234" s="95"/>
      <c r="H1234" s="94"/>
      <c r="I1234" s="94"/>
      <c r="J1234" s="91"/>
      <c r="K1234" s="91"/>
      <c r="L1234" s="94"/>
      <c r="M1234" s="93"/>
      <c r="N1234" s="92"/>
      <c r="O1234" s="92"/>
      <c r="P1234" s="91">
        <f t="shared" si="89"/>
        <v>0</v>
      </c>
      <c r="Q1234" s="91">
        <f t="shared" si="90"/>
        <v>0</v>
      </c>
      <c r="R1234" s="91"/>
    </row>
    <row r="1235" spans="2:18" ht="12" customHeight="1" x14ac:dyDescent="0.3">
      <c r="B1235" s="98">
        <f t="shared" si="91"/>
        <v>1232</v>
      </c>
      <c r="C1235" s="97" t="str">
        <f t="shared" si="88"/>
        <v>Jan-00</v>
      </c>
      <c r="D1235" s="96"/>
      <c r="E1235" s="95"/>
      <c r="F1235" s="95"/>
      <c r="G1235" s="95"/>
      <c r="H1235" s="94"/>
      <c r="I1235" s="94"/>
      <c r="J1235" s="91"/>
      <c r="K1235" s="91"/>
      <c r="L1235" s="94"/>
      <c r="M1235" s="93"/>
      <c r="N1235" s="92"/>
      <c r="O1235" s="92"/>
      <c r="P1235" s="91">
        <f t="shared" si="89"/>
        <v>0</v>
      </c>
      <c r="Q1235" s="91">
        <f t="shared" si="90"/>
        <v>0</v>
      </c>
      <c r="R1235" s="91"/>
    </row>
    <row r="1236" spans="2:18" ht="12" customHeight="1" x14ac:dyDescent="0.3">
      <c r="B1236" s="98">
        <f t="shared" si="91"/>
        <v>1233</v>
      </c>
      <c r="C1236" s="97" t="str">
        <f t="shared" si="88"/>
        <v>Jan-00</v>
      </c>
      <c r="D1236" s="96"/>
      <c r="E1236" s="95"/>
      <c r="F1236" s="95"/>
      <c r="G1236" s="95"/>
      <c r="H1236" s="94"/>
      <c r="I1236" s="94"/>
      <c r="J1236" s="91"/>
      <c r="K1236" s="91"/>
      <c r="L1236" s="94"/>
      <c r="M1236" s="93"/>
      <c r="N1236" s="92"/>
      <c r="O1236" s="92"/>
      <c r="P1236" s="91">
        <f t="shared" si="89"/>
        <v>0</v>
      </c>
      <c r="Q1236" s="91">
        <f t="shared" si="90"/>
        <v>0</v>
      </c>
      <c r="R1236" s="91"/>
    </row>
    <row r="1237" spans="2:18" ht="12" customHeight="1" x14ac:dyDescent="0.3">
      <c r="B1237" s="98">
        <f t="shared" si="91"/>
        <v>1234</v>
      </c>
      <c r="C1237" s="97" t="str">
        <f t="shared" si="88"/>
        <v>Jan-00</v>
      </c>
      <c r="D1237" s="96"/>
      <c r="E1237" s="95"/>
      <c r="F1237" s="95"/>
      <c r="G1237" s="95"/>
      <c r="H1237" s="94"/>
      <c r="I1237" s="94"/>
      <c r="J1237" s="91"/>
      <c r="K1237" s="91"/>
      <c r="L1237" s="94"/>
      <c r="M1237" s="93"/>
      <c r="N1237" s="92"/>
      <c r="O1237" s="92"/>
      <c r="P1237" s="91">
        <f t="shared" si="89"/>
        <v>0</v>
      </c>
      <c r="Q1237" s="91">
        <f t="shared" si="90"/>
        <v>0</v>
      </c>
      <c r="R1237" s="91"/>
    </row>
    <row r="1238" spans="2:18" ht="12" customHeight="1" x14ac:dyDescent="0.3">
      <c r="B1238" s="98">
        <f t="shared" si="91"/>
        <v>1235</v>
      </c>
      <c r="C1238" s="97" t="str">
        <f t="shared" si="88"/>
        <v>Jan-00</v>
      </c>
      <c r="D1238" s="96"/>
      <c r="E1238" s="95"/>
      <c r="F1238" s="95"/>
      <c r="G1238" s="95"/>
      <c r="H1238" s="94"/>
      <c r="I1238" s="94"/>
      <c r="J1238" s="91"/>
      <c r="K1238" s="91"/>
      <c r="L1238" s="94"/>
      <c r="M1238" s="93"/>
      <c r="N1238" s="92"/>
      <c r="O1238" s="92"/>
      <c r="P1238" s="91">
        <f t="shared" si="89"/>
        <v>0</v>
      </c>
      <c r="Q1238" s="91">
        <f t="shared" si="90"/>
        <v>0</v>
      </c>
      <c r="R1238" s="91"/>
    </row>
    <row r="1239" spans="2:18" ht="12" customHeight="1" x14ac:dyDescent="0.3">
      <c r="B1239" s="98">
        <f t="shared" si="91"/>
        <v>1236</v>
      </c>
      <c r="C1239" s="97" t="str">
        <f t="shared" si="88"/>
        <v>Jan-00</v>
      </c>
      <c r="D1239" s="96"/>
      <c r="E1239" s="95"/>
      <c r="F1239" s="95"/>
      <c r="G1239" s="95"/>
      <c r="H1239" s="94"/>
      <c r="I1239" s="94"/>
      <c r="J1239" s="91"/>
      <c r="K1239" s="91"/>
      <c r="L1239" s="94"/>
      <c r="M1239" s="93"/>
      <c r="N1239" s="92"/>
      <c r="O1239" s="92"/>
      <c r="P1239" s="91">
        <f t="shared" si="89"/>
        <v>0</v>
      </c>
      <c r="Q1239" s="91">
        <f t="shared" si="90"/>
        <v>0</v>
      </c>
      <c r="R1239" s="91"/>
    </row>
    <row r="1240" spans="2:18" ht="12" customHeight="1" x14ac:dyDescent="0.3">
      <c r="B1240" s="98">
        <f t="shared" si="91"/>
        <v>1237</v>
      </c>
      <c r="C1240" s="97" t="str">
        <f t="shared" si="88"/>
        <v>Jan-00</v>
      </c>
      <c r="D1240" s="96"/>
      <c r="E1240" s="95"/>
      <c r="F1240" s="95"/>
      <c r="G1240" s="95"/>
      <c r="H1240" s="94"/>
      <c r="I1240" s="94"/>
      <c r="J1240" s="91"/>
      <c r="K1240" s="91"/>
      <c r="L1240" s="94"/>
      <c r="M1240" s="93"/>
      <c r="N1240" s="92"/>
      <c r="O1240" s="92"/>
      <c r="P1240" s="91">
        <f t="shared" si="89"/>
        <v>0</v>
      </c>
      <c r="Q1240" s="91">
        <f t="shared" si="90"/>
        <v>0</v>
      </c>
      <c r="R1240" s="91"/>
    </row>
    <row r="1241" spans="2:18" ht="12" customHeight="1" x14ac:dyDescent="0.3">
      <c r="B1241" s="98">
        <f t="shared" si="91"/>
        <v>1238</v>
      </c>
      <c r="C1241" s="97" t="str">
        <f t="shared" si="88"/>
        <v>Jan-00</v>
      </c>
      <c r="D1241" s="96"/>
      <c r="E1241" s="95"/>
      <c r="F1241" s="95"/>
      <c r="G1241" s="95"/>
      <c r="H1241" s="94"/>
      <c r="I1241" s="94"/>
      <c r="J1241" s="91"/>
      <c r="K1241" s="91"/>
      <c r="L1241" s="94"/>
      <c r="M1241" s="93"/>
      <c r="N1241" s="92"/>
      <c r="O1241" s="92"/>
      <c r="P1241" s="91">
        <f t="shared" si="89"/>
        <v>0</v>
      </c>
      <c r="Q1241" s="91">
        <f t="shared" si="90"/>
        <v>0</v>
      </c>
      <c r="R1241" s="91"/>
    </row>
    <row r="1242" spans="2:18" ht="12" customHeight="1" x14ac:dyDescent="0.3">
      <c r="B1242" s="98">
        <f t="shared" si="91"/>
        <v>1239</v>
      </c>
      <c r="C1242" s="97" t="str">
        <f t="shared" si="88"/>
        <v>Jan-00</v>
      </c>
      <c r="D1242" s="96"/>
      <c r="E1242" s="95"/>
      <c r="F1242" s="95"/>
      <c r="G1242" s="95"/>
      <c r="H1242" s="94"/>
      <c r="I1242" s="94"/>
      <c r="J1242" s="91"/>
      <c r="K1242" s="91"/>
      <c r="L1242" s="94"/>
      <c r="M1242" s="93"/>
      <c r="N1242" s="92"/>
      <c r="O1242" s="92"/>
      <c r="P1242" s="91">
        <f t="shared" si="89"/>
        <v>0</v>
      </c>
      <c r="Q1242" s="91">
        <f t="shared" si="90"/>
        <v>0</v>
      </c>
      <c r="R1242" s="91"/>
    </row>
    <row r="1243" spans="2:18" ht="12" customHeight="1" x14ac:dyDescent="0.3">
      <c r="B1243" s="98">
        <f t="shared" si="91"/>
        <v>1240</v>
      </c>
      <c r="C1243" s="97" t="str">
        <f t="shared" si="88"/>
        <v>Jan-00</v>
      </c>
      <c r="D1243" s="96"/>
      <c r="E1243" s="95"/>
      <c r="F1243" s="95"/>
      <c r="G1243" s="95"/>
      <c r="H1243" s="94"/>
      <c r="I1243" s="94"/>
      <c r="J1243" s="91"/>
      <c r="K1243" s="91"/>
      <c r="L1243" s="94"/>
      <c r="M1243" s="93"/>
      <c r="N1243" s="92"/>
      <c r="O1243" s="92"/>
      <c r="P1243" s="91">
        <f t="shared" si="89"/>
        <v>0</v>
      </c>
      <c r="Q1243" s="91">
        <f t="shared" si="90"/>
        <v>0</v>
      </c>
      <c r="R1243" s="91"/>
    </row>
    <row r="1244" spans="2:18" ht="12" customHeight="1" x14ac:dyDescent="0.3">
      <c r="B1244" s="98">
        <f t="shared" si="91"/>
        <v>1241</v>
      </c>
      <c r="C1244" s="97" t="str">
        <f t="shared" si="88"/>
        <v>Jan-00</v>
      </c>
      <c r="D1244" s="96"/>
      <c r="E1244" s="95"/>
      <c r="F1244" s="95"/>
      <c r="G1244" s="95"/>
      <c r="H1244" s="94"/>
      <c r="I1244" s="94"/>
      <c r="J1244" s="91"/>
      <c r="K1244" s="91"/>
      <c r="L1244" s="94"/>
      <c r="M1244" s="93"/>
      <c r="N1244" s="92"/>
      <c r="O1244" s="92"/>
      <c r="P1244" s="91">
        <f t="shared" si="89"/>
        <v>0</v>
      </c>
      <c r="Q1244" s="91">
        <f t="shared" si="90"/>
        <v>0</v>
      </c>
      <c r="R1244" s="91"/>
    </row>
    <row r="1245" spans="2:18" ht="12" customHeight="1" x14ac:dyDescent="0.3">
      <c r="B1245" s="98">
        <f t="shared" si="91"/>
        <v>1242</v>
      </c>
      <c r="C1245" s="97" t="str">
        <f t="shared" si="88"/>
        <v>Jan-00</v>
      </c>
      <c r="D1245" s="96"/>
      <c r="E1245" s="95"/>
      <c r="F1245" s="95"/>
      <c r="G1245" s="95"/>
      <c r="H1245" s="94"/>
      <c r="I1245" s="94"/>
      <c r="J1245" s="91"/>
      <c r="K1245" s="91"/>
      <c r="L1245" s="94"/>
      <c r="M1245" s="93"/>
      <c r="N1245" s="92"/>
      <c r="O1245" s="92"/>
      <c r="P1245" s="91">
        <f t="shared" si="89"/>
        <v>0</v>
      </c>
      <c r="Q1245" s="91">
        <f t="shared" si="90"/>
        <v>0</v>
      </c>
      <c r="R1245" s="91"/>
    </row>
    <row r="1246" spans="2:18" ht="12" customHeight="1" x14ac:dyDescent="0.3">
      <c r="B1246" s="98">
        <f t="shared" si="91"/>
        <v>1243</v>
      </c>
      <c r="C1246" s="97" t="str">
        <f t="shared" si="88"/>
        <v>Jan-00</v>
      </c>
      <c r="D1246" s="96"/>
      <c r="E1246" s="95"/>
      <c r="F1246" s="95"/>
      <c r="G1246" s="95"/>
      <c r="H1246" s="94"/>
      <c r="I1246" s="94"/>
      <c r="J1246" s="91"/>
      <c r="K1246" s="91"/>
      <c r="L1246" s="94"/>
      <c r="M1246" s="93"/>
      <c r="N1246" s="92"/>
      <c r="O1246" s="92"/>
      <c r="P1246" s="91">
        <f t="shared" si="89"/>
        <v>0</v>
      </c>
      <c r="Q1246" s="91">
        <f t="shared" si="90"/>
        <v>0</v>
      </c>
      <c r="R1246" s="91"/>
    </row>
    <row r="1247" spans="2:18" ht="12" customHeight="1" x14ac:dyDescent="0.3">
      <c r="B1247" s="98">
        <f t="shared" si="91"/>
        <v>1244</v>
      </c>
      <c r="C1247" s="97" t="str">
        <f t="shared" si="88"/>
        <v>Jan-00</v>
      </c>
      <c r="D1247" s="96"/>
      <c r="E1247" s="95"/>
      <c r="F1247" s="95"/>
      <c r="G1247" s="95"/>
      <c r="H1247" s="94"/>
      <c r="I1247" s="94"/>
      <c r="J1247" s="91"/>
      <c r="K1247" s="91"/>
      <c r="L1247" s="94"/>
      <c r="M1247" s="93"/>
      <c r="N1247" s="92"/>
      <c r="O1247" s="92"/>
      <c r="P1247" s="91">
        <f t="shared" si="89"/>
        <v>0</v>
      </c>
      <c r="Q1247" s="91">
        <f t="shared" si="90"/>
        <v>0</v>
      </c>
      <c r="R1247" s="91"/>
    </row>
    <row r="1248" spans="2:18" ht="12" customHeight="1" x14ac:dyDescent="0.3">
      <c r="B1248" s="98">
        <f t="shared" si="91"/>
        <v>1245</v>
      </c>
      <c r="C1248" s="97" t="str">
        <f t="shared" si="88"/>
        <v>Jan-00</v>
      </c>
      <c r="D1248" s="96"/>
      <c r="E1248" s="95"/>
      <c r="F1248" s="95"/>
      <c r="G1248" s="95"/>
      <c r="H1248" s="94"/>
      <c r="I1248" s="94"/>
      <c r="J1248" s="91"/>
      <c r="K1248" s="91"/>
      <c r="L1248" s="94"/>
      <c r="M1248" s="93"/>
      <c r="N1248" s="92"/>
      <c r="O1248" s="92"/>
      <c r="P1248" s="91">
        <f t="shared" si="89"/>
        <v>0</v>
      </c>
      <c r="Q1248" s="91">
        <f t="shared" si="90"/>
        <v>0</v>
      </c>
      <c r="R1248" s="91"/>
    </row>
    <row r="1249" spans="2:18" ht="12" customHeight="1" x14ac:dyDescent="0.3">
      <c r="B1249" s="98">
        <f t="shared" si="91"/>
        <v>1246</v>
      </c>
      <c r="C1249" s="97" t="str">
        <f t="shared" si="88"/>
        <v>Jan-00</v>
      </c>
      <c r="D1249" s="96"/>
      <c r="E1249" s="95"/>
      <c r="F1249" s="95"/>
      <c r="G1249" s="95"/>
      <c r="H1249" s="94"/>
      <c r="I1249" s="94"/>
      <c r="J1249" s="91"/>
      <c r="K1249" s="91"/>
      <c r="L1249" s="94"/>
      <c r="M1249" s="93"/>
      <c r="N1249" s="92"/>
      <c r="O1249" s="92"/>
      <c r="P1249" s="91">
        <f t="shared" si="89"/>
        <v>0</v>
      </c>
      <c r="Q1249" s="91">
        <f t="shared" si="90"/>
        <v>0</v>
      </c>
      <c r="R1249" s="91"/>
    </row>
    <row r="1250" spans="2:18" ht="12" customHeight="1" x14ac:dyDescent="0.3">
      <c r="B1250" s="98">
        <f t="shared" si="91"/>
        <v>1247</v>
      </c>
      <c r="C1250" s="97" t="str">
        <f t="shared" si="88"/>
        <v>Jan-00</v>
      </c>
      <c r="D1250" s="96"/>
      <c r="E1250" s="95"/>
      <c r="F1250" s="95"/>
      <c r="G1250" s="95"/>
      <c r="H1250" s="94"/>
      <c r="I1250" s="94"/>
      <c r="J1250" s="91"/>
      <c r="K1250" s="91"/>
      <c r="L1250" s="94"/>
      <c r="M1250" s="93"/>
      <c r="N1250" s="92"/>
      <c r="O1250" s="92"/>
      <c r="P1250" s="91">
        <f t="shared" si="89"/>
        <v>0</v>
      </c>
      <c r="Q1250" s="91">
        <f t="shared" si="90"/>
        <v>0</v>
      </c>
      <c r="R1250" s="91"/>
    </row>
    <row r="1251" spans="2:18" ht="12" customHeight="1" x14ac:dyDescent="0.3">
      <c r="B1251" s="98">
        <f t="shared" si="91"/>
        <v>1248</v>
      </c>
      <c r="C1251" s="97" t="str">
        <f t="shared" si="88"/>
        <v>Jan-00</v>
      </c>
      <c r="D1251" s="96"/>
      <c r="E1251" s="95"/>
      <c r="F1251" s="95"/>
      <c r="G1251" s="95"/>
      <c r="H1251" s="94"/>
      <c r="I1251" s="94"/>
      <c r="J1251" s="91"/>
      <c r="K1251" s="91"/>
      <c r="L1251" s="94"/>
      <c r="M1251" s="93"/>
      <c r="N1251" s="92"/>
      <c r="O1251" s="92"/>
      <c r="P1251" s="91">
        <f t="shared" si="89"/>
        <v>0</v>
      </c>
      <c r="Q1251" s="91">
        <f t="shared" si="90"/>
        <v>0</v>
      </c>
      <c r="R1251" s="91"/>
    </row>
    <row r="1252" spans="2:18" ht="12" customHeight="1" x14ac:dyDescent="0.3">
      <c r="B1252" s="98">
        <f t="shared" si="91"/>
        <v>1249</v>
      </c>
      <c r="C1252" s="97" t="str">
        <f t="shared" si="88"/>
        <v>Jan-00</v>
      </c>
      <c r="D1252" s="96"/>
      <c r="E1252" s="95"/>
      <c r="F1252" s="95"/>
      <c r="G1252" s="95"/>
      <c r="H1252" s="94"/>
      <c r="I1252" s="94"/>
      <c r="J1252" s="91"/>
      <c r="K1252" s="91"/>
      <c r="L1252" s="94"/>
      <c r="M1252" s="93"/>
      <c r="N1252" s="92"/>
      <c r="O1252" s="92"/>
      <c r="P1252" s="91">
        <f t="shared" si="89"/>
        <v>0</v>
      </c>
      <c r="Q1252" s="91">
        <f t="shared" si="90"/>
        <v>0</v>
      </c>
      <c r="R1252" s="91"/>
    </row>
    <row r="1253" spans="2:18" ht="12" customHeight="1" x14ac:dyDescent="0.3">
      <c r="B1253" s="98">
        <f t="shared" si="91"/>
        <v>1250</v>
      </c>
      <c r="C1253" s="97" t="str">
        <f t="shared" si="88"/>
        <v>Jan-00</v>
      </c>
      <c r="D1253" s="96"/>
      <c r="E1253" s="95"/>
      <c r="F1253" s="95"/>
      <c r="G1253" s="95"/>
      <c r="H1253" s="94"/>
      <c r="I1253" s="94"/>
      <c r="J1253" s="91"/>
      <c r="K1253" s="91"/>
      <c r="L1253" s="94"/>
      <c r="M1253" s="93"/>
      <c r="N1253" s="92"/>
      <c r="O1253" s="92"/>
      <c r="P1253" s="91">
        <f t="shared" si="89"/>
        <v>0</v>
      </c>
      <c r="Q1253" s="91">
        <f t="shared" si="90"/>
        <v>0</v>
      </c>
      <c r="R1253" s="91"/>
    </row>
    <row r="1254" spans="2:18" ht="12" customHeight="1" x14ac:dyDescent="0.3">
      <c r="B1254" s="98">
        <f t="shared" si="91"/>
        <v>1251</v>
      </c>
      <c r="C1254" s="97" t="str">
        <f t="shared" si="88"/>
        <v>Jan-00</v>
      </c>
      <c r="D1254" s="96"/>
      <c r="E1254" s="95"/>
      <c r="F1254" s="95"/>
      <c r="G1254" s="95"/>
      <c r="H1254" s="94"/>
      <c r="I1254" s="94"/>
      <c r="J1254" s="91"/>
      <c r="K1254" s="91"/>
      <c r="L1254" s="94"/>
      <c r="M1254" s="93"/>
      <c r="N1254" s="92"/>
      <c r="O1254" s="92"/>
      <c r="P1254" s="91">
        <f t="shared" si="89"/>
        <v>0</v>
      </c>
      <c r="Q1254" s="91">
        <f t="shared" si="90"/>
        <v>0</v>
      </c>
      <c r="R1254" s="91"/>
    </row>
    <row r="1255" spans="2:18" ht="12" customHeight="1" x14ac:dyDescent="0.3">
      <c r="B1255" s="98">
        <f t="shared" si="91"/>
        <v>1252</v>
      </c>
      <c r="C1255" s="97" t="str">
        <f t="shared" si="88"/>
        <v>Jan-00</v>
      </c>
      <c r="D1255" s="96"/>
      <c r="E1255" s="95"/>
      <c r="F1255" s="95"/>
      <c r="G1255" s="95"/>
      <c r="H1255" s="94"/>
      <c r="I1255" s="94"/>
      <c r="J1255" s="91"/>
      <c r="K1255" s="91"/>
      <c r="L1255" s="94"/>
      <c r="M1255" s="93"/>
      <c r="N1255" s="92"/>
      <c r="O1255" s="92"/>
      <c r="P1255" s="91">
        <f t="shared" si="89"/>
        <v>0</v>
      </c>
      <c r="Q1255" s="91">
        <f t="shared" si="90"/>
        <v>0</v>
      </c>
      <c r="R1255" s="91"/>
    </row>
    <row r="1256" spans="2:18" ht="12" customHeight="1" x14ac:dyDescent="0.3">
      <c r="B1256" s="98">
        <f t="shared" si="91"/>
        <v>1253</v>
      </c>
      <c r="C1256" s="97" t="str">
        <f t="shared" si="88"/>
        <v>Jan-00</v>
      </c>
      <c r="D1256" s="96"/>
      <c r="E1256" s="95"/>
      <c r="F1256" s="95"/>
      <c r="G1256" s="95"/>
      <c r="H1256" s="94"/>
      <c r="I1256" s="94"/>
      <c r="J1256" s="91"/>
      <c r="K1256" s="91"/>
      <c r="L1256" s="94"/>
      <c r="M1256" s="93"/>
      <c r="N1256" s="92"/>
      <c r="O1256" s="92"/>
      <c r="P1256" s="91">
        <f t="shared" si="89"/>
        <v>0</v>
      </c>
      <c r="Q1256" s="91">
        <f t="shared" si="90"/>
        <v>0</v>
      </c>
      <c r="R1256" s="91"/>
    </row>
    <row r="1257" spans="2:18" ht="12" customHeight="1" x14ac:dyDescent="0.3">
      <c r="B1257" s="98">
        <f t="shared" si="91"/>
        <v>1254</v>
      </c>
      <c r="C1257" s="97" t="str">
        <f t="shared" si="88"/>
        <v>Jan-00</v>
      </c>
      <c r="D1257" s="96"/>
      <c r="E1257" s="95"/>
      <c r="F1257" s="95"/>
      <c r="G1257" s="95"/>
      <c r="H1257" s="94"/>
      <c r="I1257" s="94"/>
      <c r="J1257" s="91"/>
      <c r="K1257" s="91"/>
      <c r="L1257" s="94"/>
      <c r="M1257" s="93"/>
      <c r="N1257" s="92"/>
      <c r="O1257" s="92"/>
      <c r="P1257" s="91">
        <f t="shared" si="89"/>
        <v>0</v>
      </c>
      <c r="Q1257" s="91">
        <f t="shared" si="90"/>
        <v>0</v>
      </c>
      <c r="R1257" s="91"/>
    </row>
    <row r="1258" spans="2:18" ht="12" customHeight="1" x14ac:dyDescent="0.3">
      <c r="B1258" s="98">
        <f t="shared" si="91"/>
        <v>1255</v>
      </c>
      <c r="C1258" s="97" t="str">
        <f t="shared" si="88"/>
        <v>Jan-00</v>
      </c>
      <c r="D1258" s="96"/>
      <c r="E1258" s="95"/>
      <c r="F1258" s="95"/>
      <c r="G1258" s="95"/>
      <c r="H1258" s="94"/>
      <c r="I1258" s="94"/>
      <c r="J1258" s="91"/>
      <c r="K1258" s="91"/>
      <c r="L1258" s="94"/>
      <c r="M1258" s="93"/>
      <c r="N1258" s="92"/>
      <c r="O1258" s="92"/>
      <c r="P1258" s="91">
        <f t="shared" si="89"/>
        <v>0</v>
      </c>
      <c r="Q1258" s="91">
        <f t="shared" si="90"/>
        <v>0</v>
      </c>
      <c r="R1258" s="91"/>
    </row>
    <row r="1259" spans="2:18" ht="12" customHeight="1" x14ac:dyDescent="0.3">
      <c r="B1259" s="98">
        <f t="shared" si="91"/>
        <v>1256</v>
      </c>
      <c r="C1259" s="97" t="str">
        <f t="shared" si="88"/>
        <v>Jan-00</v>
      </c>
      <c r="D1259" s="96"/>
      <c r="E1259" s="95"/>
      <c r="F1259" s="95"/>
      <c r="G1259" s="95"/>
      <c r="H1259" s="94"/>
      <c r="I1259" s="94"/>
      <c r="J1259" s="91"/>
      <c r="K1259" s="91"/>
      <c r="L1259" s="94"/>
      <c r="M1259" s="93"/>
      <c r="N1259" s="92"/>
      <c r="O1259" s="92"/>
      <c r="P1259" s="91">
        <f t="shared" si="89"/>
        <v>0</v>
      </c>
      <c r="Q1259" s="91">
        <f t="shared" si="90"/>
        <v>0</v>
      </c>
      <c r="R1259" s="91"/>
    </row>
    <row r="1260" spans="2:18" ht="12" customHeight="1" x14ac:dyDescent="0.3">
      <c r="B1260" s="98">
        <f t="shared" si="91"/>
        <v>1257</v>
      </c>
      <c r="C1260" s="97" t="str">
        <f t="shared" si="88"/>
        <v>Jan-00</v>
      </c>
      <c r="D1260" s="96"/>
      <c r="E1260" s="95"/>
      <c r="F1260" s="95"/>
      <c r="G1260" s="95"/>
      <c r="H1260" s="94"/>
      <c r="I1260" s="94"/>
      <c r="J1260" s="91"/>
      <c r="K1260" s="91"/>
      <c r="L1260" s="94"/>
      <c r="M1260" s="93"/>
      <c r="N1260" s="92"/>
      <c r="O1260" s="92"/>
      <c r="P1260" s="91">
        <f t="shared" si="89"/>
        <v>0</v>
      </c>
      <c r="Q1260" s="91">
        <f t="shared" si="90"/>
        <v>0</v>
      </c>
      <c r="R1260" s="91"/>
    </row>
    <row r="1261" spans="2:18" ht="12" customHeight="1" x14ac:dyDescent="0.3">
      <c r="B1261" s="98">
        <f t="shared" si="91"/>
        <v>1258</v>
      </c>
      <c r="C1261" s="97" t="str">
        <f t="shared" si="88"/>
        <v>Jan-00</v>
      </c>
      <c r="D1261" s="96"/>
      <c r="E1261" s="95"/>
      <c r="F1261" s="95"/>
      <c r="G1261" s="95"/>
      <c r="H1261" s="94"/>
      <c r="I1261" s="94"/>
      <c r="J1261" s="91"/>
      <c r="K1261" s="91"/>
      <c r="L1261" s="94"/>
      <c r="M1261" s="93"/>
      <c r="N1261" s="92"/>
      <c r="O1261" s="92"/>
      <c r="P1261" s="91">
        <f t="shared" si="89"/>
        <v>0</v>
      </c>
      <c r="Q1261" s="91">
        <f t="shared" si="90"/>
        <v>0</v>
      </c>
      <c r="R1261" s="91"/>
    </row>
    <row r="1262" spans="2:18" ht="12" customHeight="1" x14ac:dyDescent="0.3">
      <c r="B1262" s="98">
        <f t="shared" si="91"/>
        <v>1259</v>
      </c>
      <c r="C1262" s="97" t="str">
        <f t="shared" si="88"/>
        <v>Jan-00</v>
      </c>
      <c r="D1262" s="96"/>
      <c r="E1262" s="95"/>
      <c r="F1262" s="95"/>
      <c r="G1262" s="95"/>
      <c r="H1262" s="94"/>
      <c r="I1262" s="94"/>
      <c r="J1262" s="91"/>
      <c r="K1262" s="91"/>
      <c r="L1262" s="94"/>
      <c r="M1262" s="93"/>
      <c r="N1262" s="92"/>
      <c r="O1262" s="92"/>
      <c r="P1262" s="91">
        <f t="shared" si="89"/>
        <v>0</v>
      </c>
      <c r="Q1262" s="91">
        <f t="shared" si="90"/>
        <v>0</v>
      </c>
      <c r="R1262" s="91"/>
    </row>
    <row r="1263" spans="2:18" ht="12" customHeight="1" x14ac:dyDescent="0.3">
      <c r="B1263" s="98">
        <f t="shared" si="91"/>
        <v>1260</v>
      </c>
      <c r="C1263" s="97" t="str">
        <f t="shared" si="88"/>
        <v>Jan-00</v>
      </c>
      <c r="D1263" s="96"/>
      <c r="E1263" s="95"/>
      <c r="F1263" s="95"/>
      <c r="G1263" s="95"/>
      <c r="H1263" s="94"/>
      <c r="I1263" s="94"/>
      <c r="J1263" s="91"/>
      <c r="K1263" s="91"/>
      <c r="L1263" s="94"/>
      <c r="M1263" s="93"/>
      <c r="N1263" s="92"/>
      <c r="O1263" s="92"/>
      <c r="P1263" s="91">
        <f t="shared" si="89"/>
        <v>0</v>
      </c>
      <c r="Q1263" s="91">
        <f t="shared" si="90"/>
        <v>0</v>
      </c>
      <c r="R1263" s="91"/>
    </row>
    <row r="1264" spans="2:18" ht="12" customHeight="1" x14ac:dyDescent="0.3">
      <c r="B1264" s="98">
        <f t="shared" si="91"/>
        <v>1261</v>
      </c>
      <c r="C1264" s="97" t="str">
        <f t="shared" si="88"/>
        <v>Jan-00</v>
      </c>
      <c r="D1264" s="96"/>
      <c r="E1264" s="95"/>
      <c r="F1264" s="95"/>
      <c r="G1264" s="95"/>
      <c r="H1264" s="94"/>
      <c r="I1264" s="94"/>
      <c r="J1264" s="91"/>
      <c r="K1264" s="91"/>
      <c r="L1264" s="94"/>
      <c r="M1264" s="93"/>
      <c r="N1264" s="92"/>
      <c r="O1264" s="92"/>
      <c r="P1264" s="91">
        <f t="shared" si="89"/>
        <v>0</v>
      </c>
      <c r="Q1264" s="91">
        <f t="shared" si="90"/>
        <v>0</v>
      </c>
      <c r="R1264" s="91"/>
    </row>
    <row r="1265" spans="2:18" ht="12" customHeight="1" x14ac:dyDescent="0.3">
      <c r="B1265" s="98">
        <f t="shared" si="91"/>
        <v>1262</v>
      </c>
      <c r="C1265" s="97" t="str">
        <f t="shared" si="88"/>
        <v>Jan-00</v>
      </c>
      <c r="D1265" s="96"/>
      <c r="E1265" s="95"/>
      <c r="F1265" s="95"/>
      <c r="G1265" s="95"/>
      <c r="H1265" s="94"/>
      <c r="I1265" s="94"/>
      <c r="J1265" s="91"/>
      <c r="K1265" s="91"/>
      <c r="L1265" s="94"/>
      <c r="M1265" s="93"/>
      <c r="N1265" s="92"/>
      <c r="O1265" s="92"/>
      <c r="P1265" s="91">
        <f t="shared" si="89"/>
        <v>0</v>
      </c>
      <c r="Q1265" s="91">
        <f t="shared" si="90"/>
        <v>0</v>
      </c>
      <c r="R1265" s="91"/>
    </row>
    <row r="1266" spans="2:18" ht="12" customHeight="1" x14ac:dyDescent="0.3">
      <c r="B1266" s="98">
        <f t="shared" si="91"/>
        <v>1263</v>
      </c>
      <c r="C1266" s="97" t="str">
        <f t="shared" si="88"/>
        <v>Jan-00</v>
      </c>
      <c r="D1266" s="96"/>
      <c r="E1266" s="95"/>
      <c r="F1266" s="95"/>
      <c r="G1266" s="95"/>
      <c r="H1266" s="94"/>
      <c r="I1266" s="94"/>
      <c r="J1266" s="91"/>
      <c r="K1266" s="91"/>
      <c r="L1266" s="94"/>
      <c r="M1266" s="93"/>
      <c r="N1266" s="92"/>
      <c r="O1266" s="92"/>
      <c r="P1266" s="91">
        <f t="shared" si="89"/>
        <v>0</v>
      </c>
      <c r="Q1266" s="91">
        <f t="shared" si="90"/>
        <v>0</v>
      </c>
      <c r="R1266" s="91"/>
    </row>
    <row r="1267" spans="2:18" ht="12" customHeight="1" x14ac:dyDescent="0.3">
      <c r="B1267" s="98">
        <f t="shared" si="91"/>
        <v>1264</v>
      </c>
      <c r="C1267" s="97" t="str">
        <f t="shared" si="88"/>
        <v>Jan-00</v>
      </c>
      <c r="D1267" s="96"/>
      <c r="E1267" s="95"/>
      <c r="F1267" s="95"/>
      <c r="G1267" s="95"/>
      <c r="H1267" s="94"/>
      <c r="I1267" s="94"/>
      <c r="J1267" s="91"/>
      <c r="K1267" s="91"/>
      <c r="L1267" s="94"/>
      <c r="M1267" s="93"/>
      <c r="N1267" s="92"/>
      <c r="O1267" s="92"/>
      <c r="P1267" s="91">
        <f t="shared" si="89"/>
        <v>0</v>
      </c>
      <c r="Q1267" s="91">
        <f t="shared" si="90"/>
        <v>0</v>
      </c>
      <c r="R1267" s="91"/>
    </row>
    <row r="1268" spans="2:18" ht="12" customHeight="1" x14ac:dyDescent="0.3">
      <c r="B1268" s="98">
        <f t="shared" si="91"/>
        <v>1265</v>
      </c>
      <c r="C1268" s="97" t="str">
        <f t="shared" si="88"/>
        <v>Jan-00</v>
      </c>
      <c r="D1268" s="96"/>
      <c r="E1268" s="95"/>
      <c r="F1268" s="95"/>
      <c r="G1268" s="95"/>
      <c r="H1268" s="94"/>
      <c r="I1268" s="94"/>
      <c r="J1268" s="91"/>
      <c r="K1268" s="91"/>
      <c r="L1268" s="94"/>
      <c r="M1268" s="93"/>
      <c r="N1268" s="92"/>
      <c r="O1268" s="92"/>
      <c r="P1268" s="91">
        <f t="shared" si="89"/>
        <v>0</v>
      </c>
      <c r="Q1268" s="91">
        <f t="shared" si="90"/>
        <v>0</v>
      </c>
      <c r="R1268" s="91"/>
    </row>
    <row r="1269" spans="2:18" ht="12" customHeight="1" x14ac:dyDescent="0.3">
      <c r="B1269" s="98">
        <f t="shared" si="91"/>
        <v>1266</v>
      </c>
      <c r="C1269" s="97" t="str">
        <f t="shared" si="88"/>
        <v>Jan-00</v>
      </c>
      <c r="D1269" s="96"/>
      <c r="E1269" s="95"/>
      <c r="F1269" s="95"/>
      <c r="G1269" s="95"/>
      <c r="H1269" s="94"/>
      <c r="I1269" s="94"/>
      <c r="J1269" s="91"/>
      <c r="K1269" s="91"/>
      <c r="L1269" s="94"/>
      <c r="M1269" s="93"/>
      <c r="N1269" s="92"/>
      <c r="O1269" s="92"/>
      <c r="P1269" s="91">
        <f t="shared" si="89"/>
        <v>0</v>
      </c>
      <c r="Q1269" s="91">
        <f t="shared" si="90"/>
        <v>0</v>
      </c>
      <c r="R1269" s="91"/>
    </row>
    <row r="1270" spans="2:18" ht="12" customHeight="1" x14ac:dyDescent="0.3">
      <c r="B1270" s="98">
        <f t="shared" si="91"/>
        <v>1267</v>
      </c>
      <c r="C1270" s="97" t="str">
        <f t="shared" si="88"/>
        <v>Jan-00</v>
      </c>
      <c r="D1270" s="96"/>
      <c r="E1270" s="95"/>
      <c r="F1270" s="95"/>
      <c r="G1270" s="95"/>
      <c r="H1270" s="94"/>
      <c r="I1270" s="94"/>
      <c r="J1270" s="91"/>
      <c r="K1270" s="91"/>
      <c r="L1270" s="94"/>
      <c r="M1270" s="93"/>
      <c r="N1270" s="92"/>
      <c r="O1270" s="92"/>
      <c r="P1270" s="91">
        <f t="shared" si="89"/>
        <v>0</v>
      </c>
      <c r="Q1270" s="91">
        <f t="shared" si="90"/>
        <v>0</v>
      </c>
      <c r="R1270" s="91"/>
    </row>
    <row r="1271" spans="2:18" ht="12" customHeight="1" x14ac:dyDescent="0.3">
      <c r="B1271" s="98">
        <f t="shared" si="91"/>
        <v>1268</v>
      </c>
      <c r="C1271" s="97" t="str">
        <f t="shared" si="88"/>
        <v>Jan-00</v>
      </c>
      <c r="D1271" s="96"/>
      <c r="E1271" s="95"/>
      <c r="F1271" s="95"/>
      <c r="G1271" s="95"/>
      <c r="H1271" s="94"/>
      <c r="I1271" s="94"/>
      <c r="J1271" s="91"/>
      <c r="K1271" s="91"/>
      <c r="L1271" s="94"/>
      <c r="M1271" s="93"/>
      <c r="N1271" s="92"/>
      <c r="O1271" s="92"/>
      <c r="P1271" s="91">
        <f t="shared" si="89"/>
        <v>0</v>
      </c>
      <c r="Q1271" s="91">
        <f t="shared" si="90"/>
        <v>0</v>
      </c>
      <c r="R1271" s="91"/>
    </row>
    <row r="1272" spans="2:18" ht="12" customHeight="1" x14ac:dyDescent="0.3">
      <c r="B1272" s="98">
        <f t="shared" si="91"/>
        <v>1269</v>
      </c>
      <c r="C1272" s="97" t="str">
        <f t="shared" si="88"/>
        <v>Jan-00</v>
      </c>
      <c r="D1272" s="96"/>
      <c r="E1272" s="95"/>
      <c r="F1272" s="95"/>
      <c r="G1272" s="95"/>
      <c r="H1272" s="94"/>
      <c r="I1272" s="94"/>
      <c r="J1272" s="91"/>
      <c r="K1272" s="91"/>
      <c r="L1272" s="94"/>
      <c r="M1272" s="93"/>
      <c r="N1272" s="92"/>
      <c r="O1272" s="92"/>
      <c r="P1272" s="91">
        <f t="shared" si="89"/>
        <v>0</v>
      </c>
      <c r="Q1272" s="91">
        <f t="shared" si="90"/>
        <v>0</v>
      </c>
      <c r="R1272" s="91"/>
    </row>
    <row r="1273" spans="2:18" ht="12" customHeight="1" x14ac:dyDescent="0.3">
      <c r="B1273" s="98">
        <f t="shared" si="91"/>
        <v>1270</v>
      </c>
      <c r="C1273" s="97" t="str">
        <f t="shared" si="88"/>
        <v>Jan-00</v>
      </c>
      <c r="D1273" s="96"/>
      <c r="E1273" s="95"/>
      <c r="F1273" s="95"/>
      <c r="G1273" s="95"/>
      <c r="H1273" s="94"/>
      <c r="I1273" s="94"/>
      <c r="J1273" s="91"/>
      <c r="K1273" s="91"/>
      <c r="L1273" s="94"/>
      <c r="M1273" s="93"/>
      <c r="N1273" s="92"/>
      <c r="O1273" s="92"/>
      <c r="P1273" s="91">
        <f t="shared" si="89"/>
        <v>0</v>
      </c>
      <c r="Q1273" s="91">
        <f t="shared" si="90"/>
        <v>0</v>
      </c>
      <c r="R1273" s="91"/>
    </row>
    <row r="1274" spans="2:18" ht="12" customHeight="1" x14ac:dyDescent="0.3">
      <c r="B1274" s="98">
        <f t="shared" si="91"/>
        <v>1271</v>
      </c>
      <c r="C1274" s="97" t="str">
        <f t="shared" si="88"/>
        <v>Jan-00</v>
      </c>
      <c r="D1274" s="96"/>
      <c r="E1274" s="95"/>
      <c r="F1274" s="95"/>
      <c r="G1274" s="95"/>
      <c r="H1274" s="94"/>
      <c r="I1274" s="94"/>
      <c r="J1274" s="91"/>
      <c r="K1274" s="91"/>
      <c r="L1274" s="94"/>
      <c r="M1274" s="93"/>
      <c r="N1274" s="92"/>
      <c r="O1274" s="92"/>
      <c r="P1274" s="91">
        <f t="shared" si="89"/>
        <v>0</v>
      </c>
      <c r="Q1274" s="91">
        <f t="shared" si="90"/>
        <v>0</v>
      </c>
      <c r="R1274" s="91"/>
    </row>
    <row r="1275" spans="2:18" ht="12" customHeight="1" x14ac:dyDescent="0.3">
      <c r="B1275" s="98">
        <f t="shared" si="91"/>
        <v>1272</v>
      </c>
      <c r="C1275" s="97" t="str">
        <f t="shared" si="88"/>
        <v>Jan-00</v>
      </c>
      <c r="D1275" s="96"/>
      <c r="E1275" s="95"/>
      <c r="F1275" s="95"/>
      <c r="G1275" s="95"/>
      <c r="H1275" s="94"/>
      <c r="I1275" s="94"/>
      <c r="J1275" s="91"/>
      <c r="K1275" s="91"/>
      <c r="L1275" s="94"/>
      <c r="M1275" s="93"/>
      <c r="N1275" s="92"/>
      <c r="O1275" s="92"/>
      <c r="P1275" s="91">
        <f t="shared" si="89"/>
        <v>0</v>
      </c>
      <c r="Q1275" s="91">
        <f t="shared" si="90"/>
        <v>0</v>
      </c>
      <c r="R1275" s="91"/>
    </row>
    <row r="1276" spans="2:18" ht="12" customHeight="1" x14ac:dyDescent="0.3">
      <c r="B1276" s="98">
        <f t="shared" si="91"/>
        <v>1273</v>
      </c>
      <c r="C1276" s="97" t="str">
        <f t="shared" si="88"/>
        <v>Jan-00</v>
      </c>
      <c r="D1276" s="96"/>
      <c r="E1276" s="95"/>
      <c r="F1276" s="95"/>
      <c r="G1276" s="95"/>
      <c r="H1276" s="94"/>
      <c r="I1276" s="94"/>
      <c r="J1276" s="91"/>
      <c r="K1276" s="91"/>
      <c r="L1276" s="94"/>
      <c r="M1276" s="93"/>
      <c r="N1276" s="92"/>
      <c r="O1276" s="92"/>
      <c r="P1276" s="91">
        <f t="shared" si="89"/>
        <v>0</v>
      </c>
      <c r="Q1276" s="91">
        <f t="shared" si="90"/>
        <v>0</v>
      </c>
      <c r="R1276" s="91"/>
    </row>
    <row r="1277" spans="2:18" ht="12" customHeight="1" x14ac:dyDescent="0.3">
      <c r="B1277" s="98">
        <f t="shared" si="91"/>
        <v>1274</v>
      </c>
      <c r="C1277" s="97" t="str">
        <f t="shared" si="88"/>
        <v>Jan-00</v>
      </c>
      <c r="D1277" s="96"/>
      <c r="E1277" s="95"/>
      <c r="F1277" s="95"/>
      <c r="G1277" s="95"/>
      <c r="H1277" s="94"/>
      <c r="I1277" s="94"/>
      <c r="J1277" s="91"/>
      <c r="K1277" s="91"/>
      <c r="L1277" s="94"/>
      <c r="M1277" s="93"/>
      <c r="N1277" s="92"/>
      <c r="O1277" s="92"/>
      <c r="P1277" s="91">
        <f t="shared" si="89"/>
        <v>0</v>
      </c>
      <c r="Q1277" s="91">
        <f t="shared" si="90"/>
        <v>0</v>
      </c>
      <c r="R1277" s="91"/>
    </row>
    <row r="1278" spans="2:18" ht="12" customHeight="1" x14ac:dyDescent="0.3">
      <c r="B1278" s="98">
        <f t="shared" si="91"/>
        <v>1275</v>
      </c>
      <c r="C1278" s="97" t="str">
        <f t="shared" si="88"/>
        <v>Jan-00</v>
      </c>
      <c r="D1278" s="96"/>
      <c r="E1278" s="95"/>
      <c r="F1278" s="95"/>
      <c r="G1278" s="95"/>
      <c r="H1278" s="94"/>
      <c r="I1278" s="94"/>
      <c r="J1278" s="91"/>
      <c r="K1278" s="91"/>
      <c r="L1278" s="94"/>
      <c r="M1278" s="93"/>
      <c r="N1278" s="92"/>
      <c r="O1278" s="92"/>
      <c r="P1278" s="91">
        <f t="shared" si="89"/>
        <v>0</v>
      </c>
      <c r="Q1278" s="91">
        <f t="shared" si="90"/>
        <v>0</v>
      </c>
      <c r="R1278" s="91"/>
    </row>
    <row r="1279" spans="2:18" ht="12" customHeight="1" x14ac:dyDescent="0.3">
      <c r="B1279" s="98">
        <f t="shared" si="91"/>
        <v>1276</v>
      </c>
      <c r="C1279" s="97" t="str">
        <f t="shared" si="88"/>
        <v>Jan-00</v>
      </c>
      <c r="D1279" s="96"/>
      <c r="E1279" s="95"/>
      <c r="F1279" s="95"/>
      <c r="G1279" s="95"/>
      <c r="H1279" s="94"/>
      <c r="I1279" s="94"/>
      <c r="J1279" s="91"/>
      <c r="K1279" s="91"/>
      <c r="L1279" s="94"/>
      <c r="M1279" s="93"/>
      <c r="N1279" s="92"/>
      <c r="O1279" s="92"/>
      <c r="P1279" s="91">
        <f t="shared" si="89"/>
        <v>0</v>
      </c>
      <c r="Q1279" s="91">
        <f t="shared" si="90"/>
        <v>0</v>
      </c>
      <c r="R1279" s="91"/>
    </row>
    <row r="1280" spans="2:18" ht="12" customHeight="1" x14ac:dyDescent="0.3">
      <c r="B1280" s="98">
        <f t="shared" si="91"/>
        <v>1277</v>
      </c>
      <c r="C1280" s="97" t="str">
        <f t="shared" si="88"/>
        <v>Jan-00</v>
      </c>
      <c r="D1280" s="96"/>
      <c r="E1280" s="95"/>
      <c r="F1280" s="95"/>
      <c r="G1280" s="95"/>
      <c r="H1280" s="94"/>
      <c r="I1280" s="94"/>
      <c r="J1280" s="91"/>
      <c r="K1280" s="91"/>
      <c r="L1280" s="94"/>
      <c r="M1280" s="93"/>
      <c r="N1280" s="92"/>
      <c r="O1280" s="92"/>
      <c r="P1280" s="91">
        <f t="shared" si="89"/>
        <v>0</v>
      </c>
      <c r="Q1280" s="91">
        <f t="shared" si="90"/>
        <v>0</v>
      </c>
      <c r="R1280" s="91"/>
    </row>
    <row r="1281" spans="2:18" ht="12" customHeight="1" x14ac:dyDescent="0.3">
      <c r="B1281" s="98">
        <f t="shared" si="91"/>
        <v>1278</v>
      </c>
      <c r="C1281" s="97" t="str">
        <f t="shared" si="88"/>
        <v>Jan-00</v>
      </c>
      <c r="D1281" s="96"/>
      <c r="E1281" s="95"/>
      <c r="F1281" s="95"/>
      <c r="G1281" s="95"/>
      <c r="H1281" s="94"/>
      <c r="I1281" s="94"/>
      <c r="J1281" s="91"/>
      <c r="K1281" s="91"/>
      <c r="L1281" s="94"/>
      <c r="M1281" s="93"/>
      <c r="N1281" s="92"/>
      <c r="O1281" s="92"/>
      <c r="P1281" s="91">
        <f t="shared" si="89"/>
        <v>0</v>
      </c>
      <c r="Q1281" s="91">
        <f t="shared" si="90"/>
        <v>0</v>
      </c>
      <c r="R1281" s="91"/>
    </row>
    <row r="1282" spans="2:18" ht="12" customHeight="1" x14ac:dyDescent="0.3">
      <c r="B1282" s="98">
        <f t="shared" si="91"/>
        <v>1279</v>
      </c>
      <c r="C1282" s="97" t="str">
        <f t="shared" si="88"/>
        <v>Jan-00</v>
      </c>
      <c r="D1282" s="96"/>
      <c r="E1282" s="95"/>
      <c r="F1282" s="95"/>
      <c r="G1282" s="95"/>
      <c r="H1282" s="94"/>
      <c r="I1282" s="94"/>
      <c r="J1282" s="91"/>
      <c r="K1282" s="91"/>
      <c r="L1282" s="94"/>
      <c r="M1282" s="93"/>
      <c r="N1282" s="92"/>
      <c r="O1282" s="92"/>
      <c r="P1282" s="91">
        <f t="shared" si="89"/>
        <v>0</v>
      </c>
      <c r="Q1282" s="91">
        <f t="shared" si="90"/>
        <v>0</v>
      </c>
      <c r="R1282" s="91"/>
    </row>
    <row r="1283" spans="2:18" ht="12" customHeight="1" x14ac:dyDescent="0.3">
      <c r="B1283" s="98">
        <f t="shared" si="91"/>
        <v>1280</v>
      </c>
      <c r="C1283" s="97" t="str">
        <f t="shared" si="88"/>
        <v>Jan-00</v>
      </c>
      <c r="D1283" s="96"/>
      <c r="E1283" s="95"/>
      <c r="F1283" s="95"/>
      <c r="G1283" s="95"/>
      <c r="H1283" s="94"/>
      <c r="I1283" s="94"/>
      <c r="J1283" s="91"/>
      <c r="K1283" s="91"/>
      <c r="L1283" s="94"/>
      <c r="M1283" s="93"/>
      <c r="N1283" s="92"/>
      <c r="O1283" s="92"/>
      <c r="P1283" s="91">
        <f t="shared" si="89"/>
        <v>0</v>
      </c>
      <c r="Q1283" s="91">
        <f t="shared" si="90"/>
        <v>0</v>
      </c>
      <c r="R1283" s="91"/>
    </row>
    <row r="1284" spans="2:18" ht="12" customHeight="1" x14ac:dyDescent="0.3">
      <c r="B1284" s="98">
        <f t="shared" si="91"/>
        <v>1281</v>
      </c>
      <c r="C1284" s="97" t="str">
        <f t="shared" ref="C1284:C1347" si="92">CONCATENATE(TEXT(D1284,"mmm"),"-",TEXT(D1284,"yy"))</f>
        <v>Jan-00</v>
      </c>
      <c r="D1284" s="96"/>
      <c r="E1284" s="95"/>
      <c r="F1284" s="95"/>
      <c r="G1284" s="95"/>
      <c r="H1284" s="94"/>
      <c r="I1284" s="94"/>
      <c r="J1284" s="91"/>
      <c r="K1284" s="91"/>
      <c r="L1284" s="94"/>
      <c r="M1284" s="93"/>
      <c r="N1284" s="92"/>
      <c r="O1284" s="92"/>
      <c r="P1284" s="91">
        <f t="shared" ref="P1284:P1347" si="93">O1284*1%</f>
        <v>0</v>
      </c>
      <c r="Q1284" s="91">
        <f t="shared" ref="Q1284:Q1347" si="94">O1284-P1284</f>
        <v>0</v>
      </c>
      <c r="R1284" s="91"/>
    </row>
    <row r="1285" spans="2:18" ht="12" customHeight="1" x14ac:dyDescent="0.3">
      <c r="B1285" s="98">
        <f t="shared" ref="B1285:B1348" si="95">+B1284+1</f>
        <v>1282</v>
      </c>
      <c r="C1285" s="97" t="str">
        <f t="shared" si="92"/>
        <v>Jan-00</v>
      </c>
      <c r="D1285" s="96"/>
      <c r="E1285" s="95"/>
      <c r="F1285" s="95"/>
      <c r="G1285" s="95"/>
      <c r="H1285" s="94"/>
      <c r="I1285" s="94"/>
      <c r="J1285" s="91"/>
      <c r="K1285" s="91"/>
      <c r="L1285" s="94"/>
      <c r="M1285" s="93"/>
      <c r="N1285" s="92"/>
      <c r="O1285" s="92"/>
      <c r="P1285" s="91">
        <f t="shared" si="93"/>
        <v>0</v>
      </c>
      <c r="Q1285" s="91">
        <f t="shared" si="94"/>
        <v>0</v>
      </c>
      <c r="R1285" s="91"/>
    </row>
    <row r="1286" spans="2:18" ht="12" customHeight="1" x14ac:dyDescent="0.3">
      <c r="B1286" s="98">
        <f t="shared" si="95"/>
        <v>1283</v>
      </c>
      <c r="C1286" s="97" t="str">
        <f t="shared" si="92"/>
        <v>Jan-00</v>
      </c>
      <c r="D1286" s="96"/>
      <c r="E1286" s="95"/>
      <c r="F1286" s="95"/>
      <c r="G1286" s="95"/>
      <c r="H1286" s="94"/>
      <c r="I1286" s="94"/>
      <c r="J1286" s="91"/>
      <c r="K1286" s="91"/>
      <c r="L1286" s="94"/>
      <c r="M1286" s="93"/>
      <c r="N1286" s="92"/>
      <c r="O1286" s="92"/>
      <c r="P1286" s="91">
        <f t="shared" si="93"/>
        <v>0</v>
      </c>
      <c r="Q1286" s="91">
        <f t="shared" si="94"/>
        <v>0</v>
      </c>
      <c r="R1286" s="91"/>
    </row>
    <row r="1287" spans="2:18" ht="12" customHeight="1" x14ac:dyDescent="0.3">
      <c r="B1287" s="98">
        <f t="shared" si="95"/>
        <v>1284</v>
      </c>
      <c r="C1287" s="97" t="str">
        <f t="shared" si="92"/>
        <v>Jan-00</v>
      </c>
      <c r="D1287" s="96"/>
      <c r="E1287" s="95"/>
      <c r="F1287" s="95"/>
      <c r="G1287" s="95"/>
      <c r="H1287" s="94"/>
      <c r="I1287" s="94"/>
      <c r="J1287" s="91"/>
      <c r="K1287" s="91"/>
      <c r="L1287" s="94"/>
      <c r="M1287" s="93"/>
      <c r="N1287" s="92"/>
      <c r="O1287" s="92"/>
      <c r="P1287" s="91">
        <f t="shared" si="93"/>
        <v>0</v>
      </c>
      <c r="Q1287" s="91">
        <f t="shared" si="94"/>
        <v>0</v>
      </c>
      <c r="R1287" s="91"/>
    </row>
    <row r="1288" spans="2:18" ht="12" customHeight="1" x14ac:dyDescent="0.3">
      <c r="B1288" s="98">
        <f t="shared" si="95"/>
        <v>1285</v>
      </c>
      <c r="C1288" s="97" t="str">
        <f t="shared" si="92"/>
        <v>Jan-00</v>
      </c>
      <c r="D1288" s="96"/>
      <c r="E1288" s="95"/>
      <c r="F1288" s="95"/>
      <c r="G1288" s="95"/>
      <c r="H1288" s="94"/>
      <c r="I1288" s="94"/>
      <c r="J1288" s="91"/>
      <c r="K1288" s="91"/>
      <c r="L1288" s="94"/>
      <c r="M1288" s="93"/>
      <c r="N1288" s="92"/>
      <c r="O1288" s="92"/>
      <c r="P1288" s="91">
        <f t="shared" si="93"/>
        <v>0</v>
      </c>
      <c r="Q1288" s="91">
        <f t="shared" si="94"/>
        <v>0</v>
      </c>
      <c r="R1288" s="91"/>
    </row>
    <row r="1289" spans="2:18" ht="12" customHeight="1" x14ac:dyDescent="0.3">
      <c r="B1289" s="98">
        <f t="shared" si="95"/>
        <v>1286</v>
      </c>
      <c r="C1289" s="97" t="str">
        <f t="shared" si="92"/>
        <v>Jan-00</v>
      </c>
      <c r="D1289" s="96"/>
      <c r="E1289" s="95"/>
      <c r="F1289" s="95"/>
      <c r="G1289" s="95"/>
      <c r="H1289" s="94"/>
      <c r="I1289" s="94"/>
      <c r="J1289" s="91"/>
      <c r="K1289" s="91"/>
      <c r="L1289" s="94"/>
      <c r="M1289" s="93"/>
      <c r="N1289" s="92"/>
      <c r="O1289" s="92"/>
      <c r="P1289" s="91">
        <f t="shared" si="93"/>
        <v>0</v>
      </c>
      <c r="Q1289" s="91">
        <f t="shared" si="94"/>
        <v>0</v>
      </c>
      <c r="R1289" s="91"/>
    </row>
    <row r="1290" spans="2:18" ht="12" customHeight="1" x14ac:dyDescent="0.3">
      <c r="B1290" s="98">
        <f t="shared" si="95"/>
        <v>1287</v>
      </c>
      <c r="C1290" s="97" t="str">
        <f t="shared" si="92"/>
        <v>Jan-00</v>
      </c>
      <c r="D1290" s="96"/>
      <c r="E1290" s="95"/>
      <c r="F1290" s="95"/>
      <c r="G1290" s="95"/>
      <c r="H1290" s="94"/>
      <c r="I1290" s="94"/>
      <c r="J1290" s="91"/>
      <c r="K1290" s="91"/>
      <c r="L1290" s="94"/>
      <c r="M1290" s="93"/>
      <c r="N1290" s="92"/>
      <c r="O1290" s="92"/>
      <c r="P1290" s="91">
        <f t="shared" si="93"/>
        <v>0</v>
      </c>
      <c r="Q1290" s="91">
        <f t="shared" si="94"/>
        <v>0</v>
      </c>
      <c r="R1290" s="91"/>
    </row>
    <row r="1291" spans="2:18" ht="12" customHeight="1" x14ac:dyDescent="0.3">
      <c r="B1291" s="98">
        <f t="shared" si="95"/>
        <v>1288</v>
      </c>
      <c r="C1291" s="97" t="str">
        <f t="shared" si="92"/>
        <v>Jan-00</v>
      </c>
      <c r="D1291" s="96"/>
      <c r="E1291" s="95"/>
      <c r="F1291" s="95"/>
      <c r="G1291" s="95"/>
      <c r="H1291" s="94"/>
      <c r="I1291" s="94"/>
      <c r="J1291" s="91"/>
      <c r="K1291" s="91"/>
      <c r="L1291" s="94"/>
      <c r="M1291" s="93"/>
      <c r="N1291" s="92"/>
      <c r="O1291" s="92"/>
      <c r="P1291" s="91">
        <f t="shared" si="93"/>
        <v>0</v>
      </c>
      <c r="Q1291" s="91">
        <f t="shared" si="94"/>
        <v>0</v>
      </c>
      <c r="R1291" s="91"/>
    </row>
    <row r="1292" spans="2:18" ht="12" customHeight="1" x14ac:dyDescent="0.3">
      <c r="B1292" s="98">
        <f t="shared" si="95"/>
        <v>1289</v>
      </c>
      <c r="C1292" s="97" t="str">
        <f t="shared" si="92"/>
        <v>Jan-00</v>
      </c>
      <c r="D1292" s="96"/>
      <c r="E1292" s="95"/>
      <c r="F1292" s="95"/>
      <c r="G1292" s="95"/>
      <c r="H1292" s="94"/>
      <c r="I1292" s="94"/>
      <c r="J1292" s="91"/>
      <c r="K1292" s="91"/>
      <c r="L1292" s="94"/>
      <c r="M1292" s="93"/>
      <c r="N1292" s="92"/>
      <c r="O1292" s="92"/>
      <c r="P1292" s="91">
        <f t="shared" si="93"/>
        <v>0</v>
      </c>
      <c r="Q1292" s="91">
        <f t="shared" si="94"/>
        <v>0</v>
      </c>
      <c r="R1292" s="91"/>
    </row>
    <row r="1293" spans="2:18" ht="12" customHeight="1" x14ac:dyDescent="0.3">
      <c r="B1293" s="98">
        <f t="shared" si="95"/>
        <v>1290</v>
      </c>
      <c r="C1293" s="97" t="str">
        <f t="shared" si="92"/>
        <v>Jan-00</v>
      </c>
      <c r="D1293" s="96"/>
      <c r="E1293" s="95"/>
      <c r="F1293" s="95"/>
      <c r="G1293" s="95"/>
      <c r="H1293" s="94"/>
      <c r="I1293" s="94"/>
      <c r="J1293" s="91"/>
      <c r="K1293" s="91"/>
      <c r="L1293" s="94"/>
      <c r="M1293" s="93"/>
      <c r="N1293" s="92"/>
      <c r="O1293" s="92"/>
      <c r="P1293" s="91">
        <f t="shared" si="93"/>
        <v>0</v>
      </c>
      <c r="Q1293" s="91">
        <f t="shared" si="94"/>
        <v>0</v>
      </c>
      <c r="R1293" s="91"/>
    </row>
    <row r="1294" spans="2:18" ht="12" customHeight="1" x14ac:dyDescent="0.3">
      <c r="B1294" s="98">
        <f t="shared" si="95"/>
        <v>1291</v>
      </c>
      <c r="C1294" s="97" t="str">
        <f t="shared" si="92"/>
        <v>Jan-00</v>
      </c>
      <c r="D1294" s="96"/>
      <c r="E1294" s="95"/>
      <c r="F1294" s="95"/>
      <c r="G1294" s="95"/>
      <c r="H1294" s="94"/>
      <c r="I1294" s="94"/>
      <c r="J1294" s="91"/>
      <c r="K1294" s="91"/>
      <c r="L1294" s="94"/>
      <c r="M1294" s="93"/>
      <c r="N1294" s="92"/>
      <c r="O1294" s="92"/>
      <c r="P1294" s="91">
        <f t="shared" si="93"/>
        <v>0</v>
      </c>
      <c r="Q1294" s="91">
        <f t="shared" si="94"/>
        <v>0</v>
      </c>
      <c r="R1294" s="91"/>
    </row>
    <row r="1295" spans="2:18" ht="12" customHeight="1" x14ac:dyDescent="0.3">
      <c r="B1295" s="98">
        <f t="shared" si="95"/>
        <v>1292</v>
      </c>
      <c r="C1295" s="97" t="str">
        <f t="shared" si="92"/>
        <v>Jan-00</v>
      </c>
      <c r="D1295" s="96"/>
      <c r="E1295" s="95"/>
      <c r="F1295" s="95"/>
      <c r="G1295" s="95"/>
      <c r="H1295" s="94"/>
      <c r="I1295" s="94"/>
      <c r="J1295" s="91"/>
      <c r="K1295" s="91"/>
      <c r="L1295" s="94"/>
      <c r="M1295" s="93"/>
      <c r="N1295" s="92"/>
      <c r="O1295" s="92"/>
      <c r="P1295" s="91">
        <f t="shared" si="93"/>
        <v>0</v>
      </c>
      <c r="Q1295" s="91">
        <f t="shared" si="94"/>
        <v>0</v>
      </c>
      <c r="R1295" s="91"/>
    </row>
    <row r="1296" spans="2:18" ht="12" customHeight="1" x14ac:dyDescent="0.3">
      <c r="B1296" s="98">
        <f t="shared" si="95"/>
        <v>1293</v>
      </c>
      <c r="C1296" s="97" t="str">
        <f t="shared" si="92"/>
        <v>Jan-00</v>
      </c>
      <c r="D1296" s="96"/>
      <c r="E1296" s="95"/>
      <c r="F1296" s="95"/>
      <c r="G1296" s="95"/>
      <c r="H1296" s="94"/>
      <c r="I1296" s="94"/>
      <c r="J1296" s="91"/>
      <c r="K1296" s="91"/>
      <c r="L1296" s="94"/>
      <c r="M1296" s="93"/>
      <c r="N1296" s="92"/>
      <c r="O1296" s="92"/>
      <c r="P1296" s="91">
        <f t="shared" si="93"/>
        <v>0</v>
      </c>
      <c r="Q1296" s="91">
        <f t="shared" si="94"/>
        <v>0</v>
      </c>
      <c r="R1296" s="91"/>
    </row>
    <row r="1297" spans="2:18" ht="12" customHeight="1" x14ac:dyDescent="0.3">
      <c r="B1297" s="98">
        <f t="shared" si="95"/>
        <v>1294</v>
      </c>
      <c r="C1297" s="97" t="str">
        <f t="shared" si="92"/>
        <v>Jan-00</v>
      </c>
      <c r="D1297" s="96"/>
      <c r="E1297" s="95"/>
      <c r="F1297" s="95"/>
      <c r="G1297" s="95"/>
      <c r="H1297" s="94"/>
      <c r="I1297" s="94"/>
      <c r="J1297" s="91"/>
      <c r="K1297" s="91"/>
      <c r="L1297" s="94"/>
      <c r="M1297" s="93"/>
      <c r="N1297" s="92"/>
      <c r="O1297" s="92"/>
      <c r="P1297" s="91">
        <f t="shared" si="93"/>
        <v>0</v>
      </c>
      <c r="Q1297" s="91">
        <f t="shared" si="94"/>
        <v>0</v>
      </c>
      <c r="R1297" s="91"/>
    </row>
    <row r="1298" spans="2:18" ht="12" customHeight="1" x14ac:dyDescent="0.3">
      <c r="B1298" s="98">
        <f t="shared" si="95"/>
        <v>1295</v>
      </c>
      <c r="C1298" s="97" t="str">
        <f t="shared" si="92"/>
        <v>Jan-00</v>
      </c>
      <c r="D1298" s="96"/>
      <c r="E1298" s="95"/>
      <c r="F1298" s="95"/>
      <c r="G1298" s="95"/>
      <c r="H1298" s="94"/>
      <c r="I1298" s="94"/>
      <c r="J1298" s="91"/>
      <c r="K1298" s="91"/>
      <c r="L1298" s="94"/>
      <c r="M1298" s="93"/>
      <c r="N1298" s="92"/>
      <c r="O1298" s="92"/>
      <c r="P1298" s="91">
        <f t="shared" si="93"/>
        <v>0</v>
      </c>
      <c r="Q1298" s="91">
        <f t="shared" si="94"/>
        <v>0</v>
      </c>
      <c r="R1298" s="91"/>
    </row>
    <row r="1299" spans="2:18" ht="12" customHeight="1" x14ac:dyDescent="0.3">
      <c r="B1299" s="98">
        <f t="shared" si="95"/>
        <v>1296</v>
      </c>
      <c r="C1299" s="97" t="str">
        <f t="shared" si="92"/>
        <v>Jan-00</v>
      </c>
      <c r="D1299" s="96"/>
      <c r="E1299" s="95"/>
      <c r="F1299" s="95"/>
      <c r="G1299" s="95"/>
      <c r="H1299" s="94"/>
      <c r="I1299" s="94"/>
      <c r="J1299" s="91"/>
      <c r="K1299" s="91"/>
      <c r="L1299" s="94"/>
      <c r="M1299" s="93"/>
      <c r="N1299" s="92"/>
      <c r="O1299" s="92"/>
      <c r="P1299" s="91">
        <f t="shared" si="93"/>
        <v>0</v>
      </c>
      <c r="Q1299" s="91">
        <f t="shared" si="94"/>
        <v>0</v>
      </c>
      <c r="R1299" s="91"/>
    </row>
    <row r="1300" spans="2:18" ht="12" customHeight="1" x14ac:dyDescent="0.3">
      <c r="B1300" s="98">
        <f t="shared" si="95"/>
        <v>1297</v>
      </c>
      <c r="C1300" s="97" t="str">
        <f t="shared" si="92"/>
        <v>Jan-00</v>
      </c>
      <c r="D1300" s="96"/>
      <c r="E1300" s="95"/>
      <c r="F1300" s="95"/>
      <c r="G1300" s="95"/>
      <c r="H1300" s="94"/>
      <c r="I1300" s="94"/>
      <c r="J1300" s="91"/>
      <c r="K1300" s="91"/>
      <c r="L1300" s="94"/>
      <c r="M1300" s="93"/>
      <c r="N1300" s="92"/>
      <c r="O1300" s="92"/>
      <c r="P1300" s="91">
        <f t="shared" si="93"/>
        <v>0</v>
      </c>
      <c r="Q1300" s="91">
        <f t="shared" si="94"/>
        <v>0</v>
      </c>
      <c r="R1300" s="91"/>
    </row>
    <row r="1301" spans="2:18" ht="12" customHeight="1" x14ac:dyDescent="0.3">
      <c r="B1301" s="98">
        <f t="shared" si="95"/>
        <v>1298</v>
      </c>
      <c r="C1301" s="97" t="str">
        <f t="shared" si="92"/>
        <v>Jan-00</v>
      </c>
      <c r="D1301" s="96"/>
      <c r="E1301" s="95"/>
      <c r="F1301" s="95"/>
      <c r="G1301" s="95"/>
      <c r="H1301" s="94"/>
      <c r="I1301" s="94"/>
      <c r="J1301" s="91"/>
      <c r="K1301" s="91"/>
      <c r="L1301" s="94"/>
      <c r="M1301" s="93"/>
      <c r="N1301" s="92"/>
      <c r="O1301" s="92"/>
      <c r="P1301" s="91">
        <f t="shared" si="93"/>
        <v>0</v>
      </c>
      <c r="Q1301" s="91">
        <f t="shared" si="94"/>
        <v>0</v>
      </c>
      <c r="R1301" s="91"/>
    </row>
    <row r="1302" spans="2:18" ht="12" customHeight="1" x14ac:dyDescent="0.3">
      <c r="B1302" s="98">
        <f t="shared" si="95"/>
        <v>1299</v>
      </c>
      <c r="C1302" s="97" t="str">
        <f t="shared" si="92"/>
        <v>Jan-00</v>
      </c>
      <c r="D1302" s="96"/>
      <c r="E1302" s="95"/>
      <c r="F1302" s="95"/>
      <c r="G1302" s="95"/>
      <c r="H1302" s="94"/>
      <c r="I1302" s="94"/>
      <c r="J1302" s="91"/>
      <c r="K1302" s="91"/>
      <c r="L1302" s="94"/>
      <c r="M1302" s="93"/>
      <c r="N1302" s="92"/>
      <c r="O1302" s="92"/>
      <c r="P1302" s="91">
        <f t="shared" si="93"/>
        <v>0</v>
      </c>
      <c r="Q1302" s="91">
        <f t="shared" si="94"/>
        <v>0</v>
      </c>
      <c r="R1302" s="91"/>
    </row>
    <row r="1303" spans="2:18" ht="12" customHeight="1" x14ac:dyDescent="0.3">
      <c r="B1303" s="98">
        <f t="shared" si="95"/>
        <v>1300</v>
      </c>
      <c r="C1303" s="97" t="str">
        <f t="shared" si="92"/>
        <v>Jan-00</v>
      </c>
      <c r="D1303" s="96"/>
      <c r="E1303" s="95"/>
      <c r="F1303" s="95"/>
      <c r="G1303" s="95"/>
      <c r="H1303" s="94"/>
      <c r="I1303" s="94"/>
      <c r="J1303" s="91"/>
      <c r="K1303" s="91"/>
      <c r="L1303" s="94"/>
      <c r="M1303" s="93"/>
      <c r="N1303" s="92"/>
      <c r="O1303" s="92"/>
      <c r="P1303" s="91">
        <f t="shared" si="93"/>
        <v>0</v>
      </c>
      <c r="Q1303" s="91">
        <f t="shared" si="94"/>
        <v>0</v>
      </c>
      <c r="R1303" s="91"/>
    </row>
    <row r="1304" spans="2:18" ht="12" customHeight="1" x14ac:dyDescent="0.3">
      <c r="B1304" s="98">
        <f t="shared" si="95"/>
        <v>1301</v>
      </c>
      <c r="C1304" s="97" t="str">
        <f t="shared" si="92"/>
        <v>Jan-00</v>
      </c>
      <c r="D1304" s="96"/>
      <c r="E1304" s="95"/>
      <c r="F1304" s="95"/>
      <c r="G1304" s="95"/>
      <c r="H1304" s="94"/>
      <c r="I1304" s="94"/>
      <c r="J1304" s="91"/>
      <c r="K1304" s="91"/>
      <c r="L1304" s="94"/>
      <c r="M1304" s="93"/>
      <c r="N1304" s="92"/>
      <c r="O1304" s="92"/>
      <c r="P1304" s="91">
        <f t="shared" si="93"/>
        <v>0</v>
      </c>
      <c r="Q1304" s="91">
        <f t="shared" si="94"/>
        <v>0</v>
      </c>
      <c r="R1304" s="91"/>
    </row>
    <row r="1305" spans="2:18" ht="12" customHeight="1" x14ac:dyDescent="0.3">
      <c r="B1305" s="98">
        <f t="shared" si="95"/>
        <v>1302</v>
      </c>
      <c r="C1305" s="97" t="str">
        <f t="shared" si="92"/>
        <v>Jan-00</v>
      </c>
      <c r="D1305" s="96"/>
      <c r="E1305" s="95"/>
      <c r="F1305" s="95"/>
      <c r="G1305" s="95"/>
      <c r="H1305" s="94"/>
      <c r="I1305" s="94"/>
      <c r="J1305" s="91"/>
      <c r="K1305" s="91"/>
      <c r="L1305" s="94"/>
      <c r="M1305" s="93"/>
      <c r="N1305" s="92"/>
      <c r="O1305" s="92"/>
      <c r="P1305" s="91">
        <f t="shared" si="93"/>
        <v>0</v>
      </c>
      <c r="Q1305" s="91">
        <f t="shared" si="94"/>
        <v>0</v>
      </c>
      <c r="R1305" s="91"/>
    </row>
    <row r="1306" spans="2:18" ht="12" customHeight="1" x14ac:dyDescent="0.3">
      <c r="B1306" s="98">
        <f t="shared" si="95"/>
        <v>1303</v>
      </c>
      <c r="C1306" s="97" t="str">
        <f t="shared" si="92"/>
        <v>Jan-00</v>
      </c>
      <c r="D1306" s="96"/>
      <c r="E1306" s="95"/>
      <c r="F1306" s="95"/>
      <c r="G1306" s="95"/>
      <c r="H1306" s="94"/>
      <c r="I1306" s="94"/>
      <c r="J1306" s="91"/>
      <c r="K1306" s="91"/>
      <c r="L1306" s="94"/>
      <c r="M1306" s="93"/>
      <c r="N1306" s="92"/>
      <c r="O1306" s="92"/>
      <c r="P1306" s="91">
        <f t="shared" si="93"/>
        <v>0</v>
      </c>
      <c r="Q1306" s="91">
        <f t="shared" si="94"/>
        <v>0</v>
      </c>
      <c r="R1306" s="91"/>
    </row>
    <row r="1307" spans="2:18" ht="12" customHeight="1" x14ac:dyDescent="0.3">
      <c r="B1307" s="98">
        <f t="shared" si="95"/>
        <v>1304</v>
      </c>
      <c r="C1307" s="97" t="str">
        <f t="shared" si="92"/>
        <v>Jan-00</v>
      </c>
      <c r="D1307" s="96"/>
      <c r="E1307" s="95"/>
      <c r="F1307" s="95"/>
      <c r="G1307" s="95"/>
      <c r="H1307" s="94"/>
      <c r="I1307" s="94"/>
      <c r="J1307" s="91"/>
      <c r="K1307" s="91"/>
      <c r="L1307" s="94"/>
      <c r="M1307" s="93"/>
      <c r="N1307" s="92"/>
      <c r="O1307" s="92"/>
      <c r="P1307" s="91">
        <f t="shared" si="93"/>
        <v>0</v>
      </c>
      <c r="Q1307" s="91">
        <f t="shared" si="94"/>
        <v>0</v>
      </c>
      <c r="R1307" s="91"/>
    </row>
    <row r="1308" spans="2:18" ht="12" customHeight="1" x14ac:dyDescent="0.3">
      <c r="B1308" s="98">
        <f t="shared" si="95"/>
        <v>1305</v>
      </c>
      <c r="C1308" s="97" t="str">
        <f t="shared" si="92"/>
        <v>Jan-00</v>
      </c>
      <c r="D1308" s="96"/>
      <c r="E1308" s="95"/>
      <c r="F1308" s="95"/>
      <c r="G1308" s="95"/>
      <c r="H1308" s="94"/>
      <c r="I1308" s="94"/>
      <c r="J1308" s="91"/>
      <c r="K1308" s="91"/>
      <c r="L1308" s="94"/>
      <c r="M1308" s="93"/>
      <c r="N1308" s="92"/>
      <c r="O1308" s="92"/>
      <c r="P1308" s="91">
        <f t="shared" si="93"/>
        <v>0</v>
      </c>
      <c r="Q1308" s="91">
        <f t="shared" si="94"/>
        <v>0</v>
      </c>
      <c r="R1308" s="91"/>
    </row>
    <row r="1309" spans="2:18" ht="12" customHeight="1" x14ac:dyDescent="0.3">
      <c r="B1309" s="98">
        <f t="shared" si="95"/>
        <v>1306</v>
      </c>
      <c r="C1309" s="97" t="str">
        <f t="shared" si="92"/>
        <v>Jan-00</v>
      </c>
      <c r="D1309" s="96"/>
      <c r="E1309" s="95"/>
      <c r="F1309" s="95"/>
      <c r="G1309" s="95"/>
      <c r="H1309" s="94"/>
      <c r="I1309" s="94"/>
      <c r="J1309" s="91"/>
      <c r="K1309" s="91"/>
      <c r="L1309" s="94"/>
      <c r="M1309" s="93"/>
      <c r="N1309" s="92"/>
      <c r="O1309" s="92"/>
      <c r="P1309" s="91">
        <f t="shared" si="93"/>
        <v>0</v>
      </c>
      <c r="Q1309" s="91">
        <f t="shared" si="94"/>
        <v>0</v>
      </c>
      <c r="R1309" s="91"/>
    </row>
    <row r="1310" spans="2:18" ht="12" customHeight="1" x14ac:dyDescent="0.3">
      <c r="B1310" s="98">
        <f t="shared" si="95"/>
        <v>1307</v>
      </c>
      <c r="C1310" s="97" t="str">
        <f t="shared" si="92"/>
        <v>Jan-00</v>
      </c>
      <c r="D1310" s="96"/>
      <c r="E1310" s="95"/>
      <c r="F1310" s="95"/>
      <c r="G1310" s="95"/>
      <c r="H1310" s="94"/>
      <c r="I1310" s="94"/>
      <c r="J1310" s="91"/>
      <c r="K1310" s="91"/>
      <c r="L1310" s="94"/>
      <c r="M1310" s="93"/>
      <c r="N1310" s="92"/>
      <c r="O1310" s="92"/>
      <c r="P1310" s="91">
        <f t="shared" si="93"/>
        <v>0</v>
      </c>
      <c r="Q1310" s="91">
        <f t="shared" si="94"/>
        <v>0</v>
      </c>
      <c r="R1310" s="91"/>
    </row>
    <row r="1311" spans="2:18" ht="12" customHeight="1" x14ac:dyDescent="0.3">
      <c r="B1311" s="98">
        <f t="shared" si="95"/>
        <v>1308</v>
      </c>
      <c r="C1311" s="97" t="str">
        <f t="shared" si="92"/>
        <v>Jan-00</v>
      </c>
      <c r="D1311" s="96"/>
      <c r="E1311" s="95"/>
      <c r="F1311" s="95"/>
      <c r="G1311" s="95"/>
      <c r="H1311" s="94"/>
      <c r="I1311" s="94"/>
      <c r="J1311" s="91"/>
      <c r="K1311" s="91"/>
      <c r="L1311" s="94"/>
      <c r="M1311" s="93"/>
      <c r="N1311" s="92"/>
      <c r="O1311" s="92"/>
      <c r="P1311" s="91">
        <f t="shared" si="93"/>
        <v>0</v>
      </c>
      <c r="Q1311" s="91">
        <f t="shared" si="94"/>
        <v>0</v>
      </c>
      <c r="R1311" s="91"/>
    </row>
    <row r="1312" spans="2:18" ht="12" customHeight="1" x14ac:dyDescent="0.3">
      <c r="B1312" s="98">
        <f t="shared" si="95"/>
        <v>1309</v>
      </c>
      <c r="C1312" s="97" t="str">
        <f t="shared" si="92"/>
        <v>Jan-00</v>
      </c>
      <c r="D1312" s="96"/>
      <c r="E1312" s="95"/>
      <c r="F1312" s="95"/>
      <c r="G1312" s="95"/>
      <c r="H1312" s="94"/>
      <c r="I1312" s="94"/>
      <c r="J1312" s="91"/>
      <c r="K1312" s="91"/>
      <c r="L1312" s="94"/>
      <c r="M1312" s="93"/>
      <c r="N1312" s="92"/>
      <c r="O1312" s="92"/>
      <c r="P1312" s="91">
        <f t="shared" si="93"/>
        <v>0</v>
      </c>
      <c r="Q1312" s="91">
        <f t="shared" si="94"/>
        <v>0</v>
      </c>
      <c r="R1312" s="91"/>
    </row>
    <row r="1313" spans="2:18" ht="12" customHeight="1" x14ac:dyDescent="0.3">
      <c r="B1313" s="98">
        <f t="shared" si="95"/>
        <v>1310</v>
      </c>
      <c r="C1313" s="97" t="str">
        <f t="shared" si="92"/>
        <v>Jan-00</v>
      </c>
      <c r="D1313" s="96"/>
      <c r="E1313" s="95"/>
      <c r="F1313" s="95"/>
      <c r="G1313" s="95"/>
      <c r="H1313" s="94"/>
      <c r="I1313" s="94"/>
      <c r="J1313" s="91"/>
      <c r="K1313" s="91"/>
      <c r="L1313" s="94"/>
      <c r="M1313" s="93"/>
      <c r="N1313" s="92"/>
      <c r="O1313" s="92"/>
      <c r="P1313" s="91">
        <f t="shared" si="93"/>
        <v>0</v>
      </c>
      <c r="Q1313" s="91">
        <f t="shared" si="94"/>
        <v>0</v>
      </c>
      <c r="R1313" s="91"/>
    </row>
    <row r="1314" spans="2:18" ht="12" customHeight="1" x14ac:dyDescent="0.3">
      <c r="B1314" s="98">
        <f t="shared" si="95"/>
        <v>1311</v>
      </c>
      <c r="C1314" s="97" t="str">
        <f t="shared" si="92"/>
        <v>Jan-00</v>
      </c>
      <c r="D1314" s="96"/>
      <c r="E1314" s="95"/>
      <c r="F1314" s="95"/>
      <c r="G1314" s="95"/>
      <c r="H1314" s="94"/>
      <c r="I1314" s="94"/>
      <c r="J1314" s="91"/>
      <c r="K1314" s="91"/>
      <c r="L1314" s="94"/>
      <c r="M1314" s="93"/>
      <c r="N1314" s="92"/>
      <c r="O1314" s="92"/>
      <c r="P1314" s="91">
        <f t="shared" si="93"/>
        <v>0</v>
      </c>
      <c r="Q1314" s="91">
        <f t="shared" si="94"/>
        <v>0</v>
      </c>
      <c r="R1314" s="91"/>
    </row>
    <row r="1315" spans="2:18" ht="12" customHeight="1" x14ac:dyDescent="0.3">
      <c r="B1315" s="98">
        <f t="shared" si="95"/>
        <v>1312</v>
      </c>
      <c r="C1315" s="97" t="str">
        <f t="shared" si="92"/>
        <v>Jan-00</v>
      </c>
      <c r="D1315" s="96"/>
      <c r="E1315" s="95"/>
      <c r="F1315" s="95"/>
      <c r="G1315" s="95"/>
      <c r="H1315" s="94"/>
      <c r="I1315" s="94"/>
      <c r="J1315" s="91"/>
      <c r="K1315" s="91"/>
      <c r="L1315" s="94"/>
      <c r="M1315" s="93"/>
      <c r="N1315" s="92"/>
      <c r="O1315" s="92"/>
      <c r="P1315" s="91">
        <f t="shared" si="93"/>
        <v>0</v>
      </c>
      <c r="Q1315" s="91">
        <f t="shared" si="94"/>
        <v>0</v>
      </c>
      <c r="R1315" s="91"/>
    </row>
    <row r="1316" spans="2:18" ht="12" customHeight="1" x14ac:dyDescent="0.3">
      <c r="B1316" s="98">
        <f t="shared" si="95"/>
        <v>1313</v>
      </c>
      <c r="C1316" s="97" t="str">
        <f t="shared" si="92"/>
        <v>Jan-00</v>
      </c>
      <c r="D1316" s="96"/>
      <c r="E1316" s="95"/>
      <c r="F1316" s="95"/>
      <c r="G1316" s="95"/>
      <c r="H1316" s="94"/>
      <c r="I1316" s="94"/>
      <c r="J1316" s="91"/>
      <c r="K1316" s="91"/>
      <c r="L1316" s="94"/>
      <c r="M1316" s="93"/>
      <c r="N1316" s="92"/>
      <c r="O1316" s="92"/>
      <c r="P1316" s="91">
        <f t="shared" si="93"/>
        <v>0</v>
      </c>
      <c r="Q1316" s="91">
        <f t="shared" si="94"/>
        <v>0</v>
      </c>
      <c r="R1316" s="91"/>
    </row>
    <row r="1317" spans="2:18" ht="12" customHeight="1" x14ac:dyDescent="0.3">
      <c r="B1317" s="98">
        <f t="shared" si="95"/>
        <v>1314</v>
      </c>
      <c r="C1317" s="97" t="str">
        <f t="shared" si="92"/>
        <v>Jan-00</v>
      </c>
      <c r="D1317" s="96"/>
      <c r="E1317" s="95"/>
      <c r="F1317" s="95"/>
      <c r="G1317" s="95"/>
      <c r="H1317" s="94"/>
      <c r="I1317" s="94"/>
      <c r="J1317" s="91"/>
      <c r="K1317" s="91"/>
      <c r="L1317" s="94"/>
      <c r="M1317" s="93"/>
      <c r="N1317" s="92"/>
      <c r="O1317" s="92"/>
      <c r="P1317" s="91">
        <f t="shared" si="93"/>
        <v>0</v>
      </c>
      <c r="Q1317" s="91">
        <f t="shared" si="94"/>
        <v>0</v>
      </c>
      <c r="R1317" s="91"/>
    </row>
    <row r="1318" spans="2:18" ht="12" customHeight="1" x14ac:dyDescent="0.3">
      <c r="B1318" s="98">
        <f t="shared" si="95"/>
        <v>1315</v>
      </c>
      <c r="C1318" s="97" t="str">
        <f t="shared" si="92"/>
        <v>Jan-00</v>
      </c>
      <c r="D1318" s="96"/>
      <c r="E1318" s="95"/>
      <c r="F1318" s="95"/>
      <c r="G1318" s="95"/>
      <c r="H1318" s="94"/>
      <c r="I1318" s="94"/>
      <c r="J1318" s="91"/>
      <c r="K1318" s="91"/>
      <c r="L1318" s="94"/>
      <c r="M1318" s="93"/>
      <c r="N1318" s="92"/>
      <c r="O1318" s="92"/>
      <c r="P1318" s="91">
        <f t="shared" si="93"/>
        <v>0</v>
      </c>
      <c r="Q1318" s="91">
        <f t="shared" si="94"/>
        <v>0</v>
      </c>
      <c r="R1318" s="91"/>
    </row>
    <row r="1319" spans="2:18" ht="12" customHeight="1" x14ac:dyDescent="0.3">
      <c r="B1319" s="98">
        <f t="shared" si="95"/>
        <v>1316</v>
      </c>
      <c r="C1319" s="97" t="str">
        <f t="shared" si="92"/>
        <v>Jan-00</v>
      </c>
      <c r="D1319" s="96"/>
      <c r="E1319" s="95"/>
      <c r="F1319" s="95"/>
      <c r="G1319" s="95"/>
      <c r="H1319" s="94"/>
      <c r="I1319" s="94"/>
      <c r="J1319" s="91"/>
      <c r="K1319" s="91"/>
      <c r="L1319" s="94"/>
      <c r="M1319" s="93"/>
      <c r="N1319" s="92"/>
      <c r="O1319" s="92"/>
      <c r="P1319" s="91">
        <f t="shared" si="93"/>
        <v>0</v>
      </c>
      <c r="Q1319" s="91">
        <f t="shared" si="94"/>
        <v>0</v>
      </c>
      <c r="R1319" s="91"/>
    </row>
    <row r="1320" spans="2:18" ht="12" customHeight="1" x14ac:dyDescent="0.3">
      <c r="B1320" s="98">
        <f t="shared" si="95"/>
        <v>1317</v>
      </c>
      <c r="C1320" s="97" t="str">
        <f t="shared" si="92"/>
        <v>Jan-00</v>
      </c>
      <c r="D1320" s="96"/>
      <c r="E1320" s="95"/>
      <c r="F1320" s="95"/>
      <c r="G1320" s="95"/>
      <c r="H1320" s="94"/>
      <c r="I1320" s="94"/>
      <c r="J1320" s="91"/>
      <c r="K1320" s="91"/>
      <c r="L1320" s="94"/>
      <c r="M1320" s="93"/>
      <c r="N1320" s="92"/>
      <c r="O1320" s="92"/>
      <c r="P1320" s="91">
        <f t="shared" si="93"/>
        <v>0</v>
      </c>
      <c r="Q1320" s="91">
        <f t="shared" si="94"/>
        <v>0</v>
      </c>
      <c r="R1320" s="91"/>
    </row>
    <row r="1321" spans="2:18" ht="12" customHeight="1" x14ac:dyDescent="0.3">
      <c r="B1321" s="98">
        <f t="shared" si="95"/>
        <v>1318</v>
      </c>
      <c r="C1321" s="97" t="str">
        <f t="shared" si="92"/>
        <v>Jan-00</v>
      </c>
      <c r="D1321" s="96"/>
      <c r="E1321" s="95"/>
      <c r="F1321" s="95"/>
      <c r="G1321" s="95"/>
      <c r="H1321" s="94"/>
      <c r="I1321" s="94"/>
      <c r="J1321" s="91"/>
      <c r="K1321" s="91"/>
      <c r="L1321" s="94"/>
      <c r="M1321" s="93"/>
      <c r="N1321" s="92"/>
      <c r="O1321" s="92"/>
      <c r="P1321" s="91">
        <f t="shared" si="93"/>
        <v>0</v>
      </c>
      <c r="Q1321" s="91">
        <f t="shared" si="94"/>
        <v>0</v>
      </c>
      <c r="R1321" s="91"/>
    </row>
    <row r="1322" spans="2:18" ht="12" customHeight="1" x14ac:dyDescent="0.3">
      <c r="B1322" s="98">
        <f t="shared" si="95"/>
        <v>1319</v>
      </c>
      <c r="C1322" s="97" t="str">
        <f t="shared" si="92"/>
        <v>Jan-00</v>
      </c>
      <c r="D1322" s="96"/>
      <c r="E1322" s="95"/>
      <c r="F1322" s="95"/>
      <c r="G1322" s="95"/>
      <c r="H1322" s="94"/>
      <c r="I1322" s="94"/>
      <c r="J1322" s="91"/>
      <c r="K1322" s="91"/>
      <c r="L1322" s="94"/>
      <c r="M1322" s="93"/>
      <c r="N1322" s="92"/>
      <c r="O1322" s="92"/>
      <c r="P1322" s="91">
        <f t="shared" si="93"/>
        <v>0</v>
      </c>
      <c r="Q1322" s="91">
        <f t="shared" si="94"/>
        <v>0</v>
      </c>
      <c r="R1322" s="91"/>
    </row>
    <row r="1323" spans="2:18" ht="12" customHeight="1" x14ac:dyDescent="0.3">
      <c r="B1323" s="98">
        <f t="shared" si="95"/>
        <v>1320</v>
      </c>
      <c r="C1323" s="97" t="str">
        <f t="shared" si="92"/>
        <v>Jan-00</v>
      </c>
      <c r="D1323" s="96"/>
      <c r="E1323" s="95"/>
      <c r="F1323" s="95"/>
      <c r="G1323" s="95"/>
      <c r="H1323" s="94"/>
      <c r="I1323" s="94"/>
      <c r="J1323" s="91"/>
      <c r="K1323" s="91"/>
      <c r="L1323" s="94"/>
      <c r="M1323" s="93"/>
      <c r="N1323" s="92"/>
      <c r="O1323" s="92"/>
      <c r="P1323" s="91">
        <f t="shared" si="93"/>
        <v>0</v>
      </c>
      <c r="Q1323" s="91">
        <f t="shared" si="94"/>
        <v>0</v>
      </c>
      <c r="R1323" s="91"/>
    </row>
    <row r="1324" spans="2:18" ht="12" customHeight="1" x14ac:dyDescent="0.3">
      <c r="B1324" s="98">
        <f t="shared" si="95"/>
        <v>1321</v>
      </c>
      <c r="C1324" s="97" t="str">
        <f t="shared" si="92"/>
        <v>Jan-00</v>
      </c>
      <c r="D1324" s="96"/>
      <c r="E1324" s="95"/>
      <c r="F1324" s="95"/>
      <c r="G1324" s="95"/>
      <c r="H1324" s="94"/>
      <c r="I1324" s="94"/>
      <c r="J1324" s="91"/>
      <c r="K1324" s="91"/>
      <c r="L1324" s="94"/>
      <c r="M1324" s="93"/>
      <c r="N1324" s="92"/>
      <c r="O1324" s="92"/>
      <c r="P1324" s="91">
        <f t="shared" si="93"/>
        <v>0</v>
      </c>
      <c r="Q1324" s="91">
        <f t="shared" si="94"/>
        <v>0</v>
      </c>
      <c r="R1324" s="91"/>
    </row>
    <row r="1325" spans="2:18" ht="12" customHeight="1" x14ac:dyDescent="0.3">
      <c r="B1325" s="98">
        <f t="shared" si="95"/>
        <v>1322</v>
      </c>
      <c r="C1325" s="97" t="str">
        <f t="shared" si="92"/>
        <v>Jan-00</v>
      </c>
      <c r="D1325" s="96"/>
      <c r="E1325" s="95"/>
      <c r="F1325" s="95"/>
      <c r="G1325" s="95"/>
      <c r="H1325" s="94"/>
      <c r="I1325" s="94"/>
      <c r="J1325" s="91"/>
      <c r="K1325" s="91"/>
      <c r="L1325" s="94"/>
      <c r="M1325" s="93"/>
      <c r="N1325" s="92"/>
      <c r="O1325" s="92"/>
      <c r="P1325" s="91">
        <f t="shared" si="93"/>
        <v>0</v>
      </c>
      <c r="Q1325" s="91">
        <f t="shared" si="94"/>
        <v>0</v>
      </c>
      <c r="R1325" s="91"/>
    </row>
    <row r="1326" spans="2:18" ht="12" customHeight="1" x14ac:dyDescent="0.3">
      <c r="B1326" s="98">
        <f t="shared" si="95"/>
        <v>1323</v>
      </c>
      <c r="C1326" s="97" t="str">
        <f t="shared" si="92"/>
        <v>Jan-00</v>
      </c>
      <c r="D1326" s="96"/>
      <c r="E1326" s="95"/>
      <c r="F1326" s="95"/>
      <c r="G1326" s="95"/>
      <c r="H1326" s="94"/>
      <c r="I1326" s="94"/>
      <c r="J1326" s="91"/>
      <c r="K1326" s="91"/>
      <c r="L1326" s="94"/>
      <c r="M1326" s="93"/>
      <c r="N1326" s="92"/>
      <c r="O1326" s="92"/>
      <c r="P1326" s="91">
        <f t="shared" si="93"/>
        <v>0</v>
      </c>
      <c r="Q1326" s="91">
        <f t="shared" si="94"/>
        <v>0</v>
      </c>
      <c r="R1326" s="91"/>
    </row>
    <row r="1327" spans="2:18" ht="12" customHeight="1" x14ac:dyDescent="0.3">
      <c r="B1327" s="98">
        <f t="shared" si="95"/>
        <v>1324</v>
      </c>
      <c r="C1327" s="97" t="str">
        <f t="shared" si="92"/>
        <v>Jan-00</v>
      </c>
      <c r="D1327" s="96"/>
      <c r="E1327" s="95"/>
      <c r="F1327" s="95"/>
      <c r="G1327" s="95"/>
      <c r="H1327" s="94"/>
      <c r="I1327" s="94"/>
      <c r="J1327" s="91"/>
      <c r="K1327" s="91"/>
      <c r="L1327" s="94"/>
      <c r="M1327" s="93"/>
      <c r="N1327" s="92"/>
      <c r="O1327" s="92"/>
      <c r="P1327" s="91">
        <f t="shared" si="93"/>
        <v>0</v>
      </c>
      <c r="Q1327" s="91">
        <f t="shared" si="94"/>
        <v>0</v>
      </c>
      <c r="R1327" s="91"/>
    </row>
    <row r="1328" spans="2:18" ht="12" customHeight="1" x14ac:dyDescent="0.3">
      <c r="B1328" s="98">
        <f t="shared" si="95"/>
        <v>1325</v>
      </c>
      <c r="C1328" s="97" t="str">
        <f t="shared" si="92"/>
        <v>Jan-00</v>
      </c>
      <c r="D1328" s="96"/>
      <c r="E1328" s="95"/>
      <c r="F1328" s="95"/>
      <c r="G1328" s="95"/>
      <c r="H1328" s="94"/>
      <c r="I1328" s="94"/>
      <c r="J1328" s="91"/>
      <c r="K1328" s="91"/>
      <c r="L1328" s="94"/>
      <c r="M1328" s="93"/>
      <c r="N1328" s="92"/>
      <c r="O1328" s="92"/>
      <c r="P1328" s="91">
        <f t="shared" si="93"/>
        <v>0</v>
      </c>
      <c r="Q1328" s="91">
        <f t="shared" si="94"/>
        <v>0</v>
      </c>
      <c r="R1328" s="91"/>
    </row>
    <row r="1329" spans="2:18" ht="12" customHeight="1" x14ac:dyDescent="0.3">
      <c r="B1329" s="98">
        <f t="shared" si="95"/>
        <v>1326</v>
      </c>
      <c r="C1329" s="97" t="str">
        <f t="shared" si="92"/>
        <v>Jan-00</v>
      </c>
      <c r="D1329" s="96"/>
      <c r="E1329" s="95"/>
      <c r="F1329" s="95"/>
      <c r="G1329" s="95"/>
      <c r="H1329" s="94"/>
      <c r="I1329" s="94"/>
      <c r="J1329" s="91"/>
      <c r="K1329" s="91"/>
      <c r="L1329" s="94"/>
      <c r="M1329" s="93"/>
      <c r="N1329" s="92"/>
      <c r="O1329" s="92"/>
      <c r="P1329" s="91">
        <f t="shared" si="93"/>
        <v>0</v>
      </c>
      <c r="Q1329" s="91">
        <f t="shared" si="94"/>
        <v>0</v>
      </c>
      <c r="R1329" s="91"/>
    </row>
    <row r="1330" spans="2:18" ht="12" customHeight="1" x14ac:dyDescent="0.3">
      <c r="B1330" s="98">
        <f t="shared" si="95"/>
        <v>1327</v>
      </c>
      <c r="C1330" s="97" t="str">
        <f t="shared" si="92"/>
        <v>Jan-00</v>
      </c>
      <c r="D1330" s="96"/>
      <c r="E1330" s="95"/>
      <c r="F1330" s="95"/>
      <c r="G1330" s="95"/>
      <c r="H1330" s="94"/>
      <c r="I1330" s="94"/>
      <c r="J1330" s="91"/>
      <c r="K1330" s="91"/>
      <c r="L1330" s="94"/>
      <c r="M1330" s="93"/>
      <c r="N1330" s="92"/>
      <c r="O1330" s="92"/>
      <c r="P1330" s="91">
        <f t="shared" si="93"/>
        <v>0</v>
      </c>
      <c r="Q1330" s="91">
        <f t="shared" si="94"/>
        <v>0</v>
      </c>
      <c r="R1330" s="91"/>
    </row>
    <row r="1331" spans="2:18" ht="12" customHeight="1" x14ac:dyDescent="0.3">
      <c r="B1331" s="98">
        <f t="shared" si="95"/>
        <v>1328</v>
      </c>
      <c r="C1331" s="97" t="str">
        <f t="shared" si="92"/>
        <v>Jan-00</v>
      </c>
      <c r="D1331" s="96"/>
      <c r="E1331" s="95"/>
      <c r="F1331" s="95"/>
      <c r="G1331" s="95"/>
      <c r="H1331" s="94"/>
      <c r="I1331" s="94"/>
      <c r="J1331" s="91"/>
      <c r="K1331" s="91"/>
      <c r="L1331" s="94"/>
      <c r="M1331" s="93"/>
      <c r="N1331" s="92"/>
      <c r="O1331" s="92"/>
      <c r="P1331" s="91">
        <f t="shared" si="93"/>
        <v>0</v>
      </c>
      <c r="Q1331" s="91">
        <f t="shared" si="94"/>
        <v>0</v>
      </c>
      <c r="R1331" s="91"/>
    </row>
    <row r="1332" spans="2:18" ht="12" customHeight="1" x14ac:dyDescent="0.3">
      <c r="B1332" s="98">
        <f t="shared" si="95"/>
        <v>1329</v>
      </c>
      <c r="C1332" s="97" t="str">
        <f t="shared" si="92"/>
        <v>Jan-00</v>
      </c>
      <c r="D1332" s="96"/>
      <c r="E1332" s="95"/>
      <c r="F1332" s="95"/>
      <c r="G1332" s="95"/>
      <c r="H1332" s="94"/>
      <c r="I1332" s="94"/>
      <c r="J1332" s="91"/>
      <c r="K1332" s="91"/>
      <c r="L1332" s="94"/>
      <c r="M1332" s="93"/>
      <c r="N1332" s="92"/>
      <c r="O1332" s="92"/>
      <c r="P1332" s="91">
        <f t="shared" si="93"/>
        <v>0</v>
      </c>
      <c r="Q1332" s="91">
        <f t="shared" si="94"/>
        <v>0</v>
      </c>
      <c r="R1332" s="91"/>
    </row>
    <row r="1333" spans="2:18" ht="12" customHeight="1" x14ac:dyDescent="0.3">
      <c r="B1333" s="98">
        <f t="shared" si="95"/>
        <v>1330</v>
      </c>
      <c r="C1333" s="97" t="str">
        <f t="shared" si="92"/>
        <v>Jan-00</v>
      </c>
      <c r="D1333" s="96"/>
      <c r="E1333" s="95"/>
      <c r="F1333" s="95"/>
      <c r="G1333" s="95"/>
      <c r="H1333" s="94"/>
      <c r="I1333" s="94"/>
      <c r="J1333" s="91"/>
      <c r="K1333" s="91"/>
      <c r="L1333" s="94"/>
      <c r="M1333" s="93"/>
      <c r="N1333" s="92"/>
      <c r="O1333" s="92"/>
      <c r="P1333" s="91">
        <f t="shared" si="93"/>
        <v>0</v>
      </c>
      <c r="Q1333" s="91">
        <f t="shared" si="94"/>
        <v>0</v>
      </c>
      <c r="R1333" s="91"/>
    </row>
    <row r="1334" spans="2:18" ht="12" customHeight="1" x14ac:dyDescent="0.3">
      <c r="B1334" s="98">
        <f t="shared" si="95"/>
        <v>1331</v>
      </c>
      <c r="C1334" s="97" t="str">
        <f t="shared" si="92"/>
        <v>Jan-00</v>
      </c>
      <c r="D1334" s="96"/>
      <c r="E1334" s="95"/>
      <c r="F1334" s="95"/>
      <c r="G1334" s="95"/>
      <c r="H1334" s="94"/>
      <c r="I1334" s="94"/>
      <c r="J1334" s="91"/>
      <c r="K1334" s="91"/>
      <c r="L1334" s="94"/>
      <c r="M1334" s="93"/>
      <c r="N1334" s="92"/>
      <c r="O1334" s="92"/>
      <c r="P1334" s="91">
        <f t="shared" si="93"/>
        <v>0</v>
      </c>
      <c r="Q1334" s="91">
        <f t="shared" si="94"/>
        <v>0</v>
      </c>
      <c r="R1334" s="91"/>
    </row>
    <row r="1335" spans="2:18" ht="12" customHeight="1" x14ac:dyDescent="0.3">
      <c r="B1335" s="98">
        <f t="shared" si="95"/>
        <v>1332</v>
      </c>
      <c r="C1335" s="97" t="str">
        <f t="shared" si="92"/>
        <v>Jan-00</v>
      </c>
      <c r="D1335" s="96"/>
      <c r="E1335" s="95"/>
      <c r="F1335" s="95"/>
      <c r="G1335" s="95"/>
      <c r="H1335" s="94"/>
      <c r="I1335" s="94"/>
      <c r="J1335" s="91"/>
      <c r="K1335" s="91"/>
      <c r="L1335" s="94"/>
      <c r="M1335" s="93"/>
      <c r="N1335" s="92"/>
      <c r="O1335" s="92"/>
      <c r="P1335" s="91">
        <f t="shared" si="93"/>
        <v>0</v>
      </c>
      <c r="Q1335" s="91">
        <f t="shared" si="94"/>
        <v>0</v>
      </c>
      <c r="R1335" s="91"/>
    </row>
    <row r="1336" spans="2:18" ht="12" customHeight="1" x14ac:dyDescent="0.3">
      <c r="B1336" s="98">
        <f t="shared" si="95"/>
        <v>1333</v>
      </c>
      <c r="C1336" s="97" t="str">
        <f t="shared" si="92"/>
        <v>Jan-00</v>
      </c>
      <c r="D1336" s="96"/>
      <c r="E1336" s="95"/>
      <c r="F1336" s="95"/>
      <c r="G1336" s="95"/>
      <c r="H1336" s="94"/>
      <c r="I1336" s="94"/>
      <c r="J1336" s="91"/>
      <c r="K1336" s="91"/>
      <c r="L1336" s="94"/>
      <c r="M1336" s="93"/>
      <c r="N1336" s="92"/>
      <c r="O1336" s="92"/>
      <c r="P1336" s="91">
        <f t="shared" si="93"/>
        <v>0</v>
      </c>
      <c r="Q1336" s="91">
        <f t="shared" si="94"/>
        <v>0</v>
      </c>
      <c r="R1336" s="91"/>
    </row>
    <row r="1337" spans="2:18" ht="12" customHeight="1" x14ac:dyDescent="0.3">
      <c r="B1337" s="98">
        <f t="shared" si="95"/>
        <v>1334</v>
      </c>
      <c r="C1337" s="97" t="str">
        <f t="shared" si="92"/>
        <v>Jan-00</v>
      </c>
      <c r="D1337" s="96"/>
      <c r="E1337" s="95"/>
      <c r="F1337" s="95"/>
      <c r="G1337" s="95"/>
      <c r="H1337" s="94"/>
      <c r="I1337" s="94"/>
      <c r="J1337" s="91"/>
      <c r="K1337" s="91"/>
      <c r="L1337" s="94"/>
      <c r="M1337" s="93"/>
      <c r="N1337" s="92"/>
      <c r="O1337" s="92"/>
      <c r="P1337" s="91">
        <f t="shared" si="93"/>
        <v>0</v>
      </c>
      <c r="Q1337" s="91">
        <f t="shared" si="94"/>
        <v>0</v>
      </c>
      <c r="R1337" s="91"/>
    </row>
    <row r="1338" spans="2:18" ht="12" customHeight="1" x14ac:dyDescent="0.3">
      <c r="B1338" s="98">
        <f t="shared" si="95"/>
        <v>1335</v>
      </c>
      <c r="C1338" s="97" t="str">
        <f t="shared" si="92"/>
        <v>Jan-00</v>
      </c>
      <c r="D1338" s="96"/>
      <c r="E1338" s="95"/>
      <c r="F1338" s="95"/>
      <c r="G1338" s="95"/>
      <c r="H1338" s="94"/>
      <c r="I1338" s="94"/>
      <c r="J1338" s="91"/>
      <c r="K1338" s="91"/>
      <c r="L1338" s="94"/>
      <c r="M1338" s="93"/>
      <c r="N1338" s="92"/>
      <c r="O1338" s="92"/>
      <c r="P1338" s="91">
        <f t="shared" si="93"/>
        <v>0</v>
      </c>
      <c r="Q1338" s="91">
        <f t="shared" si="94"/>
        <v>0</v>
      </c>
      <c r="R1338" s="91"/>
    </row>
    <row r="1339" spans="2:18" ht="12" customHeight="1" x14ac:dyDescent="0.3">
      <c r="B1339" s="98">
        <f t="shared" si="95"/>
        <v>1336</v>
      </c>
      <c r="C1339" s="97" t="str">
        <f t="shared" si="92"/>
        <v>Jan-00</v>
      </c>
      <c r="D1339" s="96"/>
      <c r="E1339" s="95"/>
      <c r="F1339" s="95"/>
      <c r="G1339" s="95"/>
      <c r="H1339" s="94"/>
      <c r="I1339" s="94"/>
      <c r="J1339" s="91"/>
      <c r="K1339" s="91"/>
      <c r="L1339" s="94"/>
      <c r="M1339" s="93"/>
      <c r="N1339" s="92"/>
      <c r="O1339" s="92"/>
      <c r="P1339" s="91">
        <f t="shared" si="93"/>
        <v>0</v>
      </c>
      <c r="Q1339" s="91">
        <f t="shared" si="94"/>
        <v>0</v>
      </c>
      <c r="R1339" s="91"/>
    </row>
    <row r="1340" spans="2:18" ht="12" customHeight="1" x14ac:dyDescent="0.3">
      <c r="B1340" s="98">
        <f t="shared" si="95"/>
        <v>1337</v>
      </c>
      <c r="C1340" s="97" t="str">
        <f t="shared" si="92"/>
        <v>Jan-00</v>
      </c>
      <c r="D1340" s="96"/>
      <c r="E1340" s="95"/>
      <c r="F1340" s="95"/>
      <c r="G1340" s="95"/>
      <c r="H1340" s="94"/>
      <c r="I1340" s="94"/>
      <c r="J1340" s="91"/>
      <c r="K1340" s="91"/>
      <c r="L1340" s="94"/>
      <c r="M1340" s="93"/>
      <c r="N1340" s="92"/>
      <c r="O1340" s="92"/>
      <c r="P1340" s="91">
        <f t="shared" si="93"/>
        <v>0</v>
      </c>
      <c r="Q1340" s="91">
        <f t="shared" si="94"/>
        <v>0</v>
      </c>
      <c r="R1340" s="91"/>
    </row>
    <row r="1341" spans="2:18" ht="12" customHeight="1" x14ac:dyDescent="0.3">
      <c r="B1341" s="98">
        <f t="shared" si="95"/>
        <v>1338</v>
      </c>
      <c r="C1341" s="97" t="str">
        <f t="shared" si="92"/>
        <v>Jan-00</v>
      </c>
      <c r="D1341" s="96"/>
      <c r="E1341" s="95"/>
      <c r="F1341" s="95"/>
      <c r="G1341" s="95"/>
      <c r="H1341" s="94"/>
      <c r="I1341" s="94"/>
      <c r="J1341" s="91"/>
      <c r="K1341" s="91"/>
      <c r="L1341" s="94"/>
      <c r="M1341" s="93"/>
      <c r="N1341" s="92"/>
      <c r="O1341" s="92"/>
      <c r="P1341" s="91">
        <f t="shared" si="93"/>
        <v>0</v>
      </c>
      <c r="Q1341" s="91">
        <f t="shared" si="94"/>
        <v>0</v>
      </c>
      <c r="R1341" s="91"/>
    </row>
    <row r="1342" spans="2:18" ht="12" customHeight="1" x14ac:dyDescent="0.3">
      <c r="B1342" s="98">
        <f t="shared" si="95"/>
        <v>1339</v>
      </c>
      <c r="C1342" s="97" t="str">
        <f t="shared" si="92"/>
        <v>Jan-00</v>
      </c>
      <c r="D1342" s="96"/>
      <c r="E1342" s="95"/>
      <c r="F1342" s="95"/>
      <c r="G1342" s="95"/>
      <c r="H1342" s="94"/>
      <c r="I1342" s="94"/>
      <c r="J1342" s="91"/>
      <c r="K1342" s="91"/>
      <c r="L1342" s="94"/>
      <c r="M1342" s="93"/>
      <c r="N1342" s="92"/>
      <c r="O1342" s="92"/>
      <c r="P1342" s="91">
        <f t="shared" si="93"/>
        <v>0</v>
      </c>
      <c r="Q1342" s="91">
        <f t="shared" si="94"/>
        <v>0</v>
      </c>
      <c r="R1342" s="91"/>
    </row>
    <row r="1343" spans="2:18" ht="12" customHeight="1" x14ac:dyDescent="0.3">
      <c r="B1343" s="98">
        <f t="shared" si="95"/>
        <v>1340</v>
      </c>
      <c r="C1343" s="97" t="str">
        <f t="shared" si="92"/>
        <v>Jan-00</v>
      </c>
      <c r="D1343" s="96"/>
      <c r="E1343" s="95"/>
      <c r="F1343" s="95"/>
      <c r="G1343" s="95"/>
      <c r="H1343" s="94"/>
      <c r="I1343" s="94"/>
      <c r="J1343" s="91"/>
      <c r="K1343" s="91"/>
      <c r="L1343" s="94"/>
      <c r="M1343" s="93"/>
      <c r="N1343" s="92"/>
      <c r="O1343" s="92"/>
      <c r="P1343" s="91">
        <f t="shared" si="93"/>
        <v>0</v>
      </c>
      <c r="Q1343" s="91">
        <f t="shared" si="94"/>
        <v>0</v>
      </c>
      <c r="R1343" s="91"/>
    </row>
    <row r="1344" spans="2:18" ht="12" customHeight="1" x14ac:dyDescent="0.3">
      <c r="B1344" s="98">
        <f t="shared" si="95"/>
        <v>1341</v>
      </c>
      <c r="C1344" s="97" t="str">
        <f t="shared" si="92"/>
        <v>Jan-00</v>
      </c>
      <c r="D1344" s="96"/>
      <c r="E1344" s="95"/>
      <c r="F1344" s="95"/>
      <c r="G1344" s="95"/>
      <c r="H1344" s="94"/>
      <c r="I1344" s="94"/>
      <c r="J1344" s="91"/>
      <c r="K1344" s="91"/>
      <c r="L1344" s="94"/>
      <c r="M1344" s="93"/>
      <c r="N1344" s="92"/>
      <c r="O1344" s="92"/>
      <c r="P1344" s="91">
        <f t="shared" si="93"/>
        <v>0</v>
      </c>
      <c r="Q1344" s="91">
        <f t="shared" si="94"/>
        <v>0</v>
      </c>
      <c r="R1344" s="91"/>
    </row>
    <row r="1345" spans="2:18" ht="12" customHeight="1" x14ac:dyDescent="0.3">
      <c r="B1345" s="98">
        <f t="shared" si="95"/>
        <v>1342</v>
      </c>
      <c r="C1345" s="97" t="str">
        <f t="shared" si="92"/>
        <v>Jan-00</v>
      </c>
      <c r="D1345" s="96"/>
      <c r="E1345" s="95"/>
      <c r="F1345" s="95"/>
      <c r="G1345" s="95"/>
      <c r="H1345" s="94"/>
      <c r="I1345" s="94"/>
      <c r="J1345" s="91"/>
      <c r="K1345" s="91"/>
      <c r="L1345" s="94"/>
      <c r="M1345" s="93"/>
      <c r="N1345" s="92"/>
      <c r="O1345" s="92"/>
      <c r="P1345" s="91">
        <f t="shared" si="93"/>
        <v>0</v>
      </c>
      <c r="Q1345" s="91">
        <f t="shared" si="94"/>
        <v>0</v>
      </c>
      <c r="R1345" s="91"/>
    </row>
    <row r="1346" spans="2:18" ht="12" customHeight="1" x14ac:dyDescent="0.3">
      <c r="B1346" s="98">
        <f t="shared" si="95"/>
        <v>1343</v>
      </c>
      <c r="C1346" s="97" t="str">
        <f t="shared" si="92"/>
        <v>Jan-00</v>
      </c>
      <c r="D1346" s="96"/>
      <c r="E1346" s="95"/>
      <c r="F1346" s="95"/>
      <c r="G1346" s="95"/>
      <c r="H1346" s="94"/>
      <c r="I1346" s="94"/>
      <c r="J1346" s="91"/>
      <c r="K1346" s="91"/>
      <c r="L1346" s="94"/>
      <c r="M1346" s="93"/>
      <c r="N1346" s="92"/>
      <c r="O1346" s="92"/>
      <c r="P1346" s="91">
        <f t="shared" si="93"/>
        <v>0</v>
      </c>
      <c r="Q1346" s="91">
        <f t="shared" si="94"/>
        <v>0</v>
      </c>
      <c r="R1346" s="91"/>
    </row>
    <row r="1347" spans="2:18" ht="12" customHeight="1" x14ac:dyDescent="0.3">
      <c r="B1347" s="98">
        <f t="shared" si="95"/>
        <v>1344</v>
      </c>
      <c r="C1347" s="97" t="str">
        <f t="shared" si="92"/>
        <v>Jan-00</v>
      </c>
      <c r="D1347" s="96"/>
      <c r="E1347" s="95"/>
      <c r="F1347" s="95"/>
      <c r="G1347" s="95"/>
      <c r="H1347" s="94"/>
      <c r="I1347" s="94"/>
      <c r="J1347" s="91"/>
      <c r="K1347" s="91"/>
      <c r="L1347" s="94"/>
      <c r="M1347" s="93"/>
      <c r="N1347" s="92"/>
      <c r="O1347" s="92"/>
      <c r="P1347" s="91">
        <f t="shared" si="93"/>
        <v>0</v>
      </c>
      <c r="Q1347" s="91">
        <f t="shared" si="94"/>
        <v>0</v>
      </c>
      <c r="R1347" s="91"/>
    </row>
    <row r="1348" spans="2:18" ht="12" customHeight="1" x14ac:dyDescent="0.3">
      <c r="B1348" s="98">
        <f t="shared" si="95"/>
        <v>1345</v>
      </c>
      <c r="C1348" s="97" t="str">
        <f t="shared" ref="C1348:C1411" si="96">CONCATENATE(TEXT(D1348,"mmm"),"-",TEXT(D1348,"yy"))</f>
        <v>Jan-00</v>
      </c>
      <c r="D1348" s="96"/>
      <c r="E1348" s="95"/>
      <c r="F1348" s="95"/>
      <c r="G1348" s="95"/>
      <c r="H1348" s="94"/>
      <c r="I1348" s="94"/>
      <c r="J1348" s="91"/>
      <c r="K1348" s="91"/>
      <c r="L1348" s="94"/>
      <c r="M1348" s="93"/>
      <c r="N1348" s="92"/>
      <c r="O1348" s="92"/>
      <c r="P1348" s="91">
        <f t="shared" ref="P1348:P1411" si="97">O1348*1%</f>
        <v>0</v>
      </c>
      <c r="Q1348" s="91">
        <f t="shared" ref="Q1348:Q1411" si="98">O1348-P1348</f>
        <v>0</v>
      </c>
      <c r="R1348" s="91"/>
    </row>
    <row r="1349" spans="2:18" ht="12" customHeight="1" x14ac:dyDescent="0.3">
      <c r="B1349" s="98">
        <f t="shared" ref="B1349:B1356" si="99">+B1348+1</f>
        <v>1346</v>
      </c>
      <c r="C1349" s="97" t="str">
        <f t="shared" si="96"/>
        <v>Jan-00</v>
      </c>
      <c r="D1349" s="96"/>
      <c r="E1349" s="95"/>
      <c r="F1349" s="95"/>
      <c r="G1349" s="95"/>
      <c r="H1349" s="94"/>
      <c r="I1349" s="94"/>
      <c r="J1349" s="91"/>
      <c r="K1349" s="91"/>
      <c r="L1349" s="94"/>
      <c r="M1349" s="93"/>
      <c r="N1349" s="92"/>
      <c r="O1349" s="92"/>
      <c r="P1349" s="91">
        <f t="shared" si="97"/>
        <v>0</v>
      </c>
      <c r="Q1349" s="91">
        <f t="shared" si="98"/>
        <v>0</v>
      </c>
      <c r="R1349" s="91"/>
    </row>
    <row r="1350" spans="2:18" ht="12" customHeight="1" x14ac:dyDescent="0.3">
      <c r="B1350" s="98">
        <f t="shared" si="99"/>
        <v>1347</v>
      </c>
      <c r="C1350" s="97" t="str">
        <f t="shared" si="96"/>
        <v>Jan-00</v>
      </c>
      <c r="D1350" s="96"/>
      <c r="E1350" s="95"/>
      <c r="F1350" s="95"/>
      <c r="G1350" s="95"/>
      <c r="H1350" s="94"/>
      <c r="I1350" s="94"/>
      <c r="J1350" s="91"/>
      <c r="K1350" s="91"/>
      <c r="L1350" s="94"/>
      <c r="M1350" s="93"/>
      <c r="N1350" s="92"/>
      <c r="O1350" s="92"/>
      <c r="P1350" s="91">
        <f t="shared" si="97"/>
        <v>0</v>
      </c>
      <c r="Q1350" s="91">
        <f t="shared" si="98"/>
        <v>0</v>
      </c>
      <c r="R1350" s="91"/>
    </row>
    <row r="1351" spans="2:18" ht="12" customHeight="1" x14ac:dyDescent="0.3">
      <c r="B1351" s="98">
        <f t="shared" si="99"/>
        <v>1348</v>
      </c>
      <c r="C1351" s="97" t="str">
        <f t="shared" si="96"/>
        <v>Jan-00</v>
      </c>
      <c r="D1351" s="96"/>
      <c r="E1351" s="95"/>
      <c r="F1351" s="95"/>
      <c r="G1351" s="95"/>
      <c r="H1351" s="94"/>
      <c r="I1351" s="94"/>
      <c r="J1351" s="91"/>
      <c r="K1351" s="91"/>
      <c r="L1351" s="94"/>
      <c r="M1351" s="93"/>
      <c r="N1351" s="92"/>
      <c r="O1351" s="92"/>
      <c r="P1351" s="91">
        <f t="shared" si="97"/>
        <v>0</v>
      </c>
      <c r="Q1351" s="91">
        <f t="shared" si="98"/>
        <v>0</v>
      </c>
      <c r="R1351" s="91"/>
    </row>
    <row r="1352" spans="2:18" ht="12" customHeight="1" x14ac:dyDescent="0.3">
      <c r="B1352" s="98">
        <f t="shared" si="99"/>
        <v>1349</v>
      </c>
      <c r="C1352" s="97" t="str">
        <f t="shared" si="96"/>
        <v>Jan-00</v>
      </c>
      <c r="D1352" s="96"/>
      <c r="E1352" s="95"/>
      <c r="F1352" s="95"/>
      <c r="G1352" s="95"/>
      <c r="H1352" s="94"/>
      <c r="I1352" s="94"/>
      <c r="J1352" s="91"/>
      <c r="K1352" s="91"/>
      <c r="L1352" s="94"/>
      <c r="M1352" s="93"/>
      <c r="N1352" s="92"/>
      <c r="O1352" s="92"/>
      <c r="P1352" s="91">
        <f t="shared" si="97"/>
        <v>0</v>
      </c>
      <c r="Q1352" s="91">
        <f t="shared" si="98"/>
        <v>0</v>
      </c>
      <c r="R1352" s="91"/>
    </row>
    <row r="1353" spans="2:18" ht="12" customHeight="1" x14ac:dyDescent="0.3">
      <c r="B1353" s="98">
        <f t="shared" si="99"/>
        <v>1350</v>
      </c>
      <c r="C1353" s="97" t="str">
        <f t="shared" si="96"/>
        <v>Jan-00</v>
      </c>
      <c r="D1353" s="96"/>
      <c r="E1353" s="95"/>
      <c r="F1353" s="95"/>
      <c r="G1353" s="95"/>
      <c r="H1353" s="94"/>
      <c r="I1353" s="94"/>
      <c r="J1353" s="91"/>
      <c r="K1353" s="91"/>
      <c r="L1353" s="94"/>
      <c r="M1353" s="93"/>
      <c r="N1353" s="92"/>
      <c r="O1353" s="92"/>
      <c r="P1353" s="91">
        <f t="shared" si="97"/>
        <v>0</v>
      </c>
      <c r="Q1353" s="91">
        <f t="shared" si="98"/>
        <v>0</v>
      </c>
      <c r="R1353" s="91"/>
    </row>
    <row r="1354" spans="2:18" ht="12" customHeight="1" x14ac:dyDescent="0.3">
      <c r="B1354" s="98">
        <f t="shared" si="99"/>
        <v>1351</v>
      </c>
      <c r="C1354" s="97" t="str">
        <f t="shared" si="96"/>
        <v>Jan-00</v>
      </c>
      <c r="D1354" s="96"/>
      <c r="E1354" s="95"/>
      <c r="F1354" s="95"/>
      <c r="G1354" s="95"/>
      <c r="H1354" s="94"/>
      <c r="I1354" s="94"/>
      <c r="J1354" s="91"/>
      <c r="K1354" s="91"/>
      <c r="L1354" s="94"/>
      <c r="M1354" s="93"/>
      <c r="N1354" s="92"/>
      <c r="O1354" s="92"/>
      <c r="P1354" s="91">
        <f t="shared" si="97"/>
        <v>0</v>
      </c>
      <c r="Q1354" s="91">
        <f t="shared" si="98"/>
        <v>0</v>
      </c>
      <c r="R1354" s="91"/>
    </row>
    <row r="1355" spans="2:18" ht="12" customHeight="1" x14ac:dyDescent="0.3">
      <c r="B1355" s="98">
        <f t="shared" si="99"/>
        <v>1352</v>
      </c>
      <c r="C1355" s="97" t="str">
        <f t="shared" si="96"/>
        <v>Jan-00</v>
      </c>
      <c r="D1355" s="96"/>
      <c r="E1355" s="95"/>
      <c r="F1355" s="95"/>
      <c r="G1355" s="95"/>
      <c r="H1355" s="94"/>
      <c r="I1355" s="94"/>
      <c r="J1355" s="91"/>
      <c r="K1355" s="91"/>
      <c r="L1355" s="94"/>
      <c r="M1355" s="93"/>
      <c r="N1355" s="92"/>
      <c r="O1355" s="92"/>
      <c r="P1355" s="91">
        <f t="shared" si="97"/>
        <v>0</v>
      </c>
      <c r="Q1355" s="91">
        <f t="shared" si="98"/>
        <v>0</v>
      </c>
      <c r="R1355" s="91"/>
    </row>
    <row r="1356" spans="2:18" ht="12" customHeight="1" x14ac:dyDescent="0.3">
      <c r="B1356" s="98">
        <f t="shared" si="99"/>
        <v>1353</v>
      </c>
      <c r="C1356" s="97" t="str">
        <f t="shared" si="96"/>
        <v>Jan-00</v>
      </c>
      <c r="D1356" s="96"/>
      <c r="E1356" s="95"/>
      <c r="F1356" s="95"/>
      <c r="G1356" s="95"/>
      <c r="H1356" s="94"/>
      <c r="I1356" s="94"/>
      <c r="J1356" s="91"/>
      <c r="K1356" s="91"/>
      <c r="L1356" s="94"/>
      <c r="M1356" s="93"/>
      <c r="N1356" s="92"/>
      <c r="O1356" s="92"/>
      <c r="P1356" s="91">
        <f t="shared" si="97"/>
        <v>0</v>
      </c>
      <c r="Q1356" s="91">
        <f t="shared" si="98"/>
        <v>0</v>
      </c>
      <c r="R1356" s="91"/>
    </row>
    <row r="1357" spans="2:18" ht="12" customHeight="1" x14ac:dyDescent="0.3">
      <c r="B1357" s="98"/>
      <c r="C1357" s="97" t="str">
        <f t="shared" si="96"/>
        <v>Jan-00</v>
      </c>
      <c r="D1357" s="96"/>
      <c r="E1357" s="95"/>
      <c r="F1357" s="95"/>
      <c r="G1357" s="95"/>
      <c r="H1357" s="94"/>
      <c r="I1357" s="94"/>
      <c r="J1357" s="91"/>
      <c r="K1357" s="91"/>
      <c r="L1357" s="94"/>
      <c r="M1357" s="93"/>
      <c r="N1357" s="92"/>
      <c r="O1357" s="92"/>
      <c r="P1357" s="91">
        <f t="shared" si="97"/>
        <v>0</v>
      </c>
      <c r="Q1357" s="91">
        <f t="shared" si="98"/>
        <v>0</v>
      </c>
      <c r="R1357" s="91"/>
    </row>
    <row r="1358" spans="2:18" ht="12" customHeight="1" x14ac:dyDescent="0.3">
      <c r="B1358" s="98"/>
      <c r="C1358" s="97" t="str">
        <f t="shared" si="96"/>
        <v>Jan-00</v>
      </c>
      <c r="D1358" s="96"/>
      <c r="E1358" s="95"/>
      <c r="F1358" s="95"/>
      <c r="G1358" s="95"/>
      <c r="H1358" s="94"/>
      <c r="I1358" s="94"/>
      <c r="J1358" s="91"/>
      <c r="K1358" s="91"/>
      <c r="L1358" s="94"/>
      <c r="M1358" s="93"/>
      <c r="N1358" s="92"/>
      <c r="O1358" s="92"/>
      <c r="P1358" s="91">
        <f t="shared" si="97"/>
        <v>0</v>
      </c>
      <c r="Q1358" s="91">
        <f t="shared" si="98"/>
        <v>0</v>
      </c>
      <c r="R1358" s="91"/>
    </row>
    <row r="1359" spans="2:18" ht="12" customHeight="1" x14ac:dyDescent="0.3">
      <c r="B1359" s="98"/>
      <c r="C1359" s="97" t="str">
        <f t="shared" si="96"/>
        <v>Jan-00</v>
      </c>
      <c r="D1359" s="96"/>
      <c r="E1359" s="95"/>
      <c r="F1359" s="95"/>
      <c r="G1359" s="95"/>
      <c r="H1359" s="94"/>
      <c r="I1359" s="94"/>
      <c r="J1359" s="91"/>
      <c r="K1359" s="91"/>
      <c r="L1359" s="94"/>
      <c r="M1359" s="93"/>
      <c r="N1359" s="92"/>
      <c r="O1359" s="92"/>
      <c r="P1359" s="91">
        <f t="shared" si="97"/>
        <v>0</v>
      </c>
      <c r="Q1359" s="91">
        <f t="shared" si="98"/>
        <v>0</v>
      </c>
      <c r="R1359" s="91"/>
    </row>
    <row r="1360" spans="2:18" ht="12" customHeight="1" x14ac:dyDescent="0.3">
      <c r="B1360" s="98"/>
      <c r="C1360" s="97" t="str">
        <f t="shared" si="96"/>
        <v>Jan-00</v>
      </c>
      <c r="D1360" s="96"/>
      <c r="E1360" s="95"/>
      <c r="F1360" s="95"/>
      <c r="G1360" s="95"/>
      <c r="H1360" s="94"/>
      <c r="I1360" s="94"/>
      <c r="J1360" s="91"/>
      <c r="K1360" s="91"/>
      <c r="L1360" s="94"/>
      <c r="M1360" s="93"/>
      <c r="N1360" s="92"/>
      <c r="O1360" s="92"/>
      <c r="P1360" s="91">
        <f t="shared" si="97"/>
        <v>0</v>
      </c>
      <c r="Q1360" s="91">
        <f t="shared" si="98"/>
        <v>0</v>
      </c>
      <c r="R1360" s="91"/>
    </row>
    <row r="1361" spans="2:18" ht="12" customHeight="1" x14ac:dyDescent="0.3">
      <c r="B1361" s="98"/>
      <c r="C1361" s="97" t="str">
        <f t="shared" si="96"/>
        <v>Jan-00</v>
      </c>
      <c r="D1361" s="96"/>
      <c r="E1361" s="95"/>
      <c r="F1361" s="95"/>
      <c r="G1361" s="95"/>
      <c r="H1361" s="94"/>
      <c r="I1361" s="94"/>
      <c r="J1361" s="91"/>
      <c r="K1361" s="91"/>
      <c r="L1361" s="94"/>
      <c r="M1361" s="93"/>
      <c r="N1361" s="92"/>
      <c r="O1361" s="92"/>
      <c r="P1361" s="91">
        <f t="shared" si="97"/>
        <v>0</v>
      </c>
      <c r="Q1361" s="91">
        <f t="shared" si="98"/>
        <v>0</v>
      </c>
      <c r="R1361" s="91"/>
    </row>
    <row r="1362" spans="2:18" ht="12" customHeight="1" x14ac:dyDescent="0.3">
      <c r="B1362" s="98"/>
      <c r="C1362" s="97" t="str">
        <f t="shared" si="96"/>
        <v>Jan-00</v>
      </c>
      <c r="D1362" s="96"/>
      <c r="E1362" s="95"/>
      <c r="F1362" s="95"/>
      <c r="G1362" s="95"/>
      <c r="H1362" s="94"/>
      <c r="I1362" s="94"/>
      <c r="J1362" s="91"/>
      <c r="K1362" s="91"/>
      <c r="L1362" s="94"/>
      <c r="M1362" s="93"/>
      <c r="N1362" s="92"/>
      <c r="O1362" s="92"/>
      <c r="P1362" s="91">
        <f t="shared" si="97"/>
        <v>0</v>
      </c>
      <c r="Q1362" s="91">
        <f t="shared" si="98"/>
        <v>0</v>
      </c>
      <c r="R1362" s="91"/>
    </row>
    <row r="1363" spans="2:18" ht="12" customHeight="1" x14ac:dyDescent="0.3">
      <c r="B1363" s="98"/>
      <c r="C1363" s="97" t="str">
        <f t="shared" si="96"/>
        <v>Jan-00</v>
      </c>
      <c r="D1363" s="96"/>
      <c r="E1363" s="95"/>
      <c r="F1363" s="95"/>
      <c r="G1363" s="95"/>
      <c r="H1363" s="94"/>
      <c r="I1363" s="94"/>
      <c r="J1363" s="91"/>
      <c r="K1363" s="91"/>
      <c r="L1363" s="94"/>
      <c r="M1363" s="93"/>
      <c r="N1363" s="92"/>
      <c r="O1363" s="92"/>
      <c r="P1363" s="91">
        <f t="shared" si="97"/>
        <v>0</v>
      </c>
      <c r="Q1363" s="91">
        <f t="shared" si="98"/>
        <v>0</v>
      </c>
      <c r="R1363" s="91"/>
    </row>
    <row r="1364" spans="2:18" ht="12" customHeight="1" x14ac:dyDescent="0.3">
      <c r="B1364" s="98"/>
      <c r="C1364" s="97" t="str">
        <f t="shared" si="96"/>
        <v>Jan-00</v>
      </c>
      <c r="D1364" s="96"/>
      <c r="E1364" s="95"/>
      <c r="F1364" s="95"/>
      <c r="G1364" s="95"/>
      <c r="H1364" s="94"/>
      <c r="I1364" s="94"/>
      <c r="J1364" s="91"/>
      <c r="K1364" s="91"/>
      <c r="L1364" s="94"/>
      <c r="M1364" s="93"/>
      <c r="N1364" s="92"/>
      <c r="O1364" s="92"/>
      <c r="P1364" s="91">
        <f t="shared" si="97"/>
        <v>0</v>
      </c>
      <c r="Q1364" s="91">
        <f t="shared" si="98"/>
        <v>0</v>
      </c>
      <c r="R1364" s="91"/>
    </row>
    <row r="1365" spans="2:18" ht="12" customHeight="1" x14ac:dyDescent="0.3">
      <c r="B1365" s="98"/>
      <c r="C1365" s="97" t="str">
        <f t="shared" si="96"/>
        <v>Jan-00</v>
      </c>
      <c r="D1365" s="96"/>
      <c r="E1365" s="95"/>
      <c r="F1365" s="95"/>
      <c r="G1365" s="95"/>
      <c r="H1365" s="94"/>
      <c r="I1365" s="94"/>
      <c r="J1365" s="91"/>
      <c r="K1365" s="91"/>
      <c r="L1365" s="94"/>
      <c r="M1365" s="93"/>
      <c r="N1365" s="92"/>
      <c r="O1365" s="92"/>
      <c r="P1365" s="91">
        <f t="shared" si="97"/>
        <v>0</v>
      </c>
      <c r="Q1365" s="91">
        <f t="shared" si="98"/>
        <v>0</v>
      </c>
      <c r="R1365" s="91"/>
    </row>
    <row r="1366" spans="2:18" ht="12" customHeight="1" x14ac:dyDescent="0.3">
      <c r="B1366" s="98"/>
      <c r="C1366" s="97" t="str">
        <f t="shared" si="96"/>
        <v>Jan-00</v>
      </c>
      <c r="D1366" s="96"/>
      <c r="E1366" s="95"/>
      <c r="F1366" s="95"/>
      <c r="G1366" s="95"/>
      <c r="H1366" s="94"/>
      <c r="I1366" s="94"/>
      <c r="J1366" s="91"/>
      <c r="K1366" s="91"/>
      <c r="L1366" s="94"/>
      <c r="M1366" s="93"/>
      <c r="N1366" s="92"/>
      <c r="O1366" s="92"/>
      <c r="P1366" s="91">
        <f t="shared" si="97"/>
        <v>0</v>
      </c>
      <c r="Q1366" s="91">
        <f t="shared" si="98"/>
        <v>0</v>
      </c>
      <c r="R1366" s="91"/>
    </row>
    <row r="1367" spans="2:18" ht="12" customHeight="1" x14ac:dyDescent="0.3">
      <c r="B1367" s="98"/>
      <c r="C1367" s="97" t="str">
        <f t="shared" si="96"/>
        <v>Jan-00</v>
      </c>
      <c r="D1367" s="96"/>
      <c r="E1367" s="95"/>
      <c r="F1367" s="95"/>
      <c r="G1367" s="95"/>
      <c r="H1367" s="94"/>
      <c r="I1367" s="94"/>
      <c r="J1367" s="91"/>
      <c r="K1367" s="91"/>
      <c r="L1367" s="94"/>
      <c r="M1367" s="93"/>
      <c r="N1367" s="92"/>
      <c r="O1367" s="92"/>
      <c r="P1367" s="91">
        <f t="shared" si="97"/>
        <v>0</v>
      </c>
      <c r="Q1367" s="91">
        <f t="shared" si="98"/>
        <v>0</v>
      </c>
      <c r="R1367" s="91"/>
    </row>
    <row r="1368" spans="2:18" ht="12" customHeight="1" x14ac:dyDescent="0.3">
      <c r="B1368" s="98"/>
      <c r="C1368" s="97" t="str">
        <f t="shared" si="96"/>
        <v>Jan-00</v>
      </c>
      <c r="D1368" s="96"/>
      <c r="E1368" s="95"/>
      <c r="F1368" s="95"/>
      <c r="G1368" s="95"/>
      <c r="H1368" s="94"/>
      <c r="I1368" s="94"/>
      <c r="J1368" s="91"/>
      <c r="K1368" s="91"/>
      <c r="L1368" s="94"/>
      <c r="M1368" s="93"/>
      <c r="N1368" s="92"/>
      <c r="O1368" s="92"/>
      <c r="P1368" s="91">
        <f t="shared" si="97"/>
        <v>0</v>
      </c>
      <c r="Q1368" s="91">
        <f t="shared" si="98"/>
        <v>0</v>
      </c>
      <c r="R1368" s="91"/>
    </row>
    <row r="1369" spans="2:18" ht="12" customHeight="1" x14ac:dyDescent="0.3">
      <c r="B1369" s="98"/>
      <c r="C1369" s="97" t="str">
        <f t="shared" si="96"/>
        <v>Jan-00</v>
      </c>
      <c r="D1369" s="96"/>
      <c r="E1369" s="95"/>
      <c r="F1369" s="95"/>
      <c r="G1369" s="95"/>
      <c r="H1369" s="94"/>
      <c r="I1369" s="94"/>
      <c r="J1369" s="91"/>
      <c r="K1369" s="91"/>
      <c r="L1369" s="94"/>
      <c r="M1369" s="93"/>
      <c r="N1369" s="92"/>
      <c r="O1369" s="92"/>
      <c r="P1369" s="91">
        <f t="shared" si="97"/>
        <v>0</v>
      </c>
      <c r="Q1369" s="91">
        <f t="shared" si="98"/>
        <v>0</v>
      </c>
      <c r="R1369" s="91"/>
    </row>
    <row r="1370" spans="2:18" ht="12" customHeight="1" x14ac:dyDescent="0.3">
      <c r="B1370" s="98"/>
      <c r="C1370" s="97" t="str">
        <f t="shared" si="96"/>
        <v>Jan-00</v>
      </c>
      <c r="D1370" s="96"/>
      <c r="E1370" s="95"/>
      <c r="F1370" s="95"/>
      <c r="G1370" s="95"/>
      <c r="H1370" s="94"/>
      <c r="I1370" s="94"/>
      <c r="J1370" s="91"/>
      <c r="K1370" s="91"/>
      <c r="L1370" s="94"/>
      <c r="M1370" s="93"/>
      <c r="N1370" s="92"/>
      <c r="O1370" s="92"/>
      <c r="P1370" s="91">
        <f t="shared" si="97"/>
        <v>0</v>
      </c>
      <c r="Q1370" s="91">
        <f t="shared" si="98"/>
        <v>0</v>
      </c>
      <c r="R1370" s="91"/>
    </row>
    <row r="1371" spans="2:18" ht="12" customHeight="1" x14ac:dyDescent="0.3">
      <c r="B1371" s="98"/>
      <c r="C1371" s="97" t="str">
        <f t="shared" si="96"/>
        <v>Jan-00</v>
      </c>
      <c r="D1371" s="96"/>
      <c r="E1371" s="95"/>
      <c r="F1371" s="95"/>
      <c r="G1371" s="95"/>
      <c r="H1371" s="94"/>
      <c r="I1371" s="94"/>
      <c r="J1371" s="91"/>
      <c r="K1371" s="91"/>
      <c r="L1371" s="94"/>
      <c r="M1371" s="93"/>
      <c r="N1371" s="92"/>
      <c r="O1371" s="92"/>
      <c r="P1371" s="91">
        <f t="shared" si="97"/>
        <v>0</v>
      </c>
      <c r="Q1371" s="91">
        <f t="shared" si="98"/>
        <v>0</v>
      </c>
      <c r="R1371" s="91"/>
    </row>
    <row r="1372" spans="2:18" ht="12" customHeight="1" x14ac:dyDescent="0.3">
      <c r="B1372" s="98"/>
      <c r="C1372" s="97" t="str">
        <f t="shared" si="96"/>
        <v>Jan-00</v>
      </c>
      <c r="D1372" s="96"/>
      <c r="E1372" s="95"/>
      <c r="F1372" s="95"/>
      <c r="G1372" s="95"/>
      <c r="H1372" s="94"/>
      <c r="I1372" s="94"/>
      <c r="J1372" s="91"/>
      <c r="K1372" s="91"/>
      <c r="L1372" s="94"/>
      <c r="M1372" s="93"/>
      <c r="N1372" s="92"/>
      <c r="O1372" s="92"/>
      <c r="P1372" s="91">
        <f t="shared" si="97"/>
        <v>0</v>
      </c>
      <c r="Q1372" s="91">
        <f t="shared" si="98"/>
        <v>0</v>
      </c>
      <c r="R1372" s="91"/>
    </row>
    <row r="1373" spans="2:18" ht="12" customHeight="1" x14ac:dyDescent="0.3">
      <c r="B1373" s="98"/>
      <c r="C1373" s="97" t="str">
        <f t="shared" si="96"/>
        <v>Jan-00</v>
      </c>
      <c r="D1373" s="96"/>
      <c r="E1373" s="95"/>
      <c r="F1373" s="95"/>
      <c r="G1373" s="95"/>
      <c r="H1373" s="94"/>
      <c r="I1373" s="94"/>
      <c r="J1373" s="91"/>
      <c r="K1373" s="91"/>
      <c r="L1373" s="94"/>
      <c r="M1373" s="93"/>
      <c r="N1373" s="92"/>
      <c r="O1373" s="92"/>
      <c r="P1373" s="91">
        <f t="shared" si="97"/>
        <v>0</v>
      </c>
      <c r="Q1373" s="91">
        <f t="shared" si="98"/>
        <v>0</v>
      </c>
      <c r="R1373" s="91"/>
    </row>
    <row r="1374" spans="2:18" ht="12" customHeight="1" x14ac:dyDescent="0.3">
      <c r="B1374" s="98"/>
      <c r="C1374" s="97" t="str">
        <f t="shared" si="96"/>
        <v>Jan-00</v>
      </c>
      <c r="D1374" s="96"/>
      <c r="E1374" s="95"/>
      <c r="F1374" s="95"/>
      <c r="G1374" s="95"/>
      <c r="H1374" s="94"/>
      <c r="I1374" s="94"/>
      <c r="J1374" s="91"/>
      <c r="K1374" s="91"/>
      <c r="L1374" s="94"/>
      <c r="M1374" s="93"/>
      <c r="N1374" s="92"/>
      <c r="O1374" s="92"/>
      <c r="P1374" s="91">
        <f t="shared" si="97"/>
        <v>0</v>
      </c>
      <c r="Q1374" s="91">
        <f t="shared" si="98"/>
        <v>0</v>
      </c>
      <c r="R1374" s="91"/>
    </row>
    <row r="1375" spans="2:18" ht="12" customHeight="1" x14ac:dyDescent="0.3">
      <c r="B1375" s="98"/>
      <c r="C1375" s="97" t="str">
        <f t="shared" si="96"/>
        <v>Jan-00</v>
      </c>
      <c r="D1375" s="96"/>
      <c r="E1375" s="95"/>
      <c r="F1375" s="95"/>
      <c r="G1375" s="95"/>
      <c r="H1375" s="94"/>
      <c r="I1375" s="94"/>
      <c r="J1375" s="91"/>
      <c r="K1375" s="91"/>
      <c r="L1375" s="94"/>
      <c r="M1375" s="93"/>
      <c r="N1375" s="92"/>
      <c r="O1375" s="92"/>
      <c r="P1375" s="91">
        <f t="shared" si="97"/>
        <v>0</v>
      </c>
      <c r="Q1375" s="91">
        <f t="shared" si="98"/>
        <v>0</v>
      </c>
      <c r="R1375" s="91"/>
    </row>
    <row r="1376" spans="2:18" ht="12" customHeight="1" x14ac:dyDescent="0.3">
      <c r="B1376" s="98"/>
      <c r="C1376" s="97" t="str">
        <f t="shared" si="96"/>
        <v>Jan-00</v>
      </c>
      <c r="D1376" s="96"/>
      <c r="E1376" s="95"/>
      <c r="F1376" s="95"/>
      <c r="G1376" s="95"/>
      <c r="H1376" s="94"/>
      <c r="I1376" s="94"/>
      <c r="J1376" s="91"/>
      <c r="K1376" s="91"/>
      <c r="L1376" s="94"/>
      <c r="M1376" s="93"/>
      <c r="N1376" s="92"/>
      <c r="O1376" s="92"/>
      <c r="P1376" s="91">
        <f t="shared" si="97"/>
        <v>0</v>
      </c>
      <c r="Q1376" s="91">
        <f t="shared" si="98"/>
        <v>0</v>
      </c>
      <c r="R1376" s="91"/>
    </row>
    <row r="1377" spans="2:18" ht="12" customHeight="1" x14ac:dyDescent="0.3">
      <c r="B1377" s="98"/>
      <c r="C1377" s="97" t="str">
        <f t="shared" si="96"/>
        <v>Jan-00</v>
      </c>
      <c r="D1377" s="96"/>
      <c r="E1377" s="95"/>
      <c r="F1377" s="95"/>
      <c r="G1377" s="95"/>
      <c r="H1377" s="94"/>
      <c r="I1377" s="94"/>
      <c r="J1377" s="91"/>
      <c r="K1377" s="91"/>
      <c r="L1377" s="94"/>
      <c r="M1377" s="93"/>
      <c r="N1377" s="92"/>
      <c r="O1377" s="92"/>
      <c r="P1377" s="91">
        <f t="shared" si="97"/>
        <v>0</v>
      </c>
      <c r="Q1377" s="91">
        <f t="shared" si="98"/>
        <v>0</v>
      </c>
      <c r="R1377" s="91"/>
    </row>
    <row r="1378" spans="2:18" ht="12" customHeight="1" x14ac:dyDescent="0.3">
      <c r="B1378" s="98"/>
      <c r="C1378" s="97" t="str">
        <f t="shared" si="96"/>
        <v>Jan-00</v>
      </c>
      <c r="D1378" s="96"/>
      <c r="E1378" s="95"/>
      <c r="F1378" s="95"/>
      <c r="G1378" s="95"/>
      <c r="H1378" s="94"/>
      <c r="I1378" s="94"/>
      <c r="J1378" s="91"/>
      <c r="K1378" s="91"/>
      <c r="L1378" s="94"/>
      <c r="M1378" s="93"/>
      <c r="N1378" s="92"/>
      <c r="O1378" s="92"/>
      <c r="P1378" s="91">
        <f t="shared" si="97"/>
        <v>0</v>
      </c>
      <c r="Q1378" s="91">
        <f t="shared" si="98"/>
        <v>0</v>
      </c>
      <c r="R1378" s="91"/>
    </row>
    <row r="1379" spans="2:18" ht="12" customHeight="1" x14ac:dyDescent="0.3">
      <c r="B1379" s="98"/>
      <c r="C1379" s="97" t="str">
        <f t="shared" si="96"/>
        <v>Jan-00</v>
      </c>
      <c r="D1379" s="96"/>
      <c r="E1379" s="95"/>
      <c r="F1379" s="95"/>
      <c r="G1379" s="95"/>
      <c r="H1379" s="94"/>
      <c r="I1379" s="94"/>
      <c r="J1379" s="91"/>
      <c r="K1379" s="91"/>
      <c r="L1379" s="94"/>
      <c r="M1379" s="93"/>
      <c r="N1379" s="92"/>
      <c r="O1379" s="92"/>
      <c r="P1379" s="91">
        <f t="shared" si="97"/>
        <v>0</v>
      </c>
      <c r="Q1379" s="91">
        <f t="shared" si="98"/>
        <v>0</v>
      </c>
      <c r="R1379" s="91"/>
    </row>
    <row r="1380" spans="2:18" ht="12" customHeight="1" x14ac:dyDescent="0.3">
      <c r="B1380" s="98"/>
      <c r="C1380" s="97" t="str">
        <f t="shared" si="96"/>
        <v>Jan-00</v>
      </c>
      <c r="D1380" s="96"/>
      <c r="E1380" s="95"/>
      <c r="F1380" s="95"/>
      <c r="G1380" s="95"/>
      <c r="H1380" s="94"/>
      <c r="I1380" s="94"/>
      <c r="J1380" s="91"/>
      <c r="K1380" s="91"/>
      <c r="L1380" s="94"/>
      <c r="M1380" s="93"/>
      <c r="N1380" s="92"/>
      <c r="O1380" s="92"/>
      <c r="P1380" s="91">
        <f t="shared" si="97"/>
        <v>0</v>
      </c>
      <c r="Q1380" s="91">
        <f t="shared" si="98"/>
        <v>0</v>
      </c>
      <c r="R1380" s="91"/>
    </row>
    <row r="1381" spans="2:18" ht="12" customHeight="1" x14ac:dyDescent="0.3">
      <c r="B1381" s="98"/>
      <c r="C1381" s="97" t="str">
        <f t="shared" si="96"/>
        <v>Jan-00</v>
      </c>
      <c r="D1381" s="96"/>
      <c r="E1381" s="95"/>
      <c r="F1381" s="95"/>
      <c r="G1381" s="95"/>
      <c r="H1381" s="94"/>
      <c r="I1381" s="94"/>
      <c r="J1381" s="91"/>
      <c r="K1381" s="91"/>
      <c r="L1381" s="94"/>
      <c r="M1381" s="93"/>
      <c r="N1381" s="92"/>
      <c r="O1381" s="92"/>
      <c r="P1381" s="91">
        <f t="shared" si="97"/>
        <v>0</v>
      </c>
      <c r="Q1381" s="91">
        <f t="shared" si="98"/>
        <v>0</v>
      </c>
      <c r="R1381" s="91"/>
    </row>
    <row r="1382" spans="2:18" ht="12" customHeight="1" x14ac:dyDescent="0.3">
      <c r="B1382" s="98"/>
      <c r="C1382" s="97" t="str">
        <f t="shared" si="96"/>
        <v>Jan-00</v>
      </c>
      <c r="D1382" s="96"/>
      <c r="E1382" s="95"/>
      <c r="F1382" s="95"/>
      <c r="G1382" s="95"/>
      <c r="H1382" s="94"/>
      <c r="I1382" s="94"/>
      <c r="J1382" s="91"/>
      <c r="K1382" s="91"/>
      <c r="L1382" s="94"/>
      <c r="M1382" s="93"/>
      <c r="N1382" s="92"/>
      <c r="O1382" s="92"/>
      <c r="P1382" s="91">
        <f t="shared" si="97"/>
        <v>0</v>
      </c>
      <c r="Q1382" s="91">
        <f t="shared" si="98"/>
        <v>0</v>
      </c>
      <c r="R1382" s="91"/>
    </row>
    <row r="1383" spans="2:18" ht="12" customHeight="1" x14ac:dyDescent="0.3">
      <c r="B1383" s="98"/>
      <c r="C1383" s="97" t="str">
        <f t="shared" si="96"/>
        <v>Jan-00</v>
      </c>
      <c r="D1383" s="96"/>
      <c r="E1383" s="95"/>
      <c r="F1383" s="95"/>
      <c r="G1383" s="95"/>
      <c r="H1383" s="94"/>
      <c r="I1383" s="94"/>
      <c r="J1383" s="91"/>
      <c r="K1383" s="91"/>
      <c r="L1383" s="94"/>
      <c r="M1383" s="93"/>
      <c r="N1383" s="92"/>
      <c r="O1383" s="92"/>
      <c r="P1383" s="91">
        <f t="shared" si="97"/>
        <v>0</v>
      </c>
      <c r="Q1383" s="91">
        <f t="shared" si="98"/>
        <v>0</v>
      </c>
      <c r="R1383" s="91"/>
    </row>
    <row r="1384" spans="2:18" ht="12" customHeight="1" x14ac:dyDescent="0.3">
      <c r="B1384" s="98"/>
      <c r="C1384" s="97" t="str">
        <f t="shared" si="96"/>
        <v>Jan-00</v>
      </c>
      <c r="D1384" s="96"/>
      <c r="E1384" s="95"/>
      <c r="F1384" s="95"/>
      <c r="G1384" s="95"/>
      <c r="H1384" s="94"/>
      <c r="I1384" s="94"/>
      <c r="J1384" s="91"/>
      <c r="K1384" s="91"/>
      <c r="L1384" s="94"/>
      <c r="M1384" s="93"/>
      <c r="N1384" s="92"/>
      <c r="O1384" s="92"/>
      <c r="P1384" s="91">
        <f t="shared" si="97"/>
        <v>0</v>
      </c>
      <c r="Q1384" s="91">
        <f t="shared" si="98"/>
        <v>0</v>
      </c>
      <c r="R1384" s="91"/>
    </row>
    <row r="1385" spans="2:18" ht="12" customHeight="1" x14ac:dyDescent="0.3">
      <c r="B1385" s="98"/>
      <c r="C1385" s="97" t="str">
        <f t="shared" si="96"/>
        <v>Jan-00</v>
      </c>
      <c r="D1385" s="96"/>
      <c r="E1385" s="95"/>
      <c r="F1385" s="95"/>
      <c r="G1385" s="95"/>
      <c r="H1385" s="94"/>
      <c r="I1385" s="94"/>
      <c r="J1385" s="91"/>
      <c r="K1385" s="91"/>
      <c r="L1385" s="94"/>
      <c r="M1385" s="93"/>
      <c r="N1385" s="92"/>
      <c r="O1385" s="92"/>
      <c r="P1385" s="91">
        <f t="shared" si="97"/>
        <v>0</v>
      </c>
      <c r="Q1385" s="91">
        <f t="shared" si="98"/>
        <v>0</v>
      </c>
      <c r="R1385" s="91"/>
    </row>
    <row r="1386" spans="2:18" ht="12" customHeight="1" x14ac:dyDescent="0.3">
      <c r="B1386" s="98"/>
      <c r="C1386" s="97" t="str">
        <f t="shared" si="96"/>
        <v>Jan-00</v>
      </c>
      <c r="D1386" s="96"/>
      <c r="E1386" s="95"/>
      <c r="F1386" s="95"/>
      <c r="G1386" s="95"/>
      <c r="H1386" s="94"/>
      <c r="I1386" s="94"/>
      <c r="J1386" s="91"/>
      <c r="K1386" s="91"/>
      <c r="L1386" s="94"/>
      <c r="M1386" s="93"/>
      <c r="N1386" s="92"/>
      <c r="O1386" s="92"/>
      <c r="P1386" s="91">
        <f t="shared" si="97"/>
        <v>0</v>
      </c>
      <c r="Q1386" s="91">
        <f t="shared" si="98"/>
        <v>0</v>
      </c>
      <c r="R1386" s="91"/>
    </row>
    <row r="1387" spans="2:18" ht="12" customHeight="1" x14ac:dyDescent="0.3">
      <c r="B1387" s="98"/>
      <c r="C1387" s="97" t="str">
        <f t="shared" si="96"/>
        <v>Jan-00</v>
      </c>
      <c r="D1387" s="96"/>
      <c r="E1387" s="95"/>
      <c r="F1387" s="95"/>
      <c r="G1387" s="95"/>
      <c r="H1387" s="94"/>
      <c r="I1387" s="94"/>
      <c r="J1387" s="91"/>
      <c r="K1387" s="91"/>
      <c r="L1387" s="94"/>
      <c r="M1387" s="93"/>
      <c r="N1387" s="92"/>
      <c r="O1387" s="92"/>
      <c r="P1387" s="91">
        <f t="shared" si="97"/>
        <v>0</v>
      </c>
      <c r="Q1387" s="91">
        <f t="shared" si="98"/>
        <v>0</v>
      </c>
      <c r="R1387" s="91"/>
    </row>
    <row r="1388" spans="2:18" ht="12" customHeight="1" x14ac:dyDescent="0.3">
      <c r="B1388" s="98"/>
      <c r="C1388" s="97" t="str">
        <f t="shared" si="96"/>
        <v>Jan-00</v>
      </c>
      <c r="D1388" s="96"/>
      <c r="E1388" s="95"/>
      <c r="F1388" s="95"/>
      <c r="G1388" s="95"/>
      <c r="H1388" s="94"/>
      <c r="I1388" s="94"/>
      <c r="J1388" s="91"/>
      <c r="K1388" s="91"/>
      <c r="L1388" s="94"/>
      <c r="M1388" s="93"/>
      <c r="N1388" s="92"/>
      <c r="O1388" s="92"/>
      <c r="P1388" s="91">
        <f t="shared" si="97"/>
        <v>0</v>
      </c>
      <c r="Q1388" s="91">
        <f t="shared" si="98"/>
        <v>0</v>
      </c>
      <c r="R1388" s="91"/>
    </row>
    <row r="1389" spans="2:18" ht="12" customHeight="1" x14ac:dyDescent="0.3">
      <c r="B1389" s="98"/>
      <c r="C1389" s="97" t="str">
        <f t="shared" si="96"/>
        <v>Jan-00</v>
      </c>
      <c r="D1389" s="96"/>
      <c r="E1389" s="95"/>
      <c r="F1389" s="95"/>
      <c r="G1389" s="95"/>
      <c r="H1389" s="94"/>
      <c r="I1389" s="94"/>
      <c r="J1389" s="91"/>
      <c r="K1389" s="91"/>
      <c r="L1389" s="94"/>
      <c r="M1389" s="93"/>
      <c r="N1389" s="92"/>
      <c r="O1389" s="92"/>
      <c r="P1389" s="91">
        <f t="shared" si="97"/>
        <v>0</v>
      </c>
      <c r="Q1389" s="91">
        <f t="shared" si="98"/>
        <v>0</v>
      </c>
      <c r="R1389" s="91"/>
    </row>
    <row r="1390" spans="2:18" ht="12" customHeight="1" x14ac:dyDescent="0.3">
      <c r="B1390" s="98"/>
      <c r="C1390" s="97" t="str">
        <f t="shared" si="96"/>
        <v>Jan-00</v>
      </c>
      <c r="D1390" s="96"/>
      <c r="E1390" s="95"/>
      <c r="F1390" s="95"/>
      <c r="G1390" s="95"/>
      <c r="H1390" s="94"/>
      <c r="I1390" s="94"/>
      <c r="J1390" s="91"/>
      <c r="K1390" s="91"/>
      <c r="L1390" s="94"/>
      <c r="M1390" s="93"/>
      <c r="N1390" s="92"/>
      <c r="O1390" s="92"/>
      <c r="P1390" s="91">
        <f t="shared" si="97"/>
        <v>0</v>
      </c>
      <c r="Q1390" s="91">
        <f t="shared" si="98"/>
        <v>0</v>
      </c>
      <c r="R1390" s="91"/>
    </row>
    <row r="1391" spans="2:18" ht="12" customHeight="1" x14ac:dyDescent="0.3">
      <c r="B1391" s="98"/>
      <c r="C1391" s="97" t="str">
        <f t="shared" si="96"/>
        <v>Jan-00</v>
      </c>
      <c r="D1391" s="96"/>
      <c r="E1391" s="95"/>
      <c r="F1391" s="95"/>
      <c r="G1391" s="95"/>
      <c r="H1391" s="94"/>
      <c r="I1391" s="94"/>
      <c r="J1391" s="91"/>
      <c r="K1391" s="91"/>
      <c r="L1391" s="94"/>
      <c r="M1391" s="93"/>
      <c r="N1391" s="92"/>
      <c r="O1391" s="92"/>
      <c r="P1391" s="91">
        <f t="shared" si="97"/>
        <v>0</v>
      </c>
      <c r="Q1391" s="91">
        <f t="shared" si="98"/>
        <v>0</v>
      </c>
      <c r="R1391" s="91"/>
    </row>
    <row r="1392" spans="2:18" ht="12" customHeight="1" x14ac:dyDescent="0.3">
      <c r="B1392" s="98"/>
      <c r="C1392" s="97" t="str">
        <f t="shared" si="96"/>
        <v>Jan-00</v>
      </c>
      <c r="D1392" s="96"/>
      <c r="E1392" s="95"/>
      <c r="F1392" s="95"/>
      <c r="G1392" s="95"/>
      <c r="H1392" s="94"/>
      <c r="I1392" s="94"/>
      <c r="J1392" s="91"/>
      <c r="K1392" s="91"/>
      <c r="L1392" s="94"/>
      <c r="M1392" s="93"/>
      <c r="N1392" s="92"/>
      <c r="O1392" s="92"/>
      <c r="P1392" s="91">
        <f t="shared" si="97"/>
        <v>0</v>
      </c>
      <c r="Q1392" s="91">
        <f t="shared" si="98"/>
        <v>0</v>
      </c>
      <c r="R1392" s="91"/>
    </row>
    <row r="1393" spans="2:18" ht="12" customHeight="1" x14ac:dyDescent="0.3">
      <c r="B1393" s="98"/>
      <c r="C1393" s="97" t="str">
        <f t="shared" si="96"/>
        <v>Jan-00</v>
      </c>
      <c r="D1393" s="96"/>
      <c r="E1393" s="95"/>
      <c r="F1393" s="95"/>
      <c r="G1393" s="95"/>
      <c r="H1393" s="94"/>
      <c r="I1393" s="94"/>
      <c r="J1393" s="91"/>
      <c r="K1393" s="91"/>
      <c r="L1393" s="94"/>
      <c r="M1393" s="93"/>
      <c r="N1393" s="92"/>
      <c r="O1393" s="92"/>
      <c r="P1393" s="91">
        <f t="shared" si="97"/>
        <v>0</v>
      </c>
      <c r="Q1393" s="91">
        <f t="shared" si="98"/>
        <v>0</v>
      </c>
      <c r="R1393" s="91"/>
    </row>
    <row r="1394" spans="2:18" ht="12" customHeight="1" x14ac:dyDescent="0.3">
      <c r="B1394" s="98"/>
      <c r="C1394" s="97" t="str">
        <f t="shared" si="96"/>
        <v>Jan-00</v>
      </c>
      <c r="D1394" s="96"/>
      <c r="E1394" s="95"/>
      <c r="F1394" s="95"/>
      <c r="G1394" s="95"/>
      <c r="H1394" s="94"/>
      <c r="I1394" s="94"/>
      <c r="J1394" s="91"/>
      <c r="K1394" s="91"/>
      <c r="L1394" s="94"/>
      <c r="M1394" s="93"/>
      <c r="N1394" s="92"/>
      <c r="O1394" s="92"/>
      <c r="P1394" s="91">
        <f t="shared" si="97"/>
        <v>0</v>
      </c>
      <c r="Q1394" s="91">
        <f t="shared" si="98"/>
        <v>0</v>
      </c>
      <c r="R1394" s="91"/>
    </row>
    <row r="1395" spans="2:18" ht="12" customHeight="1" x14ac:dyDescent="0.3">
      <c r="B1395" s="98"/>
      <c r="C1395" s="97" t="str">
        <f t="shared" si="96"/>
        <v>Jan-00</v>
      </c>
      <c r="D1395" s="96"/>
      <c r="E1395" s="95"/>
      <c r="F1395" s="95"/>
      <c r="G1395" s="95"/>
      <c r="H1395" s="94"/>
      <c r="I1395" s="94"/>
      <c r="J1395" s="91"/>
      <c r="K1395" s="91"/>
      <c r="L1395" s="94"/>
      <c r="M1395" s="93"/>
      <c r="N1395" s="92"/>
      <c r="O1395" s="92"/>
      <c r="P1395" s="91">
        <f t="shared" si="97"/>
        <v>0</v>
      </c>
      <c r="Q1395" s="91">
        <f t="shared" si="98"/>
        <v>0</v>
      </c>
      <c r="R1395" s="91"/>
    </row>
    <row r="1396" spans="2:18" ht="12" customHeight="1" x14ac:dyDescent="0.3">
      <c r="B1396" s="98"/>
      <c r="C1396" s="97" t="str">
        <f t="shared" si="96"/>
        <v>Jan-00</v>
      </c>
      <c r="D1396" s="96"/>
      <c r="E1396" s="95"/>
      <c r="F1396" s="95"/>
      <c r="G1396" s="95"/>
      <c r="H1396" s="94"/>
      <c r="I1396" s="94"/>
      <c r="J1396" s="91"/>
      <c r="K1396" s="91"/>
      <c r="L1396" s="94"/>
      <c r="M1396" s="93"/>
      <c r="N1396" s="92"/>
      <c r="O1396" s="92"/>
      <c r="P1396" s="91">
        <f t="shared" si="97"/>
        <v>0</v>
      </c>
      <c r="Q1396" s="91">
        <f t="shared" si="98"/>
        <v>0</v>
      </c>
      <c r="R1396" s="91"/>
    </row>
    <row r="1397" spans="2:18" ht="12" customHeight="1" x14ac:dyDescent="0.3">
      <c r="B1397" s="98"/>
      <c r="C1397" s="97" t="str">
        <f t="shared" si="96"/>
        <v>Jan-00</v>
      </c>
      <c r="D1397" s="96"/>
      <c r="E1397" s="95"/>
      <c r="F1397" s="95"/>
      <c r="G1397" s="95"/>
      <c r="H1397" s="94"/>
      <c r="I1397" s="94"/>
      <c r="J1397" s="91"/>
      <c r="K1397" s="91"/>
      <c r="L1397" s="94"/>
      <c r="M1397" s="93"/>
      <c r="N1397" s="92"/>
      <c r="O1397" s="92"/>
      <c r="P1397" s="91">
        <f t="shared" si="97"/>
        <v>0</v>
      </c>
      <c r="Q1397" s="91">
        <f t="shared" si="98"/>
        <v>0</v>
      </c>
      <c r="R1397" s="91"/>
    </row>
    <row r="1398" spans="2:18" ht="12" customHeight="1" x14ac:dyDescent="0.3">
      <c r="B1398" s="98"/>
      <c r="C1398" s="97" t="str">
        <f t="shared" si="96"/>
        <v>Jan-00</v>
      </c>
      <c r="D1398" s="96"/>
      <c r="E1398" s="95"/>
      <c r="F1398" s="95"/>
      <c r="G1398" s="95"/>
      <c r="H1398" s="94"/>
      <c r="I1398" s="94"/>
      <c r="J1398" s="91"/>
      <c r="K1398" s="91"/>
      <c r="L1398" s="94"/>
      <c r="M1398" s="93"/>
      <c r="N1398" s="92"/>
      <c r="O1398" s="92"/>
      <c r="P1398" s="91">
        <f t="shared" si="97"/>
        <v>0</v>
      </c>
      <c r="Q1398" s="91">
        <f t="shared" si="98"/>
        <v>0</v>
      </c>
      <c r="R1398" s="91"/>
    </row>
    <row r="1399" spans="2:18" ht="12" customHeight="1" x14ac:dyDescent="0.3">
      <c r="B1399" s="98"/>
      <c r="C1399" s="97" t="str">
        <f t="shared" si="96"/>
        <v>Jan-00</v>
      </c>
      <c r="D1399" s="96"/>
      <c r="E1399" s="95"/>
      <c r="F1399" s="95"/>
      <c r="G1399" s="95"/>
      <c r="H1399" s="94"/>
      <c r="I1399" s="94"/>
      <c r="J1399" s="91"/>
      <c r="K1399" s="91"/>
      <c r="L1399" s="94"/>
      <c r="M1399" s="93"/>
      <c r="N1399" s="92"/>
      <c r="O1399" s="92"/>
      <c r="P1399" s="91">
        <f t="shared" si="97"/>
        <v>0</v>
      </c>
      <c r="Q1399" s="91">
        <f t="shared" si="98"/>
        <v>0</v>
      </c>
      <c r="R1399" s="91"/>
    </row>
    <row r="1400" spans="2:18" ht="12" customHeight="1" x14ac:dyDescent="0.3">
      <c r="B1400" s="98"/>
      <c r="C1400" s="97" t="str">
        <f t="shared" si="96"/>
        <v>Jan-00</v>
      </c>
      <c r="D1400" s="96"/>
      <c r="E1400" s="95"/>
      <c r="F1400" s="95"/>
      <c r="G1400" s="95"/>
      <c r="H1400" s="94"/>
      <c r="I1400" s="94"/>
      <c r="J1400" s="91"/>
      <c r="K1400" s="91"/>
      <c r="L1400" s="94"/>
      <c r="M1400" s="93"/>
      <c r="N1400" s="92"/>
      <c r="O1400" s="92"/>
      <c r="P1400" s="91">
        <f t="shared" si="97"/>
        <v>0</v>
      </c>
      <c r="Q1400" s="91">
        <f t="shared" si="98"/>
        <v>0</v>
      </c>
      <c r="R1400" s="91"/>
    </row>
    <row r="1401" spans="2:18" ht="12" customHeight="1" x14ac:dyDescent="0.3">
      <c r="B1401" s="98"/>
      <c r="C1401" s="97" t="str">
        <f t="shared" si="96"/>
        <v>Jan-00</v>
      </c>
      <c r="D1401" s="96"/>
      <c r="E1401" s="95"/>
      <c r="F1401" s="95"/>
      <c r="G1401" s="95"/>
      <c r="H1401" s="94"/>
      <c r="I1401" s="94"/>
      <c r="J1401" s="91"/>
      <c r="K1401" s="91"/>
      <c r="L1401" s="94"/>
      <c r="M1401" s="93"/>
      <c r="N1401" s="92"/>
      <c r="O1401" s="92"/>
      <c r="P1401" s="91">
        <f t="shared" si="97"/>
        <v>0</v>
      </c>
      <c r="Q1401" s="91">
        <f t="shared" si="98"/>
        <v>0</v>
      </c>
      <c r="R1401" s="91"/>
    </row>
    <row r="1402" spans="2:18" ht="12" customHeight="1" x14ac:dyDescent="0.3">
      <c r="B1402" s="98"/>
      <c r="C1402" s="97" t="str">
        <f t="shared" si="96"/>
        <v>Jan-00</v>
      </c>
      <c r="D1402" s="96"/>
      <c r="E1402" s="95"/>
      <c r="F1402" s="95"/>
      <c r="G1402" s="95"/>
      <c r="H1402" s="94"/>
      <c r="I1402" s="94"/>
      <c r="J1402" s="91"/>
      <c r="K1402" s="91"/>
      <c r="L1402" s="94"/>
      <c r="M1402" s="93"/>
      <c r="N1402" s="92"/>
      <c r="O1402" s="92"/>
      <c r="P1402" s="91">
        <f t="shared" si="97"/>
        <v>0</v>
      </c>
      <c r="Q1402" s="91">
        <f t="shared" si="98"/>
        <v>0</v>
      </c>
      <c r="R1402" s="91"/>
    </row>
    <row r="1403" spans="2:18" ht="12" customHeight="1" x14ac:dyDescent="0.3">
      <c r="B1403" s="98"/>
      <c r="C1403" s="97" t="str">
        <f t="shared" si="96"/>
        <v>Jan-00</v>
      </c>
      <c r="D1403" s="96"/>
      <c r="E1403" s="95"/>
      <c r="F1403" s="95"/>
      <c r="G1403" s="95"/>
      <c r="H1403" s="94"/>
      <c r="I1403" s="94"/>
      <c r="J1403" s="91"/>
      <c r="K1403" s="91"/>
      <c r="L1403" s="94"/>
      <c r="M1403" s="93"/>
      <c r="N1403" s="92"/>
      <c r="O1403" s="92"/>
      <c r="P1403" s="91">
        <f t="shared" si="97"/>
        <v>0</v>
      </c>
      <c r="Q1403" s="91">
        <f t="shared" si="98"/>
        <v>0</v>
      </c>
      <c r="R1403" s="91"/>
    </row>
    <row r="1404" spans="2:18" ht="12" customHeight="1" x14ac:dyDescent="0.3">
      <c r="B1404" s="98"/>
      <c r="C1404" s="97" t="str">
        <f t="shared" si="96"/>
        <v>Jan-00</v>
      </c>
      <c r="D1404" s="96"/>
      <c r="E1404" s="95"/>
      <c r="F1404" s="95"/>
      <c r="G1404" s="95"/>
      <c r="H1404" s="94"/>
      <c r="I1404" s="94"/>
      <c r="J1404" s="91"/>
      <c r="K1404" s="91"/>
      <c r="L1404" s="94"/>
      <c r="M1404" s="93"/>
      <c r="N1404" s="92"/>
      <c r="O1404" s="92"/>
      <c r="P1404" s="91">
        <f t="shared" si="97"/>
        <v>0</v>
      </c>
      <c r="Q1404" s="91">
        <f t="shared" si="98"/>
        <v>0</v>
      </c>
      <c r="R1404" s="91"/>
    </row>
    <row r="1405" spans="2:18" ht="12" customHeight="1" x14ac:dyDescent="0.3">
      <c r="B1405" s="98"/>
      <c r="C1405" s="97" t="str">
        <f t="shared" si="96"/>
        <v>Jan-00</v>
      </c>
      <c r="D1405" s="96"/>
      <c r="E1405" s="95"/>
      <c r="F1405" s="95"/>
      <c r="G1405" s="95"/>
      <c r="H1405" s="94"/>
      <c r="I1405" s="94"/>
      <c r="J1405" s="91"/>
      <c r="K1405" s="91"/>
      <c r="L1405" s="94"/>
      <c r="M1405" s="93"/>
      <c r="N1405" s="92"/>
      <c r="O1405" s="92"/>
      <c r="P1405" s="91">
        <f t="shared" si="97"/>
        <v>0</v>
      </c>
      <c r="Q1405" s="91">
        <f t="shared" si="98"/>
        <v>0</v>
      </c>
      <c r="R1405" s="91"/>
    </row>
    <row r="1406" spans="2:18" ht="12" customHeight="1" x14ac:dyDescent="0.3">
      <c r="B1406" s="98"/>
      <c r="C1406" s="97" t="str">
        <f t="shared" si="96"/>
        <v>Jan-00</v>
      </c>
      <c r="D1406" s="96"/>
      <c r="E1406" s="95"/>
      <c r="F1406" s="95"/>
      <c r="G1406" s="95"/>
      <c r="H1406" s="94"/>
      <c r="I1406" s="94"/>
      <c r="J1406" s="91"/>
      <c r="K1406" s="91"/>
      <c r="L1406" s="94"/>
      <c r="M1406" s="93"/>
      <c r="N1406" s="92"/>
      <c r="O1406" s="92"/>
      <c r="P1406" s="91">
        <f t="shared" si="97"/>
        <v>0</v>
      </c>
      <c r="Q1406" s="91">
        <f t="shared" si="98"/>
        <v>0</v>
      </c>
      <c r="R1406" s="91"/>
    </row>
    <row r="1407" spans="2:18" ht="12" customHeight="1" x14ac:dyDescent="0.3">
      <c r="B1407" s="98"/>
      <c r="C1407" s="97" t="str">
        <f t="shared" si="96"/>
        <v>Jan-00</v>
      </c>
      <c r="D1407" s="96"/>
      <c r="E1407" s="95"/>
      <c r="F1407" s="95"/>
      <c r="G1407" s="95"/>
      <c r="H1407" s="94"/>
      <c r="I1407" s="94"/>
      <c r="J1407" s="91"/>
      <c r="K1407" s="91"/>
      <c r="L1407" s="94"/>
      <c r="M1407" s="93"/>
      <c r="N1407" s="92"/>
      <c r="O1407" s="92"/>
      <c r="P1407" s="91">
        <f t="shared" si="97"/>
        <v>0</v>
      </c>
      <c r="Q1407" s="91">
        <f t="shared" si="98"/>
        <v>0</v>
      </c>
      <c r="R1407" s="91"/>
    </row>
    <row r="1408" spans="2:18" ht="12" customHeight="1" x14ac:dyDescent="0.3">
      <c r="B1408" s="98"/>
      <c r="C1408" s="97" t="str">
        <f t="shared" si="96"/>
        <v>Jan-00</v>
      </c>
      <c r="D1408" s="96"/>
      <c r="E1408" s="95"/>
      <c r="F1408" s="95"/>
      <c r="G1408" s="95"/>
      <c r="H1408" s="94"/>
      <c r="I1408" s="94"/>
      <c r="J1408" s="91"/>
      <c r="K1408" s="91"/>
      <c r="L1408" s="94"/>
      <c r="M1408" s="93"/>
      <c r="N1408" s="92"/>
      <c r="O1408" s="92"/>
      <c r="P1408" s="91">
        <f t="shared" si="97"/>
        <v>0</v>
      </c>
      <c r="Q1408" s="91">
        <f t="shared" si="98"/>
        <v>0</v>
      </c>
      <c r="R1408" s="91"/>
    </row>
    <row r="1409" spans="2:18" ht="12" customHeight="1" x14ac:dyDescent="0.3">
      <c r="B1409" s="98"/>
      <c r="C1409" s="97" t="str">
        <f t="shared" si="96"/>
        <v>Jan-00</v>
      </c>
      <c r="D1409" s="96"/>
      <c r="E1409" s="95"/>
      <c r="F1409" s="95"/>
      <c r="G1409" s="95"/>
      <c r="H1409" s="94"/>
      <c r="I1409" s="94"/>
      <c r="J1409" s="91"/>
      <c r="K1409" s="91"/>
      <c r="L1409" s="94"/>
      <c r="M1409" s="93"/>
      <c r="N1409" s="92"/>
      <c r="O1409" s="92"/>
      <c r="P1409" s="91">
        <f t="shared" si="97"/>
        <v>0</v>
      </c>
      <c r="Q1409" s="91">
        <f t="shared" si="98"/>
        <v>0</v>
      </c>
      <c r="R1409" s="91"/>
    </row>
    <row r="1410" spans="2:18" ht="12" customHeight="1" x14ac:dyDescent="0.3">
      <c r="B1410" s="98"/>
      <c r="C1410" s="97" t="str">
        <f t="shared" si="96"/>
        <v>Jan-00</v>
      </c>
      <c r="D1410" s="96"/>
      <c r="E1410" s="95"/>
      <c r="F1410" s="95"/>
      <c r="G1410" s="95"/>
      <c r="H1410" s="94"/>
      <c r="I1410" s="94"/>
      <c r="J1410" s="91"/>
      <c r="K1410" s="91"/>
      <c r="L1410" s="94"/>
      <c r="M1410" s="93"/>
      <c r="N1410" s="92"/>
      <c r="O1410" s="92"/>
      <c r="P1410" s="91">
        <f t="shared" si="97"/>
        <v>0</v>
      </c>
      <c r="Q1410" s="91">
        <f t="shared" si="98"/>
        <v>0</v>
      </c>
      <c r="R1410" s="91"/>
    </row>
    <row r="1411" spans="2:18" ht="12" customHeight="1" x14ac:dyDescent="0.3">
      <c r="B1411" s="98"/>
      <c r="C1411" s="97" t="str">
        <f t="shared" si="96"/>
        <v>Jan-00</v>
      </c>
      <c r="D1411" s="96"/>
      <c r="E1411" s="95"/>
      <c r="F1411" s="95"/>
      <c r="G1411" s="95"/>
      <c r="H1411" s="94"/>
      <c r="I1411" s="94"/>
      <c r="J1411" s="91"/>
      <c r="K1411" s="91"/>
      <c r="L1411" s="94"/>
      <c r="M1411" s="93"/>
      <c r="N1411" s="92"/>
      <c r="O1411" s="92"/>
      <c r="P1411" s="91">
        <f t="shared" si="97"/>
        <v>0</v>
      </c>
      <c r="Q1411" s="91">
        <f t="shared" si="98"/>
        <v>0</v>
      </c>
      <c r="R1411" s="91"/>
    </row>
    <row r="1412" spans="2:18" ht="12" customHeight="1" x14ac:dyDescent="0.3">
      <c r="B1412" s="98"/>
      <c r="C1412" s="97" t="str">
        <f t="shared" ref="C1412:C1475" si="100">CONCATENATE(TEXT(D1412,"mmm"),"-",TEXT(D1412,"yy"))</f>
        <v>Jan-00</v>
      </c>
      <c r="D1412" s="96"/>
      <c r="E1412" s="95"/>
      <c r="F1412" s="95"/>
      <c r="G1412" s="95"/>
      <c r="H1412" s="94"/>
      <c r="I1412" s="94"/>
      <c r="J1412" s="91"/>
      <c r="K1412" s="91"/>
      <c r="L1412" s="94"/>
      <c r="M1412" s="93"/>
      <c r="N1412" s="92"/>
      <c r="O1412" s="92"/>
      <c r="P1412" s="91">
        <f t="shared" ref="P1412:P1475" si="101">O1412*1%</f>
        <v>0</v>
      </c>
      <c r="Q1412" s="91">
        <f t="shared" ref="Q1412:Q1475" si="102">O1412-P1412</f>
        <v>0</v>
      </c>
      <c r="R1412" s="91"/>
    </row>
    <row r="1413" spans="2:18" ht="12" customHeight="1" x14ac:dyDescent="0.3">
      <c r="B1413" s="98"/>
      <c r="C1413" s="97" t="str">
        <f t="shared" si="100"/>
        <v>Jan-00</v>
      </c>
      <c r="D1413" s="96"/>
      <c r="E1413" s="95"/>
      <c r="F1413" s="95"/>
      <c r="G1413" s="95"/>
      <c r="H1413" s="94"/>
      <c r="I1413" s="94"/>
      <c r="J1413" s="91"/>
      <c r="K1413" s="91"/>
      <c r="L1413" s="94"/>
      <c r="M1413" s="93"/>
      <c r="N1413" s="92"/>
      <c r="O1413" s="92"/>
      <c r="P1413" s="91">
        <f t="shared" si="101"/>
        <v>0</v>
      </c>
      <c r="Q1413" s="91">
        <f t="shared" si="102"/>
        <v>0</v>
      </c>
      <c r="R1413" s="91"/>
    </row>
    <row r="1414" spans="2:18" ht="12" customHeight="1" x14ac:dyDescent="0.3">
      <c r="B1414" s="98"/>
      <c r="C1414" s="97" t="str">
        <f t="shared" si="100"/>
        <v>Jan-00</v>
      </c>
      <c r="D1414" s="96"/>
      <c r="E1414" s="95"/>
      <c r="F1414" s="95"/>
      <c r="G1414" s="95"/>
      <c r="H1414" s="94"/>
      <c r="I1414" s="94"/>
      <c r="J1414" s="91"/>
      <c r="K1414" s="91"/>
      <c r="L1414" s="94"/>
      <c r="M1414" s="93"/>
      <c r="N1414" s="92"/>
      <c r="O1414" s="92"/>
      <c r="P1414" s="91">
        <f t="shared" si="101"/>
        <v>0</v>
      </c>
      <c r="Q1414" s="91">
        <f t="shared" si="102"/>
        <v>0</v>
      </c>
      <c r="R1414" s="91"/>
    </row>
    <row r="1415" spans="2:18" ht="12" customHeight="1" x14ac:dyDescent="0.3">
      <c r="B1415" s="98"/>
      <c r="C1415" s="97" t="str">
        <f t="shared" si="100"/>
        <v>Jan-00</v>
      </c>
      <c r="D1415" s="96"/>
      <c r="E1415" s="95"/>
      <c r="F1415" s="95"/>
      <c r="G1415" s="95"/>
      <c r="H1415" s="94"/>
      <c r="I1415" s="94"/>
      <c r="J1415" s="91"/>
      <c r="K1415" s="91"/>
      <c r="L1415" s="94"/>
      <c r="M1415" s="93"/>
      <c r="N1415" s="92"/>
      <c r="O1415" s="92"/>
      <c r="P1415" s="91">
        <f t="shared" si="101"/>
        <v>0</v>
      </c>
      <c r="Q1415" s="91">
        <f t="shared" si="102"/>
        <v>0</v>
      </c>
      <c r="R1415" s="91"/>
    </row>
    <row r="1416" spans="2:18" ht="12" customHeight="1" x14ac:dyDescent="0.3">
      <c r="B1416" s="98"/>
      <c r="C1416" s="97" t="str">
        <f t="shared" si="100"/>
        <v>Jan-00</v>
      </c>
      <c r="D1416" s="96"/>
      <c r="E1416" s="95"/>
      <c r="F1416" s="95"/>
      <c r="G1416" s="95"/>
      <c r="H1416" s="94"/>
      <c r="I1416" s="94"/>
      <c r="J1416" s="91"/>
      <c r="K1416" s="91"/>
      <c r="L1416" s="94"/>
      <c r="M1416" s="93"/>
      <c r="N1416" s="92"/>
      <c r="O1416" s="92"/>
      <c r="P1416" s="91">
        <f t="shared" si="101"/>
        <v>0</v>
      </c>
      <c r="Q1416" s="91">
        <f t="shared" si="102"/>
        <v>0</v>
      </c>
      <c r="R1416" s="91"/>
    </row>
    <row r="1417" spans="2:18" ht="12" customHeight="1" x14ac:dyDescent="0.3">
      <c r="B1417" s="98"/>
      <c r="C1417" s="97" t="str">
        <f t="shared" si="100"/>
        <v>Jan-00</v>
      </c>
      <c r="D1417" s="96"/>
      <c r="E1417" s="95"/>
      <c r="F1417" s="95"/>
      <c r="G1417" s="95"/>
      <c r="H1417" s="94"/>
      <c r="I1417" s="94"/>
      <c r="J1417" s="91"/>
      <c r="K1417" s="91"/>
      <c r="L1417" s="94"/>
      <c r="M1417" s="93"/>
      <c r="N1417" s="92"/>
      <c r="O1417" s="92"/>
      <c r="P1417" s="91">
        <f t="shared" si="101"/>
        <v>0</v>
      </c>
      <c r="Q1417" s="91">
        <f t="shared" si="102"/>
        <v>0</v>
      </c>
      <c r="R1417" s="91"/>
    </row>
    <row r="1418" spans="2:18" ht="12" customHeight="1" x14ac:dyDescent="0.3">
      <c r="B1418" s="98"/>
      <c r="C1418" s="97" t="str">
        <f t="shared" si="100"/>
        <v>Jan-00</v>
      </c>
      <c r="D1418" s="96"/>
      <c r="E1418" s="95"/>
      <c r="F1418" s="95"/>
      <c r="G1418" s="95"/>
      <c r="H1418" s="94"/>
      <c r="I1418" s="94"/>
      <c r="J1418" s="91"/>
      <c r="K1418" s="91"/>
      <c r="L1418" s="94"/>
      <c r="M1418" s="93"/>
      <c r="N1418" s="92"/>
      <c r="O1418" s="92"/>
      <c r="P1418" s="91">
        <f t="shared" si="101"/>
        <v>0</v>
      </c>
      <c r="Q1418" s="91">
        <f t="shared" si="102"/>
        <v>0</v>
      </c>
      <c r="R1418" s="91"/>
    </row>
    <row r="1419" spans="2:18" ht="12" customHeight="1" x14ac:dyDescent="0.3">
      <c r="B1419" s="98"/>
      <c r="C1419" s="97" t="str">
        <f t="shared" si="100"/>
        <v>Jan-00</v>
      </c>
      <c r="D1419" s="96"/>
      <c r="E1419" s="95"/>
      <c r="F1419" s="95"/>
      <c r="G1419" s="95"/>
      <c r="H1419" s="94"/>
      <c r="I1419" s="94"/>
      <c r="J1419" s="91"/>
      <c r="K1419" s="91"/>
      <c r="L1419" s="94"/>
      <c r="M1419" s="93"/>
      <c r="N1419" s="92"/>
      <c r="O1419" s="92"/>
      <c r="P1419" s="91">
        <f t="shared" si="101"/>
        <v>0</v>
      </c>
      <c r="Q1419" s="91">
        <f t="shared" si="102"/>
        <v>0</v>
      </c>
      <c r="R1419" s="91"/>
    </row>
    <row r="1420" spans="2:18" ht="12" customHeight="1" x14ac:dyDescent="0.3">
      <c r="B1420" s="98"/>
      <c r="C1420" s="97" t="str">
        <f t="shared" si="100"/>
        <v>Jan-00</v>
      </c>
      <c r="D1420" s="96"/>
      <c r="E1420" s="95"/>
      <c r="F1420" s="95"/>
      <c r="G1420" s="95"/>
      <c r="H1420" s="94"/>
      <c r="I1420" s="94"/>
      <c r="J1420" s="91"/>
      <c r="K1420" s="91"/>
      <c r="L1420" s="94"/>
      <c r="M1420" s="93"/>
      <c r="N1420" s="92"/>
      <c r="O1420" s="92"/>
      <c r="P1420" s="91">
        <f t="shared" si="101"/>
        <v>0</v>
      </c>
      <c r="Q1420" s="91">
        <f t="shared" si="102"/>
        <v>0</v>
      </c>
      <c r="R1420" s="91"/>
    </row>
    <row r="1421" spans="2:18" ht="12" customHeight="1" x14ac:dyDescent="0.3">
      <c r="B1421" s="98"/>
      <c r="C1421" s="97" t="str">
        <f t="shared" si="100"/>
        <v>Jan-00</v>
      </c>
      <c r="D1421" s="96"/>
      <c r="E1421" s="95"/>
      <c r="F1421" s="95"/>
      <c r="G1421" s="95"/>
      <c r="H1421" s="94"/>
      <c r="I1421" s="94"/>
      <c r="J1421" s="91"/>
      <c r="K1421" s="91"/>
      <c r="L1421" s="94"/>
      <c r="M1421" s="93"/>
      <c r="N1421" s="92"/>
      <c r="O1421" s="92"/>
      <c r="P1421" s="91">
        <f t="shared" si="101"/>
        <v>0</v>
      </c>
      <c r="Q1421" s="91">
        <f t="shared" si="102"/>
        <v>0</v>
      </c>
      <c r="R1421" s="91"/>
    </row>
    <row r="1422" spans="2:18" ht="12" customHeight="1" x14ac:dyDescent="0.3">
      <c r="B1422" s="98"/>
      <c r="C1422" s="97" t="str">
        <f t="shared" si="100"/>
        <v>Jan-00</v>
      </c>
      <c r="D1422" s="96"/>
      <c r="E1422" s="95"/>
      <c r="F1422" s="95"/>
      <c r="G1422" s="95"/>
      <c r="H1422" s="94"/>
      <c r="I1422" s="94"/>
      <c r="J1422" s="91"/>
      <c r="K1422" s="91"/>
      <c r="L1422" s="94"/>
      <c r="M1422" s="93"/>
      <c r="N1422" s="92"/>
      <c r="O1422" s="92"/>
      <c r="P1422" s="91">
        <f t="shared" si="101"/>
        <v>0</v>
      </c>
      <c r="Q1422" s="91">
        <f t="shared" si="102"/>
        <v>0</v>
      </c>
      <c r="R1422" s="91"/>
    </row>
    <row r="1423" spans="2:18" ht="12" customHeight="1" x14ac:dyDescent="0.3">
      <c r="B1423" s="98"/>
      <c r="C1423" s="97" t="str">
        <f t="shared" si="100"/>
        <v>Jan-00</v>
      </c>
      <c r="D1423" s="96"/>
      <c r="E1423" s="95"/>
      <c r="F1423" s="95"/>
      <c r="G1423" s="95"/>
      <c r="H1423" s="94"/>
      <c r="I1423" s="94"/>
      <c r="J1423" s="91"/>
      <c r="K1423" s="91"/>
      <c r="L1423" s="94"/>
      <c r="M1423" s="93"/>
      <c r="N1423" s="92"/>
      <c r="O1423" s="92"/>
      <c r="P1423" s="91">
        <f t="shared" si="101"/>
        <v>0</v>
      </c>
      <c r="Q1423" s="91">
        <f t="shared" si="102"/>
        <v>0</v>
      </c>
      <c r="R1423" s="91"/>
    </row>
    <row r="1424" spans="2:18" ht="12" customHeight="1" x14ac:dyDescent="0.3">
      <c r="B1424" s="98"/>
      <c r="C1424" s="97" t="str">
        <f t="shared" si="100"/>
        <v>Jan-00</v>
      </c>
      <c r="D1424" s="96"/>
      <c r="E1424" s="95"/>
      <c r="F1424" s="95"/>
      <c r="G1424" s="95"/>
      <c r="H1424" s="94"/>
      <c r="I1424" s="94"/>
      <c r="J1424" s="91"/>
      <c r="K1424" s="91"/>
      <c r="L1424" s="94"/>
      <c r="M1424" s="93"/>
      <c r="N1424" s="92"/>
      <c r="O1424" s="92"/>
      <c r="P1424" s="91">
        <f t="shared" si="101"/>
        <v>0</v>
      </c>
      <c r="Q1424" s="91">
        <f t="shared" si="102"/>
        <v>0</v>
      </c>
      <c r="R1424" s="91"/>
    </row>
    <row r="1425" spans="2:18" ht="12" customHeight="1" x14ac:dyDescent="0.3">
      <c r="B1425" s="98"/>
      <c r="C1425" s="97" t="str">
        <f t="shared" si="100"/>
        <v>Jan-00</v>
      </c>
      <c r="D1425" s="96"/>
      <c r="E1425" s="95"/>
      <c r="F1425" s="95"/>
      <c r="G1425" s="95"/>
      <c r="H1425" s="94"/>
      <c r="I1425" s="94"/>
      <c r="J1425" s="91"/>
      <c r="K1425" s="91"/>
      <c r="L1425" s="94"/>
      <c r="M1425" s="93"/>
      <c r="N1425" s="92"/>
      <c r="O1425" s="92"/>
      <c r="P1425" s="91">
        <f t="shared" si="101"/>
        <v>0</v>
      </c>
      <c r="Q1425" s="91">
        <f t="shared" si="102"/>
        <v>0</v>
      </c>
      <c r="R1425" s="91"/>
    </row>
    <row r="1426" spans="2:18" ht="12" customHeight="1" x14ac:dyDescent="0.3">
      <c r="B1426" s="98"/>
      <c r="C1426" s="97" t="str">
        <f t="shared" si="100"/>
        <v>Jan-00</v>
      </c>
      <c r="D1426" s="96"/>
      <c r="E1426" s="95"/>
      <c r="F1426" s="95"/>
      <c r="G1426" s="95"/>
      <c r="H1426" s="94"/>
      <c r="I1426" s="94"/>
      <c r="J1426" s="91"/>
      <c r="K1426" s="91"/>
      <c r="L1426" s="94"/>
      <c r="M1426" s="93"/>
      <c r="N1426" s="92"/>
      <c r="O1426" s="92"/>
      <c r="P1426" s="91">
        <f t="shared" si="101"/>
        <v>0</v>
      </c>
      <c r="Q1426" s="91">
        <f t="shared" si="102"/>
        <v>0</v>
      </c>
      <c r="R1426" s="91"/>
    </row>
    <row r="1427" spans="2:18" ht="12" customHeight="1" x14ac:dyDescent="0.3">
      <c r="B1427" s="98"/>
      <c r="C1427" s="97" t="str">
        <f t="shared" si="100"/>
        <v>Jan-00</v>
      </c>
      <c r="D1427" s="96"/>
      <c r="E1427" s="95"/>
      <c r="F1427" s="95"/>
      <c r="G1427" s="95"/>
      <c r="H1427" s="94"/>
      <c r="I1427" s="94"/>
      <c r="J1427" s="91"/>
      <c r="K1427" s="91"/>
      <c r="L1427" s="94"/>
      <c r="M1427" s="93"/>
      <c r="N1427" s="92"/>
      <c r="O1427" s="92"/>
      <c r="P1427" s="91">
        <f t="shared" si="101"/>
        <v>0</v>
      </c>
      <c r="Q1427" s="91">
        <f t="shared" si="102"/>
        <v>0</v>
      </c>
      <c r="R1427" s="91"/>
    </row>
    <row r="1428" spans="2:18" ht="12" customHeight="1" x14ac:dyDescent="0.3">
      <c r="B1428" s="98"/>
      <c r="C1428" s="97" t="str">
        <f t="shared" si="100"/>
        <v>Jan-00</v>
      </c>
      <c r="D1428" s="96"/>
      <c r="E1428" s="95"/>
      <c r="F1428" s="95"/>
      <c r="G1428" s="95"/>
      <c r="H1428" s="94"/>
      <c r="I1428" s="94"/>
      <c r="J1428" s="91"/>
      <c r="K1428" s="91"/>
      <c r="L1428" s="94"/>
      <c r="M1428" s="93"/>
      <c r="N1428" s="92"/>
      <c r="O1428" s="92"/>
      <c r="P1428" s="91">
        <f t="shared" si="101"/>
        <v>0</v>
      </c>
      <c r="Q1428" s="91">
        <f t="shared" si="102"/>
        <v>0</v>
      </c>
      <c r="R1428" s="91"/>
    </row>
    <row r="1429" spans="2:18" ht="12" customHeight="1" x14ac:dyDescent="0.3">
      <c r="B1429" s="98"/>
      <c r="C1429" s="97" t="str">
        <f t="shared" si="100"/>
        <v>Jan-00</v>
      </c>
      <c r="D1429" s="96"/>
      <c r="E1429" s="95"/>
      <c r="F1429" s="95"/>
      <c r="G1429" s="95"/>
      <c r="H1429" s="94"/>
      <c r="I1429" s="94"/>
      <c r="J1429" s="91"/>
      <c r="K1429" s="91"/>
      <c r="L1429" s="94"/>
      <c r="M1429" s="93"/>
      <c r="N1429" s="92"/>
      <c r="O1429" s="92"/>
      <c r="P1429" s="91">
        <f t="shared" si="101"/>
        <v>0</v>
      </c>
      <c r="Q1429" s="91">
        <f t="shared" si="102"/>
        <v>0</v>
      </c>
      <c r="R1429" s="91"/>
    </row>
    <row r="1430" spans="2:18" ht="12" customHeight="1" x14ac:dyDescent="0.3">
      <c r="B1430" s="98"/>
      <c r="C1430" s="97" t="str">
        <f t="shared" si="100"/>
        <v>Jan-00</v>
      </c>
      <c r="D1430" s="96"/>
      <c r="E1430" s="95"/>
      <c r="F1430" s="95"/>
      <c r="G1430" s="95"/>
      <c r="H1430" s="94"/>
      <c r="I1430" s="94"/>
      <c r="J1430" s="91"/>
      <c r="K1430" s="91"/>
      <c r="L1430" s="94"/>
      <c r="M1430" s="93"/>
      <c r="N1430" s="92"/>
      <c r="O1430" s="92"/>
      <c r="P1430" s="91">
        <f t="shared" si="101"/>
        <v>0</v>
      </c>
      <c r="Q1430" s="91">
        <f t="shared" si="102"/>
        <v>0</v>
      </c>
      <c r="R1430" s="91"/>
    </row>
    <row r="1431" spans="2:18" ht="12" customHeight="1" x14ac:dyDescent="0.3">
      <c r="B1431" s="98"/>
      <c r="C1431" s="97" t="str">
        <f t="shared" si="100"/>
        <v>Jan-00</v>
      </c>
      <c r="D1431" s="96"/>
      <c r="E1431" s="95"/>
      <c r="F1431" s="95"/>
      <c r="G1431" s="95"/>
      <c r="H1431" s="94"/>
      <c r="I1431" s="94"/>
      <c r="J1431" s="91"/>
      <c r="K1431" s="91"/>
      <c r="L1431" s="94"/>
      <c r="M1431" s="93"/>
      <c r="N1431" s="92"/>
      <c r="O1431" s="92"/>
      <c r="P1431" s="91">
        <f t="shared" si="101"/>
        <v>0</v>
      </c>
      <c r="Q1431" s="91">
        <f t="shared" si="102"/>
        <v>0</v>
      </c>
      <c r="R1431" s="91"/>
    </row>
    <row r="1432" spans="2:18" ht="12" customHeight="1" x14ac:dyDescent="0.3">
      <c r="B1432" s="98"/>
      <c r="C1432" s="97" t="str">
        <f t="shared" si="100"/>
        <v>Jan-00</v>
      </c>
      <c r="D1432" s="96"/>
      <c r="E1432" s="95"/>
      <c r="F1432" s="95"/>
      <c r="G1432" s="95"/>
      <c r="H1432" s="94"/>
      <c r="I1432" s="94"/>
      <c r="J1432" s="91"/>
      <c r="K1432" s="91"/>
      <c r="L1432" s="94"/>
      <c r="M1432" s="93"/>
      <c r="N1432" s="92"/>
      <c r="O1432" s="92"/>
      <c r="P1432" s="91">
        <f t="shared" si="101"/>
        <v>0</v>
      </c>
      <c r="Q1432" s="91">
        <f t="shared" si="102"/>
        <v>0</v>
      </c>
      <c r="R1432" s="91"/>
    </row>
    <row r="1433" spans="2:18" ht="12" customHeight="1" x14ac:dyDescent="0.3">
      <c r="B1433" s="98"/>
      <c r="C1433" s="97" t="str">
        <f t="shared" si="100"/>
        <v>Jan-00</v>
      </c>
      <c r="D1433" s="96"/>
      <c r="E1433" s="95"/>
      <c r="F1433" s="95"/>
      <c r="G1433" s="95"/>
      <c r="H1433" s="94"/>
      <c r="I1433" s="94"/>
      <c r="J1433" s="91"/>
      <c r="K1433" s="91"/>
      <c r="L1433" s="94"/>
      <c r="M1433" s="93"/>
      <c r="N1433" s="92"/>
      <c r="O1433" s="92"/>
      <c r="P1433" s="91">
        <f t="shared" si="101"/>
        <v>0</v>
      </c>
      <c r="Q1433" s="91">
        <f t="shared" si="102"/>
        <v>0</v>
      </c>
      <c r="R1433" s="91"/>
    </row>
    <row r="1434" spans="2:18" ht="12" customHeight="1" x14ac:dyDescent="0.3">
      <c r="B1434" s="98"/>
      <c r="C1434" s="97" t="str">
        <f t="shared" si="100"/>
        <v>Jan-00</v>
      </c>
      <c r="D1434" s="96"/>
      <c r="E1434" s="95"/>
      <c r="F1434" s="95"/>
      <c r="G1434" s="95"/>
      <c r="H1434" s="94"/>
      <c r="I1434" s="94"/>
      <c r="J1434" s="91"/>
      <c r="K1434" s="91"/>
      <c r="L1434" s="94"/>
      <c r="M1434" s="93"/>
      <c r="N1434" s="92"/>
      <c r="O1434" s="92"/>
      <c r="P1434" s="91">
        <f t="shared" si="101"/>
        <v>0</v>
      </c>
      <c r="Q1434" s="91">
        <f t="shared" si="102"/>
        <v>0</v>
      </c>
      <c r="R1434" s="91"/>
    </row>
    <row r="1435" spans="2:18" ht="12" customHeight="1" x14ac:dyDescent="0.3">
      <c r="B1435" s="98"/>
      <c r="C1435" s="97" t="str">
        <f t="shared" si="100"/>
        <v>Jan-00</v>
      </c>
      <c r="D1435" s="96"/>
      <c r="E1435" s="95"/>
      <c r="F1435" s="95"/>
      <c r="G1435" s="95"/>
      <c r="H1435" s="94"/>
      <c r="I1435" s="94"/>
      <c r="J1435" s="91"/>
      <c r="K1435" s="91"/>
      <c r="L1435" s="94"/>
      <c r="M1435" s="93"/>
      <c r="N1435" s="92"/>
      <c r="O1435" s="92"/>
      <c r="P1435" s="91">
        <f t="shared" si="101"/>
        <v>0</v>
      </c>
      <c r="Q1435" s="91">
        <f t="shared" si="102"/>
        <v>0</v>
      </c>
      <c r="R1435" s="91"/>
    </row>
    <row r="1436" spans="2:18" ht="12" customHeight="1" x14ac:dyDescent="0.3">
      <c r="B1436" s="98"/>
      <c r="C1436" s="97" t="str">
        <f t="shared" si="100"/>
        <v>Jan-00</v>
      </c>
      <c r="D1436" s="96"/>
      <c r="E1436" s="95"/>
      <c r="F1436" s="95"/>
      <c r="G1436" s="95"/>
      <c r="H1436" s="94"/>
      <c r="I1436" s="94"/>
      <c r="J1436" s="91"/>
      <c r="K1436" s="91"/>
      <c r="L1436" s="94"/>
      <c r="M1436" s="93"/>
      <c r="N1436" s="92"/>
      <c r="O1436" s="92"/>
      <c r="P1436" s="91">
        <f t="shared" si="101"/>
        <v>0</v>
      </c>
      <c r="Q1436" s="91">
        <f t="shared" si="102"/>
        <v>0</v>
      </c>
      <c r="R1436" s="91"/>
    </row>
    <row r="1437" spans="2:18" ht="12" customHeight="1" x14ac:dyDescent="0.3">
      <c r="B1437" s="98"/>
      <c r="C1437" s="97" t="str">
        <f t="shared" si="100"/>
        <v>Jan-00</v>
      </c>
      <c r="D1437" s="96"/>
      <c r="E1437" s="95"/>
      <c r="F1437" s="95"/>
      <c r="G1437" s="95"/>
      <c r="H1437" s="94"/>
      <c r="I1437" s="94"/>
      <c r="J1437" s="91"/>
      <c r="K1437" s="91"/>
      <c r="L1437" s="94"/>
      <c r="M1437" s="93"/>
      <c r="N1437" s="92"/>
      <c r="O1437" s="92"/>
      <c r="P1437" s="91">
        <f t="shared" si="101"/>
        <v>0</v>
      </c>
      <c r="Q1437" s="91">
        <f t="shared" si="102"/>
        <v>0</v>
      </c>
      <c r="R1437" s="91"/>
    </row>
    <row r="1438" spans="2:18" ht="12" customHeight="1" x14ac:dyDescent="0.3">
      <c r="B1438" s="98"/>
      <c r="C1438" s="97" t="str">
        <f t="shared" si="100"/>
        <v>Jan-00</v>
      </c>
      <c r="D1438" s="96"/>
      <c r="E1438" s="95"/>
      <c r="F1438" s="95"/>
      <c r="G1438" s="95"/>
      <c r="H1438" s="94"/>
      <c r="I1438" s="94"/>
      <c r="J1438" s="91"/>
      <c r="K1438" s="91"/>
      <c r="L1438" s="94"/>
      <c r="M1438" s="93"/>
      <c r="N1438" s="92"/>
      <c r="O1438" s="92"/>
      <c r="P1438" s="91">
        <f t="shared" si="101"/>
        <v>0</v>
      </c>
      <c r="Q1438" s="91">
        <f t="shared" si="102"/>
        <v>0</v>
      </c>
      <c r="R1438" s="91"/>
    </row>
    <row r="1439" spans="2:18" ht="12" customHeight="1" x14ac:dyDescent="0.3">
      <c r="B1439" s="98"/>
      <c r="C1439" s="97" t="str">
        <f t="shared" si="100"/>
        <v>Jan-00</v>
      </c>
      <c r="D1439" s="96"/>
      <c r="E1439" s="95"/>
      <c r="F1439" s="95"/>
      <c r="G1439" s="95"/>
      <c r="H1439" s="94"/>
      <c r="I1439" s="94"/>
      <c r="J1439" s="91"/>
      <c r="K1439" s="91"/>
      <c r="L1439" s="94"/>
      <c r="M1439" s="93"/>
      <c r="N1439" s="92"/>
      <c r="O1439" s="92"/>
      <c r="P1439" s="91">
        <f t="shared" si="101"/>
        <v>0</v>
      </c>
      <c r="Q1439" s="91">
        <f t="shared" si="102"/>
        <v>0</v>
      </c>
      <c r="R1439" s="91"/>
    </row>
    <row r="1440" spans="2:18" ht="12" customHeight="1" x14ac:dyDescent="0.3">
      <c r="B1440" s="98"/>
      <c r="C1440" s="97" t="str">
        <f t="shared" si="100"/>
        <v>Jan-00</v>
      </c>
      <c r="D1440" s="96"/>
      <c r="E1440" s="95"/>
      <c r="F1440" s="95"/>
      <c r="G1440" s="95"/>
      <c r="H1440" s="94"/>
      <c r="I1440" s="94"/>
      <c r="J1440" s="91"/>
      <c r="K1440" s="91"/>
      <c r="L1440" s="94"/>
      <c r="M1440" s="93"/>
      <c r="N1440" s="92"/>
      <c r="O1440" s="92"/>
      <c r="P1440" s="91">
        <f t="shared" si="101"/>
        <v>0</v>
      </c>
      <c r="Q1440" s="91">
        <f t="shared" si="102"/>
        <v>0</v>
      </c>
      <c r="R1440" s="91"/>
    </row>
    <row r="1441" spans="2:18" ht="12" customHeight="1" x14ac:dyDescent="0.3">
      <c r="B1441" s="98"/>
      <c r="C1441" s="97" t="str">
        <f t="shared" si="100"/>
        <v>Jan-00</v>
      </c>
      <c r="D1441" s="96"/>
      <c r="E1441" s="95"/>
      <c r="F1441" s="95"/>
      <c r="G1441" s="95"/>
      <c r="H1441" s="94"/>
      <c r="I1441" s="94"/>
      <c r="J1441" s="91"/>
      <c r="K1441" s="91"/>
      <c r="L1441" s="94"/>
      <c r="M1441" s="93"/>
      <c r="N1441" s="92"/>
      <c r="O1441" s="92"/>
      <c r="P1441" s="91">
        <f t="shared" si="101"/>
        <v>0</v>
      </c>
      <c r="Q1441" s="91">
        <f t="shared" si="102"/>
        <v>0</v>
      </c>
      <c r="R1441" s="91"/>
    </row>
    <row r="1442" spans="2:18" ht="12" customHeight="1" x14ac:dyDescent="0.3">
      <c r="B1442" s="98"/>
      <c r="C1442" s="97" t="str">
        <f t="shared" si="100"/>
        <v>Jan-00</v>
      </c>
      <c r="D1442" s="96"/>
      <c r="E1442" s="95"/>
      <c r="F1442" s="95"/>
      <c r="G1442" s="95"/>
      <c r="H1442" s="94"/>
      <c r="I1442" s="94"/>
      <c r="J1442" s="91"/>
      <c r="K1442" s="91"/>
      <c r="L1442" s="94"/>
      <c r="M1442" s="93"/>
      <c r="N1442" s="92"/>
      <c r="O1442" s="92"/>
      <c r="P1442" s="91">
        <f t="shared" si="101"/>
        <v>0</v>
      </c>
      <c r="Q1442" s="91">
        <f t="shared" si="102"/>
        <v>0</v>
      </c>
      <c r="R1442" s="91"/>
    </row>
    <row r="1443" spans="2:18" ht="12" customHeight="1" x14ac:dyDescent="0.3">
      <c r="B1443" s="98"/>
      <c r="C1443" s="97" t="str">
        <f t="shared" si="100"/>
        <v>Jan-00</v>
      </c>
      <c r="D1443" s="96"/>
      <c r="E1443" s="95"/>
      <c r="F1443" s="95"/>
      <c r="G1443" s="95"/>
      <c r="H1443" s="94"/>
      <c r="I1443" s="94"/>
      <c r="J1443" s="91"/>
      <c r="K1443" s="91"/>
      <c r="L1443" s="94"/>
      <c r="M1443" s="93"/>
      <c r="N1443" s="92"/>
      <c r="O1443" s="92"/>
      <c r="P1443" s="91">
        <f t="shared" si="101"/>
        <v>0</v>
      </c>
      <c r="Q1443" s="91">
        <f t="shared" si="102"/>
        <v>0</v>
      </c>
      <c r="R1443" s="91"/>
    </row>
    <row r="1444" spans="2:18" ht="12" customHeight="1" x14ac:dyDescent="0.3">
      <c r="B1444" s="98"/>
      <c r="C1444" s="97" t="str">
        <f t="shared" si="100"/>
        <v>Jan-00</v>
      </c>
      <c r="D1444" s="96"/>
      <c r="E1444" s="95"/>
      <c r="F1444" s="95"/>
      <c r="G1444" s="95"/>
      <c r="H1444" s="94"/>
      <c r="I1444" s="94"/>
      <c r="J1444" s="91"/>
      <c r="K1444" s="91"/>
      <c r="L1444" s="94"/>
      <c r="M1444" s="93"/>
      <c r="N1444" s="92"/>
      <c r="O1444" s="92"/>
      <c r="P1444" s="91">
        <f t="shared" si="101"/>
        <v>0</v>
      </c>
      <c r="Q1444" s="91">
        <f t="shared" si="102"/>
        <v>0</v>
      </c>
      <c r="R1444" s="91"/>
    </row>
    <row r="1445" spans="2:18" ht="12" customHeight="1" x14ac:dyDescent="0.3">
      <c r="B1445" s="98"/>
      <c r="C1445" s="97" t="str">
        <f t="shared" si="100"/>
        <v>Jan-00</v>
      </c>
      <c r="D1445" s="96"/>
      <c r="E1445" s="95"/>
      <c r="F1445" s="95"/>
      <c r="G1445" s="95"/>
      <c r="H1445" s="94"/>
      <c r="I1445" s="94"/>
      <c r="J1445" s="91"/>
      <c r="K1445" s="91"/>
      <c r="L1445" s="94"/>
      <c r="M1445" s="93"/>
      <c r="N1445" s="92"/>
      <c r="O1445" s="92"/>
      <c r="P1445" s="91">
        <f t="shared" si="101"/>
        <v>0</v>
      </c>
      <c r="Q1445" s="91">
        <f t="shared" si="102"/>
        <v>0</v>
      </c>
      <c r="R1445" s="91"/>
    </row>
    <row r="1446" spans="2:18" ht="12" customHeight="1" x14ac:dyDescent="0.3">
      <c r="B1446" s="98"/>
      <c r="C1446" s="97" t="str">
        <f t="shared" si="100"/>
        <v>Jan-00</v>
      </c>
      <c r="D1446" s="96"/>
      <c r="E1446" s="95"/>
      <c r="F1446" s="95"/>
      <c r="G1446" s="95"/>
      <c r="H1446" s="94"/>
      <c r="I1446" s="94"/>
      <c r="J1446" s="91"/>
      <c r="K1446" s="91"/>
      <c r="L1446" s="94"/>
      <c r="M1446" s="93"/>
      <c r="N1446" s="92"/>
      <c r="O1446" s="92"/>
      <c r="P1446" s="91">
        <f t="shared" si="101"/>
        <v>0</v>
      </c>
      <c r="Q1446" s="91">
        <f t="shared" si="102"/>
        <v>0</v>
      </c>
      <c r="R1446" s="91"/>
    </row>
    <row r="1447" spans="2:18" ht="12" customHeight="1" x14ac:dyDescent="0.3">
      <c r="B1447" s="98"/>
      <c r="C1447" s="97" t="str">
        <f t="shared" si="100"/>
        <v>Jan-00</v>
      </c>
      <c r="D1447" s="96"/>
      <c r="E1447" s="95"/>
      <c r="F1447" s="95"/>
      <c r="G1447" s="95"/>
      <c r="H1447" s="94"/>
      <c r="I1447" s="94"/>
      <c r="J1447" s="91"/>
      <c r="K1447" s="91"/>
      <c r="L1447" s="94"/>
      <c r="M1447" s="93"/>
      <c r="N1447" s="92"/>
      <c r="O1447" s="92"/>
      <c r="P1447" s="91">
        <f t="shared" si="101"/>
        <v>0</v>
      </c>
      <c r="Q1447" s="91">
        <f t="shared" si="102"/>
        <v>0</v>
      </c>
      <c r="R1447" s="91"/>
    </row>
    <row r="1448" spans="2:18" ht="12" customHeight="1" x14ac:dyDescent="0.3">
      <c r="B1448" s="98"/>
      <c r="C1448" s="97" t="str">
        <f t="shared" si="100"/>
        <v>Jan-00</v>
      </c>
      <c r="D1448" s="96"/>
      <c r="E1448" s="95"/>
      <c r="F1448" s="95"/>
      <c r="G1448" s="95"/>
      <c r="H1448" s="94"/>
      <c r="I1448" s="94"/>
      <c r="J1448" s="91"/>
      <c r="K1448" s="91"/>
      <c r="L1448" s="94"/>
      <c r="M1448" s="93"/>
      <c r="N1448" s="92"/>
      <c r="O1448" s="92"/>
      <c r="P1448" s="91">
        <f t="shared" si="101"/>
        <v>0</v>
      </c>
      <c r="Q1448" s="91">
        <f t="shared" si="102"/>
        <v>0</v>
      </c>
      <c r="R1448" s="91"/>
    </row>
    <row r="1449" spans="2:18" ht="12" customHeight="1" x14ac:dyDescent="0.3">
      <c r="B1449" s="98"/>
      <c r="C1449" s="97" t="str">
        <f t="shared" si="100"/>
        <v>Jan-00</v>
      </c>
      <c r="D1449" s="96"/>
      <c r="E1449" s="95"/>
      <c r="F1449" s="95"/>
      <c r="G1449" s="95"/>
      <c r="H1449" s="94"/>
      <c r="I1449" s="94"/>
      <c r="J1449" s="91"/>
      <c r="K1449" s="91"/>
      <c r="L1449" s="94"/>
      <c r="M1449" s="93"/>
      <c r="N1449" s="92"/>
      <c r="O1449" s="92"/>
      <c r="P1449" s="91">
        <f t="shared" si="101"/>
        <v>0</v>
      </c>
      <c r="Q1449" s="91">
        <f t="shared" si="102"/>
        <v>0</v>
      </c>
      <c r="R1449" s="91"/>
    </row>
    <row r="1450" spans="2:18" ht="12" customHeight="1" x14ac:dyDescent="0.3">
      <c r="B1450" s="98"/>
      <c r="C1450" s="97" t="str">
        <f t="shared" si="100"/>
        <v>Jan-00</v>
      </c>
      <c r="D1450" s="96"/>
      <c r="E1450" s="95"/>
      <c r="F1450" s="95"/>
      <c r="G1450" s="95"/>
      <c r="H1450" s="94"/>
      <c r="I1450" s="94"/>
      <c r="J1450" s="91"/>
      <c r="K1450" s="91"/>
      <c r="L1450" s="94"/>
      <c r="M1450" s="93"/>
      <c r="N1450" s="92"/>
      <c r="O1450" s="92"/>
      <c r="P1450" s="91">
        <f t="shared" si="101"/>
        <v>0</v>
      </c>
      <c r="Q1450" s="91">
        <f t="shared" si="102"/>
        <v>0</v>
      </c>
      <c r="R1450" s="91"/>
    </row>
    <row r="1451" spans="2:18" ht="12" customHeight="1" x14ac:dyDescent="0.3">
      <c r="B1451" s="98"/>
      <c r="C1451" s="97" t="str">
        <f t="shared" si="100"/>
        <v>Jan-00</v>
      </c>
      <c r="D1451" s="96"/>
      <c r="E1451" s="95"/>
      <c r="F1451" s="95"/>
      <c r="G1451" s="95"/>
      <c r="H1451" s="94"/>
      <c r="I1451" s="94"/>
      <c r="J1451" s="91"/>
      <c r="K1451" s="91"/>
      <c r="L1451" s="94"/>
      <c r="M1451" s="93"/>
      <c r="N1451" s="92"/>
      <c r="O1451" s="92"/>
      <c r="P1451" s="91">
        <f t="shared" si="101"/>
        <v>0</v>
      </c>
      <c r="Q1451" s="91">
        <f t="shared" si="102"/>
        <v>0</v>
      </c>
      <c r="R1451" s="91"/>
    </row>
    <row r="1452" spans="2:18" ht="12" customHeight="1" x14ac:dyDescent="0.3">
      <c r="B1452" s="98"/>
      <c r="C1452" s="97" t="str">
        <f t="shared" si="100"/>
        <v>Jan-00</v>
      </c>
      <c r="D1452" s="96"/>
      <c r="E1452" s="95"/>
      <c r="F1452" s="95"/>
      <c r="G1452" s="95"/>
      <c r="H1452" s="94"/>
      <c r="I1452" s="94"/>
      <c r="J1452" s="91"/>
      <c r="K1452" s="91"/>
      <c r="L1452" s="94"/>
      <c r="M1452" s="93"/>
      <c r="N1452" s="92"/>
      <c r="O1452" s="92"/>
      <c r="P1452" s="91">
        <f t="shared" si="101"/>
        <v>0</v>
      </c>
      <c r="Q1452" s="91">
        <f t="shared" si="102"/>
        <v>0</v>
      </c>
      <c r="R1452" s="91"/>
    </row>
    <row r="1453" spans="2:18" ht="12" customHeight="1" x14ac:dyDescent="0.3">
      <c r="B1453" s="98"/>
      <c r="C1453" s="97" t="str">
        <f t="shared" si="100"/>
        <v>Jan-00</v>
      </c>
      <c r="D1453" s="96"/>
      <c r="E1453" s="95"/>
      <c r="F1453" s="95"/>
      <c r="G1453" s="95"/>
      <c r="H1453" s="94"/>
      <c r="I1453" s="94"/>
      <c r="J1453" s="91"/>
      <c r="K1453" s="91"/>
      <c r="L1453" s="94"/>
      <c r="M1453" s="93"/>
      <c r="N1453" s="92"/>
      <c r="O1453" s="92"/>
      <c r="P1453" s="91">
        <f t="shared" si="101"/>
        <v>0</v>
      </c>
      <c r="Q1453" s="91">
        <f t="shared" si="102"/>
        <v>0</v>
      </c>
      <c r="R1453" s="91"/>
    </row>
    <row r="1454" spans="2:18" ht="12" customHeight="1" x14ac:dyDescent="0.3">
      <c r="B1454" s="98"/>
      <c r="C1454" s="97" t="str">
        <f t="shared" si="100"/>
        <v>Jan-00</v>
      </c>
      <c r="D1454" s="96"/>
      <c r="E1454" s="95"/>
      <c r="F1454" s="95"/>
      <c r="G1454" s="95"/>
      <c r="H1454" s="94"/>
      <c r="I1454" s="94"/>
      <c r="J1454" s="91"/>
      <c r="K1454" s="91"/>
      <c r="L1454" s="94"/>
      <c r="M1454" s="93"/>
      <c r="N1454" s="92"/>
      <c r="O1454" s="92"/>
      <c r="P1454" s="91">
        <f t="shared" si="101"/>
        <v>0</v>
      </c>
      <c r="Q1454" s="91">
        <f t="shared" si="102"/>
        <v>0</v>
      </c>
      <c r="R1454" s="91"/>
    </row>
    <row r="1455" spans="2:18" ht="12" customHeight="1" x14ac:dyDescent="0.3">
      <c r="B1455" s="98"/>
      <c r="C1455" s="97" t="str">
        <f t="shared" si="100"/>
        <v>Jan-00</v>
      </c>
      <c r="D1455" s="96"/>
      <c r="E1455" s="95"/>
      <c r="F1455" s="95"/>
      <c r="G1455" s="95"/>
      <c r="H1455" s="94"/>
      <c r="I1455" s="94"/>
      <c r="J1455" s="91"/>
      <c r="K1455" s="91"/>
      <c r="L1455" s="94"/>
      <c r="M1455" s="93"/>
      <c r="N1455" s="92"/>
      <c r="O1455" s="92"/>
      <c r="P1455" s="91">
        <f t="shared" si="101"/>
        <v>0</v>
      </c>
      <c r="Q1455" s="91">
        <f t="shared" si="102"/>
        <v>0</v>
      </c>
      <c r="R1455" s="91"/>
    </row>
    <row r="1456" spans="2:18" ht="12" customHeight="1" x14ac:dyDescent="0.3">
      <c r="B1456" s="98"/>
      <c r="C1456" s="97" t="str">
        <f t="shared" si="100"/>
        <v>Jan-00</v>
      </c>
      <c r="D1456" s="96"/>
      <c r="E1456" s="95"/>
      <c r="F1456" s="95"/>
      <c r="G1456" s="95"/>
      <c r="H1456" s="94"/>
      <c r="I1456" s="94"/>
      <c r="J1456" s="91"/>
      <c r="K1456" s="91"/>
      <c r="L1456" s="94"/>
      <c r="M1456" s="93"/>
      <c r="N1456" s="92"/>
      <c r="O1456" s="92"/>
      <c r="P1456" s="91">
        <f t="shared" si="101"/>
        <v>0</v>
      </c>
      <c r="Q1456" s="91">
        <f t="shared" si="102"/>
        <v>0</v>
      </c>
      <c r="R1456" s="91"/>
    </row>
    <row r="1457" spans="2:18" ht="12" customHeight="1" x14ac:dyDescent="0.3">
      <c r="B1457" s="98"/>
      <c r="C1457" s="97" t="str">
        <f t="shared" si="100"/>
        <v>Jan-00</v>
      </c>
      <c r="D1457" s="96"/>
      <c r="E1457" s="95"/>
      <c r="F1457" s="95"/>
      <c r="G1457" s="95"/>
      <c r="H1457" s="94"/>
      <c r="I1457" s="94"/>
      <c r="J1457" s="91"/>
      <c r="K1457" s="91"/>
      <c r="L1457" s="94"/>
      <c r="M1457" s="93"/>
      <c r="N1457" s="92"/>
      <c r="O1457" s="92"/>
      <c r="P1457" s="91">
        <f t="shared" si="101"/>
        <v>0</v>
      </c>
      <c r="Q1457" s="91">
        <f t="shared" si="102"/>
        <v>0</v>
      </c>
      <c r="R1457" s="91"/>
    </row>
    <row r="1458" spans="2:18" ht="12" customHeight="1" x14ac:dyDescent="0.3">
      <c r="B1458" s="98"/>
      <c r="C1458" s="97" t="str">
        <f t="shared" si="100"/>
        <v>Jan-00</v>
      </c>
      <c r="D1458" s="96"/>
      <c r="E1458" s="95"/>
      <c r="F1458" s="95"/>
      <c r="G1458" s="95"/>
      <c r="H1458" s="94"/>
      <c r="I1458" s="94"/>
      <c r="J1458" s="91"/>
      <c r="K1458" s="91"/>
      <c r="L1458" s="94"/>
      <c r="M1458" s="93"/>
      <c r="N1458" s="92"/>
      <c r="O1458" s="92"/>
      <c r="P1458" s="91">
        <f t="shared" si="101"/>
        <v>0</v>
      </c>
      <c r="Q1458" s="91">
        <f t="shared" si="102"/>
        <v>0</v>
      </c>
      <c r="R1458" s="91"/>
    </row>
    <row r="1459" spans="2:18" ht="12" customHeight="1" x14ac:dyDescent="0.3">
      <c r="B1459" s="98"/>
      <c r="C1459" s="97" t="str">
        <f t="shared" si="100"/>
        <v>Jan-00</v>
      </c>
      <c r="D1459" s="96"/>
      <c r="E1459" s="95"/>
      <c r="F1459" s="95"/>
      <c r="G1459" s="95"/>
      <c r="H1459" s="94"/>
      <c r="I1459" s="94"/>
      <c r="J1459" s="91"/>
      <c r="K1459" s="91"/>
      <c r="L1459" s="94"/>
      <c r="M1459" s="93"/>
      <c r="N1459" s="92"/>
      <c r="O1459" s="92"/>
      <c r="P1459" s="91">
        <f t="shared" si="101"/>
        <v>0</v>
      </c>
      <c r="Q1459" s="91">
        <f t="shared" si="102"/>
        <v>0</v>
      </c>
      <c r="R1459" s="91"/>
    </row>
    <row r="1460" spans="2:18" ht="12" customHeight="1" x14ac:dyDescent="0.3">
      <c r="B1460" s="98"/>
      <c r="C1460" s="97" t="str">
        <f t="shared" si="100"/>
        <v>Jan-00</v>
      </c>
      <c r="D1460" s="96"/>
      <c r="E1460" s="95"/>
      <c r="F1460" s="95"/>
      <c r="G1460" s="95"/>
      <c r="H1460" s="94"/>
      <c r="I1460" s="94"/>
      <c r="J1460" s="91"/>
      <c r="K1460" s="91"/>
      <c r="L1460" s="94"/>
      <c r="M1460" s="93"/>
      <c r="N1460" s="92"/>
      <c r="O1460" s="92"/>
      <c r="P1460" s="91">
        <f t="shared" si="101"/>
        <v>0</v>
      </c>
      <c r="Q1460" s="91">
        <f t="shared" si="102"/>
        <v>0</v>
      </c>
      <c r="R1460" s="91"/>
    </row>
    <row r="1461" spans="2:18" ht="12" customHeight="1" x14ac:dyDescent="0.3">
      <c r="B1461" s="98"/>
      <c r="C1461" s="97" t="str">
        <f t="shared" si="100"/>
        <v>Jan-00</v>
      </c>
      <c r="D1461" s="96"/>
      <c r="E1461" s="95"/>
      <c r="F1461" s="95"/>
      <c r="G1461" s="95"/>
      <c r="H1461" s="94"/>
      <c r="I1461" s="94"/>
      <c r="J1461" s="91"/>
      <c r="K1461" s="91"/>
      <c r="L1461" s="94"/>
      <c r="M1461" s="93"/>
      <c r="N1461" s="92"/>
      <c r="O1461" s="92"/>
      <c r="P1461" s="91">
        <f t="shared" si="101"/>
        <v>0</v>
      </c>
      <c r="Q1461" s="91">
        <f t="shared" si="102"/>
        <v>0</v>
      </c>
      <c r="R1461" s="91"/>
    </row>
    <row r="1462" spans="2:18" ht="12" customHeight="1" x14ac:dyDescent="0.3">
      <c r="B1462" s="98"/>
      <c r="C1462" s="97" t="str">
        <f t="shared" si="100"/>
        <v>Jan-00</v>
      </c>
      <c r="D1462" s="96"/>
      <c r="E1462" s="95"/>
      <c r="F1462" s="95"/>
      <c r="G1462" s="95"/>
      <c r="H1462" s="94"/>
      <c r="I1462" s="94"/>
      <c r="J1462" s="91"/>
      <c r="K1462" s="91"/>
      <c r="L1462" s="94"/>
      <c r="M1462" s="93"/>
      <c r="N1462" s="92"/>
      <c r="O1462" s="92"/>
      <c r="P1462" s="91">
        <f t="shared" si="101"/>
        <v>0</v>
      </c>
      <c r="Q1462" s="91">
        <f t="shared" si="102"/>
        <v>0</v>
      </c>
      <c r="R1462" s="91"/>
    </row>
    <row r="1463" spans="2:18" ht="12" customHeight="1" x14ac:dyDescent="0.3">
      <c r="B1463" s="98"/>
      <c r="C1463" s="97" t="str">
        <f t="shared" si="100"/>
        <v>Jan-00</v>
      </c>
      <c r="D1463" s="96"/>
      <c r="E1463" s="95"/>
      <c r="F1463" s="95"/>
      <c r="G1463" s="95"/>
      <c r="H1463" s="94"/>
      <c r="I1463" s="94"/>
      <c r="J1463" s="91"/>
      <c r="K1463" s="91"/>
      <c r="L1463" s="94"/>
      <c r="M1463" s="93"/>
      <c r="N1463" s="92"/>
      <c r="O1463" s="92"/>
      <c r="P1463" s="91">
        <f t="shared" si="101"/>
        <v>0</v>
      </c>
      <c r="Q1463" s="91">
        <f t="shared" si="102"/>
        <v>0</v>
      </c>
      <c r="R1463" s="91"/>
    </row>
    <row r="1464" spans="2:18" ht="12" customHeight="1" x14ac:dyDescent="0.3">
      <c r="B1464" s="98"/>
      <c r="C1464" s="97" t="str">
        <f t="shared" si="100"/>
        <v>Jan-00</v>
      </c>
      <c r="D1464" s="96"/>
      <c r="E1464" s="95"/>
      <c r="F1464" s="95"/>
      <c r="G1464" s="95"/>
      <c r="H1464" s="94"/>
      <c r="I1464" s="94"/>
      <c r="J1464" s="91"/>
      <c r="K1464" s="91"/>
      <c r="L1464" s="94"/>
      <c r="M1464" s="93"/>
      <c r="N1464" s="92"/>
      <c r="O1464" s="92"/>
      <c r="P1464" s="91">
        <f t="shared" si="101"/>
        <v>0</v>
      </c>
      <c r="Q1464" s="91">
        <f t="shared" si="102"/>
        <v>0</v>
      </c>
      <c r="R1464" s="91"/>
    </row>
    <row r="1465" spans="2:18" ht="12" customHeight="1" x14ac:dyDescent="0.3">
      <c r="B1465" s="98"/>
      <c r="C1465" s="97" t="str">
        <f t="shared" si="100"/>
        <v>Jan-00</v>
      </c>
      <c r="D1465" s="96"/>
      <c r="E1465" s="95"/>
      <c r="F1465" s="95"/>
      <c r="G1465" s="95"/>
      <c r="H1465" s="94"/>
      <c r="I1465" s="94"/>
      <c r="J1465" s="91"/>
      <c r="K1465" s="91"/>
      <c r="L1465" s="94"/>
      <c r="M1465" s="93"/>
      <c r="N1465" s="92"/>
      <c r="O1465" s="92"/>
      <c r="P1465" s="91">
        <f t="shared" si="101"/>
        <v>0</v>
      </c>
      <c r="Q1465" s="91">
        <f t="shared" si="102"/>
        <v>0</v>
      </c>
      <c r="R1465" s="91"/>
    </row>
    <row r="1466" spans="2:18" ht="12" customHeight="1" x14ac:dyDescent="0.3">
      <c r="B1466" s="98"/>
      <c r="C1466" s="97" t="str">
        <f t="shared" si="100"/>
        <v>Jan-00</v>
      </c>
      <c r="D1466" s="96"/>
      <c r="E1466" s="95"/>
      <c r="F1466" s="95"/>
      <c r="G1466" s="95"/>
      <c r="H1466" s="94"/>
      <c r="I1466" s="94"/>
      <c r="J1466" s="91"/>
      <c r="K1466" s="91"/>
      <c r="L1466" s="94"/>
      <c r="M1466" s="93"/>
      <c r="N1466" s="92"/>
      <c r="O1466" s="92"/>
      <c r="P1466" s="91">
        <f t="shared" si="101"/>
        <v>0</v>
      </c>
      <c r="Q1466" s="91">
        <f t="shared" si="102"/>
        <v>0</v>
      </c>
      <c r="R1466" s="91"/>
    </row>
    <row r="1467" spans="2:18" ht="12" customHeight="1" x14ac:dyDescent="0.3">
      <c r="B1467" s="98"/>
      <c r="C1467" s="97" t="str">
        <f t="shared" si="100"/>
        <v>Jan-00</v>
      </c>
      <c r="D1467" s="96"/>
      <c r="E1467" s="95"/>
      <c r="F1467" s="95"/>
      <c r="G1467" s="95"/>
      <c r="H1467" s="94"/>
      <c r="I1467" s="94"/>
      <c r="J1467" s="91"/>
      <c r="K1467" s="91"/>
      <c r="L1467" s="94"/>
      <c r="M1467" s="93"/>
      <c r="N1467" s="92"/>
      <c r="O1467" s="92"/>
      <c r="P1467" s="91">
        <f t="shared" si="101"/>
        <v>0</v>
      </c>
      <c r="Q1467" s="91">
        <f t="shared" si="102"/>
        <v>0</v>
      </c>
      <c r="R1467" s="91"/>
    </row>
    <row r="1468" spans="2:18" ht="12" customHeight="1" x14ac:dyDescent="0.3">
      <c r="B1468" s="98"/>
      <c r="C1468" s="97" t="str">
        <f t="shared" si="100"/>
        <v>Jan-00</v>
      </c>
      <c r="D1468" s="96"/>
      <c r="E1468" s="95"/>
      <c r="F1468" s="95"/>
      <c r="G1468" s="95"/>
      <c r="H1468" s="94"/>
      <c r="I1468" s="94"/>
      <c r="J1468" s="91"/>
      <c r="K1468" s="91"/>
      <c r="L1468" s="94"/>
      <c r="M1468" s="93"/>
      <c r="N1468" s="92"/>
      <c r="O1468" s="92"/>
      <c r="P1468" s="91">
        <f t="shared" si="101"/>
        <v>0</v>
      </c>
      <c r="Q1468" s="91">
        <f t="shared" si="102"/>
        <v>0</v>
      </c>
      <c r="R1468" s="91"/>
    </row>
    <row r="1469" spans="2:18" ht="12" customHeight="1" x14ac:dyDescent="0.3">
      <c r="B1469" s="98"/>
      <c r="C1469" s="97" t="str">
        <f t="shared" si="100"/>
        <v>Jan-00</v>
      </c>
      <c r="D1469" s="96"/>
      <c r="E1469" s="95"/>
      <c r="F1469" s="95"/>
      <c r="G1469" s="95"/>
      <c r="H1469" s="94"/>
      <c r="I1469" s="94"/>
      <c r="J1469" s="91"/>
      <c r="K1469" s="91"/>
      <c r="L1469" s="94"/>
      <c r="M1469" s="93"/>
      <c r="N1469" s="92"/>
      <c r="O1469" s="92"/>
      <c r="P1469" s="91">
        <f t="shared" si="101"/>
        <v>0</v>
      </c>
      <c r="Q1469" s="91">
        <f t="shared" si="102"/>
        <v>0</v>
      </c>
      <c r="R1469" s="91"/>
    </row>
    <row r="1470" spans="2:18" ht="12" customHeight="1" x14ac:dyDescent="0.3">
      <c r="B1470" s="98"/>
      <c r="C1470" s="97" t="str">
        <f t="shared" si="100"/>
        <v>Jan-00</v>
      </c>
      <c r="D1470" s="96"/>
      <c r="E1470" s="95"/>
      <c r="F1470" s="95"/>
      <c r="G1470" s="95"/>
      <c r="H1470" s="94"/>
      <c r="I1470" s="94"/>
      <c r="J1470" s="91"/>
      <c r="K1470" s="91"/>
      <c r="L1470" s="94"/>
      <c r="M1470" s="93"/>
      <c r="N1470" s="92"/>
      <c r="O1470" s="92"/>
      <c r="P1470" s="91">
        <f t="shared" si="101"/>
        <v>0</v>
      </c>
      <c r="Q1470" s="91">
        <f t="shared" si="102"/>
        <v>0</v>
      </c>
      <c r="R1470" s="91"/>
    </row>
    <row r="1471" spans="2:18" ht="12" customHeight="1" x14ac:dyDescent="0.3">
      <c r="B1471" s="98"/>
      <c r="C1471" s="97" t="str">
        <f t="shared" si="100"/>
        <v>Jan-00</v>
      </c>
      <c r="D1471" s="96"/>
      <c r="E1471" s="95"/>
      <c r="F1471" s="95"/>
      <c r="G1471" s="95"/>
      <c r="H1471" s="94"/>
      <c r="I1471" s="94"/>
      <c r="J1471" s="91"/>
      <c r="K1471" s="91"/>
      <c r="L1471" s="94"/>
      <c r="M1471" s="93"/>
      <c r="N1471" s="92"/>
      <c r="O1471" s="92"/>
      <c r="P1471" s="91">
        <f t="shared" si="101"/>
        <v>0</v>
      </c>
      <c r="Q1471" s="91">
        <f t="shared" si="102"/>
        <v>0</v>
      </c>
      <c r="R1471" s="91"/>
    </row>
    <row r="1472" spans="2:18" ht="12" customHeight="1" x14ac:dyDescent="0.3">
      <c r="B1472" s="98"/>
      <c r="C1472" s="97" t="str">
        <f t="shared" si="100"/>
        <v>Jan-00</v>
      </c>
      <c r="D1472" s="96"/>
      <c r="E1472" s="95"/>
      <c r="F1472" s="95"/>
      <c r="G1472" s="95"/>
      <c r="H1472" s="94"/>
      <c r="I1472" s="94"/>
      <c r="J1472" s="91"/>
      <c r="K1472" s="91"/>
      <c r="L1472" s="94"/>
      <c r="M1472" s="93"/>
      <c r="N1472" s="92"/>
      <c r="O1472" s="92"/>
      <c r="P1472" s="91">
        <f t="shared" si="101"/>
        <v>0</v>
      </c>
      <c r="Q1472" s="91">
        <f t="shared" si="102"/>
        <v>0</v>
      </c>
      <c r="R1472" s="91"/>
    </row>
    <row r="1473" spans="2:18" ht="12" customHeight="1" x14ac:dyDescent="0.3">
      <c r="B1473" s="98"/>
      <c r="C1473" s="97" t="str">
        <f t="shared" si="100"/>
        <v>Jan-00</v>
      </c>
      <c r="D1473" s="96"/>
      <c r="E1473" s="95"/>
      <c r="F1473" s="95"/>
      <c r="G1473" s="95"/>
      <c r="H1473" s="94"/>
      <c r="I1473" s="94"/>
      <c r="J1473" s="91"/>
      <c r="K1473" s="91"/>
      <c r="L1473" s="94"/>
      <c r="M1473" s="93"/>
      <c r="N1473" s="92"/>
      <c r="O1473" s="92"/>
      <c r="P1473" s="91">
        <f t="shared" si="101"/>
        <v>0</v>
      </c>
      <c r="Q1473" s="91">
        <f t="shared" si="102"/>
        <v>0</v>
      </c>
      <c r="R1473" s="91"/>
    </row>
    <row r="1474" spans="2:18" ht="12" customHeight="1" x14ac:dyDescent="0.3">
      <c r="B1474" s="98"/>
      <c r="C1474" s="97" t="str">
        <f t="shared" si="100"/>
        <v>Jan-00</v>
      </c>
      <c r="D1474" s="96"/>
      <c r="E1474" s="95"/>
      <c r="F1474" s="95"/>
      <c r="G1474" s="95"/>
      <c r="H1474" s="94"/>
      <c r="I1474" s="94"/>
      <c r="J1474" s="91"/>
      <c r="K1474" s="91"/>
      <c r="L1474" s="94"/>
      <c r="M1474" s="93"/>
      <c r="N1474" s="92"/>
      <c r="O1474" s="92"/>
      <c r="P1474" s="91">
        <f t="shared" si="101"/>
        <v>0</v>
      </c>
      <c r="Q1474" s="91">
        <f t="shared" si="102"/>
        <v>0</v>
      </c>
      <c r="R1474" s="91"/>
    </row>
    <row r="1475" spans="2:18" ht="12" customHeight="1" x14ac:dyDescent="0.3">
      <c r="B1475" s="98"/>
      <c r="C1475" s="97" t="str">
        <f t="shared" si="100"/>
        <v>Jan-00</v>
      </c>
      <c r="D1475" s="96"/>
      <c r="E1475" s="95"/>
      <c r="F1475" s="95"/>
      <c r="G1475" s="95"/>
      <c r="H1475" s="94"/>
      <c r="I1475" s="94"/>
      <c r="J1475" s="91"/>
      <c r="K1475" s="91"/>
      <c r="L1475" s="94"/>
      <c r="M1475" s="93"/>
      <c r="N1475" s="92"/>
      <c r="O1475" s="92"/>
      <c r="P1475" s="91">
        <f t="shared" si="101"/>
        <v>0</v>
      </c>
      <c r="Q1475" s="91">
        <f t="shared" si="102"/>
        <v>0</v>
      </c>
      <c r="R1475" s="91"/>
    </row>
    <row r="1476" spans="2:18" ht="12" customHeight="1" x14ac:dyDescent="0.3">
      <c r="B1476" s="98"/>
      <c r="C1476" s="97" t="str">
        <f t="shared" ref="C1476:C1539" si="103">CONCATENATE(TEXT(D1476,"mmm"),"-",TEXT(D1476,"yy"))</f>
        <v>Jan-00</v>
      </c>
      <c r="D1476" s="96"/>
      <c r="E1476" s="95"/>
      <c r="F1476" s="95"/>
      <c r="G1476" s="95"/>
      <c r="H1476" s="94"/>
      <c r="I1476" s="94"/>
      <c r="J1476" s="91"/>
      <c r="K1476" s="91"/>
      <c r="L1476" s="94"/>
      <c r="M1476" s="93"/>
      <c r="N1476" s="92"/>
      <c r="O1476" s="92"/>
      <c r="P1476" s="91">
        <f t="shared" ref="P1476:P1539" si="104">O1476*1%</f>
        <v>0</v>
      </c>
      <c r="Q1476" s="91">
        <f t="shared" ref="Q1476:Q1539" si="105">O1476-P1476</f>
        <v>0</v>
      </c>
      <c r="R1476" s="91"/>
    </row>
    <row r="1477" spans="2:18" ht="12" customHeight="1" x14ac:dyDescent="0.3">
      <c r="B1477" s="98"/>
      <c r="C1477" s="97" t="str">
        <f t="shared" si="103"/>
        <v>Jan-00</v>
      </c>
      <c r="D1477" s="96"/>
      <c r="E1477" s="95"/>
      <c r="F1477" s="95"/>
      <c r="G1477" s="95"/>
      <c r="H1477" s="94"/>
      <c r="I1477" s="94"/>
      <c r="J1477" s="91"/>
      <c r="K1477" s="91"/>
      <c r="L1477" s="94"/>
      <c r="M1477" s="93"/>
      <c r="N1477" s="92"/>
      <c r="O1477" s="92"/>
      <c r="P1477" s="91">
        <f t="shared" si="104"/>
        <v>0</v>
      </c>
      <c r="Q1477" s="91">
        <f t="shared" si="105"/>
        <v>0</v>
      </c>
      <c r="R1477" s="91"/>
    </row>
    <row r="1478" spans="2:18" ht="12" customHeight="1" x14ac:dyDescent="0.3">
      <c r="B1478" s="98"/>
      <c r="C1478" s="97" t="str">
        <f t="shared" si="103"/>
        <v>Jan-00</v>
      </c>
      <c r="D1478" s="96"/>
      <c r="E1478" s="95"/>
      <c r="F1478" s="95"/>
      <c r="G1478" s="95"/>
      <c r="H1478" s="94"/>
      <c r="I1478" s="94"/>
      <c r="J1478" s="91"/>
      <c r="K1478" s="91"/>
      <c r="L1478" s="94"/>
      <c r="M1478" s="93"/>
      <c r="N1478" s="92"/>
      <c r="O1478" s="92"/>
      <c r="P1478" s="91">
        <f t="shared" si="104"/>
        <v>0</v>
      </c>
      <c r="Q1478" s="91">
        <f t="shared" si="105"/>
        <v>0</v>
      </c>
      <c r="R1478" s="91"/>
    </row>
    <row r="1479" spans="2:18" ht="12" customHeight="1" x14ac:dyDescent="0.3">
      <c r="B1479" s="98"/>
      <c r="C1479" s="97" t="str">
        <f t="shared" si="103"/>
        <v>Jan-00</v>
      </c>
      <c r="D1479" s="96"/>
      <c r="E1479" s="95"/>
      <c r="F1479" s="95"/>
      <c r="G1479" s="95"/>
      <c r="H1479" s="94"/>
      <c r="I1479" s="94"/>
      <c r="J1479" s="91"/>
      <c r="K1479" s="91"/>
      <c r="L1479" s="94"/>
      <c r="M1479" s="93"/>
      <c r="N1479" s="92"/>
      <c r="O1479" s="92"/>
      <c r="P1479" s="91">
        <f t="shared" si="104"/>
        <v>0</v>
      </c>
      <c r="Q1479" s="91">
        <f t="shared" si="105"/>
        <v>0</v>
      </c>
      <c r="R1479" s="91"/>
    </row>
    <row r="1480" spans="2:18" ht="12" customHeight="1" x14ac:dyDescent="0.3">
      <c r="B1480" s="98"/>
      <c r="C1480" s="97" t="str">
        <f t="shared" si="103"/>
        <v>Jan-00</v>
      </c>
      <c r="D1480" s="96"/>
      <c r="E1480" s="95"/>
      <c r="F1480" s="95"/>
      <c r="G1480" s="95"/>
      <c r="H1480" s="94"/>
      <c r="I1480" s="94"/>
      <c r="J1480" s="91"/>
      <c r="K1480" s="91"/>
      <c r="L1480" s="94"/>
      <c r="M1480" s="93"/>
      <c r="N1480" s="92"/>
      <c r="O1480" s="92"/>
      <c r="P1480" s="91">
        <f t="shared" si="104"/>
        <v>0</v>
      </c>
      <c r="Q1480" s="91">
        <f t="shared" si="105"/>
        <v>0</v>
      </c>
      <c r="R1480" s="91"/>
    </row>
    <row r="1481" spans="2:18" ht="12" customHeight="1" x14ac:dyDescent="0.3">
      <c r="B1481" s="98"/>
      <c r="C1481" s="97" t="str">
        <f t="shared" si="103"/>
        <v>Jan-00</v>
      </c>
      <c r="D1481" s="96"/>
      <c r="E1481" s="95"/>
      <c r="F1481" s="95"/>
      <c r="G1481" s="95"/>
      <c r="H1481" s="94"/>
      <c r="I1481" s="94"/>
      <c r="J1481" s="91"/>
      <c r="K1481" s="91"/>
      <c r="L1481" s="94"/>
      <c r="M1481" s="93"/>
      <c r="N1481" s="92"/>
      <c r="O1481" s="92"/>
      <c r="P1481" s="91">
        <f t="shared" si="104"/>
        <v>0</v>
      </c>
      <c r="Q1481" s="91">
        <f t="shared" si="105"/>
        <v>0</v>
      </c>
      <c r="R1481" s="91"/>
    </row>
    <row r="1482" spans="2:18" ht="12" customHeight="1" x14ac:dyDescent="0.3">
      <c r="B1482" s="98"/>
      <c r="C1482" s="97" t="str">
        <f t="shared" si="103"/>
        <v>Jan-00</v>
      </c>
      <c r="D1482" s="96"/>
      <c r="E1482" s="95"/>
      <c r="F1482" s="95"/>
      <c r="G1482" s="95"/>
      <c r="H1482" s="94"/>
      <c r="I1482" s="94"/>
      <c r="J1482" s="91"/>
      <c r="K1482" s="91"/>
      <c r="L1482" s="94"/>
      <c r="M1482" s="93"/>
      <c r="N1482" s="92"/>
      <c r="O1482" s="92"/>
      <c r="P1482" s="91">
        <f t="shared" si="104"/>
        <v>0</v>
      </c>
      <c r="Q1482" s="91">
        <f t="shared" si="105"/>
        <v>0</v>
      </c>
      <c r="R1482" s="91"/>
    </row>
    <row r="1483" spans="2:18" ht="12" customHeight="1" x14ac:dyDescent="0.3">
      <c r="B1483" s="98"/>
      <c r="C1483" s="97" t="str">
        <f t="shared" si="103"/>
        <v>Jan-00</v>
      </c>
      <c r="D1483" s="96"/>
      <c r="E1483" s="95"/>
      <c r="F1483" s="95"/>
      <c r="G1483" s="95"/>
      <c r="H1483" s="94"/>
      <c r="I1483" s="94"/>
      <c r="J1483" s="91"/>
      <c r="K1483" s="91"/>
      <c r="L1483" s="94"/>
      <c r="M1483" s="93"/>
      <c r="N1483" s="92"/>
      <c r="O1483" s="92"/>
      <c r="P1483" s="91">
        <f t="shared" si="104"/>
        <v>0</v>
      </c>
      <c r="Q1483" s="91">
        <f t="shared" si="105"/>
        <v>0</v>
      </c>
      <c r="R1483" s="91"/>
    </row>
    <row r="1484" spans="2:18" ht="12" customHeight="1" x14ac:dyDescent="0.3">
      <c r="B1484" s="98"/>
      <c r="C1484" s="97" t="str">
        <f t="shared" si="103"/>
        <v>Jan-00</v>
      </c>
      <c r="D1484" s="96"/>
      <c r="E1484" s="95"/>
      <c r="F1484" s="95"/>
      <c r="G1484" s="95"/>
      <c r="H1484" s="94"/>
      <c r="I1484" s="94"/>
      <c r="J1484" s="91"/>
      <c r="K1484" s="91"/>
      <c r="L1484" s="94"/>
      <c r="M1484" s="93"/>
      <c r="N1484" s="92"/>
      <c r="O1484" s="92"/>
      <c r="P1484" s="91">
        <f t="shared" si="104"/>
        <v>0</v>
      </c>
      <c r="Q1484" s="91">
        <f t="shared" si="105"/>
        <v>0</v>
      </c>
      <c r="R1484" s="91"/>
    </row>
    <row r="1485" spans="2:18" ht="12" customHeight="1" x14ac:dyDescent="0.3">
      <c r="B1485" s="98"/>
      <c r="C1485" s="97" t="str">
        <f t="shared" si="103"/>
        <v>Jan-00</v>
      </c>
      <c r="D1485" s="96"/>
      <c r="E1485" s="95"/>
      <c r="F1485" s="95"/>
      <c r="G1485" s="95"/>
      <c r="H1485" s="94"/>
      <c r="I1485" s="94"/>
      <c r="J1485" s="91"/>
      <c r="K1485" s="91"/>
      <c r="L1485" s="94"/>
      <c r="M1485" s="93"/>
      <c r="N1485" s="92"/>
      <c r="O1485" s="92"/>
      <c r="P1485" s="91">
        <f t="shared" si="104"/>
        <v>0</v>
      </c>
      <c r="Q1485" s="91">
        <f t="shared" si="105"/>
        <v>0</v>
      </c>
      <c r="R1485" s="91"/>
    </row>
    <row r="1486" spans="2:18" ht="12" customHeight="1" x14ac:dyDescent="0.3">
      <c r="B1486" s="98"/>
      <c r="C1486" s="97" t="str">
        <f t="shared" si="103"/>
        <v>Jan-00</v>
      </c>
      <c r="D1486" s="96"/>
      <c r="E1486" s="95"/>
      <c r="F1486" s="95"/>
      <c r="G1486" s="95"/>
      <c r="H1486" s="94"/>
      <c r="I1486" s="94"/>
      <c r="J1486" s="91"/>
      <c r="K1486" s="91"/>
      <c r="L1486" s="94"/>
      <c r="M1486" s="93"/>
      <c r="N1486" s="92"/>
      <c r="O1486" s="92"/>
      <c r="P1486" s="91">
        <f t="shared" si="104"/>
        <v>0</v>
      </c>
      <c r="Q1486" s="91">
        <f t="shared" si="105"/>
        <v>0</v>
      </c>
      <c r="R1486" s="91"/>
    </row>
    <row r="1487" spans="2:18" ht="12" customHeight="1" x14ac:dyDescent="0.3">
      <c r="B1487" s="98"/>
      <c r="C1487" s="97" t="str">
        <f t="shared" si="103"/>
        <v>Jan-00</v>
      </c>
      <c r="D1487" s="96"/>
      <c r="E1487" s="95"/>
      <c r="F1487" s="95"/>
      <c r="G1487" s="95"/>
      <c r="H1487" s="94"/>
      <c r="I1487" s="94"/>
      <c r="J1487" s="91"/>
      <c r="K1487" s="91"/>
      <c r="L1487" s="94"/>
      <c r="M1487" s="93"/>
      <c r="N1487" s="92"/>
      <c r="O1487" s="92"/>
      <c r="P1487" s="91">
        <f t="shared" si="104"/>
        <v>0</v>
      </c>
      <c r="Q1487" s="91">
        <f t="shared" si="105"/>
        <v>0</v>
      </c>
      <c r="R1487" s="91"/>
    </row>
    <row r="1488" spans="2:18" ht="12" customHeight="1" x14ac:dyDescent="0.3">
      <c r="B1488" s="98"/>
      <c r="C1488" s="97" t="str">
        <f t="shared" si="103"/>
        <v>Jan-00</v>
      </c>
      <c r="D1488" s="96"/>
      <c r="E1488" s="95"/>
      <c r="F1488" s="95"/>
      <c r="G1488" s="95"/>
      <c r="H1488" s="94"/>
      <c r="I1488" s="94"/>
      <c r="J1488" s="91"/>
      <c r="K1488" s="91"/>
      <c r="L1488" s="94"/>
      <c r="M1488" s="93"/>
      <c r="N1488" s="92"/>
      <c r="O1488" s="92"/>
      <c r="P1488" s="91">
        <f t="shared" si="104"/>
        <v>0</v>
      </c>
      <c r="Q1488" s="91">
        <f t="shared" si="105"/>
        <v>0</v>
      </c>
      <c r="R1488" s="91"/>
    </row>
    <row r="1489" spans="2:18" ht="12" customHeight="1" x14ac:dyDescent="0.3">
      <c r="B1489" s="98"/>
      <c r="C1489" s="97" t="str">
        <f t="shared" si="103"/>
        <v>Jan-00</v>
      </c>
      <c r="D1489" s="96"/>
      <c r="E1489" s="95"/>
      <c r="F1489" s="95"/>
      <c r="G1489" s="95"/>
      <c r="H1489" s="94"/>
      <c r="I1489" s="94"/>
      <c r="J1489" s="91"/>
      <c r="K1489" s="91"/>
      <c r="L1489" s="94"/>
      <c r="M1489" s="93"/>
      <c r="N1489" s="92"/>
      <c r="O1489" s="92"/>
      <c r="P1489" s="91">
        <f t="shared" si="104"/>
        <v>0</v>
      </c>
      <c r="Q1489" s="91">
        <f t="shared" si="105"/>
        <v>0</v>
      </c>
      <c r="R1489" s="91"/>
    </row>
    <row r="1490" spans="2:18" ht="12" customHeight="1" x14ac:dyDescent="0.3">
      <c r="B1490" s="98"/>
      <c r="C1490" s="97" t="str">
        <f t="shared" si="103"/>
        <v>Jan-00</v>
      </c>
      <c r="D1490" s="96"/>
      <c r="E1490" s="95"/>
      <c r="F1490" s="95"/>
      <c r="G1490" s="95"/>
      <c r="H1490" s="94"/>
      <c r="I1490" s="94"/>
      <c r="J1490" s="91"/>
      <c r="K1490" s="91"/>
      <c r="L1490" s="94"/>
      <c r="M1490" s="93"/>
      <c r="N1490" s="92"/>
      <c r="O1490" s="92"/>
      <c r="P1490" s="91">
        <f t="shared" si="104"/>
        <v>0</v>
      </c>
      <c r="Q1490" s="91">
        <f t="shared" si="105"/>
        <v>0</v>
      </c>
      <c r="R1490" s="91"/>
    </row>
    <row r="1491" spans="2:18" ht="12" customHeight="1" x14ac:dyDescent="0.3">
      <c r="B1491" s="98"/>
      <c r="C1491" s="97" t="str">
        <f t="shared" si="103"/>
        <v>Jan-00</v>
      </c>
      <c r="D1491" s="96"/>
      <c r="E1491" s="95"/>
      <c r="F1491" s="95"/>
      <c r="G1491" s="95"/>
      <c r="H1491" s="94"/>
      <c r="I1491" s="94"/>
      <c r="J1491" s="91"/>
      <c r="K1491" s="91"/>
      <c r="L1491" s="94"/>
      <c r="M1491" s="93"/>
      <c r="N1491" s="92"/>
      <c r="O1491" s="92"/>
      <c r="P1491" s="91">
        <f t="shared" si="104"/>
        <v>0</v>
      </c>
      <c r="Q1491" s="91">
        <f t="shared" si="105"/>
        <v>0</v>
      </c>
      <c r="R1491" s="91"/>
    </row>
    <row r="1492" spans="2:18" ht="12" customHeight="1" x14ac:dyDescent="0.3">
      <c r="B1492" s="98"/>
      <c r="C1492" s="97" t="str">
        <f t="shared" si="103"/>
        <v>Jan-00</v>
      </c>
      <c r="D1492" s="96"/>
      <c r="E1492" s="95"/>
      <c r="F1492" s="95"/>
      <c r="G1492" s="95"/>
      <c r="H1492" s="94"/>
      <c r="I1492" s="94"/>
      <c r="J1492" s="91"/>
      <c r="K1492" s="91"/>
      <c r="L1492" s="94"/>
      <c r="M1492" s="93"/>
      <c r="N1492" s="92"/>
      <c r="O1492" s="92"/>
      <c r="P1492" s="91">
        <f t="shared" si="104"/>
        <v>0</v>
      </c>
      <c r="Q1492" s="91">
        <f t="shared" si="105"/>
        <v>0</v>
      </c>
      <c r="R1492" s="91"/>
    </row>
    <row r="1493" spans="2:18" ht="12" customHeight="1" x14ac:dyDescent="0.3">
      <c r="B1493" s="98"/>
      <c r="C1493" s="97" t="str">
        <f t="shared" si="103"/>
        <v>Jan-00</v>
      </c>
      <c r="D1493" s="96"/>
      <c r="E1493" s="95"/>
      <c r="F1493" s="95"/>
      <c r="G1493" s="95"/>
      <c r="H1493" s="94"/>
      <c r="I1493" s="94"/>
      <c r="J1493" s="91"/>
      <c r="K1493" s="91"/>
      <c r="L1493" s="94"/>
      <c r="M1493" s="93"/>
      <c r="N1493" s="92"/>
      <c r="O1493" s="92"/>
      <c r="P1493" s="91">
        <f t="shared" si="104"/>
        <v>0</v>
      </c>
      <c r="Q1493" s="91">
        <f t="shared" si="105"/>
        <v>0</v>
      </c>
      <c r="R1493" s="91"/>
    </row>
    <row r="1494" spans="2:18" ht="12" customHeight="1" x14ac:dyDescent="0.3">
      <c r="B1494" s="98"/>
      <c r="C1494" s="97" t="str">
        <f t="shared" si="103"/>
        <v>Jan-00</v>
      </c>
      <c r="D1494" s="96"/>
      <c r="E1494" s="95"/>
      <c r="F1494" s="95"/>
      <c r="G1494" s="95"/>
      <c r="H1494" s="94"/>
      <c r="I1494" s="94"/>
      <c r="J1494" s="91"/>
      <c r="K1494" s="91"/>
      <c r="L1494" s="94"/>
      <c r="M1494" s="93"/>
      <c r="N1494" s="92"/>
      <c r="O1494" s="92"/>
      <c r="P1494" s="91">
        <f t="shared" si="104"/>
        <v>0</v>
      </c>
      <c r="Q1494" s="91">
        <f t="shared" si="105"/>
        <v>0</v>
      </c>
      <c r="R1494" s="91"/>
    </row>
    <row r="1495" spans="2:18" ht="12" customHeight="1" x14ac:dyDescent="0.3">
      <c r="B1495" s="98"/>
      <c r="C1495" s="97" t="str">
        <f t="shared" si="103"/>
        <v>Jan-00</v>
      </c>
      <c r="D1495" s="96"/>
      <c r="E1495" s="95"/>
      <c r="F1495" s="95"/>
      <c r="G1495" s="95"/>
      <c r="H1495" s="94"/>
      <c r="I1495" s="94"/>
      <c r="J1495" s="91"/>
      <c r="K1495" s="91"/>
      <c r="L1495" s="94"/>
      <c r="M1495" s="93"/>
      <c r="N1495" s="92"/>
      <c r="O1495" s="92"/>
      <c r="P1495" s="91">
        <f t="shared" si="104"/>
        <v>0</v>
      </c>
      <c r="Q1495" s="91">
        <f t="shared" si="105"/>
        <v>0</v>
      </c>
      <c r="R1495" s="91"/>
    </row>
    <row r="1496" spans="2:18" ht="12" customHeight="1" x14ac:dyDescent="0.3">
      <c r="B1496" s="98"/>
      <c r="C1496" s="97" t="str">
        <f t="shared" si="103"/>
        <v>Jan-00</v>
      </c>
      <c r="D1496" s="96"/>
      <c r="E1496" s="95"/>
      <c r="F1496" s="95"/>
      <c r="G1496" s="95"/>
      <c r="H1496" s="94"/>
      <c r="I1496" s="94"/>
      <c r="J1496" s="91"/>
      <c r="K1496" s="91"/>
      <c r="L1496" s="94"/>
      <c r="M1496" s="93"/>
      <c r="N1496" s="92"/>
      <c r="O1496" s="92"/>
      <c r="P1496" s="91">
        <f t="shared" si="104"/>
        <v>0</v>
      </c>
      <c r="Q1496" s="91">
        <f t="shared" si="105"/>
        <v>0</v>
      </c>
      <c r="R1496" s="91"/>
    </row>
    <row r="1497" spans="2:18" ht="12" customHeight="1" x14ac:dyDescent="0.3">
      <c r="B1497" s="98"/>
      <c r="C1497" s="97" t="str">
        <f t="shared" si="103"/>
        <v>Jan-00</v>
      </c>
      <c r="D1497" s="96"/>
      <c r="E1497" s="95"/>
      <c r="F1497" s="95"/>
      <c r="G1497" s="95"/>
      <c r="H1497" s="94"/>
      <c r="I1497" s="94"/>
      <c r="J1497" s="91"/>
      <c r="K1497" s="91"/>
      <c r="L1497" s="94"/>
      <c r="M1497" s="93"/>
      <c r="N1497" s="92"/>
      <c r="O1497" s="92"/>
      <c r="P1497" s="91">
        <f t="shared" si="104"/>
        <v>0</v>
      </c>
      <c r="Q1497" s="91">
        <f t="shared" si="105"/>
        <v>0</v>
      </c>
      <c r="R1497" s="91"/>
    </row>
    <row r="1498" spans="2:18" ht="12" customHeight="1" x14ac:dyDescent="0.3">
      <c r="B1498" s="98"/>
      <c r="C1498" s="97" t="str">
        <f t="shared" si="103"/>
        <v>Jan-00</v>
      </c>
      <c r="D1498" s="96"/>
      <c r="E1498" s="95"/>
      <c r="F1498" s="95"/>
      <c r="G1498" s="95"/>
      <c r="H1498" s="94"/>
      <c r="I1498" s="94"/>
      <c r="J1498" s="91"/>
      <c r="K1498" s="91"/>
      <c r="L1498" s="94"/>
      <c r="M1498" s="93"/>
      <c r="N1498" s="92"/>
      <c r="O1498" s="92"/>
      <c r="P1498" s="91">
        <f t="shared" si="104"/>
        <v>0</v>
      </c>
      <c r="Q1498" s="91">
        <f t="shared" si="105"/>
        <v>0</v>
      </c>
      <c r="R1498" s="91"/>
    </row>
    <row r="1499" spans="2:18" ht="12" customHeight="1" x14ac:dyDescent="0.3">
      <c r="B1499" s="98"/>
      <c r="C1499" s="97" t="str">
        <f t="shared" si="103"/>
        <v>Jan-00</v>
      </c>
      <c r="D1499" s="96"/>
      <c r="E1499" s="95"/>
      <c r="F1499" s="95"/>
      <c r="G1499" s="95"/>
      <c r="H1499" s="94"/>
      <c r="I1499" s="94"/>
      <c r="J1499" s="91"/>
      <c r="K1499" s="91"/>
      <c r="L1499" s="94"/>
      <c r="M1499" s="93"/>
      <c r="N1499" s="92"/>
      <c r="O1499" s="92"/>
      <c r="P1499" s="91">
        <f t="shared" si="104"/>
        <v>0</v>
      </c>
      <c r="Q1499" s="91">
        <f t="shared" si="105"/>
        <v>0</v>
      </c>
      <c r="R1499" s="91"/>
    </row>
    <row r="1500" spans="2:18" ht="12" customHeight="1" x14ac:dyDescent="0.3">
      <c r="B1500" s="98"/>
      <c r="C1500" s="97" t="str">
        <f t="shared" si="103"/>
        <v>Jan-00</v>
      </c>
      <c r="D1500" s="96"/>
      <c r="E1500" s="95"/>
      <c r="F1500" s="95"/>
      <c r="G1500" s="95"/>
      <c r="H1500" s="94"/>
      <c r="I1500" s="94"/>
      <c r="J1500" s="91"/>
      <c r="K1500" s="91"/>
      <c r="L1500" s="94"/>
      <c r="M1500" s="93"/>
      <c r="N1500" s="92"/>
      <c r="O1500" s="92"/>
      <c r="P1500" s="91">
        <f t="shared" si="104"/>
        <v>0</v>
      </c>
      <c r="Q1500" s="91">
        <f t="shared" si="105"/>
        <v>0</v>
      </c>
      <c r="R1500" s="91"/>
    </row>
    <row r="1501" spans="2:18" ht="12" customHeight="1" x14ac:dyDescent="0.3">
      <c r="B1501" s="98"/>
      <c r="C1501" s="97" t="str">
        <f t="shared" si="103"/>
        <v>Jan-00</v>
      </c>
      <c r="D1501" s="96"/>
      <c r="E1501" s="95"/>
      <c r="F1501" s="95"/>
      <c r="G1501" s="95"/>
      <c r="H1501" s="94"/>
      <c r="I1501" s="94"/>
      <c r="J1501" s="91"/>
      <c r="K1501" s="91"/>
      <c r="L1501" s="94"/>
      <c r="M1501" s="93"/>
      <c r="N1501" s="92"/>
      <c r="O1501" s="92"/>
      <c r="P1501" s="91">
        <f t="shared" si="104"/>
        <v>0</v>
      </c>
      <c r="Q1501" s="91">
        <f t="shared" si="105"/>
        <v>0</v>
      </c>
      <c r="R1501" s="91"/>
    </row>
    <row r="1502" spans="2:18" ht="12" customHeight="1" x14ac:dyDescent="0.3">
      <c r="B1502" s="98"/>
      <c r="C1502" s="97" t="str">
        <f t="shared" si="103"/>
        <v>Jan-00</v>
      </c>
      <c r="D1502" s="96"/>
      <c r="E1502" s="95"/>
      <c r="F1502" s="95"/>
      <c r="G1502" s="95"/>
      <c r="H1502" s="94"/>
      <c r="I1502" s="94"/>
      <c r="J1502" s="91"/>
      <c r="K1502" s="91"/>
      <c r="L1502" s="94"/>
      <c r="M1502" s="93"/>
      <c r="N1502" s="92"/>
      <c r="O1502" s="92"/>
      <c r="P1502" s="91">
        <f t="shared" si="104"/>
        <v>0</v>
      </c>
      <c r="Q1502" s="91">
        <f t="shared" si="105"/>
        <v>0</v>
      </c>
      <c r="R1502" s="91"/>
    </row>
    <row r="1503" spans="2:18" ht="12" customHeight="1" x14ac:dyDescent="0.3">
      <c r="B1503" s="98"/>
      <c r="C1503" s="97" t="str">
        <f t="shared" si="103"/>
        <v>Jan-00</v>
      </c>
      <c r="D1503" s="96"/>
      <c r="E1503" s="95"/>
      <c r="F1503" s="95"/>
      <c r="G1503" s="95"/>
      <c r="H1503" s="94"/>
      <c r="I1503" s="94"/>
      <c r="J1503" s="91"/>
      <c r="K1503" s="91"/>
      <c r="L1503" s="94"/>
      <c r="M1503" s="93"/>
      <c r="N1503" s="92"/>
      <c r="O1503" s="92"/>
      <c r="P1503" s="91">
        <f t="shared" si="104"/>
        <v>0</v>
      </c>
      <c r="Q1503" s="91">
        <f t="shared" si="105"/>
        <v>0</v>
      </c>
      <c r="R1503" s="91"/>
    </row>
    <row r="1504" spans="2:18" ht="12" customHeight="1" x14ac:dyDescent="0.3">
      <c r="B1504" s="98"/>
      <c r="C1504" s="97" t="str">
        <f t="shared" si="103"/>
        <v>Jan-00</v>
      </c>
      <c r="D1504" s="96"/>
      <c r="E1504" s="95"/>
      <c r="F1504" s="95"/>
      <c r="G1504" s="95"/>
      <c r="H1504" s="94"/>
      <c r="I1504" s="94"/>
      <c r="J1504" s="91"/>
      <c r="K1504" s="91"/>
      <c r="L1504" s="94"/>
      <c r="M1504" s="93"/>
      <c r="N1504" s="92"/>
      <c r="O1504" s="92"/>
      <c r="P1504" s="91">
        <f t="shared" si="104"/>
        <v>0</v>
      </c>
      <c r="Q1504" s="91">
        <f t="shared" si="105"/>
        <v>0</v>
      </c>
      <c r="R1504" s="91"/>
    </row>
    <row r="1505" spans="2:18" ht="12" customHeight="1" x14ac:dyDescent="0.3">
      <c r="B1505" s="98"/>
      <c r="C1505" s="97" t="str">
        <f t="shared" si="103"/>
        <v>Jan-00</v>
      </c>
      <c r="D1505" s="96"/>
      <c r="E1505" s="95"/>
      <c r="F1505" s="95"/>
      <c r="G1505" s="95"/>
      <c r="H1505" s="94"/>
      <c r="I1505" s="94"/>
      <c r="J1505" s="91"/>
      <c r="K1505" s="91"/>
      <c r="L1505" s="94"/>
      <c r="M1505" s="93"/>
      <c r="N1505" s="92"/>
      <c r="O1505" s="92"/>
      <c r="P1505" s="91">
        <f t="shared" si="104"/>
        <v>0</v>
      </c>
      <c r="Q1505" s="91">
        <f t="shared" si="105"/>
        <v>0</v>
      </c>
      <c r="R1505" s="91"/>
    </row>
    <row r="1506" spans="2:18" ht="12" customHeight="1" x14ac:dyDescent="0.3">
      <c r="B1506" s="98"/>
      <c r="C1506" s="97" t="str">
        <f t="shared" si="103"/>
        <v>Jan-00</v>
      </c>
      <c r="D1506" s="96"/>
      <c r="E1506" s="95"/>
      <c r="F1506" s="95"/>
      <c r="G1506" s="95"/>
      <c r="H1506" s="94"/>
      <c r="I1506" s="94"/>
      <c r="J1506" s="91"/>
      <c r="K1506" s="91"/>
      <c r="L1506" s="94"/>
      <c r="M1506" s="93"/>
      <c r="N1506" s="92"/>
      <c r="O1506" s="92"/>
      <c r="P1506" s="91">
        <f t="shared" si="104"/>
        <v>0</v>
      </c>
      <c r="Q1506" s="91">
        <f t="shared" si="105"/>
        <v>0</v>
      </c>
      <c r="R1506" s="91"/>
    </row>
    <row r="1507" spans="2:18" ht="12" customHeight="1" x14ac:dyDescent="0.3">
      <c r="B1507" s="98"/>
      <c r="C1507" s="97" t="str">
        <f t="shared" si="103"/>
        <v>Jan-00</v>
      </c>
      <c r="D1507" s="96"/>
      <c r="E1507" s="95"/>
      <c r="F1507" s="95"/>
      <c r="G1507" s="95"/>
      <c r="H1507" s="94"/>
      <c r="I1507" s="94"/>
      <c r="J1507" s="91"/>
      <c r="K1507" s="91"/>
      <c r="L1507" s="94"/>
      <c r="M1507" s="93"/>
      <c r="N1507" s="92"/>
      <c r="O1507" s="92"/>
      <c r="P1507" s="91">
        <f t="shared" si="104"/>
        <v>0</v>
      </c>
      <c r="Q1507" s="91">
        <f t="shared" si="105"/>
        <v>0</v>
      </c>
      <c r="R1507" s="91"/>
    </row>
    <row r="1508" spans="2:18" ht="12" customHeight="1" x14ac:dyDescent="0.3">
      <c r="B1508" s="98"/>
      <c r="C1508" s="97" t="str">
        <f t="shared" si="103"/>
        <v>Jan-00</v>
      </c>
      <c r="D1508" s="96"/>
      <c r="E1508" s="95"/>
      <c r="F1508" s="95"/>
      <c r="G1508" s="95"/>
      <c r="H1508" s="94"/>
      <c r="I1508" s="94"/>
      <c r="J1508" s="91"/>
      <c r="K1508" s="91"/>
      <c r="L1508" s="94"/>
      <c r="M1508" s="93"/>
      <c r="N1508" s="92"/>
      <c r="O1508" s="92"/>
      <c r="P1508" s="91">
        <f t="shared" si="104"/>
        <v>0</v>
      </c>
      <c r="Q1508" s="91">
        <f t="shared" si="105"/>
        <v>0</v>
      </c>
      <c r="R1508" s="91"/>
    </row>
    <row r="1509" spans="2:18" ht="12" customHeight="1" x14ac:dyDescent="0.3">
      <c r="B1509" s="98"/>
      <c r="C1509" s="97" t="str">
        <f t="shared" si="103"/>
        <v>Jan-00</v>
      </c>
      <c r="D1509" s="96"/>
      <c r="E1509" s="95"/>
      <c r="F1509" s="95"/>
      <c r="G1509" s="95"/>
      <c r="H1509" s="94"/>
      <c r="I1509" s="94"/>
      <c r="J1509" s="91"/>
      <c r="K1509" s="91"/>
      <c r="L1509" s="94"/>
      <c r="M1509" s="93"/>
      <c r="N1509" s="92"/>
      <c r="O1509" s="92"/>
      <c r="P1509" s="91">
        <f t="shared" si="104"/>
        <v>0</v>
      </c>
      <c r="Q1509" s="91">
        <f t="shared" si="105"/>
        <v>0</v>
      </c>
      <c r="R1509" s="91"/>
    </row>
    <row r="1510" spans="2:18" ht="12" customHeight="1" x14ac:dyDescent="0.3">
      <c r="B1510" s="98"/>
      <c r="C1510" s="97" t="str">
        <f t="shared" si="103"/>
        <v>Jan-00</v>
      </c>
      <c r="D1510" s="96"/>
      <c r="E1510" s="95"/>
      <c r="F1510" s="95"/>
      <c r="G1510" s="95"/>
      <c r="H1510" s="94"/>
      <c r="I1510" s="94"/>
      <c r="J1510" s="91"/>
      <c r="K1510" s="91"/>
      <c r="L1510" s="94"/>
      <c r="M1510" s="93"/>
      <c r="N1510" s="92"/>
      <c r="O1510" s="92"/>
      <c r="P1510" s="91">
        <f t="shared" si="104"/>
        <v>0</v>
      </c>
      <c r="Q1510" s="91">
        <f t="shared" si="105"/>
        <v>0</v>
      </c>
      <c r="R1510" s="91"/>
    </row>
    <row r="1511" spans="2:18" ht="12" customHeight="1" x14ac:dyDescent="0.3">
      <c r="B1511" s="98"/>
      <c r="C1511" s="97" t="str">
        <f t="shared" si="103"/>
        <v>Jan-00</v>
      </c>
      <c r="D1511" s="96"/>
      <c r="E1511" s="95"/>
      <c r="F1511" s="95"/>
      <c r="G1511" s="95"/>
      <c r="H1511" s="94"/>
      <c r="I1511" s="94"/>
      <c r="J1511" s="91"/>
      <c r="K1511" s="91"/>
      <c r="L1511" s="94"/>
      <c r="M1511" s="93"/>
      <c r="N1511" s="92"/>
      <c r="O1511" s="92"/>
      <c r="P1511" s="91">
        <f t="shared" si="104"/>
        <v>0</v>
      </c>
      <c r="Q1511" s="91">
        <f t="shared" si="105"/>
        <v>0</v>
      </c>
      <c r="R1511" s="91"/>
    </row>
    <row r="1512" spans="2:18" ht="12" customHeight="1" x14ac:dyDescent="0.3">
      <c r="B1512" s="98"/>
      <c r="C1512" s="97" t="str">
        <f t="shared" si="103"/>
        <v>Jan-00</v>
      </c>
      <c r="D1512" s="96"/>
      <c r="E1512" s="95"/>
      <c r="F1512" s="95"/>
      <c r="G1512" s="95"/>
      <c r="H1512" s="94"/>
      <c r="I1512" s="94"/>
      <c r="J1512" s="91"/>
      <c r="K1512" s="91"/>
      <c r="L1512" s="94"/>
      <c r="M1512" s="93"/>
      <c r="N1512" s="92"/>
      <c r="O1512" s="92"/>
      <c r="P1512" s="91">
        <f t="shared" si="104"/>
        <v>0</v>
      </c>
      <c r="Q1512" s="91">
        <f t="shared" si="105"/>
        <v>0</v>
      </c>
      <c r="R1512" s="91"/>
    </row>
    <row r="1513" spans="2:18" ht="12" customHeight="1" x14ac:dyDescent="0.3">
      <c r="B1513" s="98"/>
      <c r="C1513" s="97" t="str">
        <f t="shared" si="103"/>
        <v>Jan-00</v>
      </c>
      <c r="D1513" s="96"/>
      <c r="E1513" s="95"/>
      <c r="F1513" s="95"/>
      <c r="G1513" s="95"/>
      <c r="H1513" s="94"/>
      <c r="I1513" s="94"/>
      <c r="J1513" s="91"/>
      <c r="K1513" s="91"/>
      <c r="L1513" s="94"/>
      <c r="M1513" s="93"/>
      <c r="N1513" s="92"/>
      <c r="O1513" s="92"/>
      <c r="P1513" s="91">
        <f t="shared" si="104"/>
        <v>0</v>
      </c>
      <c r="Q1513" s="91">
        <f t="shared" si="105"/>
        <v>0</v>
      </c>
      <c r="R1513" s="91"/>
    </row>
    <row r="1514" spans="2:18" ht="12" customHeight="1" x14ac:dyDescent="0.3">
      <c r="B1514" s="98"/>
      <c r="C1514" s="97" t="str">
        <f t="shared" si="103"/>
        <v>Jan-00</v>
      </c>
      <c r="D1514" s="96"/>
      <c r="E1514" s="95"/>
      <c r="F1514" s="95"/>
      <c r="G1514" s="95"/>
      <c r="H1514" s="94"/>
      <c r="I1514" s="94"/>
      <c r="J1514" s="91"/>
      <c r="K1514" s="91"/>
      <c r="L1514" s="94"/>
      <c r="M1514" s="93"/>
      <c r="N1514" s="92"/>
      <c r="O1514" s="92"/>
      <c r="P1514" s="91">
        <f t="shared" si="104"/>
        <v>0</v>
      </c>
      <c r="Q1514" s="91">
        <f t="shared" si="105"/>
        <v>0</v>
      </c>
      <c r="R1514" s="91"/>
    </row>
    <row r="1515" spans="2:18" ht="12" customHeight="1" x14ac:dyDescent="0.3">
      <c r="B1515" s="98"/>
      <c r="C1515" s="97" t="str">
        <f t="shared" si="103"/>
        <v>Jan-00</v>
      </c>
      <c r="D1515" s="96"/>
      <c r="E1515" s="95"/>
      <c r="F1515" s="95"/>
      <c r="G1515" s="95"/>
      <c r="H1515" s="94"/>
      <c r="I1515" s="94"/>
      <c r="J1515" s="91"/>
      <c r="K1515" s="91"/>
      <c r="L1515" s="94"/>
      <c r="M1515" s="93"/>
      <c r="N1515" s="92"/>
      <c r="O1515" s="92"/>
      <c r="P1515" s="91">
        <f t="shared" si="104"/>
        <v>0</v>
      </c>
      <c r="Q1515" s="91">
        <f t="shared" si="105"/>
        <v>0</v>
      </c>
      <c r="R1515" s="91"/>
    </row>
    <row r="1516" spans="2:18" ht="12" customHeight="1" x14ac:dyDescent="0.3">
      <c r="B1516" s="98"/>
      <c r="C1516" s="97" t="str">
        <f t="shared" si="103"/>
        <v>Jan-00</v>
      </c>
      <c r="D1516" s="96"/>
      <c r="E1516" s="95"/>
      <c r="F1516" s="95"/>
      <c r="G1516" s="95"/>
      <c r="H1516" s="94"/>
      <c r="I1516" s="94"/>
      <c r="J1516" s="91"/>
      <c r="K1516" s="91"/>
      <c r="L1516" s="94"/>
      <c r="M1516" s="93"/>
      <c r="N1516" s="92"/>
      <c r="O1516" s="92"/>
      <c r="P1516" s="91">
        <f t="shared" si="104"/>
        <v>0</v>
      </c>
      <c r="Q1516" s="91">
        <f t="shared" si="105"/>
        <v>0</v>
      </c>
      <c r="R1516" s="91"/>
    </row>
    <row r="1517" spans="2:18" ht="12" customHeight="1" x14ac:dyDescent="0.3">
      <c r="B1517" s="98"/>
      <c r="C1517" s="97" t="str">
        <f t="shared" si="103"/>
        <v>Jan-00</v>
      </c>
      <c r="D1517" s="96"/>
      <c r="E1517" s="95"/>
      <c r="F1517" s="95"/>
      <c r="G1517" s="95"/>
      <c r="H1517" s="94"/>
      <c r="I1517" s="94"/>
      <c r="J1517" s="91"/>
      <c r="K1517" s="91"/>
      <c r="L1517" s="94"/>
      <c r="M1517" s="93"/>
      <c r="N1517" s="92"/>
      <c r="O1517" s="92"/>
      <c r="P1517" s="91">
        <f t="shared" si="104"/>
        <v>0</v>
      </c>
      <c r="Q1517" s="91">
        <f t="shared" si="105"/>
        <v>0</v>
      </c>
      <c r="R1517" s="91"/>
    </row>
    <row r="1518" spans="2:18" ht="12" customHeight="1" x14ac:dyDescent="0.3">
      <c r="B1518" s="98"/>
      <c r="C1518" s="97" t="str">
        <f t="shared" si="103"/>
        <v>Jan-00</v>
      </c>
      <c r="D1518" s="96"/>
      <c r="E1518" s="95"/>
      <c r="F1518" s="95"/>
      <c r="G1518" s="95"/>
      <c r="H1518" s="94"/>
      <c r="I1518" s="94"/>
      <c r="J1518" s="91"/>
      <c r="K1518" s="91"/>
      <c r="L1518" s="94"/>
      <c r="M1518" s="93"/>
      <c r="N1518" s="92"/>
      <c r="O1518" s="92"/>
      <c r="P1518" s="91">
        <f t="shared" si="104"/>
        <v>0</v>
      </c>
      <c r="Q1518" s="91">
        <f t="shared" si="105"/>
        <v>0</v>
      </c>
      <c r="R1518" s="91"/>
    </row>
    <row r="1519" spans="2:18" ht="12" customHeight="1" x14ac:dyDescent="0.3">
      <c r="B1519" s="98"/>
      <c r="C1519" s="97" t="str">
        <f t="shared" si="103"/>
        <v>Jan-00</v>
      </c>
      <c r="D1519" s="96"/>
      <c r="E1519" s="95"/>
      <c r="F1519" s="95"/>
      <c r="G1519" s="95"/>
      <c r="H1519" s="94"/>
      <c r="I1519" s="94"/>
      <c r="J1519" s="91"/>
      <c r="K1519" s="91"/>
      <c r="L1519" s="94"/>
      <c r="M1519" s="93"/>
      <c r="N1519" s="92"/>
      <c r="O1519" s="92"/>
      <c r="P1519" s="91">
        <f t="shared" si="104"/>
        <v>0</v>
      </c>
      <c r="Q1519" s="91">
        <f t="shared" si="105"/>
        <v>0</v>
      </c>
      <c r="R1519" s="91"/>
    </row>
    <row r="1520" spans="2:18" ht="12" customHeight="1" x14ac:dyDescent="0.3">
      <c r="B1520" s="98"/>
      <c r="C1520" s="97" t="str">
        <f t="shared" si="103"/>
        <v>Jan-00</v>
      </c>
      <c r="D1520" s="96"/>
      <c r="E1520" s="95"/>
      <c r="F1520" s="95"/>
      <c r="G1520" s="95"/>
      <c r="H1520" s="94"/>
      <c r="I1520" s="94"/>
      <c r="J1520" s="91"/>
      <c r="K1520" s="91"/>
      <c r="L1520" s="94"/>
      <c r="M1520" s="93"/>
      <c r="N1520" s="92"/>
      <c r="O1520" s="92"/>
      <c r="P1520" s="91">
        <f t="shared" si="104"/>
        <v>0</v>
      </c>
      <c r="Q1520" s="91">
        <f t="shared" si="105"/>
        <v>0</v>
      </c>
      <c r="R1520" s="91"/>
    </row>
    <row r="1521" spans="2:18" ht="12" customHeight="1" x14ac:dyDescent="0.3">
      <c r="B1521" s="98"/>
      <c r="C1521" s="97" t="str">
        <f t="shared" si="103"/>
        <v>Jan-00</v>
      </c>
      <c r="D1521" s="96"/>
      <c r="E1521" s="95"/>
      <c r="F1521" s="95"/>
      <c r="G1521" s="95"/>
      <c r="H1521" s="94"/>
      <c r="I1521" s="94"/>
      <c r="J1521" s="91"/>
      <c r="K1521" s="91"/>
      <c r="L1521" s="94"/>
      <c r="M1521" s="93"/>
      <c r="N1521" s="92"/>
      <c r="O1521" s="92"/>
      <c r="P1521" s="91">
        <f t="shared" si="104"/>
        <v>0</v>
      </c>
      <c r="Q1521" s="91">
        <f t="shared" si="105"/>
        <v>0</v>
      </c>
      <c r="R1521" s="91"/>
    </row>
    <row r="1522" spans="2:18" ht="12" customHeight="1" x14ac:dyDescent="0.3">
      <c r="B1522" s="98"/>
      <c r="C1522" s="97" t="str">
        <f t="shared" si="103"/>
        <v>Jan-00</v>
      </c>
      <c r="D1522" s="96"/>
      <c r="E1522" s="95"/>
      <c r="F1522" s="95"/>
      <c r="G1522" s="95"/>
      <c r="H1522" s="94"/>
      <c r="I1522" s="94"/>
      <c r="J1522" s="91"/>
      <c r="K1522" s="91"/>
      <c r="L1522" s="94"/>
      <c r="M1522" s="93"/>
      <c r="N1522" s="92"/>
      <c r="O1522" s="92"/>
      <c r="P1522" s="91">
        <f t="shared" si="104"/>
        <v>0</v>
      </c>
      <c r="Q1522" s="91">
        <f t="shared" si="105"/>
        <v>0</v>
      </c>
      <c r="R1522" s="91"/>
    </row>
    <row r="1523" spans="2:18" ht="12" customHeight="1" x14ac:dyDescent="0.3">
      <c r="B1523" s="98"/>
      <c r="C1523" s="97" t="str">
        <f t="shared" si="103"/>
        <v>Jan-00</v>
      </c>
      <c r="D1523" s="96"/>
      <c r="E1523" s="95"/>
      <c r="F1523" s="95"/>
      <c r="G1523" s="95"/>
      <c r="H1523" s="94"/>
      <c r="I1523" s="94"/>
      <c r="J1523" s="91"/>
      <c r="K1523" s="91"/>
      <c r="L1523" s="94"/>
      <c r="M1523" s="93"/>
      <c r="N1523" s="92"/>
      <c r="O1523" s="92"/>
      <c r="P1523" s="91">
        <f t="shared" si="104"/>
        <v>0</v>
      </c>
      <c r="Q1523" s="91">
        <f t="shared" si="105"/>
        <v>0</v>
      </c>
      <c r="R1523" s="91"/>
    </row>
    <row r="1524" spans="2:18" ht="12" customHeight="1" x14ac:dyDescent="0.3">
      <c r="B1524" s="98"/>
      <c r="C1524" s="97" t="str">
        <f t="shared" si="103"/>
        <v>Jan-00</v>
      </c>
      <c r="D1524" s="96"/>
      <c r="E1524" s="95"/>
      <c r="F1524" s="95"/>
      <c r="G1524" s="95"/>
      <c r="H1524" s="94"/>
      <c r="I1524" s="94"/>
      <c r="J1524" s="91"/>
      <c r="K1524" s="91"/>
      <c r="L1524" s="94"/>
      <c r="M1524" s="93"/>
      <c r="N1524" s="92"/>
      <c r="O1524" s="92"/>
      <c r="P1524" s="91">
        <f t="shared" si="104"/>
        <v>0</v>
      </c>
      <c r="Q1524" s="91">
        <f t="shared" si="105"/>
        <v>0</v>
      </c>
      <c r="R1524" s="91"/>
    </row>
    <row r="1525" spans="2:18" ht="12" customHeight="1" x14ac:dyDescent="0.3">
      <c r="B1525" s="98"/>
      <c r="C1525" s="97" t="str">
        <f t="shared" si="103"/>
        <v>Jan-00</v>
      </c>
      <c r="D1525" s="96"/>
      <c r="E1525" s="95"/>
      <c r="F1525" s="95"/>
      <c r="G1525" s="95"/>
      <c r="H1525" s="94"/>
      <c r="I1525" s="94"/>
      <c r="J1525" s="91"/>
      <c r="K1525" s="91"/>
      <c r="L1525" s="94"/>
      <c r="M1525" s="93"/>
      <c r="N1525" s="92"/>
      <c r="O1525" s="92"/>
      <c r="P1525" s="91">
        <f t="shared" si="104"/>
        <v>0</v>
      </c>
      <c r="Q1525" s="91">
        <f t="shared" si="105"/>
        <v>0</v>
      </c>
      <c r="R1525" s="91"/>
    </row>
    <row r="1526" spans="2:18" ht="12" customHeight="1" x14ac:dyDescent="0.3">
      <c r="B1526" s="98"/>
      <c r="C1526" s="97" t="str">
        <f t="shared" si="103"/>
        <v>Jan-00</v>
      </c>
      <c r="D1526" s="96"/>
      <c r="E1526" s="95"/>
      <c r="F1526" s="95"/>
      <c r="G1526" s="95"/>
      <c r="H1526" s="94"/>
      <c r="I1526" s="94"/>
      <c r="J1526" s="91"/>
      <c r="K1526" s="91"/>
      <c r="L1526" s="94"/>
      <c r="M1526" s="93"/>
      <c r="N1526" s="92"/>
      <c r="O1526" s="92"/>
      <c r="P1526" s="91">
        <f t="shared" si="104"/>
        <v>0</v>
      </c>
      <c r="Q1526" s="91">
        <f t="shared" si="105"/>
        <v>0</v>
      </c>
      <c r="R1526" s="91"/>
    </row>
    <row r="1527" spans="2:18" ht="12" customHeight="1" x14ac:dyDescent="0.3">
      <c r="B1527" s="98"/>
      <c r="C1527" s="97" t="str">
        <f t="shared" si="103"/>
        <v>Jan-00</v>
      </c>
      <c r="D1527" s="96"/>
      <c r="E1527" s="95"/>
      <c r="F1527" s="95"/>
      <c r="G1527" s="95"/>
      <c r="H1527" s="94"/>
      <c r="I1527" s="94"/>
      <c r="J1527" s="91"/>
      <c r="K1527" s="91"/>
      <c r="L1527" s="94"/>
      <c r="M1527" s="93"/>
      <c r="N1527" s="92"/>
      <c r="O1527" s="92"/>
      <c r="P1527" s="91">
        <f t="shared" si="104"/>
        <v>0</v>
      </c>
      <c r="Q1527" s="91">
        <f t="shared" si="105"/>
        <v>0</v>
      </c>
      <c r="R1527" s="91"/>
    </row>
    <row r="1528" spans="2:18" ht="12" customHeight="1" x14ac:dyDescent="0.3">
      <c r="B1528" s="98"/>
      <c r="C1528" s="97" t="str">
        <f t="shared" si="103"/>
        <v>Jan-00</v>
      </c>
      <c r="D1528" s="96"/>
      <c r="E1528" s="95"/>
      <c r="F1528" s="95"/>
      <c r="G1528" s="95"/>
      <c r="H1528" s="94"/>
      <c r="I1528" s="94"/>
      <c r="J1528" s="91"/>
      <c r="K1528" s="91"/>
      <c r="L1528" s="94"/>
      <c r="M1528" s="93"/>
      <c r="N1528" s="92"/>
      <c r="O1528" s="92"/>
      <c r="P1528" s="91">
        <f t="shared" si="104"/>
        <v>0</v>
      </c>
      <c r="Q1528" s="91">
        <f t="shared" si="105"/>
        <v>0</v>
      </c>
      <c r="R1528" s="91"/>
    </row>
    <row r="1529" spans="2:18" ht="12" customHeight="1" x14ac:dyDescent="0.3">
      <c r="B1529" s="98"/>
      <c r="C1529" s="97" t="str">
        <f t="shared" si="103"/>
        <v>Jan-00</v>
      </c>
      <c r="D1529" s="96"/>
      <c r="E1529" s="95"/>
      <c r="F1529" s="95"/>
      <c r="G1529" s="95"/>
      <c r="H1529" s="94"/>
      <c r="I1529" s="94"/>
      <c r="J1529" s="91"/>
      <c r="K1529" s="91"/>
      <c r="L1529" s="94"/>
      <c r="M1529" s="93"/>
      <c r="N1529" s="92"/>
      <c r="O1529" s="92"/>
      <c r="P1529" s="91">
        <f t="shared" si="104"/>
        <v>0</v>
      </c>
      <c r="Q1529" s="91">
        <f t="shared" si="105"/>
        <v>0</v>
      </c>
      <c r="R1529" s="91"/>
    </row>
    <row r="1530" spans="2:18" ht="12" customHeight="1" x14ac:dyDescent="0.3">
      <c r="B1530" s="98"/>
      <c r="C1530" s="97" t="str">
        <f t="shared" si="103"/>
        <v>Jan-00</v>
      </c>
      <c r="D1530" s="96"/>
      <c r="E1530" s="95"/>
      <c r="F1530" s="95"/>
      <c r="G1530" s="95"/>
      <c r="H1530" s="94"/>
      <c r="I1530" s="94"/>
      <c r="J1530" s="91"/>
      <c r="K1530" s="91"/>
      <c r="L1530" s="94"/>
      <c r="M1530" s="93"/>
      <c r="N1530" s="92"/>
      <c r="O1530" s="92"/>
      <c r="P1530" s="91">
        <f t="shared" si="104"/>
        <v>0</v>
      </c>
      <c r="Q1530" s="91">
        <f t="shared" si="105"/>
        <v>0</v>
      </c>
      <c r="R1530" s="91"/>
    </row>
    <row r="1531" spans="2:18" ht="12" customHeight="1" x14ac:dyDescent="0.3">
      <c r="B1531" s="98"/>
      <c r="C1531" s="97" t="str">
        <f t="shared" si="103"/>
        <v>Jan-00</v>
      </c>
      <c r="D1531" s="96"/>
      <c r="E1531" s="95"/>
      <c r="F1531" s="95"/>
      <c r="G1531" s="95"/>
      <c r="H1531" s="94"/>
      <c r="I1531" s="94"/>
      <c r="J1531" s="91"/>
      <c r="K1531" s="91"/>
      <c r="L1531" s="94"/>
      <c r="M1531" s="93"/>
      <c r="N1531" s="92"/>
      <c r="O1531" s="92"/>
      <c r="P1531" s="91">
        <f t="shared" si="104"/>
        <v>0</v>
      </c>
      <c r="Q1531" s="91">
        <f t="shared" si="105"/>
        <v>0</v>
      </c>
      <c r="R1531" s="91"/>
    </row>
    <row r="1532" spans="2:18" ht="12" customHeight="1" x14ac:dyDescent="0.3">
      <c r="B1532" s="98"/>
      <c r="C1532" s="97" t="str">
        <f t="shared" si="103"/>
        <v>Jan-00</v>
      </c>
      <c r="D1532" s="96"/>
      <c r="E1532" s="95"/>
      <c r="F1532" s="95"/>
      <c r="G1532" s="95"/>
      <c r="H1532" s="94"/>
      <c r="I1532" s="94"/>
      <c r="J1532" s="91"/>
      <c r="K1532" s="91"/>
      <c r="L1532" s="94"/>
      <c r="M1532" s="93"/>
      <c r="N1532" s="92"/>
      <c r="O1532" s="92"/>
      <c r="P1532" s="91">
        <f t="shared" si="104"/>
        <v>0</v>
      </c>
      <c r="Q1532" s="91">
        <f t="shared" si="105"/>
        <v>0</v>
      </c>
      <c r="R1532" s="91"/>
    </row>
    <row r="1533" spans="2:18" ht="12" customHeight="1" x14ac:dyDescent="0.3">
      <c r="B1533" s="98"/>
      <c r="C1533" s="97" t="str">
        <f t="shared" si="103"/>
        <v>Jan-00</v>
      </c>
      <c r="D1533" s="96"/>
      <c r="E1533" s="95"/>
      <c r="F1533" s="95"/>
      <c r="G1533" s="95"/>
      <c r="H1533" s="94"/>
      <c r="I1533" s="94"/>
      <c r="J1533" s="91"/>
      <c r="K1533" s="91"/>
      <c r="L1533" s="94"/>
      <c r="M1533" s="93"/>
      <c r="N1533" s="92"/>
      <c r="O1533" s="92"/>
      <c r="P1533" s="91">
        <f t="shared" si="104"/>
        <v>0</v>
      </c>
      <c r="Q1533" s="91">
        <f t="shared" si="105"/>
        <v>0</v>
      </c>
      <c r="R1533" s="91"/>
    </row>
    <row r="1534" spans="2:18" ht="12" customHeight="1" x14ac:dyDescent="0.3">
      <c r="B1534" s="98"/>
      <c r="C1534" s="97" t="str">
        <f t="shared" si="103"/>
        <v>Jan-00</v>
      </c>
      <c r="D1534" s="96"/>
      <c r="E1534" s="95"/>
      <c r="F1534" s="95"/>
      <c r="G1534" s="95"/>
      <c r="H1534" s="94"/>
      <c r="I1534" s="94"/>
      <c r="J1534" s="91"/>
      <c r="K1534" s="91"/>
      <c r="L1534" s="94"/>
      <c r="M1534" s="93"/>
      <c r="N1534" s="92"/>
      <c r="O1534" s="92"/>
      <c r="P1534" s="91">
        <f t="shared" si="104"/>
        <v>0</v>
      </c>
      <c r="Q1534" s="91">
        <f t="shared" si="105"/>
        <v>0</v>
      </c>
      <c r="R1534" s="91"/>
    </row>
    <row r="1535" spans="2:18" ht="12" customHeight="1" x14ac:dyDescent="0.3">
      <c r="B1535" s="98"/>
      <c r="C1535" s="97" t="str">
        <f t="shared" si="103"/>
        <v>Jan-00</v>
      </c>
      <c r="D1535" s="96"/>
      <c r="E1535" s="95"/>
      <c r="F1535" s="95"/>
      <c r="G1535" s="95"/>
      <c r="H1535" s="94"/>
      <c r="I1535" s="94"/>
      <c r="J1535" s="91"/>
      <c r="K1535" s="91"/>
      <c r="L1535" s="94"/>
      <c r="M1535" s="93"/>
      <c r="N1535" s="92"/>
      <c r="O1535" s="92"/>
      <c r="P1535" s="91">
        <f t="shared" si="104"/>
        <v>0</v>
      </c>
      <c r="Q1535" s="91">
        <f t="shared" si="105"/>
        <v>0</v>
      </c>
      <c r="R1535" s="91"/>
    </row>
    <row r="1536" spans="2:18" ht="12" customHeight="1" x14ac:dyDescent="0.3">
      <c r="B1536" s="98"/>
      <c r="C1536" s="97" t="str">
        <f t="shared" si="103"/>
        <v>Jan-00</v>
      </c>
      <c r="D1536" s="96"/>
      <c r="E1536" s="95"/>
      <c r="F1536" s="95"/>
      <c r="G1536" s="95"/>
      <c r="H1536" s="94"/>
      <c r="I1536" s="94"/>
      <c r="J1536" s="91"/>
      <c r="K1536" s="91"/>
      <c r="L1536" s="94"/>
      <c r="M1536" s="93"/>
      <c r="N1536" s="92"/>
      <c r="O1536" s="92"/>
      <c r="P1536" s="91">
        <f t="shared" si="104"/>
        <v>0</v>
      </c>
      <c r="Q1536" s="91">
        <f t="shared" si="105"/>
        <v>0</v>
      </c>
      <c r="R1536" s="91"/>
    </row>
    <row r="1537" spans="2:18" ht="12" customHeight="1" x14ac:dyDescent="0.3">
      <c r="B1537" s="98"/>
      <c r="C1537" s="97" t="str">
        <f t="shared" si="103"/>
        <v>Jan-00</v>
      </c>
      <c r="D1537" s="96"/>
      <c r="E1537" s="95"/>
      <c r="F1537" s="95"/>
      <c r="G1537" s="95"/>
      <c r="H1537" s="94"/>
      <c r="I1537" s="94"/>
      <c r="J1537" s="91"/>
      <c r="K1537" s="91"/>
      <c r="L1537" s="94"/>
      <c r="M1537" s="93"/>
      <c r="N1537" s="92"/>
      <c r="O1537" s="92"/>
      <c r="P1537" s="91">
        <f t="shared" si="104"/>
        <v>0</v>
      </c>
      <c r="Q1537" s="91">
        <f t="shared" si="105"/>
        <v>0</v>
      </c>
      <c r="R1537" s="91"/>
    </row>
    <row r="1538" spans="2:18" ht="12" customHeight="1" x14ac:dyDescent="0.3">
      <c r="B1538" s="98"/>
      <c r="C1538" s="97" t="str">
        <f t="shared" si="103"/>
        <v>Jan-00</v>
      </c>
      <c r="D1538" s="96"/>
      <c r="E1538" s="95"/>
      <c r="F1538" s="95"/>
      <c r="G1538" s="95"/>
      <c r="H1538" s="94"/>
      <c r="I1538" s="94"/>
      <c r="J1538" s="91"/>
      <c r="K1538" s="91"/>
      <c r="L1538" s="94"/>
      <c r="M1538" s="93"/>
      <c r="N1538" s="92"/>
      <c r="O1538" s="92"/>
      <c r="P1538" s="91">
        <f t="shared" si="104"/>
        <v>0</v>
      </c>
      <c r="Q1538" s="91">
        <f t="shared" si="105"/>
        <v>0</v>
      </c>
      <c r="R1538" s="91"/>
    </row>
    <row r="1539" spans="2:18" ht="12" customHeight="1" x14ac:dyDescent="0.3">
      <c r="B1539" s="98"/>
      <c r="C1539" s="97" t="str">
        <f t="shared" si="103"/>
        <v>Jan-00</v>
      </c>
      <c r="D1539" s="96"/>
      <c r="E1539" s="95"/>
      <c r="F1539" s="95"/>
      <c r="G1539" s="95"/>
      <c r="H1539" s="94"/>
      <c r="I1539" s="94"/>
      <c r="J1539" s="91"/>
      <c r="K1539" s="91"/>
      <c r="L1539" s="94"/>
      <c r="M1539" s="93"/>
      <c r="N1539" s="92"/>
      <c r="O1539" s="92"/>
      <c r="P1539" s="91">
        <f t="shared" si="104"/>
        <v>0</v>
      </c>
      <c r="Q1539" s="91">
        <f t="shared" si="105"/>
        <v>0</v>
      </c>
      <c r="R1539" s="91"/>
    </row>
    <row r="1540" spans="2:18" ht="12" customHeight="1" x14ac:dyDescent="0.3">
      <c r="B1540" s="98"/>
      <c r="C1540" s="97" t="str">
        <f t="shared" ref="C1540:C1603" si="106">CONCATENATE(TEXT(D1540,"mmm"),"-",TEXT(D1540,"yy"))</f>
        <v>Jan-00</v>
      </c>
      <c r="D1540" s="96"/>
      <c r="E1540" s="95"/>
      <c r="F1540" s="95"/>
      <c r="G1540" s="95"/>
      <c r="H1540" s="94"/>
      <c r="I1540" s="94"/>
      <c r="J1540" s="91"/>
      <c r="K1540" s="91"/>
      <c r="L1540" s="94"/>
      <c r="M1540" s="93"/>
      <c r="N1540" s="92"/>
      <c r="O1540" s="92"/>
      <c r="P1540" s="91">
        <f t="shared" ref="P1540:P1603" si="107">O1540*1%</f>
        <v>0</v>
      </c>
      <c r="Q1540" s="91">
        <f t="shared" ref="Q1540:Q1603" si="108">O1540-P1540</f>
        <v>0</v>
      </c>
      <c r="R1540" s="91"/>
    </row>
    <row r="1541" spans="2:18" ht="12" customHeight="1" x14ac:dyDescent="0.3">
      <c r="B1541" s="98"/>
      <c r="C1541" s="97" t="str">
        <f t="shared" si="106"/>
        <v>Jan-00</v>
      </c>
      <c r="D1541" s="96"/>
      <c r="E1541" s="95"/>
      <c r="F1541" s="95"/>
      <c r="G1541" s="95"/>
      <c r="H1541" s="94"/>
      <c r="I1541" s="94"/>
      <c r="J1541" s="91"/>
      <c r="K1541" s="91"/>
      <c r="L1541" s="94"/>
      <c r="M1541" s="93"/>
      <c r="N1541" s="92"/>
      <c r="O1541" s="92"/>
      <c r="P1541" s="91">
        <f t="shared" si="107"/>
        <v>0</v>
      </c>
      <c r="Q1541" s="91">
        <f t="shared" si="108"/>
        <v>0</v>
      </c>
      <c r="R1541" s="91"/>
    </row>
    <row r="1542" spans="2:18" ht="13.95" customHeight="1" x14ac:dyDescent="0.3">
      <c r="B1542" s="98"/>
      <c r="C1542" s="97" t="str">
        <f t="shared" si="106"/>
        <v>Jan-00</v>
      </c>
      <c r="D1542" s="96"/>
      <c r="E1542" s="95"/>
      <c r="F1542" s="95"/>
      <c r="G1542" s="95"/>
      <c r="H1542" s="94"/>
      <c r="I1542" s="94"/>
      <c r="J1542" s="91"/>
      <c r="K1542" s="91"/>
      <c r="L1542" s="94"/>
      <c r="M1542" s="93"/>
      <c r="N1542" s="92"/>
      <c r="O1542" s="92"/>
      <c r="P1542" s="91">
        <f t="shared" si="107"/>
        <v>0</v>
      </c>
      <c r="Q1542" s="91">
        <f t="shared" si="108"/>
        <v>0</v>
      </c>
      <c r="R1542" s="91"/>
    </row>
    <row r="1543" spans="2:18" ht="13.95" customHeight="1" x14ac:dyDescent="0.3">
      <c r="B1543" s="98"/>
      <c r="C1543" s="97" t="str">
        <f t="shared" si="106"/>
        <v>Jan-00</v>
      </c>
      <c r="D1543" s="96"/>
      <c r="E1543" s="95"/>
      <c r="F1543" s="95"/>
      <c r="G1543" s="95"/>
      <c r="H1543" s="94"/>
      <c r="I1543" s="94"/>
      <c r="J1543" s="91"/>
      <c r="K1543" s="91"/>
      <c r="L1543" s="94"/>
      <c r="M1543" s="93"/>
      <c r="N1543" s="92"/>
      <c r="O1543" s="92"/>
      <c r="P1543" s="91">
        <f t="shared" si="107"/>
        <v>0</v>
      </c>
      <c r="Q1543" s="91">
        <f t="shared" si="108"/>
        <v>0</v>
      </c>
      <c r="R1543" s="91"/>
    </row>
    <row r="1544" spans="2:18" ht="13.95" customHeight="1" x14ac:dyDescent="0.3">
      <c r="B1544" s="98"/>
      <c r="C1544" s="97" t="str">
        <f t="shared" si="106"/>
        <v>Jan-00</v>
      </c>
      <c r="D1544" s="96"/>
      <c r="E1544" s="95"/>
      <c r="F1544" s="95"/>
      <c r="G1544" s="95"/>
      <c r="H1544" s="94"/>
      <c r="I1544" s="94"/>
      <c r="J1544" s="91"/>
      <c r="K1544" s="91"/>
      <c r="L1544" s="94"/>
      <c r="M1544" s="93"/>
      <c r="N1544" s="92"/>
      <c r="O1544" s="92"/>
      <c r="P1544" s="91">
        <f t="shared" si="107"/>
        <v>0</v>
      </c>
      <c r="Q1544" s="91">
        <f t="shared" si="108"/>
        <v>0</v>
      </c>
      <c r="R1544" s="91"/>
    </row>
    <row r="1545" spans="2:18" ht="13.95" customHeight="1" x14ac:dyDescent="0.3">
      <c r="B1545" s="98"/>
      <c r="C1545" s="97" t="str">
        <f t="shared" si="106"/>
        <v>Jan-00</v>
      </c>
      <c r="D1545" s="96"/>
      <c r="E1545" s="95"/>
      <c r="F1545" s="95"/>
      <c r="G1545" s="95"/>
      <c r="H1545" s="94"/>
      <c r="I1545" s="94"/>
      <c r="J1545" s="91"/>
      <c r="K1545" s="91"/>
      <c r="L1545" s="94"/>
      <c r="M1545" s="93"/>
      <c r="N1545" s="92"/>
      <c r="O1545" s="92"/>
      <c r="P1545" s="91">
        <f t="shared" si="107"/>
        <v>0</v>
      </c>
      <c r="Q1545" s="91">
        <f t="shared" si="108"/>
        <v>0</v>
      </c>
      <c r="R1545" s="91"/>
    </row>
    <row r="1546" spans="2:18" ht="13.95" customHeight="1" x14ac:dyDescent="0.3">
      <c r="B1546" s="98"/>
      <c r="C1546" s="97" t="str">
        <f t="shared" si="106"/>
        <v>Jan-00</v>
      </c>
      <c r="D1546" s="96"/>
      <c r="E1546" s="95"/>
      <c r="F1546" s="95"/>
      <c r="G1546" s="95"/>
      <c r="H1546" s="94"/>
      <c r="I1546" s="94"/>
      <c r="J1546" s="91"/>
      <c r="K1546" s="91"/>
      <c r="L1546" s="94"/>
      <c r="M1546" s="93"/>
      <c r="N1546" s="92"/>
      <c r="O1546" s="92"/>
      <c r="P1546" s="91">
        <f t="shared" si="107"/>
        <v>0</v>
      </c>
      <c r="Q1546" s="91">
        <f t="shared" si="108"/>
        <v>0</v>
      </c>
      <c r="R1546" s="91"/>
    </row>
    <row r="1547" spans="2:18" ht="13.95" customHeight="1" x14ac:dyDescent="0.3">
      <c r="B1547" s="98"/>
      <c r="C1547" s="97" t="str">
        <f t="shared" si="106"/>
        <v>Jan-00</v>
      </c>
      <c r="D1547" s="96"/>
      <c r="E1547" s="95"/>
      <c r="F1547" s="95"/>
      <c r="G1547" s="95"/>
      <c r="H1547" s="94"/>
      <c r="I1547" s="94"/>
      <c r="J1547" s="91"/>
      <c r="K1547" s="91"/>
      <c r="L1547" s="94"/>
      <c r="M1547" s="93"/>
      <c r="N1547" s="92"/>
      <c r="O1547" s="92"/>
      <c r="P1547" s="91">
        <f t="shared" si="107"/>
        <v>0</v>
      </c>
      <c r="Q1547" s="91">
        <f t="shared" si="108"/>
        <v>0</v>
      </c>
      <c r="R1547" s="91"/>
    </row>
    <row r="1548" spans="2:18" ht="13.95" customHeight="1" x14ac:dyDescent="0.3">
      <c r="B1548" s="98"/>
      <c r="C1548" s="97" t="str">
        <f t="shared" si="106"/>
        <v>Jan-00</v>
      </c>
      <c r="D1548" s="96"/>
      <c r="E1548" s="95"/>
      <c r="F1548" s="95"/>
      <c r="G1548" s="95"/>
      <c r="H1548" s="94"/>
      <c r="I1548" s="94"/>
      <c r="J1548" s="91"/>
      <c r="K1548" s="91"/>
      <c r="L1548" s="94"/>
      <c r="M1548" s="93"/>
      <c r="N1548" s="92"/>
      <c r="O1548" s="92"/>
      <c r="P1548" s="91">
        <f t="shared" si="107"/>
        <v>0</v>
      </c>
      <c r="Q1548" s="91">
        <f t="shared" si="108"/>
        <v>0</v>
      </c>
      <c r="R1548" s="91"/>
    </row>
    <row r="1549" spans="2:18" ht="13.95" customHeight="1" x14ac:dyDescent="0.3">
      <c r="B1549" s="98"/>
      <c r="C1549" s="97" t="str">
        <f t="shared" si="106"/>
        <v>Jan-00</v>
      </c>
      <c r="D1549" s="96"/>
      <c r="E1549" s="95"/>
      <c r="F1549" s="95"/>
      <c r="G1549" s="95"/>
      <c r="H1549" s="94"/>
      <c r="I1549" s="94"/>
      <c r="J1549" s="91"/>
      <c r="K1549" s="91"/>
      <c r="L1549" s="94"/>
      <c r="M1549" s="93"/>
      <c r="N1549" s="92"/>
      <c r="O1549" s="92"/>
      <c r="P1549" s="91">
        <f t="shared" si="107"/>
        <v>0</v>
      </c>
      <c r="Q1549" s="91">
        <f t="shared" si="108"/>
        <v>0</v>
      </c>
      <c r="R1549" s="91"/>
    </row>
    <row r="1550" spans="2:18" ht="13.95" customHeight="1" x14ac:dyDescent="0.3">
      <c r="B1550" s="98"/>
      <c r="C1550" s="97" t="str">
        <f t="shared" si="106"/>
        <v>Jan-00</v>
      </c>
      <c r="D1550" s="96"/>
      <c r="E1550" s="95"/>
      <c r="F1550" s="95"/>
      <c r="G1550" s="95"/>
      <c r="H1550" s="94"/>
      <c r="I1550" s="94"/>
      <c r="J1550" s="91"/>
      <c r="K1550" s="91"/>
      <c r="L1550" s="94"/>
      <c r="M1550" s="93"/>
      <c r="N1550" s="92"/>
      <c r="O1550" s="92"/>
      <c r="P1550" s="91">
        <f t="shared" si="107"/>
        <v>0</v>
      </c>
      <c r="Q1550" s="91">
        <f t="shared" si="108"/>
        <v>0</v>
      </c>
      <c r="R1550" s="91"/>
    </row>
    <row r="1551" spans="2:18" ht="13.95" customHeight="1" x14ac:dyDescent="0.3">
      <c r="B1551" s="98"/>
      <c r="C1551" s="97" t="str">
        <f t="shared" si="106"/>
        <v>Jan-00</v>
      </c>
      <c r="D1551" s="96"/>
      <c r="E1551" s="95"/>
      <c r="F1551" s="95"/>
      <c r="G1551" s="95"/>
      <c r="H1551" s="94"/>
      <c r="I1551" s="94"/>
      <c r="J1551" s="91"/>
      <c r="K1551" s="91"/>
      <c r="L1551" s="94"/>
      <c r="M1551" s="93"/>
      <c r="N1551" s="92"/>
      <c r="O1551" s="92"/>
      <c r="P1551" s="91">
        <f t="shared" si="107"/>
        <v>0</v>
      </c>
      <c r="Q1551" s="91">
        <f t="shared" si="108"/>
        <v>0</v>
      </c>
      <c r="R1551" s="91"/>
    </row>
    <row r="1552" spans="2:18" ht="13.95" customHeight="1" x14ac:dyDescent="0.3">
      <c r="B1552" s="98"/>
      <c r="C1552" s="97" t="str">
        <f t="shared" si="106"/>
        <v>Jan-00</v>
      </c>
      <c r="D1552" s="96"/>
      <c r="E1552" s="95"/>
      <c r="F1552" s="95"/>
      <c r="G1552" s="95"/>
      <c r="H1552" s="94"/>
      <c r="I1552" s="94"/>
      <c r="J1552" s="91"/>
      <c r="K1552" s="91"/>
      <c r="L1552" s="94"/>
      <c r="M1552" s="93"/>
      <c r="N1552" s="92"/>
      <c r="O1552" s="92"/>
      <c r="P1552" s="91">
        <f t="shared" si="107"/>
        <v>0</v>
      </c>
      <c r="Q1552" s="91">
        <f t="shared" si="108"/>
        <v>0</v>
      </c>
      <c r="R1552" s="91"/>
    </row>
    <row r="1553" spans="2:18" ht="13.95" customHeight="1" x14ac:dyDescent="0.3">
      <c r="B1553" s="98"/>
      <c r="C1553" s="97" t="str">
        <f t="shared" si="106"/>
        <v>Jan-00</v>
      </c>
      <c r="D1553" s="96"/>
      <c r="E1553" s="95"/>
      <c r="F1553" s="95"/>
      <c r="G1553" s="95"/>
      <c r="H1553" s="94"/>
      <c r="I1553" s="94"/>
      <c r="J1553" s="91"/>
      <c r="K1553" s="91"/>
      <c r="L1553" s="94"/>
      <c r="M1553" s="93"/>
      <c r="N1553" s="92"/>
      <c r="O1553" s="92"/>
      <c r="P1553" s="91">
        <f t="shared" si="107"/>
        <v>0</v>
      </c>
      <c r="Q1553" s="91">
        <f t="shared" si="108"/>
        <v>0</v>
      </c>
      <c r="R1553" s="91"/>
    </row>
    <row r="1554" spans="2:18" ht="13.95" customHeight="1" x14ac:dyDescent="0.3">
      <c r="B1554" s="98"/>
      <c r="C1554" s="97" t="str">
        <f t="shared" si="106"/>
        <v>Jan-00</v>
      </c>
      <c r="D1554" s="96"/>
      <c r="E1554" s="95"/>
      <c r="F1554" s="95"/>
      <c r="G1554" s="95"/>
      <c r="H1554" s="94"/>
      <c r="I1554" s="94"/>
      <c r="J1554" s="91"/>
      <c r="K1554" s="91"/>
      <c r="L1554" s="94"/>
      <c r="M1554" s="93"/>
      <c r="N1554" s="92"/>
      <c r="O1554" s="92"/>
      <c r="P1554" s="91">
        <f t="shared" si="107"/>
        <v>0</v>
      </c>
      <c r="Q1554" s="91">
        <f t="shared" si="108"/>
        <v>0</v>
      </c>
      <c r="R1554" s="91"/>
    </row>
    <row r="1555" spans="2:18" ht="13.95" customHeight="1" x14ac:dyDescent="0.3">
      <c r="B1555" s="98"/>
      <c r="C1555" s="97" t="str">
        <f t="shared" si="106"/>
        <v>Jan-00</v>
      </c>
      <c r="D1555" s="96"/>
      <c r="E1555" s="95"/>
      <c r="F1555" s="95"/>
      <c r="G1555" s="95"/>
      <c r="H1555" s="94"/>
      <c r="I1555" s="94"/>
      <c r="J1555" s="91"/>
      <c r="K1555" s="91"/>
      <c r="L1555" s="94"/>
      <c r="M1555" s="93"/>
      <c r="N1555" s="92"/>
      <c r="O1555" s="92"/>
      <c r="P1555" s="91">
        <f t="shared" si="107"/>
        <v>0</v>
      </c>
      <c r="Q1555" s="91">
        <f t="shared" si="108"/>
        <v>0</v>
      </c>
      <c r="R1555" s="91"/>
    </row>
    <row r="1556" spans="2:18" ht="13.95" customHeight="1" x14ac:dyDescent="0.3">
      <c r="B1556" s="98"/>
      <c r="C1556" s="97" t="str">
        <f t="shared" si="106"/>
        <v>Jan-00</v>
      </c>
      <c r="D1556" s="96"/>
      <c r="E1556" s="95"/>
      <c r="F1556" s="95"/>
      <c r="G1556" s="95"/>
      <c r="H1556" s="94"/>
      <c r="I1556" s="94"/>
      <c r="J1556" s="91"/>
      <c r="K1556" s="91"/>
      <c r="L1556" s="94"/>
      <c r="M1556" s="93"/>
      <c r="N1556" s="92"/>
      <c r="O1556" s="92"/>
      <c r="P1556" s="91">
        <f t="shared" si="107"/>
        <v>0</v>
      </c>
      <c r="Q1556" s="91">
        <f t="shared" si="108"/>
        <v>0</v>
      </c>
      <c r="R1556" s="91"/>
    </row>
    <row r="1557" spans="2:18" ht="13.95" customHeight="1" x14ac:dyDescent="0.3">
      <c r="B1557" s="98"/>
      <c r="C1557" s="97" t="str">
        <f t="shared" si="106"/>
        <v>Jan-00</v>
      </c>
      <c r="D1557" s="96"/>
      <c r="E1557" s="95"/>
      <c r="F1557" s="95"/>
      <c r="G1557" s="95"/>
      <c r="H1557" s="94"/>
      <c r="I1557" s="94"/>
      <c r="J1557" s="91"/>
      <c r="K1557" s="91"/>
      <c r="L1557" s="94"/>
      <c r="M1557" s="93"/>
      <c r="N1557" s="92"/>
      <c r="O1557" s="92"/>
      <c r="P1557" s="91">
        <f t="shared" si="107"/>
        <v>0</v>
      </c>
      <c r="Q1557" s="91">
        <f t="shared" si="108"/>
        <v>0</v>
      </c>
      <c r="R1557" s="91"/>
    </row>
    <row r="1558" spans="2:18" ht="13.95" customHeight="1" x14ac:dyDescent="0.3">
      <c r="B1558" s="98"/>
      <c r="C1558" s="97" t="str">
        <f t="shared" si="106"/>
        <v>Jan-00</v>
      </c>
      <c r="D1558" s="96"/>
      <c r="E1558" s="95"/>
      <c r="F1558" s="95"/>
      <c r="G1558" s="95"/>
      <c r="H1558" s="94"/>
      <c r="I1558" s="94"/>
      <c r="J1558" s="91"/>
      <c r="K1558" s="91"/>
      <c r="L1558" s="94"/>
      <c r="M1558" s="93"/>
      <c r="N1558" s="92"/>
      <c r="O1558" s="92"/>
      <c r="P1558" s="91">
        <f t="shared" si="107"/>
        <v>0</v>
      </c>
      <c r="Q1558" s="91">
        <f t="shared" si="108"/>
        <v>0</v>
      </c>
      <c r="R1558" s="91"/>
    </row>
    <row r="1559" spans="2:18" ht="13.95" customHeight="1" x14ac:dyDescent="0.3">
      <c r="B1559" s="98"/>
      <c r="C1559" s="97" t="str">
        <f t="shared" si="106"/>
        <v>Jan-00</v>
      </c>
      <c r="D1559" s="96"/>
      <c r="E1559" s="95"/>
      <c r="F1559" s="95"/>
      <c r="G1559" s="95"/>
      <c r="H1559" s="94"/>
      <c r="I1559" s="94"/>
      <c r="J1559" s="91"/>
      <c r="K1559" s="91"/>
      <c r="L1559" s="94"/>
      <c r="M1559" s="93"/>
      <c r="N1559" s="92"/>
      <c r="O1559" s="92"/>
      <c r="P1559" s="91">
        <f t="shared" si="107"/>
        <v>0</v>
      </c>
      <c r="Q1559" s="91">
        <f t="shared" si="108"/>
        <v>0</v>
      </c>
      <c r="R1559" s="91"/>
    </row>
    <row r="1560" spans="2:18" ht="13.95" customHeight="1" x14ac:dyDescent="0.3">
      <c r="B1560" s="98"/>
      <c r="C1560" s="97" t="str">
        <f t="shared" si="106"/>
        <v>Jan-00</v>
      </c>
      <c r="D1560" s="96"/>
      <c r="E1560" s="95"/>
      <c r="F1560" s="95"/>
      <c r="G1560" s="95"/>
      <c r="H1560" s="94"/>
      <c r="I1560" s="94"/>
      <c r="J1560" s="91"/>
      <c r="K1560" s="91"/>
      <c r="L1560" s="94"/>
      <c r="M1560" s="93"/>
      <c r="N1560" s="92"/>
      <c r="O1560" s="92"/>
      <c r="P1560" s="91">
        <f t="shared" si="107"/>
        <v>0</v>
      </c>
      <c r="Q1560" s="91">
        <f t="shared" si="108"/>
        <v>0</v>
      </c>
      <c r="R1560" s="91"/>
    </row>
    <row r="1561" spans="2:18" ht="13.95" customHeight="1" x14ac:dyDescent="0.3">
      <c r="B1561" s="98"/>
      <c r="C1561" s="97" t="str">
        <f t="shared" si="106"/>
        <v>Jan-00</v>
      </c>
      <c r="D1561" s="96"/>
      <c r="E1561" s="95"/>
      <c r="F1561" s="95"/>
      <c r="G1561" s="95"/>
      <c r="H1561" s="94"/>
      <c r="I1561" s="94"/>
      <c r="J1561" s="91"/>
      <c r="K1561" s="91"/>
      <c r="L1561" s="94"/>
      <c r="M1561" s="93"/>
      <c r="N1561" s="92"/>
      <c r="O1561" s="92"/>
      <c r="P1561" s="91">
        <f t="shared" si="107"/>
        <v>0</v>
      </c>
      <c r="Q1561" s="91">
        <f t="shared" si="108"/>
        <v>0</v>
      </c>
      <c r="R1561" s="91"/>
    </row>
    <row r="1562" spans="2:18" ht="13.95" customHeight="1" x14ac:dyDescent="0.3">
      <c r="B1562" s="98"/>
      <c r="C1562" s="97" t="str">
        <f t="shared" si="106"/>
        <v>Jan-00</v>
      </c>
      <c r="D1562" s="96"/>
      <c r="E1562" s="95"/>
      <c r="F1562" s="95"/>
      <c r="G1562" s="95"/>
      <c r="H1562" s="94"/>
      <c r="I1562" s="94"/>
      <c r="J1562" s="91"/>
      <c r="K1562" s="91"/>
      <c r="L1562" s="94"/>
      <c r="M1562" s="93"/>
      <c r="N1562" s="92"/>
      <c r="O1562" s="92"/>
      <c r="P1562" s="91">
        <f t="shared" si="107"/>
        <v>0</v>
      </c>
      <c r="Q1562" s="91">
        <f t="shared" si="108"/>
        <v>0</v>
      </c>
      <c r="R1562" s="91"/>
    </row>
    <row r="1563" spans="2:18" ht="13.95" customHeight="1" x14ac:dyDescent="0.3">
      <c r="B1563" s="98"/>
      <c r="C1563" s="97" t="str">
        <f t="shared" si="106"/>
        <v>Jan-00</v>
      </c>
      <c r="D1563" s="96"/>
      <c r="E1563" s="95"/>
      <c r="F1563" s="95"/>
      <c r="G1563" s="95"/>
      <c r="H1563" s="94"/>
      <c r="I1563" s="94"/>
      <c r="J1563" s="91"/>
      <c r="K1563" s="91"/>
      <c r="L1563" s="94"/>
      <c r="M1563" s="93"/>
      <c r="N1563" s="92"/>
      <c r="O1563" s="92"/>
      <c r="P1563" s="91">
        <f t="shared" si="107"/>
        <v>0</v>
      </c>
      <c r="Q1563" s="91">
        <f t="shared" si="108"/>
        <v>0</v>
      </c>
      <c r="R1563" s="91"/>
    </row>
    <row r="1564" spans="2:18" ht="13.95" customHeight="1" x14ac:dyDescent="0.3">
      <c r="B1564" s="98"/>
      <c r="C1564" s="97" t="str">
        <f t="shared" si="106"/>
        <v>Jan-00</v>
      </c>
      <c r="D1564" s="96"/>
      <c r="E1564" s="95"/>
      <c r="F1564" s="95"/>
      <c r="G1564" s="95"/>
      <c r="H1564" s="94"/>
      <c r="I1564" s="94"/>
      <c r="J1564" s="91"/>
      <c r="K1564" s="91"/>
      <c r="L1564" s="94"/>
      <c r="M1564" s="93"/>
      <c r="N1564" s="92"/>
      <c r="O1564" s="92"/>
      <c r="P1564" s="91">
        <f t="shared" si="107"/>
        <v>0</v>
      </c>
      <c r="Q1564" s="91">
        <f t="shared" si="108"/>
        <v>0</v>
      </c>
      <c r="R1564" s="91"/>
    </row>
    <row r="1565" spans="2:18" ht="13.95" customHeight="1" x14ac:dyDescent="0.3">
      <c r="B1565" s="98"/>
      <c r="C1565" s="97" t="str">
        <f t="shared" si="106"/>
        <v>Jan-00</v>
      </c>
      <c r="D1565" s="96"/>
      <c r="E1565" s="95"/>
      <c r="F1565" s="95"/>
      <c r="G1565" s="95"/>
      <c r="H1565" s="94"/>
      <c r="I1565" s="94"/>
      <c r="J1565" s="91"/>
      <c r="K1565" s="91"/>
      <c r="L1565" s="94"/>
      <c r="M1565" s="93"/>
      <c r="N1565" s="92"/>
      <c r="O1565" s="92"/>
      <c r="P1565" s="91">
        <f t="shared" si="107"/>
        <v>0</v>
      </c>
      <c r="Q1565" s="91">
        <f t="shared" si="108"/>
        <v>0</v>
      </c>
      <c r="R1565" s="91"/>
    </row>
    <row r="1566" spans="2:18" ht="13.95" customHeight="1" x14ac:dyDescent="0.3">
      <c r="B1566" s="98"/>
      <c r="C1566" s="97" t="str">
        <f t="shared" si="106"/>
        <v>Jan-00</v>
      </c>
      <c r="D1566" s="96"/>
      <c r="E1566" s="95"/>
      <c r="F1566" s="95"/>
      <c r="G1566" s="95"/>
      <c r="H1566" s="94"/>
      <c r="I1566" s="94"/>
      <c r="J1566" s="91"/>
      <c r="K1566" s="91"/>
      <c r="L1566" s="94"/>
      <c r="M1566" s="93"/>
      <c r="N1566" s="92"/>
      <c r="O1566" s="92"/>
      <c r="P1566" s="91">
        <f t="shared" si="107"/>
        <v>0</v>
      </c>
      <c r="Q1566" s="91">
        <f t="shared" si="108"/>
        <v>0</v>
      </c>
      <c r="R1566" s="91"/>
    </row>
    <row r="1567" spans="2:18" ht="13.95" customHeight="1" x14ac:dyDescent="0.3">
      <c r="B1567" s="98"/>
      <c r="C1567" s="97" t="str">
        <f t="shared" si="106"/>
        <v>Jan-00</v>
      </c>
      <c r="D1567" s="96"/>
      <c r="E1567" s="95"/>
      <c r="F1567" s="95"/>
      <c r="G1567" s="95"/>
      <c r="H1567" s="94"/>
      <c r="I1567" s="94"/>
      <c r="J1567" s="91"/>
      <c r="K1567" s="91"/>
      <c r="L1567" s="94"/>
      <c r="M1567" s="93"/>
      <c r="N1567" s="92"/>
      <c r="O1567" s="92"/>
      <c r="P1567" s="91">
        <f t="shared" si="107"/>
        <v>0</v>
      </c>
      <c r="Q1567" s="91">
        <f t="shared" si="108"/>
        <v>0</v>
      </c>
      <c r="R1567" s="91"/>
    </row>
    <row r="1568" spans="2:18" ht="13.95" customHeight="1" x14ac:dyDescent="0.3">
      <c r="B1568" s="98"/>
      <c r="C1568" s="97" t="str">
        <f t="shared" si="106"/>
        <v>Jan-00</v>
      </c>
      <c r="D1568" s="96"/>
      <c r="E1568" s="95"/>
      <c r="F1568" s="95"/>
      <c r="G1568" s="95"/>
      <c r="H1568" s="94"/>
      <c r="I1568" s="94"/>
      <c r="J1568" s="91"/>
      <c r="K1568" s="91"/>
      <c r="L1568" s="94"/>
      <c r="M1568" s="93"/>
      <c r="N1568" s="92"/>
      <c r="O1568" s="92"/>
      <c r="P1568" s="91">
        <f t="shared" si="107"/>
        <v>0</v>
      </c>
      <c r="Q1568" s="91">
        <f t="shared" si="108"/>
        <v>0</v>
      </c>
      <c r="R1568" s="91"/>
    </row>
    <row r="1569" spans="2:18" ht="13.95" customHeight="1" x14ac:dyDescent="0.3">
      <c r="B1569" s="98"/>
      <c r="C1569" s="97" t="str">
        <f t="shared" si="106"/>
        <v>Jan-00</v>
      </c>
      <c r="D1569" s="96"/>
      <c r="E1569" s="95"/>
      <c r="F1569" s="95"/>
      <c r="G1569" s="95"/>
      <c r="H1569" s="94"/>
      <c r="I1569" s="94"/>
      <c r="J1569" s="91"/>
      <c r="K1569" s="91"/>
      <c r="L1569" s="94"/>
      <c r="M1569" s="93"/>
      <c r="N1569" s="92"/>
      <c r="O1569" s="92"/>
      <c r="P1569" s="91">
        <f t="shared" si="107"/>
        <v>0</v>
      </c>
      <c r="Q1569" s="91">
        <f t="shared" si="108"/>
        <v>0</v>
      </c>
      <c r="R1569" s="91"/>
    </row>
    <row r="1570" spans="2:18" ht="13.95" customHeight="1" x14ac:dyDescent="0.3">
      <c r="B1570" s="98"/>
      <c r="C1570" s="97" t="str">
        <f t="shared" si="106"/>
        <v>Jan-00</v>
      </c>
      <c r="D1570" s="96"/>
      <c r="E1570" s="95"/>
      <c r="F1570" s="95"/>
      <c r="G1570" s="95"/>
      <c r="H1570" s="94"/>
      <c r="I1570" s="94"/>
      <c r="J1570" s="91"/>
      <c r="K1570" s="91"/>
      <c r="L1570" s="94"/>
      <c r="M1570" s="93"/>
      <c r="N1570" s="92"/>
      <c r="O1570" s="92"/>
      <c r="P1570" s="91">
        <f t="shared" si="107"/>
        <v>0</v>
      </c>
      <c r="Q1570" s="91">
        <f t="shared" si="108"/>
        <v>0</v>
      </c>
      <c r="R1570" s="91"/>
    </row>
    <row r="1571" spans="2:18" ht="13.95" customHeight="1" x14ac:dyDescent="0.3">
      <c r="B1571" s="98"/>
      <c r="C1571" s="97" t="str">
        <f t="shared" si="106"/>
        <v>Jan-00</v>
      </c>
      <c r="D1571" s="96"/>
      <c r="E1571" s="95"/>
      <c r="F1571" s="95"/>
      <c r="G1571" s="95"/>
      <c r="H1571" s="94"/>
      <c r="I1571" s="94"/>
      <c r="J1571" s="91"/>
      <c r="K1571" s="91"/>
      <c r="L1571" s="94"/>
      <c r="M1571" s="93"/>
      <c r="N1571" s="92"/>
      <c r="O1571" s="92"/>
      <c r="P1571" s="91">
        <f t="shared" si="107"/>
        <v>0</v>
      </c>
      <c r="Q1571" s="91">
        <f t="shared" si="108"/>
        <v>0</v>
      </c>
      <c r="R1571" s="91"/>
    </row>
    <row r="1572" spans="2:18" ht="13.95" customHeight="1" x14ac:dyDescent="0.3">
      <c r="B1572" s="98"/>
      <c r="C1572" s="97" t="str">
        <f t="shared" si="106"/>
        <v>Jan-00</v>
      </c>
      <c r="D1572" s="96"/>
      <c r="E1572" s="95"/>
      <c r="F1572" s="95"/>
      <c r="G1572" s="95"/>
      <c r="H1572" s="94"/>
      <c r="I1572" s="94"/>
      <c r="J1572" s="91"/>
      <c r="K1572" s="91"/>
      <c r="L1572" s="94"/>
      <c r="M1572" s="93"/>
      <c r="N1572" s="92"/>
      <c r="O1572" s="92"/>
      <c r="P1572" s="91">
        <f t="shared" si="107"/>
        <v>0</v>
      </c>
      <c r="Q1572" s="91">
        <f t="shared" si="108"/>
        <v>0</v>
      </c>
      <c r="R1572" s="91"/>
    </row>
    <row r="1573" spans="2:18" ht="13.95" customHeight="1" x14ac:dyDescent="0.3">
      <c r="B1573" s="98"/>
      <c r="C1573" s="97" t="str">
        <f t="shared" si="106"/>
        <v>Jan-00</v>
      </c>
      <c r="D1573" s="96"/>
      <c r="E1573" s="95"/>
      <c r="F1573" s="95"/>
      <c r="G1573" s="95"/>
      <c r="H1573" s="94"/>
      <c r="I1573" s="94"/>
      <c r="J1573" s="91"/>
      <c r="K1573" s="91"/>
      <c r="L1573" s="94"/>
      <c r="M1573" s="93"/>
      <c r="N1573" s="92"/>
      <c r="O1573" s="92"/>
      <c r="P1573" s="91">
        <f t="shared" si="107"/>
        <v>0</v>
      </c>
      <c r="Q1573" s="91">
        <f t="shared" si="108"/>
        <v>0</v>
      </c>
      <c r="R1573" s="91"/>
    </row>
    <row r="1574" spans="2:18" ht="13.95" customHeight="1" x14ac:dyDescent="0.3">
      <c r="B1574" s="98"/>
      <c r="C1574" s="97" t="str">
        <f t="shared" si="106"/>
        <v>Jan-00</v>
      </c>
      <c r="D1574" s="96"/>
      <c r="E1574" s="95"/>
      <c r="F1574" s="95"/>
      <c r="G1574" s="95"/>
      <c r="H1574" s="94"/>
      <c r="I1574" s="94"/>
      <c r="J1574" s="91"/>
      <c r="K1574" s="91"/>
      <c r="L1574" s="94"/>
      <c r="M1574" s="93"/>
      <c r="N1574" s="92"/>
      <c r="O1574" s="92"/>
      <c r="P1574" s="91">
        <f t="shared" si="107"/>
        <v>0</v>
      </c>
      <c r="Q1574" s="91">
        <f t="shared" si="108"/>
        <v>0</v>
      </c>
      <c r="R1574" s="91"/>
    </row>
    <row r="1575" spans="2:18" ht="13.95" customHeight="1" x14ac:dyDescent="0.3">
      <c r="B1575" s="98"/>
      <c r="C1575" s="97" t="str">
        <f t="shared" si="106"/>
        <v>Jan-00</v>
      </c>
      <c r="D1575" s="96"/>
      <c r="E1575" s="95"/>
      <c r="F1575" s="95"/>
      <c r="G1575" s="95"/>
      <c r="H1575" s="94"/>
      <c r="I1575" s="94"/>
      <c r="J1575" s="91"/>
      <c r="K1575" s="91"/>
      <c r="L1575" s="94"/>
      <c r="M1575" s="93"/>
      <c r="N1575" s="92"/>
      <c r="O1575" s="92"/>
      <c r="P1575" s="91">
        <f t="shared" si="107"/>
        <v>0</v>
      </c>
      <c r="Q1575" s="91">
        <f t="shared" si="108"/>
        <v>0</v>
      </c>
      <c r="R1575" s="91"/>
    </row>
    <row r="1576" spans="2:18" ht="13.95" customHeight="1" x14ac:dyDescent="0.3">
      <c r="B1576" s="98"/>
      <c r="C1576" s="97" t="str">
        <f t="shared" si="106"/>
        <v>Jan-00</v>
      </c>
      <c r="D1576" s="96"/>
      <c r="E1576" s="95"/>
      <c r="F1576" s="95"/>
      <c r="G1576" s="95"/>
      <c r="H1576" s="94"/>
      <c r="I1576" s="94"/>
      <c r="J1576" s="91"/>
      <c r="K1576" s="91"/>
      <c r="L1576" s="94"/>
      <c r="M1576" s="93"/>
      <c r="N1576" s="92"/>
      <c r="O1576" s="92"/>
      <c r="P1576" s="91">
        <f t="shared" si="107"/>
        <v>0</v>
      </c>
      <c r="Q1576" s="91">
        <f t="shared" si="108"/>
        <v>0</v>
      </c>
      <c r="R1576" s="91"/>
    </row>
    <row r="1577" spans="2:18" ht="13.95" customHeight="1" x14ac:dyDescent="0.3">
      <c r="B1577" s="98"/>
      <c r="C1577" s="97" t="str">
        <f t="shared" si="106"/>
        <v>Jan-00</v>
      </c>
      <c r="D1577" s="96"/>
      <c r="E1577" s="95"/>
      <c r="F1577" s="95"/>
      <c r="G1577" s="95"/>
      <c r="H1577" s="94"/>
      <c r="I1577" s="94"/>
      <c r="J1577" s="91"/>
      <c r="K1577" s="91"/>
      <c r="L1577" s="94"/>
      <c r="M1577" s="93"/>
      <c r="N1577" s="92"/>
      <c r="O1577" s="92"/>
      <c r="P1577" s="91">
        <f t="shared" si="107"/>
        <v>0</v>
      </c>
      <c r="Q1577" s="91">
        <f t="shared" si="108"/>
        <v>0</v>
      </c>
      <c r="R1577" s="91"/>
    </row>
    <row r="1578" spans="2:18" ht="13.95" customHeight="1" x14ac:dyDescent="0.3">
      <c r="B1578" s="98"/>
      <c r="C1578" s="97" t="str">
        <f t="shared" si="106"/>
        <v>Jan-00</v>
      </c>
      <c r="D1578" s="96"/>
      <c r="E1578" s="95"/>
      <c r="F1578" s="95"/>
      <c r="G1578" s="95"/>
      <c r="H1578" s="94"/>
      <c r="I1578" s="94"/>
      <c r="J1578" s="91"/>
      <c r="K1578" s="91"/>
      <c r="L1578" s="94"/>
      <c r="M1578" s="93"/>
      <c r="N1578" s="92"/>
      <c r="O1578" s="92"/>
      <c r="P1578" s="91">
        <f t="shared" si="107"/>
        <v>0</v>
      </c>
      <c r="Q1578" s="91">
        <f t="shared" si="108"/>
        <v>0</v>
      </c>
      <c r="R1578" s="91"/>
    </row>
    <row r="1579" spans="2:18" ht="13.95" customHeight="1" x14ac:dyDescent="0.3">
      <c r="B1579" s="98"/>
      <c r="C1579" s="97" t="str">
        <f t="shared" si="106"/>
        <v>Jan-00</v>
      </c>
      <c r="D1579" s="96"/>
      <c r="E1579" s="95"/>
      <c r="F1579" s="95"/>
      <c r="G1579" s="95"/>
      <c r="H1579" s="94"/>
      <c r="I1579" s="94"/>
      <c r="J1579" s="91"/>
      <c r="K1579" s="91"/>
      <c r="L1579" s="94"/>
      <c r="M1579" s="93"/>
      <c r="N1579" s="92"/>
      <c r="O1579" s="92"/>
      <c r="P1579" s="91">
        <f t="shared" si="107"/>
        <v>0</v>
      </c>
      <c r="Q1579" s="91">
        <f t="shared" si="108"/>
        <v>0</v>
      </c>
      <c r="R1579" s="91"/>
    </row>
    <row r="1580" spans="2:18" ht="13.95" customHeight="1" x14ac:dyDescent="0.3">
      <c r="B1580" s="98"/>
      <c r="C1580" s="97" t="str">
        <f t="shared" si="106"/>
        <v>Jan-00</v>
      </c>
      <c r="D1580" s="96"/>
      <c r="E1580" s="95"/>
      <c r="F1580" s="95"/>
      <c r="G1580" s="95"/>
      <c r="H1580" s="94"/>
      <c r="I1580" s="94"/>
      <c r="J1580" s="91"/>
      <c r="K1580" s="91"/>
      <c r="L1580" s="94"/>
      <c r="M1580" s="93"/>
      <c r="N1580" s="92"/>
      <c r="O1580" s="92"/>
      <c r="P1580" s="91">
        <f t="shared" si="107"/>
        <v>0</v>
      </c>
      <c r="Q1580" s="91">
        <f t="shared" si="108"/>
        <v>0</v>
      </c>
      <c r="R1580" s="91"/>
    </row>
    <row r="1581" spans="2:18" ht="13.95" customHeight="1" x14ac:dyDescent="0.3">
      <c r="B1581" s="98"/>
      <c r="C1581" s="97" t="str">
        <f t="shared" si="106"/>
        <v>Jan-00</v>
      </c>
      <c r="D1581" s="96"/>
      <c r="E1581" s="95"/>
      <c r="F1581" s="95"/>
      <c r="G1581" s="95"/>
      <c r="H1581" s="94"/>
      <c r="I1581" s="94"/>
      <c r="J1581" s="91"/>
      <c r="K1581" s="91"/>
      <c r="L1581" s="94"/>
      <c r="M1581" s="93"/>
      <c r="N1581" s="92"/>
      <c r="O1581" s="92"/>
      <c r="P1581" s="91">
        <f t="shared" si="107"/>
        <v>0</v>
      </c>
      <c r="Q1581" s="91">
        <f t="shared" si="108"/>
        <v>0</v>
      </c>
      <c r="R1581" s="91"/>
    </row>
    <row r="1582" spans="2:18" ht="13.95" customHeight="1" x14ac:dyDescent="0.3">
      <c r="B1582" s="98"/>
      <c r="C1582" s="97" t="str">
        <f t="shared" si="106"/>
        <v>Jan-00</v>
      </c>
      <c r="D1582" s="96"/>
      <c r="E1582" s="95"/>
      <c r="F1582" s="95"/>
      <c r="G1582" s="95"/>
      <c r="H1582" s="94"/>
      <c r="I1582" s="94"/>
      <c r="J1582" s="91"/>
      <c r="K1582" s="91"/>
      <c r="L1582" s="94"/>
      <c r="M1582" s="93"/>
      <c r="N1582" s="92"/>
      <c r="O1582" s="92"/>
      <c r="P1582" s="91">
        <f t="shared" si="107"/>
        <v>0</v>
      </c>
      <c r="Q1582" s="91">
        <f t="shared" si="108"/>
        <v>0</v>
      </c>
      <c r="R1582" s="91"/>
    </row>
    <row r="1583" spans="2:18" ht="13.95" customHeight="1" x14ac:dyDescent="0.3">
      <c r="B1583" s="98"/>
      <c r="C1583" s="97" t="str">
        <f t="shared" si="106"/>
        <v>Jan-00</v>
      </c>
      <c r="D1583" s="96"/>
      <c r="E1583" s="95"/>
      <c r="F1583" s="95"/>
      <c r="G1583" s="95"/>
      <c r="H1583" s="94"/>
      <c r="I1583" s="94"/>
      <c r="J1583" s="91"/>
      <c r="K1583" s="91"/>
      <c r="L1583" s="94"/>
      <c r="M1583" s="93"/>
      <c r="N1583" s="92"/>
      <c r="O1583" s="92"/>
      <c r="P1583" s="91">
        <f t="shared" si="107"/>
        <v>0</v>
      </c>
      <c r="Q1583" s="91">
        <f t="shared" si="108"/>
        <v>0</v>
      </c>
      <c r="R1583" s="91"/>
    </row>
    <row r="1584" spans="2:18" ht="13.95" customHeight="1" x14ac:dyDescent="0.3">
      <c r="B1584" s="98"/>
      <c r="C1584" s="97" t="str">
        <f t="shared" si="106"/>
        <v>Jan-00</v>
      </c>
      <c r="D1584" s="96"/>
      <c r="E1584" s="95"/>
      <c r="F1584" s="95"/>
      <c r="G1584" s="95"/>
      <c r="H1584" s="94"/>
      <c r="I1584" s="94"/>
      <c r="J1584" s="91"/>
      <c r="K1584" s="91"/>
      <c r="L1584" s="94"/>
      <c r="M1584" s="93"/>
      <c r="N1584" s="92"/>
      <c r="O1584" s="92"/>
      <c r="P1584" s="91">
        <f t="shared" si="107"/>
        <v>0</v>
      </c>
      <c r="Q1584" s="91">
        <f t="shared" si="108"/>
        <v>0</v>
      </c>
      <c r="R1584" s="91"/>
    </row>
    <row r="1585" spans="2:18" ht="13.95" customHeight="1" x14ac:dyDescent="0.3">
      <c r="B1585" s="98"/>
      <c r="C1585" s="97" t="str">
        <f t="shared" si="106"/>
        <v>Jan-00</v>
      </c>
      <c r="D1585" s="96"/>
      <c r="E1585" s="95"/>
      <c r="F1585" s="95"/>
      <c r="G1585" s="95"/>
      <c r="H1585" s="94"/>
      <c r="I1585" s="94"/>
      <c r="J1585" s="91"/>
      <c r="K1585" s="91"/>
      <c r="L1585" s="94"/>
      <c r="M1585" s="93"/>
      <c r="N1585" s="92"/>
      <c r="O1585" s="92"/>
      <c r="P1585" s="91">
        <f t="shared" si="107"/>
        <v>0</v>
      </c>
      <c r="Q1585" s="91">
        <f t="shared" si="108"/>
        <v>0</v>
      </c>
      <c r="R1585" s="91"/>
    </row>
    <row r="1586" spans="2:18" ht="13.95" customHeight="1" x14ac:dyDescent="0.3">
      <c r="B1586" s="98"/>
      <c r="C1586" s="97" t="str">
        <f t="shared" si="106"/>
        <v>Jan-00</v>
      </c>
      <c r="D1586" s="96"/>
      <c r="E1586" s="95"/>
      <c r="F1586" s="95"/>
      <c r="G1586" s="95"/>
      <c r="H1586" s="94"/>
      <c r="I1586" s="94"/>
      <c r="J1586" s="91"/>
      <c r="K1586" s="91"/>
      <c r="L1586" s="94"/>
      <c r="M1586" s="93"/>
      <c r="N1586" s="92"/>
      <c r="O1586" s="92"/>
      <c r="P1586" s="91">
        <f t="shared" si="107"/>
        <v>0</v>
      </c>
      <c r="Q1586" s="91">
        <f t="shared" si="108"/>
        <v>0</v>
      </c>
      <c r="R1586" s="91"/>
    </row>
    <row r="1587" spans="2:18" ht="13.95" customHeight="1" x14ac:dyDescent="0.3">
      <c r="B1587" s="98"/>
      <c r="C1587" s="97" t="str">
        <f t="shared" si="106"/>
        <v>Jan-00</v>
      </c>
      <c r="D1587" s="96"/>
      <c r="E1587" s="95"/>
      <c r="F1587" s="95"/>
      <c r="G1587" s="95"/>
      <c r="H1587" s="94"/>
      <c r="I1587" s="94"/>
      <c r="J1587" s="91"/>
      <c r="K1587" s="91"/>
      <c r="L1587" s="94"/>
      <c r="M1587" s="93"/>
      <c r="N1587" s="92"/>
      <c r="O1587" s="92"/>
      <c r="P1587" s="91">
        <f t="shared" si="107"/>
        <v>0</v>
      </c>
      <c r="Q1587" s="91">
        <f t="shared" si="108"/>
        <v>0</v>
      </c>
      <c r="R1587" s="91"/>
    </row>
    <row r="1588" spans="2:18" ht="13.95" customHeight="1" x14ac:dyDescent="0.3">
      <c r="B1588" s="98"/>
      <c r="C1588" s="97" t="str">
        <f t="shared" si="106"/>
        <v>Jan-00</v>
      </c>
      <c r="D1588" s="96"/>
      <c r="E1588" s="95"/>
      <c r="F1588" s="95"/>
      <c r="G1588" s="95"/>
      <c r="H1588" s="94"/>
      <c r="I1588" s="94"/>
      <c r="J1588" s="91"/>
      <c r="K1588" s="91"/>
      <c r="L1588" s="94"/>
      <c r="M1588" s="93"/>
      <c r="N1588" s="92"/>
      <c r="O1588" s="92"/>
      <c r="P1588" s="91">
        <f t="shared" si="107"/>
        <v>0</v>
      </c>
      <c r="Q1588" s="91">
        <f t="shared" si="108"/>
        <v>0</v>
      </c>
      <c r="R1588" s="91"/>
    </row>
    <row r="1589" spans="2:18" ht="13.95" customHeight="1" x14ac:dyDescent="0.3">
      <c r="B1589" s="98"/>
      <c r="C1589" s="97" t="str">
        <f t="shared" si="106"/>
        <v>Jan-00</v>
      </c>
      <c r="D1589" s="96"/>
      <c r="E1589" s="95"/>
      <c r="F1589" s="95"/>
      <c r="G1589" s="95"/>
      <c r="H1589" s="94"/>
      <c r="I1589" s="94"/>
      <c r="J1589" s="91"/>
      <c r="K1589" s="91"/>
      <c r="L1589" s="94"/>
      <c r="M1589" s="93"/>
      <c r="N1589" s="92"/>
      <c r="O1589" s="92"/>
      <c r="P1589" s="91">
        <f t="shared" si="107"/>
        <v>0</v>
      </c>
      <c r="Q1589" s="91">
        <f t="shared" si="108"/>
        <v>0</v>
      </c>
      <c r="R1589" s="91"/>
    </row>
    <row r="1590" spans="2:18" ht="12" customHeight="1" x14ac:dyDescent="0.3">
      <c r="B1590" s="98"/>
      <c r="C1590" s="97" t="str">
        <f t="shared" si="106"/>
        <v>Jan-00</v>
      </c>
      <c r="D1590" s="96"/>
      <c r="E1590" s="95"/>
      <c r="F1590" s="95"/>
      <c r="G1590" s="95"/>
      <c r="H1590" s="94"/>
      <c r="I1590" s="94"/>
      <c r="J1590" s="91"/>
      <c r="K1590" s="91"/>
      <c r="L1590" s="94"/>
      <c r="M1590" s="93"/>
      <c r="N1590" s="92"/>
      <c r="O1590" s="92"/>
      <c r="P1590" s="91">
        <f t="shared" si="107"/>
        <v>0</v>
      </c>
      <c r="Q1590" s="91">
        <f t="shared" si="108"/>
        <v>0</v>
      </c>
      <c r="R1590" s="91"/>
    </row>
    <row r="1591" spans="2:18" ht="12" customHeight="1" x14ac:dyDescent="0.3">
      <c r="B1591" s="98"/>
      <c r="C1591" s="97" t="str">
        <f t="shared" si="106"/>
        <v>Jan-00</v>
      </c>
      <c r="D1591" s="96"/>
      <c r="E1591" s="95"/>
      <c r="F1591" s="95"/>
      <c r="G1591" s="95"/>
      <c r="H1591" s="94"/>
      <c r="I1591" s="94"/>
      <c r="J1591" s="91"/>
      <c r="K1591" s="91"/>
      <c r="L1591" s="94"/>
      <c r="M1591" s="93"/>
      <c r="N1591" s="92"/>
      <c r="O1591" s="92"/>
      <c r="P1591" s="91">
        <f t="shared" si="107"/>
        <v>0</v>
      </c>
      <c r="Q1591" s="91">
        <f t="shared" si="108"/>
        <v>0</v>
      </c>
      <c r="R1591" s="91"/>
    </row>
    <row r="1592" spans="2:18" ht="12" customHeight="1" x14ac:dyDescent="0.3">
      <c r="B1592" s="98"/>
      <c r="C1592" s="97" t="str">
        <f t="shared" si="106"/>
        <v>Jan-00</v>
      </c>
      <c r="D1592" s="96"/>
      <c r="E1592" s="95"/>
      <c r="F1592" s="95"/>
      <c r="G1592" s="95"/>
      <c r="H1592" s="94"/>
      <c r="I1592" s="94"/>
      <c r="J1592" s="91"/>
      <c r="K1592" s="91"/>
      <c r="L1592" s="94"/>
      <c r="M1592" s="93"/>
      <c r="N1592" s="92"/>
      <c r="O1592" s="92"/>
      <c r="P1592" s="91">
        <f t="shared" si="107"/>
        <v>0</v>
      </c>
      <c r="Q1592" s="91">
        <f t="shared" si="108"/>
        <v>0</v>
      </c>
      <c r="R1592" s="91"/>
    </row>
    <row r="1593" spans="2:18" ht="12" customHeight="1" x14ac:dyDescent="0.3">
      <c r="B1593" s="98"/>
      <c r="C1593" s="97" t="str">
        <f t="shared" si="106"/>
        <v>Jan-00</v>
      </c>
      <c r="D1593" s="96"/>
      <c r="E1593" s="95"/>
      <c r="F1593" s="95"/>
      <c r="G1593" s="95"/>
      <c r="H1593" s="94"/>
      <c r="I1593" s="94"/>
      <c r="J1593" s="91"/>
      <c r="K1593" s="91"/>
      <c r="L1593" s="94"/>
      <c r="M1593" s="93"/>
      <c r="N1593" s="92"/>
      <c r="O1593" s="92"/>
      <c r="P1593" s="91">
        <f t="shared" si="107"/>
        <v>0</v>
      </c>
      <c r="Q1593" s="91">
        <f t="shared" si="108"/>
        <v>0</v>
      </c>
      <c r="R1593" s="91"/>
    </row>
    <row r="1594" spans="2:18" ht="12" customHeight="1" x14ac:dyDescent="0.3">
      <c r="B1594" s="98"/>
      <c r="C1594" s="97" t="str">
        <f t="shared" si="106"/>
        <v>Jan-00</v>
      </c>
      <c r="D1594" s="96"/>
      <c r="E1594" s="95"/>
      <c r="F1594" s="95"/>
      <c r="G1594" s="95"/>
      <c r="H1594" s="94"/>
      <c r="I1594" s="94"/>
      <c r="J1594" s="91"/>
      <c r="K1594" s="91"/>
      <c r="L1594" s="94"/>
      <c r="M1594" s="93"/>
      <c r="N1594" s="92"/>
      <c r="O1594" s="92"/>
      <c r="P1594" s="91">
        <f t="shared" si="107"/>
        <v>0</v>
      </c>
      <c r="Q1594" s="91">
        <f t="shared" si="108"/>
        <v>0</v>
      </c>
      <c r="R1594" s="91"/>
    </row>
    <row r="1595" spans="2:18" ht="12" customHeight="1" x14ac:dyDescent="0.3">
      <c r="B1595" s="98"/>
      <c r="C1595" s="97" t="str">
        <f t="shared" si="106"/>
        <v>Jan-00</v>
      </c>
      <c r="D1595" s="96"/>
      <c r="E1595" s="95"/>
      <c r="F1595" s="95"/>
      <c r="G1595" s="95"/>
      <c r="H1595" s="94"/>
      <c r="I1595" s="94"/>
      <c r="J1595" s="91"/>
      <c r="K1595" s="91"/>
      <c r="L1595" s="94"/>
      <c r="M1595" s="93"/>
      <c r="N1595" s="92"/>
      <c r="O1595" s="92"/>
      <c r="P1595" s="91">
        <f t="shared" si="107"/>
        <v>0</v>
      </c>
      <c r="Q1595" s="91">
        <f t="shared" si="108"/>
        <v>0</v>
      </c>
      <c r="R1595" s="91"/>
    </row>
    <row r="1596" spans="2:18" ht="12" customHeight="1" x14ac:dyDescent="0.3">
      <c r="B1596" s="98"/>
      <c r="C1596" s="97" t="str">
        <f t="shared" si="106"/>
        <v>Jan-00</v>
      </c>
      <c r="D1596" s="96"/>
      <c r="E1596" s="95"/>
      <c r="F1596" s="95"/>
      <c r="G1596" s="95"/>
      <c r="H1596" s="94"/>
      <c r="I1596" s="94"/>
      <c r="J1596" s="91"/>
      <c r="K1596" s="91"/>
      <c r="L1596" s="94"/>
      <c r="M1596" s="93"/>
      <c r="N1596" s="92"/>
      <c r="O1596" s="92"/>
      <c r="P1596" s="91">
        <f t="shared" si="107"/>
        <v>0</v>
      </c>
      <c r="Q1596" s="91">
        <f t="shared" si="108"/>
        <v>0</v>
      </c>
      <c r="R1596" s="91"/>
    </row>
    <row r="1597" spans="2:18" ht="12" customHeight="1" x14ac:dyDescent="0.3">
      <c r="B1597" s="98"/>
      <c r="C1597" s="97" t="str">
        <f t="shared" si="106"/>
        <v>Jan-00</v>
      </c>
      <c r="D1597" s="96"/>
      <c r="E1597" s="95"/>
      <c r="F1597" s="95"/>
      <c r="G1597" s="95"/>
      <c r="H1597" s="94"/>
      <c r="I1597" s="94"/>
      <c r="J1597" s="91"/>
      <c r="K1597" s="91"/>
      <c r="L1597" s="94"/>
      <c r="M1597" s="93"/>
      <c r="N1597" s="92"/>
      <c r="O1597" s="92"/>
      <c r="P1597" s="91">
        <f t="shared" si="107"/>
        <v>0</v>
      </c>
      <c r="Q1597" s="91">
        <f t="shared" si="108"/>
        <v>0</v>
      </c>
      <c r="R1597" s="91"/>
    </row>
    <row r="1598" spans="2:18" ht="12" customHeight="1" x14ac:dyDescent="0.3">
      <c r="B1598" s="98"/>
      <c r="C1598" s="97" t="str">
        <f t="shared" si="106"/>
        <v>Jan-00</v>
      </c>
      <c r="D1598" s="96"/>
      <c r="E1598" s="95"/>
      <c r="F1598" s="95"/>
      <c r="G1598" s="95"/>
      <c r="H1598" s="94"/>
      <c r="I1598" s="94"/>
      <c r="J1598" s="91"/>
      <c r="K1598" s="91"/>
      <c r="L1598" s="94"/>
      <c r="M1598" s="93"/>
      <c r="N1598" s="92"/>
      <c r="O1598" s="92"/>
      <c r="P1598" s="91">
        <f t="shared" si="107"/>
        <v>0</v>
      </c>
      <c r="Q1598" s="91">
        <f t="shared" si="108"/>
        <v>0</v>
      </c>
      <c r="R1598" s="91"/>
    </row>
    <row r="1599" spans="2:18" ht="12" customHeight="1" x14ac:dyDescent="0.3">
      <c r="B1599" s="98"/>
      <c r="C1599" s="97" t="str">
        <f t="shared" si="106"/>
        <v>Jan-00</v>
      </c>
      <c r="D1599" s="96"/>
      <c r="E1599" s="95"/>
      <c r="F1599" s="95"/>
      <c r="G1599" s="95"/>
      <c r="H1599" s="94"/>
      <c r="I1599" s="94"/>
      <c r="J1599" s="91"/>
      <c r="K1599" s="91"/>
      <c r="L1599" s="94"/>
      <c r="M1599" s="93"/>
      <c r="N1599" s="92"/>
      <c r="O1599" s="92"/>
      <c r="P1599" s="91">
        <f t="shared" si="107"/>
        <v>0</v>
      </c>
      <c r="Q1599" s="91">
        <f t="shared" si="108"/>
        <v>0</v>
      </c>
      <c r="R1599" s="91"/>
    </row>
    <row r="1600" spans="2:18" ht="12" customHeight="1" x14ac:dyDescent="0.3">
      <c r="B1600" s="98"/>
      <c r="C1600" s="97" t="str">
        <f t="shared" si="106"/>
        <v>Jan-00</v>
      </c>
      <c r="D1600" s="96"/>
      <c r="E1600" s="95"/>
      <c r="F1600" s="95"/>
      <c r="G1600" s="95"/>
      <c r="H1600" s="94"/>
      <c r="I1600" s="94"/>
      <c r="J1600" s="91"/>
      <c r="K1600" s="91"/>
      <c r="L1600" s="94"/>
      <c r="M1600" s="93"/>
      <c r="N1600" s="92"/>
      <c r="O1600" s="92"/>
      <c r="P1600" s="91">
        <f t="shared" si="107"/>
        <v>0</v>
      </c>
      <c r="Q1600" s="91">
        <f t="shared" si="108"/>
        <v>0</v>
      </c>
      <c r="R1600" s="91"/>
    </row>
    <row r="1601" spans="2:18" ht="12" customHeight="1" x14ac:dyDescent="0.3">
      <c r="B1601" s="98"/>
      <c r="C1601" s="97" t="str">
        <f t="shared" si="106"/>
        <v>Jan-00</v>
      </c>
      <c r="D1601" s="96"/>
      <c r="E1601" s="95"/>
      <c r="F1601" s="95"/>
      <c r="G1601" s="95"/>
      <c r="H1601" s="94"/>
      <c r="I1601" s="94"/>
      <c r="J1601" s="91"/>
      <c r="K1601" s="91"/>
      <c r="L1601" s="94"/>
      <c r="M1601" s="93"/>
      <c r="N1601" s="92"/>
      <c r="O1601" s="92"/>
      <c r="P1601" s="91">
        <f t="shared" si="107"/>
        <v>0</v>
      </c>
      <c r="Q1601" s="91">
        <f t="shared" si="108"/>
        <v>0</v>
      </c>
      <c r="R1601" s="91"/>
    </row>
    <row r="1602" spans="2:18" ht="12" customHeight="1" x14ac:dyDescent="0.3">
      <c r="B1602" s="98"/>
      <c r="C1602" s="97" t="str">
        <f t="shared" si="106"/>
        <v>Jan-00</v>
      </c>
      <c r="D1602" s="96"/>
      <c r="E1602" s="95"/>
      <c r="F1602" s="95"/>
      <c r="G1602" s="95"/>
      <c r="H1602" s="94"/>
      <c r="I1602" s="94"/>
      <c r="J1602" s="91"/>
      <c r="K1602" s="91"/>
      <c r="L1602" s="94"/>
      <c r="M1602" s="93"/>
      <c r="N1602" s="92"/>
      <c r="O1602" s="92"/>
      <c r="P1602" s="91">
        <f t="shared" si="107"/>
        <v>0</v>
      </c>
      <c r="Q1602" s="91">
        <f t="shared" si="108"/>
        <v>0</v>
      </c>
      <c r="R1602" s="91"/>
    </row>
    <row r="1603" spans="2:18" ht="12" customHeight="1" x14ac:dyDescent="0.3">
      <c r="B1603" s="98"/>
      <c r="C1603" s="97" t="str">
        <f t="shared" si="106"/>
        <v>Jan-00</v>
      </c>
      <c r="D1603" s="96"/>
      <c r="E1603" s="95"/>
      <c r="F1603" s="95"/>
      <c r="G1603" s="95"/>
      <c r="H1603" s="94"/>
      <c r="I1603" s="94"/>
      <c r="J1603" s="91"/>
      <c r="K1603" s="91"/>
      <c r="L1603" s="94"/>
      <c r="M1603" s="93"/>
      <c r="N1603" s="92"/>
      <c r="O1603" s="92"/>
      <c r="P1603" s="91">
        <f t="shared" si="107"/>
        <v>0</v>
      </c>
      <c r="Q1603" s="91">
        <f t="shared" si="108"/>
        <v>0</v>
      </c>
      <c r="R1603" s="91"/>
    </row>
    <row r="1604" spans="2:18" ht="12" customHeight="1" x14ac:dyDescent="0.3">
      <c r="B1604" s="98"/>
      <c r="C1604" s="97" t="str">
        <f t="shared" ref="C1604:C1661" si="109">CONCATENATE(TEXT(D1604,"mmm"),"-",TEXT(D1604,"yy"))</f>
        <v>Jan-00</v>
      </c>
      <c r="D1604" s="96"/>
      <c r="E1604" s="95"/>
      <c r="F1604" s="95"/>
      <c r="G1604" s="95"/>
      <c r="H1604" s="94"/>
      <c r="I1604" s="94"/>
      <c r="J1604" s="91"/>
      <c r="K1604" s="91"/>
      <c r="L1604" s="94"/>
      <c r="M1604" s="93"/>
      <c r="N1604" s="92"/>
      <c r="O1604" s="92"/>
      <c r="P1604" s="91">
        <f t="shared" ref="P1604:P1641" si="110">O1604*1%</f>
        <v>0</v>
      </c>
      <c r="Q1604" s="91">
        <f t="shared" ref="Q1604:Q1641" si="111">O1604-P1604</f>
        <v>0</v>
      </c>
      <c r="R1604" s="91"/>
    </row>
    <row r="1605" spans="2:18" ht="12" customHeight="1" x14ac:dyDescent="0.3">
      <c r="B1605" s="98"/>
      <c r="C1605" s="97" t="str">
        <f t="shared" si="109"/>
        <v>Jan-00</v>
      </c>
      <c r="D1605" s="96"/>
      <c r="E1605" s="95"/>
      <c r="F1605" s="95"/>
      <c r="G1605" s="95"/>
      <c r="H1605" s="94"/>
      <c r="I1605" s="94"/>
      <c r="J1605" s="91"/>
      <c r="K1605" s="91"/>
      <c r="L1605" s="94"/>
      <c r="M1605" s="93"/>
      <c r="N1605" s="92"/>
      <c r="O1605" s="92"/>
      <c r="P1605" s="91">
        <f t="shared" si="110"/>
        <v>0</v>
      </c>
      <c r="Q1605" s="91">
        <f t="shared" si="111"/>
        <v>0</v>
      </c>
      <c r="R1605" s="91"/>
    </row>
    <row r="1606" spans="2:18" ht="12" customHeight="1" x14ac:dyDescent="0.3">
      <c r="B1606" s="98"/>
      <c r="C1606" s="97" t="str">
        <f t="shared" si="109"/>
        <v>Jan-00</v>
      </c>
      <c r="D1606" s="96"/>
      <c r="E1606" s="95"/>
      <c r="F1606" s="95"/>
      <c r="G1606" s="95"/>
      <c r="H1606" s="94"/>
      <c r="I1606" s="94"/>
      <c r="J1606" s="91"/>
      <c r="K1606" s="91"/>
      <c r="L1606" s="94"/>
      <c r="M1606" s="93"/>
      <c r="N1606" s="92"/>
      <c r="O1606" s="92"/>
      <c r="P1606" s="91">
        <f t="shared" si="110"/>
        <v>0</v>
      </c>
      <c r="Q1606" s="91">
        <f t="shared" si="111"/>
        <v>0</v>
      </c>
      <c r="R1606" s="91"/>
    </row>
    <row r="1607" spans="2:18" ht="12" customHeight="1" x14ac:dyDescent="0.3">
      <c r="B1607" s="98"/>
      <c r="C1607" s="97" t="str">
        <f t="shared" si="109"/>
        <v>Jan-00</v>
      </c>
      <c r="D1607" s="96"/>
      <c r="E1607" s="95"/>
      <c r="F1607" s="95"/>
      <c r="G1607" s="95"/>
      <c r="H1607" s="94"/>
      <c r="I1607" s="94"/>
      <c r="J1607" s="91"/>
      <c r="K1607" s="91"/>
      <c r="L1607" s="94"/>
      <c r="M1607" s="93"/>
      <c r="N1607" s="92"/>
      <c r="O1607" s="92"/>
      <c r="P1607" s="91">
        <f t="shared" si="110"/>
        <v>0</v>
      </c>
      <c r="Q1607" s="91">
        <f t="shared" si="111"/>
        <v>0</v>
      </c>
      <c r="R1607" s="91"/>
    </row>
    <row r="1608" spans="2:18" ht="12" customHeight="1" x14ac:dyDescent="0.3">
      <c r="B1608" s="98"/>
      <c r="C1608" s="97" t="str">
        <f t="shared" si="109"/>
        <v>Jan-00</v>
      </c>
      <c r="D1608" s="96"/>
      <c r="E1608" s="95"/>
      <c r="F1608" s="95"/>
      <c r="G1608" s="95"/>
      <c r="H1608" s="94"/>
      <c r="I1608" s="94"/>
      <c r="J1608" s="91"/>
      <c r="K1608" s="91"/>
      <c r="L1608" s="94"/>
      <c r="M1608" s="93"/>
      <c r="N1608" s="92"/>
      <c r="O1608" s="92"/>
      <c r="P1608" s="91">
        <f t="shared" si="110"/>
        <v>0</v>
      </c>
      <c r="Q1608" s="91">
        <f t="shared" si="111"/>
        <v>0</v>
      </c>
      <c r="R1608" s="91"/>
    </row>
    <row r="1609" spans="2:18" ht="12" customHeight="1" x14ac:dyDescent="0.3">
      <c r="B1609" s="98"/>
      <c r="C1609" s="97" t="str">
        <f t="shared" si="109"/>
        <v>Jan-00</v>
      </c>
      <c r="D1609" s="96"/>
      <c r="E1609" s="95"/>
      <c r="F1609" s="95"/>
      <c r="G1609" s="95"/>
      <c r="H1609" s="94"/>
      <c r="I1609" s="94"/>
      <c r="J1609" s="91"/>
      <c r="K1609" s="91"/>
      <c r="L1609" s="94"/>
      <c r="M1609" s="93"/>
      <c r="N1609" s="92"/>
      <c r="O1609" s="92"/>
      <c r="P1609" s="91">
        <f t="shared" si="110"/>
        <v>0</v>
      </c>
      <c r="Q1609" s="91">
        <f t="shared" si="111"/>
        <v>0</v>
      </c>
      <c r="R1609" s="91"/>
    </row>
    <row r="1610" spans="2:18" ht="12" customHeight="1" x14ac:dyDescent="0.3">
      <c r="B1610" s="98"/>
      <c r="C1610" s="97" t="str">
        <f t="shared" si="109"/>
        <v>Jan-00</v>
      </c>
      <c r="D1610" s="96"/>
      <c r="E1610" s="95"/>
      <c r="F1610" s="95"/>
      <c r="G1610" s="95"/>
      <c r="H1610" s="94"/>
      <c r="I1610" s="94"/>
      <c r="J1610" s="91"/>
      <c r="K1610" s="91"/>
      <c r="L1610" s="94"/>
      <c r="M1610" s="93"/>
      <c r="N1610" s="92"/>
      <c r="O1610" s="92"/>
      <c r="P1610" s="91">
        <f t="shared" si="110"/>
        <v>0</v>
      </c>
      <c r="Q1610" s="91">
        <f t="shared" si="111"/>
        <v>0</v>
      </c>
      <c r="R1610" s="91"/>
    </row>
    <row r="1611" spans="2:18" ht="12" customHeight="1" x14ac:dyDescent="0.3">
      <c r="B1611" s="98"/>
      <c r="C1611" s="97" t="str">
        <f t="shared" si="109"/>
        <v>Jan-00</v>
      </c>
      <c r="D1611" s="96"/>
      <c r="E1611" s="95"/>
      <c r="F1611" s="95"/>
      <c r="G1611" s="95"/>
      <c r="H1611" s="94"/>
      <c r="I1611" s="94"/>
      <c r="J1611" s="91"/>
      <c r="K1611" s="91"/>
      <c r="L1611" s="94"/>
      <c r="M1611" s="93"/>
      <c r="N1611" s="92"/>
      <c r="O1611" s="92"/>
      <c r="P1611" s="91">
        <f t="shared" si="110"/>
        <v>0</v>
      </c>
      <c r="Q1611" s="91">
        <f t="shared" si="111"/>
        <v>0</v>
      </c>
      <c r="R1611" s="91"/>
    </row>
    <row r="1612" spans="2:18" ht="12" customHeight="1" x14ac:dyDescent="0.3">
      <c r="B1612" s="98"/>
      <c r="C1612" s="97" t="str">
        <f t="shared" si="109"/>
        <v>Jan-00</v>
      </c>
      <c r="D1612" s="96"/>
      <c r="E1612" s="95"/>
      <c r="F1612" s="95"/>
      <c r="G1612" s="95"/>
      <c r="H1612" s="94"/>
      <c r="I1612" s="94"/>
      <c r="J1612" s="91"/>
      <c r="K1612" s="91"/>
      <c r="L1612" s="94"/>
      <c r="M1612" s="93"/>
      <c r="N1612" s="92"/>
      <c r="O1612" s="92"/>
      <c r="P1612" s="91">
        <f t="shared" si="110"/>
        <v>0</v>
      </c>
      <c r="Q1612" s="91">
        <f t="shared" si="111"/>
        <v>0</v>
      </c>
      <c r="R1612" s="91"/>
    </row>
    <row r="1613" spans="2:18" ht="12" customHeight="1" x14ac:dyDescent="0.3">
      <c r="B1613" s="98"/>
      <c r="C1613" s="97" t="str">
        <f t="shared" si="109"/>
        <v>Jan-00</v>
      </c>
      <c r="D1613" s="96"/>
      <c r="E1613" s="95"/>
      <c r="F1613" s="95"/>
      <c r="G1613" s="95"/>
      <c r="H1613" s="94"/>
      <c r="I1613" s="94"/>
      <c r="J1613" s="91"/>
      <c r="K1613" s="91"/>
      <c r="L1613" s="94"/>
      <c r="M1613" s="93"/>
      <c r="N1613" s="92"/>
      <c r="O1613" s="92"/>
      <c r="P1613" s="91">
        <f t="shared" si="110"/>
        <v>0</v>
      </c>
      <c r="Q1613" s="91">
        <f t="shared" si="111"/>
        <v>0</v>
      </c>
      <c r="R1613" s="91"/>
    </row>
    <row r="1614" spans="2:18" ht="12" customHeight="1" x14ac:dyDescent="0.3">
      <c r="B1614" s="98"/>
      <c r="C1614" s="97" t="str">
        <f t="shared" si="109"/>
        <v>Jan-00</v>
      </c>
      <c r="D1614" s="96"/>
      <c r="E1614" s="95"/>
      <c r="F1614" s="95"/>
      <c r="G1614" s="95"/>
      <c r="H1614" s="94"/>
      <c r="I1614" s="94"/>
      <c r="J1614" s="91"/>
      <c r="K1614" s="91"/>
      <c r="L1614" s="94"/>
      <c r="M1614" s="93"/>
      <c r="N1614" s="92"/>
      <c r="O1614" s="92"/>
      <c r="P1614" s="91">
        <f t="shared" si="110"/>
        <v>0</v>
      </c>
      <c r="Q1614" s="91">
        <f t="shared" si="111"/>
        <v>0</v>
      </c>
      <c r="R1614" s="91"/>
    </row>
    <row r="1615" spans="2:18" ht="12" customHeight="1" x14ac:dyDescent="0.3">
      <c r="B1615" s="98"/>
      <c r="C1615" s="97" t="str">
        <f t="shared" si="109"/>
        <v>Jan-00</v>
      </c>
      <c r="D1615" s="96"/>
      <c r="E1615" s="95"/>
      <c r="F1615" s="95"/>
      <c r="G1615" s="95"/>
      <c r="H1615" s="94"/>
      <c r="I1615" s="94"/>
      <c r="J1615" s="91"/>
      <c r="K1615" s="91"/>
      <c r="L1615" s="94"/>
      <c r="M1615" s="93"/>
      <c r="N1615" s="92"/>
      <c r="O1615" s="92"/>
      <c r="P1615" s="91">
        <f t="shared" si="110"/>
        <v>0</v>
      </c>
      <c r="Q1615" s="91">
        <f t="shared" si="111"/>
        <v>0</v>
      </c>
      <c r="R1615" s="91"/>
    </row>
    <row r="1616" spans="2:18" ht="12" customHeight="1" x14ac:dyDescent="0.3">
      <c r="B1616" s="98"/>
      <c r="C1616" s="97" t="str">
        <f t="shared" si="109"/>
        <v>Jan-00</v>
      </c>
      <c r="D1616" s="96"/>
      <c r="E1616" s="95"/>
      <c r="F1616" s="95"/>
      <c r="G1616" s="95"/>
      <c r="H1616" s="94"/>
      <c r="I1616" s="94"/>
      <c r="J1616" s="91"/>
      <c r="K1616" s="91"/>
      <c r="L1616" s="94"/>
      <c r="M1616" s="93"/>
      <c r="N1616" s="92"/>
      <c r="O1616" s="92"/>
      <c r="P1616" s="91">
        <f t="shared" si="110"/>
        <v>0</v>
      </c>
      <c r="Q1616" s="91">
        <f t="shared" si="111"/>
        <v>0</v>
      </c>
      <c r="R1616" s="91"/>
    </row>
    <row r="1617" spans="2:18" ht="12" customHeight="1" x14ac:dyDescent="0.3">
      <c r="B1617" s="98"/>
      <c r="C1617" s="97" t="str">
        <f t="shared" si="109"/>
        <v>Jan-00</v>
      </c>
      <c r="D1617" s="96"/>
      <c r="E1617" s="95"/>
      <c r="F1617" s="95"/>
      <c r="G1617" s="95"/>
      <c r="H1617" s="94"/>
      <c r="I1617" s="94"/>
      <c r="J1617" s="91"/>
      <c r="K1617" s="91"/>
      <c r="L1617" s="94"/>
      <c r="M1617" s="93"/>
      <c r="N1617" s="92"/>
      <c r="O1617" s="92"/>
      <c r="P1617" s="91">
        <f t="shared" si="110"/>
        <v>0</v>
      </c>
      <c r="Q1617" s="91">
        <f t="shared" si="111"/>
        <v>0</v>
      </c>
      <c r="R1617" s="91"/>
    </row>
    <row r="1618" spans="2:18" ht="12" customHeight="1" x14ac:dyDescent="0.3">
      <c r="B1618" s="98"/>
      <c r="C1618" s="97" t="str">
        <f t="shared" si="109"/>
        <v>Jan-00</v>
      </c>
      <c r="D1618" s="96"/>
      <c r="E1618" s="95"/>
      <c r="F1618" s="95"/>
      <c r="G1618" s="95"/>
      <c r="H1618" s="94"/>
      <c r="I1618" s="94"/>
      <c r="J1618" s="91"/>
      <c r="K1618" s="91"/>
      <c r="L1618" s="94"/>
      <c r="M1618" s="93"/>
      <c r="N1618" s="92"/>
      <c r="O1618" s="92"/>
      <c r="P1618" s="91">
        <f t="shared" si="110"/>
        <v>0</v>
      </c>
      <c r="Q1618" s="91">
        <f t="shared" si="111"/>
        <v>0</v>
      </c>
      <c r="R1618" s="91"/>
    </row>
    <row r="1619" spans="2:18" ht="12" customHeight="1" x14ac:dyDescent="0.3">
      <c r="B1619" s="98"/>
      <c r="C1619" s="97" t="str">
        <f t="shared" si="109"/>
        <v>Jan-00</v>
      </c>
      <c r="D1619" s="96"/>
      <c r="E1619" s="95"/>
      <c r="F1619" s="95"/>
      <c r="G1619" s="95"/>
      <c r="H1619" s="94"/>
      <c r="I1619" s="94"/>
      <c r="J1619" s="91"/>
      <c r="K1619" s="91"/>
      <c r="L1619" s="94"/>
      <c r="M1619" s="93"/>
      <c r="N1619" s="92"/>
      <c r="O1619" s="92"/>
      <c r="P1619" s="91">
        <f t="shared" si="110"/>
        <v>0</v>
      </c>
      <c r="Q1619" s="91">
        <f t="shared" si="111"/>
        <v>0</v>
      </c>
      <c r="R1619" s="91"/>
    </row>
    <row r="1620" spans="2:18" ht="12" customHeight="1" x14ac:dyDescent="0.3">
      <c r="B1620" s="98"/>
      <c r="C1620" s="97" t="str">
        <f t="shared" si="109"/>
        <v>Jan-00</v>
      </c>
      <c r="D1620" s="96"/>
      <c r="E1620" s="95"/>
      <c r="F1620" s="95"/>
      <c r="G1620" s="95"/>
      <c r="H1620" s="94"/>
      <c r="I1620" s="94"/>
      <c r="J1620" s="91"/>
      <c r="K1620" s="91"/>
      <c r="L1620" s="94"/>
      <c r="M1620" s="93"/>
      <c r="N1620" s="92"/>
      <c r="O1620" s="92"/>
      <c r="P1620" s="91">
        <f t="shared" si="110"/>
        <v>0</v>
      </c>
      <c r="Q1620" s="91">
        <f t="shared" si="111"/>
        <v>0</v>
      </c>
      <c r="R1620" s="91"/>
    </row>
    <row r="1621" spans="2:18" ht="12" customHeight="1" x14ac:dyDescent="0.3">
      <c r="B1621" s="98"/>
      <c r="C1621" s="97" t="str">
        <f t="shared" si="109"/>
        <v>Jan-00</v>
      </c>
      <c r="D1621" s="96"/>
      <c r="E1621" s="95"/>
      <c r="F1621" s="95"/>
      <c r="G1621" s="95"/>
      <c r="H1621" s="94"/>
      <c r="I1621" s="94"/>
      <c r="J1621" s="91"/>
      <c r="K1621" s="91"/>
      <c r="L1621" s="94"/>
      <c r="M1621" s="93"/>
      <c r="N1621" s="92"/>
      <c r="O1621" s="92"/>
      <c r="P1621" s="91">
        <f t="shared" si="110"/>
        <v>0</v>
      </c>
      <c r="Q1621" s="91">
        <f t="shared" si="111"/>
        <v>0</v>
      </c>
      <c r="R1621" s="91"/>
    </row>
    <row r="1622" spans="2:18" ht="12" customHeight="1" x14ac:dyDescent="0.3">
      <c r="B1622" s="98"/>
      <c r="C1622" s="97" t="str">
        <f t="shared" si="109"/>
        <v>Jan-00</v>
      </c>
      <c r="D1622" s="96"/>
      <c r="E1622" s="95"/>
      <c r="F1622" s="95"/>
      <c r="G1622" s="95"/>
      <c r="H1622" s="94"/>
      <c r="I1622" s="94"/>
      <c r="J1622" s="91"/>
      <c r="K1622" s="91"/>
      <c r="L1622" s="94"/>
      <c r="M1622" s="93"/>
      <c r="N1622" s="92"/>
      <c r="O1622" s="92"/>
      <c r="P1622" s="91">
        <f t="shared" si="110"/>
        <v>0</v>
      </c>
      <c r="Q1622" s="91">
        <f t="shared" si="111"/>
        <v>0</v>
      </c>
      <c r="R1622" s="91"/>
    </row>
    <row r="1623" spans="2:18" ht="12" customHeight="1" x14ac:dyDescent="0.3">
      <c r="B1623" s="98"/>
      <c r="C1623" s="97" t="str">
        <f t="shared" si="109"/>
        <v>Jan-00</v>
      </c>
      <c r="D1623" s="96"/>
      <c r="E1623" s="95"/>
      <c r="F1623" s="95"/>
      <c r="G1623" s="95"/>
      <c r="H1623" s="94"/>
      <c r="I1623" s="94"/>
      <c r="J1623" s="91"/>
      <c r="K1623" s="91"/>
      <c r="L1623" s="94"/>
      <c r="M1623" s="93"/>
      <c r="N1623" s="92"/>
      <c r="O1623" s="92"/>
      <c r="P1623" s="91">
        <f t="shared" si="110"/>
        <v>0</v>
      </c>
      <c r="Q1623" s="91">
        <f t="shared" si="111"/>
        <v>0</v>
      </c>
      <c r="R1623" s="91"/>
    </row>
    <row r="1624" spans="2:18" ht="12" customHeight="1" x14ac:dyDescent="0.3">
      <c r="B1624" s="98"/>
      <c r="C1624" s="97" t="str">
        <f t="shared" si="109"/>
        <v>Jan-00</v>
      </c>
      <c r="D1624" s="96"/>
      <c r="E1624" s="95"/>
      <c r="F1624" s="95"/>
      <c r="G1624" s="95"/>
      <c r="H1624" s="94"/>
      <c r="I1624" s="94"/>
      <c r="J1624" s="91"/>
      <c r="K1624" s="91"/>
      <c r="L1624" s="94"/>
      <c r="M1624" s="93"/>
      <c r="N1624" s="92"/>
      <c r="O1624" s="92"/>
      <c r="P1624" s="91">
        <f t="shared" si="110"/>
        <v>0</v>
      </c>
      <c r="Q1624" s="91">
        <f t="shared" si="111"/>
        <v>0</v>
      </c>
      <c r="R1624" s="91"/>
    </row>
    <row r="1625" spans="2:18" ht="12" customHeight="1" x14ac:dyDescent="0.3">
      <c r="B1625" s="98"/>
      <c r="C1625" s="97" t="str">
        <f t="shared" si="109"/>
        <v>Jan-00</v>
      </c>
      <c r="D1625" s="96"/>
      <c r="E1625" s="95"/>
      <c r="F1625" s="95"/>
      <c r="G1625" s="95"/>
      <c r="H1625" s="94"/>
      <c r="I1625" s="94"/>
      <c r="J1625" s="91"/>
      <c r="K1625" s="91"/>
      <c r="L1625" s="94"/>
      <c r="M1625" s="93"/>
      <c r="N1625" s="92"/>
      <c r="O1625" s="92"/>
      <c r="P1625" s="91">
        <f t="shared" si="110"/>
        <v>0</v>
      </c>
      <c r="Q1625" s="91">
        <f t="shared" si="111"/>
        <v>0</v>
      </c>
      <c r="R1625" s="91"/>
    </row>
    <row r="1626" spans="2:18" ht="12" customHeight="1" x14ac:dyDescent="0.3">
      <c r="B1626" s="98"/>
      <c r="C1626" s="97" t="str">
        <f t="shared" si="109"/>
        <v>Jan-00</v>
      </c>
      <c r="D1626" s="96"/>
      <c r="E1626" s="95"/>
      <c r="F1626" s="95"/>
      <c r="G1626" s="95"/>
      <c r="H1626" s="94"/>
      <c r="I1626" s="94"/>
      <c r="J1626" s="91"/>
      <c r="K1626" s="91"/>
      <c r="L1626" s="94"/>
      <c r="M1626" s="93"/>
      <c r="N1626" s="92"/>
      <c r="O1626" s="92"/>
      <c r="P1626" s="91">
        <f t="shared" si="110"/>
        <v>0</v>
      </c>
      <c r="Q1626" s="91">
        <f t="shared" si="111"/>
        <v>0</v>
      </c>
      <c r="R1626" s="91"/>
    </row>
    <row r="1627" spans="2:18" ht="12" customHeight="1" x14ac:dyDescent="0.3">
      <c r="B1627" s="98"/>
      <c r="C1627" s="97" t="str">
        <f t="shared" si="109"/>
        <v>Jan-00</v>
      </c>
      <c r="D1627" s="96"/>
      <c r="E1627" s="95"/>
      <c r="F1627" s="95"/>
      <c r="G1627" s="95"/>
      <c r="H1627" s="94"/>
      <c r="I1627" s="94"/>
      <c r="J1627" s="91"/>
      <c r="K1627" s="91"/>
      <c r="L1627" s="94"/>
      <c r="M1627" s="93"/>
      <c r="N1627" s="92"/>
      <c r="O1627" s="92"/>
      <c r="P1627" s="91">
        <f t="shared" si="110"/>
        <v>0</v>
      </c>
      <c r="Q1627" s="91">
        <f t="shared" si="111"/>
        <v>0</v>
      </c>
      <c r="R1627" s="91"/>
    </row>
    <row r="1628" spans="2:18" ht="12" customHeight="1" x14ac:dyDescent="0.3">
      <c r="B1628" s="98"/>
      <c r="C1628" s="97" t="str">
        <f t="shared" si="109"/>
        <v>Jan-00</v>
      </c>
      <c r="D1628" s="96"/>
      <c r="E1628" s="95"/>
      <c r="F1628" s="95"/>
      <c r="G1628" s="95"/>
      <c r="H1628" s="94"/>
      <c r="I1628" s="94"/>
      <c r="J1628" s="91"/>
      <c r="K1628" s="91"/>
      <c r="L1628" s="94"/>
      <c r="M1628" s="93"/>
      <c r="N1628" s="92"/>
      <c r="O1628" s="92"/>
      <c r="P1628" s="91">
        <f t="shared" si="110"/>
        <v>0</v>
      </c>
      <c r="Q1628" s="91">
        <f t="shared" si="111"/>
        <v>0</v>
      </c>
      <c r="R1628" s="91"/>
    </row>
    <row r="1629" spans="2:18" ht="12" customHeight="1" x14ac:dyDescent="0.3">
      <c r="B1629" s="98"/>
      <c r="C1629" s="97" t="str">
        <f t="shared" si="109"/>
        <v>Jan-00</v>
      </c>
      <c r="D1629" s="96"/>
      <c r="E1629" s="95"/>
      <c r="F1629" s="95"/>
      <c r="G1629" s="95"/>
      <c r="H1629" s="94"/>
      <c r="I1629" s="94"/>
      <c r="J1629" s="91"/>
      <c r="K1629" s="91"/>
      <c r="L1629" s="94"/>
      <c r="M1629" s="93"/>
      <c r="N1629" s="92"/>
      <c r="O1629" s="92"/>
      <c r="P1629" s="91">
        <f t="shared" si="110"/>
        <v>0</v>
      </c>
      <c r="Q1629" s="91">
        <f t="shared" si="111"/>
        <v>0</v>
      </c>
      <c r="R1629" s="91"/>
    </row>
    <row r="1630" spans="2:18" ht="12" customHeight="1" x14ac:dyDescent="0.3">
      <c r="B1630" s="98"/>
      <c r="C1630" s="97" t="str">
        <f t="shared" si="109"/>
        <v>Jan-00</v>
      </c>
      <c r="D1630" s="96"/>
      <c r="E1630" s="95"/>
      <c r="F1630" s="95"/>
      <c r="G1630" s="95"/>
      <c r="H1630" s="94"/>
      <c r="I1630" s="94"/>
      <c r="J1630" s="91"/>
      <c r="K1630" s="91"/>
      <c r="L1630" s="94"/>
      <c r="M1630" s="93"/>
      <c r="N1630" s="92"/>
      <c r="O1630" s="92"/>
      <c r="P1630" s="91">
        <f t="shared" si="110"/>
        <v>0</v>
      </c>
      <c r="Q1630" s="91">
        <f t="shared" si="111"/>
        <v>0</v>
      </c>
      <c r="R1630" s="91"/>
    </row>
    <row r="1631" spans="2:18" ht="12" customHeight="1" x14ac:dyDescent="0.3">
      <c r="B1631" s="98"/>
      <c r="C1631" s="97" t="str">
        <f t="shared" si="109"/>
        <v>Jan-00</v>
      </c>
      <c r="D1631" s="96"/>
      <c r="E1631" s="95"/>
      <c r="F1631" s="95"/>
      <c r="G1631" s="95"/>
      <c r="H1631" s="94"/>
      <c r="I1631" s="94"/>
      <c r="J1631" s="91"/>
      <c r="K1631" s="91"/>
      <c r="L1631" s="94"/>
      <c r="M1631" s="93"/>
      <c r="N1631" s="92"/>
      <c r="O1631" s="92"/>
      <c r="P1631" s="91">
        <f t="shared" si="110"/>
        <v>0</v>
      </c>
      <c r="Q1631" s="91">
        <f t="shared" si="111"/>
        <v>0</v>
      </c>
      <c r="R1631" s="91"/>
    </row>
    <row r="1632" spans="2:18" ht="12" customHeight="1" x14ac:dyDescent="0.3">
      <c r="B1632" s="98"/>
      <c r="C1632" s="97" t="str">
        <f t="shared" si="109"/>
        <v>Jan-00</v>
      </c>
      <c r="D1632" s="96"/>
      <c r="E1632" s="95"/>
      <c r="F1632" s="95"/>
      <c r="G1632" s="95"/>
      <c r="H1632" s="94"/>
      <c r="I1632" s="94"/>
      <c r="J1632" s="91"/>
      <c r="K1632" s="91"/>
      <c r="L1632" s="94"/>
      <c r="M1632" s="93"/>
      <c r="N1632" s="92"/>
      <c r="O1632" s="92"/>
      <c r="P1632" s="91">
        <f t="shared" si="110"/>
        <v>0</v>
      </c>
      <c r="Q1632" s="91">
        <f t="shared" si="111"/>
        <v>0</v>
      </c>
      <c r="R1632" s="91"/>
    </row>
    <row r="1633" spans="2:18" ht="12" customHeight="1" x14ac:dyDescent="0.3">
      <c r="B1633" s="98"/>
      <c r="C1633" s="97" t="str">
        <f t="shared" si="109"/>
        <v>Jan-00</v>
      </c>
      <c r="D1633" s="96"/>
      <c r="E1633" s="95"/>
      <c r="F1633" s="95"/>
      <c r="G1633" s="95"/>
      <c r="H1633" s="94"/>
      <c r="I1633" s="94"/>
      <c r="J1633" s="91"/>
      <c r="K1633" s="91"/>
      <c r="L1633" s="94"/>
      <c r="M1633" s="93"/>
      <c r="N1633" s="92"/>
      <c r="O1633" s="92"/>
      <c r="P1633" s="91">
        <f t="shared" si="110"/>
        <v>0</v>
      </c>
      <c r="Q1633" s="91">
        <f t="shared" si="111"/>
        <v>0</v>
      </c>
      <c r="R1633" s="91"/>
    </row>
    <row r="1634" spans="2:18" ht="12" customHeight="1" x14ac:dyDescent="0.3">
      <c r="B1634" s="98"/>
      <c r="C1634" s="97" t="str">
        <f t="shared" si="109"/>
        <v>Jan-00</v>
      </c>
      <c r="D1634" s="96"/>
      <c r="E1634" s="95"/>
      <c r="F1634" s="95"/>
      <c r="G1634" s="95"/>
      <c r="H1634" s="94"/>
      <c r="I1634" s="94"/>
      <c r="J1634" s="91"/>
      <c r="K1634" s="91"/>
      <c r="L1634" s="94"/>
      <c r="M1634" s="93"/>
      <c r="N1634" s="92"/>
      <c r="O1634" s="92"/>
      <c r="P1634" s="91">
        <f t="shared" si="110"/>
        <v>0</v>
      </c>
      <c r="Q1634" s="91">
        <f t="shared" si="111"/>
        <v>0</v>
      </c>
      <c r="R1634" s="91"/>
    </row>
    <row r="1635" spans="2:18" ht="12" customHeight="1" x14ac:dyDescent="0.3">
      <c r="B1635" s="98"/>
      <c r="C1635" s="97" t="str">
        <f t="shared" si="109"/>
        <v>Jan-00</v>
      </c>
      <c r="D1635" s="96"/>
      <c r="E1635" s="95"/>
      <c r="F1635" s="95"/>
      <c r="G1635" s="95"/>
      <c r="H1635" s="94"/>
      <c r="I1635" s="94"/>
      <c r="J1635" s="91"/>
      <c r="K1635" s="91"/>
      <c r="L1635" s="94"/>
      <c r="M1635" s="93"/>
      <c r="N1635" s="92"/>
      <c r="O1635" s="92"/>
      <c r="P1635" s="91">
        <f t="shared" si="110"/>
        <v>0</v>
      </c>
      <c r="Q1635" s="91">
        <f t="shared" si="111"/>
        <v>0</v>
      </c>
      <c r="R1635" s="91"/>
    </row>
    <row r="1636" spans="2:18" ht="12" customHeight="1" x14ac:dyDescent="0.3">
      <c r="B1636" s="98"/>
      <c r="C1636" s="97" t="str">
        <f t="shared" si="109"/>
        <v>Jan-00</v>
      </c>
      <c r="D1636" s="96"/>
      <c r="E1636" s="95"/>
      <c r="F1636" s="95"/>
      <c r="G1636" s="95"/>
      <c r="H1636" s="94"/>
      <c r="I1636" s="94"/>
      <c r="J1636" s="91"/>
      <c r="K1636" s="91"/>
      <c r="L1636" s="94"/>
      <c r="M1636" s="93"/>
      <c r="N1636" s="92"/>
      <c r="O1636" s="92"/>
      <c r="P1636" s="91">
        <f t="shared" si="110"/>
        <v>0</v>
      </c>
      <c r="Q1636" s="91">
        <f t="shared" si="111"/>
        <v>0</v>
      </c>
      <c r="R1636" s="91"/>
    </row>
    <row r="1637" spans="2:18" ht="12" customHeight="1" x14ac:dyDescent="0.3">
      <c r="B1637" s="98"/>
      <c r="C1637" s="97" t="str">
        <f t="shared" si="109"/>
        <v>Jan-00</v>
      </c>
      <c r="D1637" s="96"/>
      <c r="E1637" s="95"/>
      <c r="F1637" s="95"/>
      <c r="G1637" s="95"/>
      <c r="H1637" s="94"/>
      <c r="I1637" s="94"/>
      <c r="J1637" s="91"/>
      <c r="K1637" s="91"/>
      <c r="L1637" s="94"/>
      <c r="M1637" s="93"/>
      <c r="N1637" s="92"/>
      <c r="O1637" s="92"/>
      <c r="P1637" s="91">
        <f t="shared" si="110"/>
        <v>0</v>
      </c>
      <c r="Q1637" s="91">
        <f t="shared" si="111"/>
        <v>0</v>
      </c>
      <c r="R1637" s="91"/>
    </row>
    <row r="1638" spans="2:18" ht="12" customHeight="1" x14ac:dyDescent="0.3">
      <c r="B1638" s="98"/>
      <c r="C1638" s="97" t="str">
        <f t="shared" si="109"/>
        <v>Jan-00</v>
      </c>
      <c r="D1638" s="96"/>
      <c r="E1638" s="95"/>
      <c r="F1638" s="95"/>
      <c r="G1638" s="95"/>
      <c r="H1638" s="94"/>
      <c r="I1638" s="94"/>
      <c r="J1638" s="91"/>
      <c r="K1638" s="91"/>
      <c r="L1638" s="94"/>
      <c r="M1638" s="93"/>
      <c r="N1638" s="92"/>
      <c r="O1638" s="92"/>
      <c r="P1638" s="91">
        <f t="shared" si="110"/>
        <v>0</v>
      </c>
      <c r="Q1638" s="91">
        <f t="shared" si="111"/>
        <v>0</v>
      </c>
      <c r="R1638" s="91"/>
    </row>
    <row r="1639" spans="2:18" ht="12" customHeight="1" x14ac:dyDescent="0.3">
      <c r="B1639" s="98"/>
      <c r="C1639" s="97" t="str">
        <f t="shared" si="109"/>
        <v>Jan-00</v>
      </c>
      <c r="D1639" s="96"/>
      <c r="E1639" s="95"/>
      <c r="F1639" s="95"/>
      <c r="G1639" s="95"/>
      <c r="H1639" s="94"/>
      <c r="I1639" s="94"/>
      <c r="J1639" s="91"/>
      <c r="K1639" s="91"/>
      <c r="L1639" s="94"/>
      <c r="M1639" s="93"/>
      <c r="N1639" s="92"/>
      <c r="O1639" s="92"/>
      <c r="P1639" s="91">
        <f t="shared" si="110"/>
        <v>0</v>
      </c>
      <c r="Q1639" s="91">
        <f t="shared" si="111"/>
        <v>0</v>
      </c>
      <c r="R1639" s="91"/>
    </row>
    <row r="1640" spans="2:18" ht="12" customHeight="1" x14ac:dyDescent="0.3">
      <c r="B1640" s="98"/>
      <c r="C1640" s="97" t="str">
        <f t="shared" si="109"/>
        <v>Jan-00</v>
      </c>
      <c r="D1640" s="96"/>
      <c r="E1640" s="95"/>
      <c r="F1640" s="95"/>
      <c r="G1640" s="95"/>
      <c r="H1640" s="94"/>
      <c r="I1640" s="94"/>
      <c r="J1640" s="91"/>
      <c r="K1640" s="91"/>
      <c r="L1640" s="94"/>
      <c r="M1640" s="93"/>
      <c r="N1640" s="92"/>
      <c r="O1640" s="92"/>
      <c r="P1640" s="91">
        <f t="shared" si="110"/>
        <v>0</v>
      </c>
      <c r="Q1640" s="91">
        <f t="shared" si="111"/>
        <v>0</v>
      </c>
      <c r="R1640" s="91"/>
    </row>
    <row r="1641" spans="2:18" ht="12" customHeight="1" x14ac:dyDescent="0.3">
      <c r="B1641" s="98"/>
      <c r="C1641" s="97" t="str">
        <f t="shared" si="109"/>
        <v>Jan-00</v>
      </c>
      <c r="D1641" s="96"/>
      <c r="E1641" s="95"/>
      <c r="F1641" s="95"/>
      <c r="G1641" s="95"/>
      <c r="H1641" s="94"/>
      <c r="I1641" s="94"/>
      <c r="J1641" s="91"/>
      <c r="K1641" s="91"/>
      <c r="L1641" s="94"/>
      <c r="M1641" s="93"/>
      <c r="N1641" s="92"/>
      <c r="O1641" s="92"/>
      <c r="P1641" s="91">
        <f t="shared" si="110"/>
        <v>0</v>
      </c>
      <c r="Q1641" s="91">
        <f t="shared" si="111"/>
        <v>0</v>
      </c>
      <c r="R1641" s="91"/>
    </row>
    <row r="1642" spans="2:18" ht="12" customHeight="1" x14ac:dyDescent="0.3">
      <c r="B1642" s="98"/>
      <c r="C1642" s="97" t="str">
        <f t="shared" si="109"/>
        <v>Jan-00</v>
      </c>
      <c r="D1642" s="96"/>
      <c r="E1642" s="95"/>
      <c r="F1642" s="95"/>
      <c r="G1642" s="95"/>
      <c r="H1642" s="94"/>
      <c r="I1642" s="94"/>
      <c r="J1642" s="91"/>
      <c r="K1642" s="91"/>
      <c r="L1642" s="94"/>
      <c r="M1642" s="93"/>
      <c r="N1642" s="92"/>
      <c r="O1642" s="92"/>
      <c r="P1642" s="91"/>
      <c r="Q1642" s="91"/>
      <c r="R1642" s="91"/>
    </row>
    <row r="1643" spans="2:18" ht="12" customHeight="1" x14ac:dyDescent="0.3">
      <c r="B1643" s="98"/>
      <c r="C1643" s="97" t="str">
        <f t="shared" si="109"/>
        <v>Jan-00</v>
      </c>
      <c r="D1643" s="96"/>
      <c r="E1643" s="95"/>
      <c r="F1643" s="95"/>
      <c r="G1643" s="95"/>
      <c r="H1643" s="94"/>
      <c r="I1643" s="94"/>
      <c r="J1643" s="91"/>
      <c r="K1643" s="91"/>
      <c r="L1643" s="94"/>
      <c r="M1643" s="93"/>
      <c r="N1643" s="92"/>
      <c r="O1643" s="92"/>
      <c r="P1643" s="91"/>
      <c r="Q1643" s="91"/>
      <c r="R1643" s="91"/>
    </row>
    <row r="1644" spans="2:18" ht="12" customHeight="1" x14ac:dyDescent="0.3">
      <c r="B1644" s="98"/>
      <c r="C1644" s="97" t="str">
        <f t="shared" si="109"/>
        <v>Jan-00</v>
      </c>
      <c r="D1644" s="96"/>
      <c r="E1644" s="95"/>
      <c r="F1644" s="95"/>
      <c r="G1644" s="95"/>
      <c r="H1644" s="94"/>
      <c r="I1644" s="94"/>
      <c r="J1644" s="91"/>
      <c r="K1644" s="91"/>
      <c r="L1644" s="94"/>
      <c r="M1644" s="93"/>
      <c r="N1644" s="92"/>
      <c r="O1644" s="92"/>
      <c r="P1644" s="91"/>
      <c r="Q1644" s="91"/>
      <c r="R1644" s="91"/>
    </row>
    <row r="1645" spans="2:18" ht="12" customHeight="1" x14ac:dyDescent="0.3">
      <c r="B1645" s="98"/>
      <c r="C1645" s="97" t="str">
        <f t="shared" si="109"/>
        <v>Jan-00</v>
      </c>
      <c r="D1645" s="96"/>
      <c r="E1645" s="95"/>
      <c r="F1645" s="95"/>
      <c r="G1645" s="95"/>
      <c r="H1645" s="94"/>
      <c r="I1645" s="94"/>
      <c r="J1645" s="91"/>
      <c r="K1645" s="91"/>
      <c r="L1645" s="94"/>
      <c r="M1645" s="93"/>
      <c r="N1645" s="92"/>
      <c r="O1645" s="92"/>
      <c r="P1645" s="91"/>
      <c r="Q1645" s="91"/>
      <c r="R1645" s="91"/>
    </row>
    <row r="1646" spans="2:18" ht="12" customHeight="1" x14ac:dyDescent="0.3">
      <c r="B1646" s="98"/>
      <c r="C1646" s="97" t="str">
        <f t="shared" si="109"/>
        <v>Jan-00</v>
      </c>
      <c r="D1646" s="96"/>
      <c r="E1646" s="95"/>
      <c r="F1646" s="95"/>
      <c r="G1646" s="95"/>
      <c r="H1646" s="94"/>
      <c r="I1646" s="94"/>
      <c r="J1646" s="91"/>
      <c r="K1646" s="91"/>
      <c r="L1646" s="94"/>
      <c r="M1646" s="93"/>
      <c r="N1646" s="92"/>
      <c r="O1646" s="92"/>
      <c r="P1646" s="91"/>
      <c r="Q1646" s="91"/>
      <c r="R1646" s="91"/>
    </row>
    <row r="1647" spans="2:18" ht="12" customHeight="1" x14ac:dyDescent="0.3">
      <c r="B1647" s="98"/>
      <c r="C1647" s="97" t="str">
        <f t="shared" si="109"/>
        <v>Jan-00</v>
      </c>
      <c r="D1647" s="96"/>
      <c r="E1647" s="95"/>
      <c r="F1647" s="95"/>
      <c r="G1647" s="95"/>
      <c r="H1647" s="94"/>
      <c r="I1647" s="94"/>
      <c r="J1647" s="91"/>
      <c r="K1647" s="91"/>
      <c r="L1647" s="94"/>
      <c r="M1647" s="93"/>
      <c r="N1647" s="92"/>
      <c r="O1647" s="92"/>
      <c r="P1647" s="91"/>
      <c r="Q1647" s="91"/>
      <c r="R1647" s="91"/>
    </row>
    <row r="1648" spans="2:18" ht="12" customHeight="1" x14ac:dyDescent="0.3">
      <c r="B1648" s="98"/>
      <c r="C1648" s="97" t="str">
        <f t="shared" si="109"/>
        <v>Jan-00</v>
      </c>
      <c r="D1648" s="96"/>
      <c r="E1648" s="95"/>
      <c r="F1648" s="95"/>
      <c r="G1648" s="95"/>
      <c r="H1648" s="94"/>
      <c r="I1648" s="94"/>
      <c r="J1648" s="91"/>
      <c r="K1648" s="91"/>
      <c r="L1648" s="94"/>
      <c r="M1648" s="93"/>
      <c r="N1648" s="92"/>
      <c r="O1648" s="92"/>
      <c r="P1648" s="91"/>
      <c r="Q1648" s="91"/>
      <c r="R1648" s="91"/>
    </row>
    <row r="1649" spans="2:18" ht="12" customHeight="1" x14ac:dyDescent="0.3">
      <c r="B1649" s="98"/>
      <c r="C1649" s="97" t="str">
        <f t="shared" si="109"/>
        <v>Jan-00</v>
      </c>
      <c r="D1649" s="96"/>
      <c r="E1649" s="95"/>
      <c r="F1649" s="95"/>
      <c r="G1649" s="95"/>
      <c r="H1649" s="94"/>
      <c r="I1649" s="94"/>
      <c r="J1649" s="91"/>
      <c r="K1649" s="91"/>
      <c r="L1649" s="94"/>
      <c r="M1649" s="93"/>
      <c r="N1649" s="92"/>
      <c r="O1649" s="92"/>
      <c r="P1649" s="91"/>
      <c r="Q1649" s="91"/>
      <c r="R1649" s="91"/>
    </row>
    <row r="1650" spans="2:18" ht="12" customHeight="1" x14ac:dyDescent="0.3">
      <c r="B1650" s="98"/>
      <c r="C1650" s="97" t="str">
        <f t="shared" si="109"/>
        <v>Jan-00</v>
      </c>
      <c r="D1650" s="96"/>
      <c r="E1650" s="95"/>
      <c r="F1650" s="95"/>
      <c r="G1650" s="95"/>
      <c r="H1650" s="94"/>
      <c r="I1650" s="94"/>
      <c r="J1650" s="91"/>
      <c r="K1650" s="91"/>
      <c r="L1650" s="94"/>
      <c r="M1650" s="93"/>
      <c r="N1650" s="92"/>
      <c r="O1650" s="92"/>
      <c r="P1650" s="91"/>
      <c r="Q1650" s="91"/>
      <c r="R1650" s="91"/>
    </row>
    <row r="1651" spans="2:18" ht="12" customHeight="1" x14ac:dyDescent="0.3">
      <c r="B1651" s="98"/>
      <c r="C1651" s="97" t="str">
        <f t="shared" si="109"/>
        <v>Jan-00</v>
      </c>
      <c r="D1651" s="96"/>
      <c r="E1651" s="95"/>
      <c r="F1651" s="95"/>
      <c r="G1651" s="95"/>
      <c r="H1651" s="94"/>
      <c r="I1651" s="94"/>
      <c r="J1651" s="91"/>
      <c r="K1651" s="91"/>
      <c r="L1651" s="94"/>
      <c r="M1651" s="93"/>
      <c r="N1651" s="92"/>
      <c r="O1651" s="92"/>
      <c r="P1651" s="91"/>
      <c r="Q1651" s="91"/>
      <c r="R1651" s="91"/>
    </row>
    <row r="1652" spans="2:18" ht="12" customHeight="1" x14ac:dyDescent="0.3">
      <c r="B1652" s="98"/>
      <c r="C1652" s="97" t="str">
        <f t="shared" si="109"/>
        <v>Jan-00</v>
      </c>
      <c r="D1652" s="96"/>
      <c r="E1652" s="95"/>
      <c r="F1652" s="95"/>
      <c r="G1652" s="95"/>
      <c r="H1652" s="94"/>
      <c r="I1652" s="94"/>
      <c r="J1652" s="91"/>
      <c r="K1652" s="91"/>
      <c r="L1652" s="94"/>
      <c r="M1652" s="93"/>
      <c r="N1652" s="92"/>
      <c r="O1652" s="92"/>
      <c r="P1652" s="91"/>
      <c r="Q1652" s="91"/>
      <c r="R1652" s="91"/>
    </row>
    <row r="1653" spans="2:18" ht="12" customHeight="1" x14ac:dyDescent="0.3">
      <c r="B1653" s="98"/>
      <c r="C1653" s="97" t="str">
        <f t="shared" si="109"/>
        <v>Jan-00</v>
      </c>
      <c r="D1653" s="96"/>
      <c r="E1653" s="95"/>
      <c r="F1653" s="95"/>
      <c r="G1653" s="95"/>
      <c r="H1653" s="94"/>
      <c r="I1653" s="94"/>
      <c r="J1653" s="91"/>
      <c r="K1653" s="91"/>
      <c r="L1653" s="94"/>
      <c r="M1653" s="93"/>
      <c r="N1653" s="92"/>
      <c r="O1653" s="92"/>
      <c r="P1653" s="91"/>
      <c r="Q1653" s="91"/>
      <c r="R1653" s="91"/>
    </row>
    <row r="1654" spans="2:18" ht="12" customHeight="1" x14ac:dyDescent="0.3">
      <c r="B1654" s="98"/>
      <c r="C1654" s="97" t="str">
        <f t="shared" si="109"/>
        <v>Jan-00</v>
      </c>
      <c r="D1654" s="96"/>
      <c r="E1654" s="95"/>
      <c r="F1654" s="95"/>
      <c r="G1654" s="95"/>
      <c r="H1654" s="94"/>
      <c r="I1654" s="94"/>
      <c r="J1654" s="91"/>
      <c r="K1654" s="91"/>
      <c r="L1654" s="94"/>
      <c r="M1654" s="93"/>
      <c r="N1654" s="92"/>
      <c r="O1654" s="92"/>
      <c r="P1654" s="91"/>
      <c r="Q1654" s="91"/>
      <c r="R1654" s="91"/>
    </row>
    <row r="1655" spans="2:18" ht="12" customHeight="1" x14ac:dyDescent="0.3">
      <c r="B1655" s="98"/>
      <c r="C1655" s="97" t="str">
        <f t="shared" si="109"/>
        <v>Jan-00</v>
      </c>
      <c r="D1655" s="96"/>
      <c r="E1655" s="95"/>
      <c r="F1655" s="95"/>
      <c r="G1655" s="95"/>
      <c r="H1655" s="94"/>
      <c r="I1655" s="94"/>
      <c r="J1655" s="91"/>
      <c r="K1655" s="91"/>
      <c r="L1655" s="94"/>
      <c r="M1655" s="93"/>
      <c r="N1655" s="92"/>
      <c r="O1655" s="92"/>
      <c r="P1655" s="91"/>
      <c r="Q1655" s="91"/>
      <c r="R1655" s="91"/>
    </row>
    <row r="1656" spans="2:18" ht="12" customHeight="1" x14ac:dyDescent="0.3">
      <c r="B1656" s="98"/>
      <c r="C1656" s="97" t="str">
        <f t="shared" si="109"/>
        <v>Jan-00</v>
      </c>
      <c r="D1656" s="96"/>
      <c r="E1656" s="95"/>
      <c r="F1656" s="95"/>
      <c r="G1656" s="95"/>
      <c r="H1656" s="94"/>
      <c r="I1656" s="94"/>
      <c r="J1656" s="91"/>
      <c r="K1656" s="91"/>
      <c r="L1656" s="94"/>
      <c r="M1656" s="93"/>
      <c r="N1656" s="92"/>
      <c r="O1656" s="92"/>
      <c r="P1656" s="91"/>
      <c r="Q1656" s="91"/>
      <c r="R1656" s="91"/>
    </row>
    <row r="1657" spans="2:18" ht="12" customHeight="1" x14ac:dyDescent="0.3">
      <c r="B1657" s="98"/>
      <c r="C1657" s="97" t="str">
        <f t="shared" si="109"/>
        <v>Jan-00</v>
      </c>
      <c r="D1657" s="96"/>
      <c r="E1657" s="95"/>
      <c r="F1657" s="95"/>
      <c r="G1657" s="95"/>
      <c r="H1657" s="94"/>
      <c r="I1657" s="94"/>
      <c r="J1657" s="91"/>
      <c r="K1657" s="91"/>
      <c r="L1657" s="94"/>
      <c r="M1657" s="93"/>
      <c r="N1657" s="92"/>
      <c r="O1657" s="92"/>
      <c r="P1657" s="91"/>
      <c r="Q1657" s="91"/>
      <c r="R1657" s="91"/>
    </row>
    <row r="1658" spans="2:18" ht="12" customHeight="1" x14ac:dyDescent="0.3">
      <c r="B1658" s="98"/>
      <c r="C1658" s="97" t="str">
        <f t="shared" si="109"/>
        <v>Jan-00</v>
      </c>
      <c r="D1658" s="96"/>
      <c r="E1658" s="95"/>
      <c r="F1658" s="95"/>
      <c r="G1658" s="95"/>
      <c r="H1658" s="94"/>
      <c r="I1658" s="94"/>
      <c r="J1658" s="91"/>
      <c r="K1658" s="91"/>
      <c r="L1658" s="94"/>
      <c r="M1658" s="93"/>
      <c r="N1658" s="92"/>
      <c r="O1658" s="92"/>
      <c r="P1658" s="91"/>
      <c r="Q1658" s="91"/>
      <c r="R1658" s="91"/>
    </row>
    <row r="1659" spans="2:18" ht="12" customHeight="1" x14ac:dyDescent="0.3">
      <c r="B1659" s="98"/>
      <c r="C1659" s="97" t="str">
        <f t="shared" si="109"/>
        <v>Jan-00</v>
      </c>
      <c r="D1659" s="96"/>
      <c r="E1659" s="95"/>
      <c r="F1659" s="95"/>
      <c r="G1659" s="95"/>
      <c r="H1659" s="94"/>
      <c r="I1659" s="94"/>
      <c r="J1659" s="91"/>
      <c r="K1659" s="91"/>
      <c r="L1659" s="94"/>
      <c r="M1659" s="93"/>
      <c r="N1659" s="92"/>
      <c r="O1659" s="92"/>
      <c r="P1659" s="91"/>
      <c r="Q1659" s="91"/>
      <c r="R1659" s="91"/>
    </row>
    <row r="1660" spans="2:18" ht="12" customHeight="1" x14ac:dyDescent="0.3">
      <c r="B1660" s="98"/>
      <c r="C1660" s="97" t="str">
        <f t="shared" si="109"/>
        <v>Jan-00</v>
      </c>
      <c r="D1660" s="96"/>
      <c r="E1660" s="95"/>
      <c r="F1660" s="95"/>
      <c r="G1660" s="95"/>
      <c r="H1660" s="94"/>
      <c r="I1660" s="94"/>
      <c r="J1660" s="91"/>
      <c r="K1660" s="91"/>
      <c r="L1660" s="94"/>
      <c r="M1660" s="93"/>
      <c r="N1660" s="92"/>
      <c r="O1660" s="92"/>
      <c r="P1660" s="91"/>
      <c r="Q1660" s="91"/>
      <c r="R1660" s="91"/>
    </row>
    <row r="1661" spans="2:18" ht="12" customHeight="1" x14ac:dyDescent="0.3">
      <c r="B1661" s="98"/>
      <c r="C1661" s="97" t="str">
        <f t="shared" si="109"/>
        <v>Jan-00</v>
      </c>
      <c r="D1661" s="96"/>
      <c r="E1661" s="95"/>
      <c r="F1661" s="95"/>
      <c r="G1661" s="95"/>
      <c r="H1661" s="94"/>
      <c r="I1661" s="94"/>
      <c r="J1661" s="91"/>
      <c r="K1661" s="91"/>
      <c r="L1661" s="94"/>
      <c r="M1661" s="93"/>
      <c r="N1661" s="92"/>
      <c r="O1661" s="92"/>
      <c r="P1661" s="91"/>
      <c r="Q1661" s="91"/>
      <c r="R1661" s="91"/>
    </row>
    <row r="1662" spans="2:18" ht="12" customHeight="1" x14ac:dyDescent="0.3">
      <c r="B1662" s="98">
        <v>2</v>
      </c>
      <c r="C1662" s="97"/>
      <c r="D1662" s="96"/>
      <c r="E1662" s="95"/>
      <c r="F1662" s="95"/>
      <c r="G1662" s="95"/>
      <c r="H1662" s="94"/>
      <c r="I1662" s="94"/>
      <c r="J1662" s="91"/>
      <c r="K1662" s="91"/>
      <c r="L1662" s="94"/>
      <c r="M1662" s="93"/>
      <c r="N1662" s="92"/>
      <c r="O1662" s="92"/>
      <c r="P1662" s="91"/>
      <c r="Q1662" s="91"/>
      <c r="R1662" s="91"/>
    </row>
    <row r="1663" spans="2:18" ht="12" customHeight="1" x14ac:dyDescent="0.3">
      <c r="B1663" s="98"/>
      <c r="C1663" s="97"/>
      <c r="D1663" s="96">
        <v>46120</v>
      </c>
      <c r="E1663" s="95"/>
      <c r="F1663" s="95"/>
      <c r="G1663" s="95"/>
      <c r="H1663" s="94"/>
      <c r="I1663" s="94"/>
      <c r="J1663" s="91"/>
      <c r="K1663" s="91"/>
      <c r="L1663" s="94"/>
      <c r="M1663" s="93"/>
      <c r="N1663" s="92"/>
      <c r="O1663" s="92"/>
      <c r="P1663" s="91"/>
      <c r="Q1663" s="91"/>
      <c r="R1663" s="91"/>
    </row>
    <row r="1664" spans="2:18" ht="12" customHeight="1" x14ac:dyDescent="0.3">
      <c r="B1664" s="98"/>
      <c r="C1664" s="97"/>
      <c r="D1664" s="96"/>
      <c r="E1664" s="95"/>
      <c r="F1664" s="95"/>
      <c r="G1664" s="95"/>
      <c r="H1664" s="94"/>
      <c r="I1664" s="94"/>
      <c r="J1664" s="91"/>
      <c r="K1664" s="91"/>
      <c r="L1664" s="94"/>
      <c r="M1664" s="93"/>
      <c r="N1664" s="92"/>
      <c r="O1664" s="92"/>
      <c r="P1664" s="91"/>
      <c r="Q1664" s="91"/>
      <c r="R1664" s="91"/>
    </row>
    <row r="1665" spans="2:18" ht="12" customHeight="1" x14ac:dyDescent="0.3">
      <c r="B1665" s="98"/>
      <c r="C1665" s="97"/>
      <c r="D1665" s="96"/>
      <c r="E1665" s="95"/>
      <c r="F1665" s="95"/>
      <c r="G1665" s="95"/>
      <c r="H1665" s="94"/>
      <c r="I1665" s="94"/>
      <c r="J1665" s="91"/>
      <c r="K1665" s="91"/>
      <c r="L1665" s="94"/>
      <c r="M1665" s="93"/>
      <c r="N1665" s="92"/>
      <c r="O1665" s="92"/>
      <c r="P1665" s="91"/>
      <c r="Q1665" s="91"/>
      <c r="R1665" s="91"/>
    </row>
    <row r="1666" spans="2:18" ht="12" customHeight="1" x14ac:dyDescent="0.3">
      <c r="B1666" s="98"/>
      <c r="C1666" s="97"/>
      <c r="D1666" s="96"/>
      <c r="E1666" s="95"/>
      <c r="F1666" s="95"/>
      <c r="G1666" s="95"/>
      <c r="H1666" s="94"/>
      <c r="I1666" s="94"/>
      <c r="J1666" s="91"/>
      <c r="K1666" s="91"/>
      <c r="L1666" s="94"/>
      <c r="M1666" s="93"/>
      <c r="N1666" s="92"/>
      <c r="O1666" s="92"/>
      <c r="P1666" s="91"/>
      <c r="Q1666" s="91"/>
      <c r="R1666" s="91"/>
    </row>
    <row r="1667" spans="2:18" ht="12" customHeight="1" x14ac:dyDescent="0.3">
      <c r="B1667" s="98"/>
      <c r="C1667" s="97"/>
      <c r="D1667" s="96"/>
      <c r="E1667" s="95"/>
      <c r="F1667" s="95"/>
      <c r="G1667" s="95"/>
      <c r="H1667" s="94"/>
      <c r="I1667" s="94"/>
      <c r="J1667" s="91"/>
      <c r="K1667" s="91"/>
      <c r="L1667" s="94"/>
      <c r="M1667" s="93"/>
      <c r="N1667" s="92"/>
      <c r="O1667" s="92"/>
      <c r="P1667" s="91"/>
      <c r="Q1667" s="91"/>
      <c r="R1667" s="91"/>
    </row>
    <row r="1668" spans="2:18" ht="12" customHeight="1" x14ac:dyDescent="0.3">
      <c r="B1668" s="98"/>
      <c r="C1668" s="97"/>
      <c r="D1668" s="96"/>
      <c r="E1668" s="95"/>
      <c r="F1668" s="95"/>
      <c r="G1668" s="95"/>
      <c r="H1668" s="94"/>
      <c r="I1668" s="94"/>
      <c r="J1668" s="91"/>
      <c r="K1668" s="91"/>
      <c r="L1668" s="94"/>
      <c r="M1668" s="93"/>
      <c r="N1668" s="92"/>
      <c r="O1668" s="92"/>
      <c r="P1668" s="91"/>
      <c r="Q1668" s="91"/>
      <c r="R1668" s="91"/>
    </row>
    <row r="1669" spans="2:18" ht="12" customHeight="1" x14ac:dyDescent="0.3">
      <c r="B1669" s="98"/>
      <c r="C1669" s="97"/>
      <c r="D1669" s="96"/>
      <c r="E1669" s="95"/>
      <c r="F1669" s="95"/>
      <c r="G1669" s="95"/>
      <c r="H1669" s="94"/>
      <c r="I1669" s="94"/>
      <c r="J1669" s="91"/>
      <c r="K1669" s="91"/>
      <c r="L1669" s="94"/>
      <c r="M1669" s="93"/>
      <c r="N1669" s="92"/>
      <c r="O1669" s="92"/>
      <c r="P1669" s="91"/>
      <c r="Q1669" s="91"/>
      <c r="R1669" s="91"/>
    </row>
    <row r="1670" spans="2:18" ht="12" customHeight="1" x14ac:dyDescent="0.3">
      <c r="B1670" s="98"/>
      <c r="C1670" s="97"/>
      <c r="D1670" s="96"/>
      <c r="E1670" s="95"/>
      <c r="F1670" s="95"/>
      <c r="G1670" s="95"/>
      <c r="H1670" s="94"/>
      <c r="I1670" s="94"/>
      <c r="J1670" s="91"/>
      <c r="K1670" s="91"/>
      <c r="L1670" s="94"/>
      <c r="M1670" s="93"/>
      <c r="N1670" s="92"/>
      <c r="O1670" s="92"/>
      <c r="P1670" s="91"/>
      <c r="Q1670" s="91"/>
      <c r="R1670" s="91"/>
    </row>
    <row r="1671" spans="2:18" ht="12" customHeight="1" x14ac:dyDescent="0.3">
      <c r="B1671" s="98"/>
      <c r="C1671" s="97"/>
      <c r="D1671" s="96"/>
      <c r="E1671" s="95"/>
      <c r="F1671" s="95"/>
      <c r="G1671" s="95"/>
      <c r="H1671" s="94"/>
      <c r="I1671" s="94"/>
      <c r="J1671" s="91"/>
      <c r="K1671" s="91"/>
      <c r="L1671" s="94"/>
      <c r="M1671" s="93"/>
      <c r="N1671" s="92"/>
      <c r="O1671" s="92"/>
      <c r="P1671" s="91"/>
      <c r="Q1671" s="91"/>
      <c r="R1671" s="91"/>
    </row>
    <row r="1672" spans="2:18" ht="12" customHeight="1" x14ac:dyDescent="0.3">
      <c r="B1672" s="98"/>
      <c r="C1672" s="97"/>
      <c r="D1672" s="96"/>
      <c r="E1672" s="95"/>
      <c r="F1672" s="95"/>
      <c r="G1672" s="95"/>
      <c r="H1672" s="94"/>
      <c r="I1672" s="94"/>
      <c r="J1672" s="91"/>
      <c r="K1672" s="91"/>
      <c r="L1672" s="94"/>
      <c r="M1672" s="93"/>
      <c r="N1672" s="92"/>
      <c r="O1672" s="92"/>
      <c r="P1672" s="91"/>
      <c r="Q1672" s="91"/>
      <c r="R1672" s="91"/>
    </row>
    <row r="1673" spans="2:18" ht="12" customHeight="1" x14ac:dyDescent="0.3">
      <c r="B1673" s="98"/>
      <c r="C1673" s="97"/>
      <c r="D1673" s="96"/>
      <c r="E1673" s="95"/>
      <c r="F1673" s="95"/>
      <c r="G1673" s="95"/>
      <c r="H1673" s="94"/>
      <c r="I1673" s="94"/>
      <c r="J1673" s="91"/>
      <c r="K1673" s="91"/>
      <c r="L1673" s="94"/>
      <c r="M1673" s="93"/>
      <c r="N1673" s="92"/>
      <c r="O1673" s="92"/>
      <c r="P1673" s="91"/>
      <c r="Q1673" s="91"/>
      <c r="R1673" s="91"/>
    </row>
    <row r="1674" spans="2:18" ht="12" customHeight="1" x14ac:dyDescent="0.3">
      <c r="B1674" s="98"/>
      <c r="C1674" s="97"/>
      <c r="D1674" s="96"/>
      <c r="E1674" s="95"/>
      <c r="F1674" s="95"/>
      <c r="G1674" s="95"/>
      <c r="H1674" s="94"/>
      <c r="I1674" s="94"/>
      <c r="J1674" s="91"/>
      <c r="K1674" s="91"/>
      <c r="L1674" s="94"/>
      <c r="M1674" s="93"/>
      <c r="N1674" s="92"/>
      <c r="O1674" s="92"/>
      <c r="P1674" s="91"/>
      <c r="Q1674" s="91"/>
      <c r="R1674" s="91"/>
    </row>
    <row r="1675" spans="2:18" ht="12" customHeight="1" x14ac:dyDescent="0.3">
      <c r="B1675" s="98"/>
      <c r="C1675" s="97"/>
      <c r="D1675" s="96"/>
      <c r="E1675" s="95"/>
      <c r="F1675" s="95"/>
      <c r="G1675" s="95"/>
      <c r="H1675" s="94"/>
      <c r="I1675" s="94"/>
      <c r="J1675" s="91"/>
      <c r="K1675" s="91"/>
      <c r="L1675" s="94"/>
      <c r="M1675" s="93"/>
      <c r="N1675" s="92"/>
      <c r="O1675" s="92"/>
      <c r="P1675" s="91"/>
      <c r="Q1675" s="91"/>
      <c r="R1675" s="91"/>
    </row>
    <row r="1676" spans="2:18" ht="12" customHeight="1" x14ac:dyDescent="0.3">
      <c r="B1676" s="98"/>
      <c r="C1676" s="97"/>
      <c r="D1676" s="96"/>
      <c r="E1676" s="95"/>
      <c r="F1676" s="95"/>
      <c r="G1676" s="95"/>
      <c r="H1676" s="94"/>
      <c r="I1676" s="94"/>
      <c r="J1676" s="91"/>
      <c r="K1676" s="91"/>
      <c r="L1676" s="94"/>
      <c r="M1676" s="93"/>
      <c r="N1676" s="92"/>
      <c r="O1676" s="92"/>
      <c r="P1676" s="91"/>
      <c r="Q1676" s="91"/>
      <c r="R1676" s="91"/>
    </row>
    <row r="1677" spans="2:18" ht="12" customHeight="1" x14ac:dyDescent="0.3">
      <c r="B1677" s="98"/>
      <c r="C1677" s="97"/>
      <c r="D1677" s="96"/>
      <c r="E1677" s="95"/>
      <c r="F1677" s="95"/>
      <c r="G1677" s="95"/>
      <c r="H1677" s="94"/>
      <c r="I1677" s="94"/>
      <c r="J1677" s="91"/>
      <c r="K1677" s="91"/>
      <c r="L1677" s="94"/>
      <c r="M1677" s="93"/>
      <c r="N1677" s="92"/>
      <c r="O1677" s="92"/>
      <c r="P1677" s="91"/>
      <c r="Q1677" s="91"/>
      <c r="R1677" s="91"/>
    </row>
    <row r="1678" spans="2:18" ht="12" customHeight="1" x14ac:dyDescent="0.3">
      <c r="B1678" s="98"/>
      <c r="C1678" s="97"/>
      <c r="D1678" s="96"/>
      <c r="E1678" s="95"/>
      <c r="F1678" s="95"/>
      <c r="G1678" s="95"/>
      <c r="H1678" s="94"/>
      <c r="I1678" s="94"/>
      <c r="J1678" s="91"/>
      <c r="K1678" s="91"/>
      <c r="L1678" s="94"/>
      <c r="M1678" s="93"/>
      <c r="N1678" s="92"/>
      <c r="O1678" s="92"/>
      <c r="P1678" s="91"/>
      <c r="Q1678" s="91"/>
      <c r="R1678" s="91"/>
    </row>
    <row r="1679" spans="2:18" ht="12" customHeight="1" x14ac:dyDescent="0.3">
      <c r="B1679" s="98"/>
      <c r="C1679" s="97"/>
      <c r="D1679" s="96"/>
      <c r="E1679" s="95"/>
      <c r="F1679" s="95"/>
      <c r="G1679" s="95"/>
      <c r="H1679" s="94"/>
      <c r="I1679" s="94"/>
      <c r="J1679" s="91"/>
      <c r="K1679" s="91"/>
      <c r="L1679" s="94"/>
      <c r="M1679" s="93"/>
      <c r="N1679" s="92"/>
      <c r="O1679" s="92"/>
      <c r="P1679" s="91"/>
      <c r="Q1679" s="91"/>
      <c r="R1679" s="91"/>
    </row>
    <row r="1680" spans="2:18" ht="12" customHeight="1" x14ac:dyDescent="0.3">
      <c r="B1680" s="98"/>
      <c r="C1680" s="97"/>
      <c r="D1680" s="96"/>
      <c r="E1680" s="95"/>
      <c r="F1680" s="95"/>
      <c r="G1680" s="95"/>
      <c r="H1680" s="94"/>
      <c r="I1680" s="94"/>
      <c r="J1680" s="91"/>
      <c r="K1680" s="91"/>
      <c r="L1680" s="94"/>
      <c r="M1680" s="93"/>
      <c r="N1680" s="92"/>
      <c r="O1680" s="92"/>
      <c r="P1680" s="91"/>
      <c r="Q1680" s="91"/>
      <c r="R1680" s="91"/>
    </row>
    <row r="1681" spans="2:18" ht="12" customHeight="1" x14ac:dyDescent="0.3">
      <c r="B1681" s="98"/>
      <c r="C1681" s="97"/>
      <c r="D1681" s="96"/>
      <c r="E1681" s="95"/>
      <c r="F1681" s="95"/>
      <c r="G1681" s="95"/>
      <c r="H1681" s="94"/>
      <c r="I1681" s="94"/>
      <c r="J1681" s="91"/>
      <c r="K1681" s="91"/>
      <c r="L1681" s="94"/>
      <c r="M1681" s="93"/>
      <c r="N1681" s="92"/>
      <c r="O1681" s="92"/>
      <c r="P1681" s="91"/>
      <c r="Q1681" s="91"/>
      <c r="R1681" s="91"/>
    </row>
    <row r="1682" spans="2:18" ht="12" customHeight="1" x14ac:dyDescent="0.3">
      <c r="B1682" s="98"/>
      <c r="C1682" s="97"/>
      <c r="D1682" s="96"/>
      <c r="E1682" s="95"/>
      <c r="F1682" s="95"/>
      <c r="G1682" s="95"/>
      <c r="H1682" s="94"/>
      <c r="I1682" s="94"/>
      <c r="J1682" s="91"/>
      <c r="K1682" s="91"/>
      <c r="L1682" s="94"/>
      <c r="M1682" s="93"/>
      <c r="N1682" s="92"/>
      <c r="O1682" s="92"/>
      <c r="P1682" s="91"/>
      <c r="Q1682" s="91"/>
      <c r="R1682" s="91"/>
    </row>
    <row r="1683" spans="2:18" ht="12" customHeight="1" x14ac:dyDescent="0.3">
      <c r="B1683" s="98"/>
      <c r="C1683" s="97"/>
      <c r="D1683" s="96"/>
      <c r="E1683" s="95"/>
      <c r="F1683" s="95"/>
      <c r="G1683" s="95"/>
      <c r="H1683" s="94"/>
      <c r="I1683" s="94"/>
      <c r="J1683" s="91"/>
      <c r="K1683" s="91"/>
      <c r="L1683" s="94"/>
      <c r="M1683" s="93"/>
      <c r="N1683" s="92"/>
      <c r="O1683" s="92"/>
      <c r="P1683" s="91"/>
      <c r="Q1683" s="91"/>
      <c r="R1683" s="91"/>
    </row>
    <row r="1684" spans="2:18" ht="12" customHeight="1" x14ac:dyDescent="0.3">
      <c r="B1684" s="98"/>
      <c r="C1684" s="97"/>
      <c r="D1684" s="96"/>
      <c r="E1684" s="95"/>
      <c r="F1684" s="95"/>
      <c r="G1684" s="95"/>
      <c r="H1684" s="94"/>
      <c r="I1684" s="94"/>
      <c r="J1684" s="91"/>
      <c r="K1684" s="91"/>
      <c r="L1684" s="94"/>
      <c r="M1684" s="93"/>
      <c r="N1684" s="92"/>
      <c r="O1684" s="92"/>
      <c r="P1684" s="91"/>
      <c r="Q1684" s="91"/>
      <c r="R1684" s="91"/>
    </row>
    <row r="1685" spans="2:18" ht="12" customHeight="1" x14ac:dyDescent="0.3">
      <c r="B1685" s="98"/>
      <c r="C1685" s="97"/>
      <c r="D1685" s="96"/>
      <c r="E1685" s="95"/>
      <c r="F1685" s="95"/>
      <c r="G1685" s="95"/>
      <c r="H1685" s="94"/>
      <c r="I1685" s="94"/>
      <c r="J1685" s="91"/>
      <c r="K1685" s="91"/>
      <c r="L1685" s="94"/>
      <c r="M1685" s="93"/>
      <c r="N1685" s="92"/>
      <c r="O1685" s="92"/>
      <c r="P1685" s="91"/>
      <c r="Q1685" s="91"/>
      <c r="R1685" s="91"/>
    </row>
    <row r="1686" spans="2:18" ht="12" customHeight="1" x14ac:dyDescent="0.3">
      <c r="B1686" s="98"/>
      <c r="C1686" s="97"/>
      <c r="D1686" s="96"/>
      <c r="E1686" s="95"/>
      <c r="F1686" s="95"/>
      <c r="G1686" s="95"/>
      <c r="H1686" s="94"/>
      <c r="I1686" s="94"/>
      <c r="J1686" s="91"/>
      <c r="K1686" s="91"/>
      <c r="L1686" s="94"/>
      <c r="M1686" s="93"/>
      <c r="N1686" s="92"/>
      <c r="O1686" s="92"/>
      <c r="P1686" s="91"/>
      <c r="Q1686" s="91"/>
      <c r="R1686" s="91"/>
    </row>
    <row r="1687" spans="2:18" ht="12" customHeight="1" x14ac:dyDescent="0.3">
      <c r="B1687" s="98"/>
      <c r="C1687" s="97"/>
      <c r="D1687" s="96"/>
      <c r="E1687" s="95"/>
      <c r="F1687" s="95"/>
      <c r="G1687" s="95"/>
      <c r="H1687" s="94"/>
      <c r="I1687" s="94"/>
      <c r="J1687" s="91"/>
      <c r="K1687" s="91"/>
      <c r="L1687" s="94"/>
      <c r="M1687" s="93"/>
      <c r="N1687" s="92"/>
      <c r="O1687" s="92"/>
      <c r="P1687" s="91"/>
      <c r="Q1687" s="91"/>
      <c r="R1687" s="91"/>
    </row>
    <row r="1688" spans="2:18" ht="12" customHeight="1" x14ac:dyDescent="0.3">
      <c r="B1688" s="98"/>
      <c r="C1688" s="97"/>
      <c r="D1688" s="96"/>
      <c r="E1688" s="95"/>
      <c r="F1688" s="95"/>
      <c r="G1688" s="95"/>
      <c r="H1688" s="94"/>
      <c r="I1688" s="94"/>
      <c r="J1688" s="91"/>
      <c r="K1688" s="91"/>
      <c r="L1688" s="94"/>
      <c r="M1688" s="93"/>
      <c r="N1688" s="92"/>
      <c r="O1688" s="92"/>
      <c r="P1688" s="91"/>
      <c r="Q1688" s="91"/>
      <c r="R1688" s="91"/>
    </row>
    <row r="1689" spans="2:18" ht="12" customHeight="1" x14ac:dyDescent="0.3">
      <c r="B1689" s="98"/>
      <c r="C1689" s="97"/>
      <c r="D1689" s="96"/>
      <c r="E1689" s="95"/>
      <c r="F1689" s="95"/>
      <c r="G1689" s="95"/>
      <c r="H1689" s="94"/>
      <c r="I1689" s="94"/>
      <c r="J1689" s="91"/>
      <c r="K1689" s="91"/>
      <c r="L1689" s="94"/>
      <c r="M1689" s="93"/>
      <c r="N1689" s="92"/>
      <c r="O1689" s="92"/>
      <c r="P1689" s="91"/>
      <c r="Q1689" s="91"/>
      <c r="R1689" s="91"/>
    </row>
    <row r="1690" spans="2:18" ht="12" customHeight="1" x14ac:dyDescent="0.3">
      <c r="B1690" s="98"/>
      <c r="C1690" s="97"/>
      <c r="D1690" s="96"/>
      <c r="E1690" s="95"/>
      <c r="F1690" s="95"/>
      <c r="G1690" s="95"/>
      <c r="H1690" s="94"/>
      <c r="I1690" s="94"/>
      <c r="J1690" s="91"/>
      <c r="K1690" s="91"/>
      <c r="L1690" s="94"/>
      <c r="M1690" s="93"/>
      <c r="N1690" s="92"/>
      <c r="O1690" s="92"/>
      <c r="P1690" s="91"/>
      <c r="Q1690" s="91"/>
      <c r="R1690" s="91"/>
    </row>
    <row r="1691" spans="2:18" ht="12" customHeight="1" x14ac:dyDescent="0.3">
      <c r="B1691" s="98"/>
      <c r="C1691" s="97"/>
      <c r="D1691" s="96"/>
      <c r="E1691" s="95"/>
      <c r="F1691" s="95"/>
      <c r="G1691" s="95"/>
      <c r="H1691" s="94"/>
      <c r="I1691" s="94"/>
      <c r="J1691" s="91"/>
      <c r="K1691" s="91"/>
      <c r="L1691" s="94"/>
      <c r="M1691" s="93"/>
      <c r="N1691" s="92"/>
      <c r="O1691" s="92"/>
      <c r="P1691" s="91"/>
      <c r="Q1691" s="91"/>
      <c r="R1691" s="91"/>
    </row>
    <row r="1692" spans="2:18" ht="12" customHeight="1" x14ac:dyDescent="0.3">
      <c r="B1692" s="98"/>
      <c r="C1692" s="97"/>
      <c r="D1692" s="96"/>
      <c r="E1692" s="95"/>
      <c r="F1692" s="95"/>
      <c r="G1692" s="95"/>
      <c r="H1692" s="94"/>
      <c r="I1692" s="94"/>
      <c r="J1692" s="91"/>
      <c r="K1692" s="91"/>
      <c r="L1692" s="94"/>
      <c r="M1692" s="93"/>
      <c r="N1692" s="92"/>
      <c r="O1692" s="92"/>
      <c r="P1692" s="91"/>
      <c r="Q1692" s="91"/>
      <c r="R1692" s="91"/>
    </row>
    <row r="1693" spans="2:18" ht="12" customHeight="1" x14ac:dyDescent="0.3">
      <c r="B1693" s="98"/>
      <c r="C1693" s="97"/>
      <c r="D1693" s="96"/>
      <c r="E1693" s="95"/>
      <c r="F1693" s="95"/>
      <c r="G1693" s="95"/>
      <c r="H1693" s="94"/>
      <c r="I1693" s="94"/>
      <c r="J1693" s="91"/>
      <c r="K1693" s="91"/>
      <c r="L1693" s="94"/>
      <c r="M1693" s="93"/>
      <c r="N1693" s="92"/>
      <c r="O1693" s="92"/>
      <c r="P1693" s="91"/>
      <c r="Q1693" s="91"/>
      <c r="R1693" s="91"/>
    </row>
    <row r="1694" spans="2:18" ht="12" customHeight="1" x14ac:dyDescent="0.3">
      <c r="B1694" s="98"/>
      <c r="C1694" s="97"/>
      <c r="D1694" s="96"/>
      <c r="E1694" s="95"/>
      <c r="F1694" s="95"/>
      <c r="G1694" s="95"/>
      <c r="H1694" s="94"/>
      <c r="I1694" s="94"/>
      <c r="J1694" s="91"/>
      <c r="K1694" s="91"/>
      <c r="L1694" s="94"/>
      <c r="M1694" s="93"/>
      <c r="N1694" s="92"/>
      <c r="O1694" s="92"/>
      <c r="P1694" s="91"/>
      <c r="Q1694" s="91"/>
      <c r="R1694" s="91"/>
    </row>
    <row r="1695" spans="2:18" ht="12" customHeight="1" x14ac:dyDescent="0.3">
      <c r="B1695" s="98"/>
      <c r="C1695" s="97"/>
      <c r="D1695" s="96"/>
      <c r="E1695" s="95"/>
      <c r="F1695" s="95"/>
      <c r="G1695" s="95"/>
      <c r="H1695" s="94"/>
      <c r="I1695" s="94"/>
      <c r="J1695" s="91"/>
      <c r="K1695" s="91"/>
      <c r="L1695" s="94"/>
      <c r="M1695" s="93"/>
      <c r="N1695" s="92"/>
      <c r="O1695" s="92"/>
      <c r="P1695" s="91"/>
      <c r="Q1695" s="91"/>
      <c r="R1695" s="91"/>
    </row>
    <row r="1696" spans="2:18" ht="12" customHeight="1" x14ac:dyDescent="0.3">
      <c r="B1696" s="98"/>
      <c r="C1696" s="97"/>
      <c r="D1696" s="96"/>
      <c r="E1696" s="95"/>
      <c r="F1696" s="95"/>
      <c r="G1696" s="95"/>
      <c r="H1696" s="94"/>
      <c r="I1696" s="94"/>
      <c r="J1696" s="91"/>
      <c r="K1696" s="91"/>
      <c r="L1696" s="94"/>
      <c r="M1696" s="93"/>
      <c r="N1696" s="92"/>
      <c r="O1696" s="92"/>
      <c r="P1696" s="91"/>
      <c r="Q1696" s="91"/>
      <c r="R1696" s="91"/>
    </row>
    <row r="1697" spans="2:18" ht="12" customHeight="1" x14ac:dyDescent="0.3">
      <c r="B1697" s="98"/>
      <c r="C1697" s="97"/>
      <c r="D1697" s="96"/>
      <c r="E1697" s="95"/>
      <c r="F1697" s="95"/>
      <c r="G1697" s="95"/>
      <c r="H1697" s="94"/>
      <c r="I1697" s="94"/>
      <c r="J1697" s="91"/>
      <c r="K1697" s="91"/>
      <c r="L1697" s="94"/>
      <c r="M1697" s="93"/>
      <c r="N1697" s="92"/>
      <c r="O1697" s="92"/>
      <c r="P1697" s="91"/>
      <c r="Q1697" s="91"/>
      <c r="R1697" s="91"/>
    </row>
    <row r="1698" spans="2:18" ht="12" customHeight="1" x14ac:dyDescent="0.3">
      <c r="B1698" s="98"/>
      <c r="C1698" s="97"/>
      <c r="D1698" s="96"/>
      <c r="E1698" s="95"/>
      <c r="F1698" s="95"/>
      <c r="G1698" s="95"/>
      <c r="H1698" s="94"/>
      <c r="I1698" s="94"/>
      <c r="J1698" s="91"/>
      <c r="K1698" s="91"/>
      <c r="L1698" s="94"/>
      <c r="M1698" s="93"/>
      <c r="N1698" s="92"/>
      <c r="O1698" s="92"/>
      <c r="P1698" s="91"/>
      <c r="Q1698" s="91"/>
      <c r="R1698" s="91"/>
    </row>
    <row r="1699" spans="2:18" ht="12" customHeight="1" x14ac:dyDescent="0.3">
      <c r="B1699" s="98"/>
      <c r="C1699" s="97"/>
      <c r="D1699" s="96"/>
      <c r="E1699" s="95"/>
      <c r="F1699" s="95"/>
      <c r="G1699" s="95"/>
      <c r="H1699" s="94"/>
      <c r="I1699" s="94"/>
      <c r="J1699" s="91"/>
      <c r="K1699" s="91"/>
      <c r="L1699" s="94"/>
      <c r="M1699" s="93"/>
      <c r="N1699" s="92"/>
      <c r="O1699" s="92"/>
      <c r="P1699" s="91"/>
      <c r="Q1699" s="91"/>
      <c r="R1699" s="91"/>
    </row>
    <row r="1700" spans="2:18" ht="12" customHeight="1" x14ac:dyDescent="0.3">
      <c r="B1700" s="98"/>
      <c r="C1700" s="97"/>
      <c r="D1700" s="96"/>
      <c r="E1700" s="95"/>
      <c r="F1700" s="95"/>
      <c r="G1700" s="95"/>
      <c r="H1700" s="94"/>
      <c r="I1700" s="94"/>
      <c r="J1700" s="91"/>
      <c r="K1700" s="91"/>
      <c r="L1700" s="94"/>
      <c r="M1700" s="93"/>
      <c r="N1700" s="92"/>
      <c r="O1700" s="92"/>
      <c r="P1700" s="91"/>
      <c r="Q1700" s="91"/>
      <c r="R1700" s="91"/>
    </row>
    <row r="1701" spans="2:18" ht="12" customHeight="1" x14ac:dyDescent="0.3">
      <c r="B1701" s="98"/>
      <c r="C1701" s="97"/>
      <c r="D1701" s="96"/>
      <c r="E1701" s="95"/>
      <c r="F1701" s="95"/>
      <c r="G1701" s="95"/>
      <c r="H1701" s="94"/>
      <c r="I1701" s="94"/>
      <c r="J1701" s="91"/>
      <c r="K1701" s="91"/>
      <c r="L1701" s="94"/>
      <c r="M1701" s="93"/>
      <c r="N1701" s="92"/>
      <c r="O1701" s="92"/>
      <c r="P1701" s="91"/>
      <c r="Q1701" s="91"/>
      <c r="R1701" s="91"/>
    </row>
    <row r="1702" spans="2:18" ht="12" customHeight="1" x14ac:dyDescent="0.3">
      <c r="B1702" s="98"/>
      <c r="C1702" s="97"/>
      <c r="D1702" s="96"/>
      <c r="E1702" s="95"/>
      <c r="F1702" s="95"/>
      <c r="G1702" s="95"/>
      <c r="H1702" s="94"/>
      <c r="I1702" s="94"/>
      <c r="J1702" s="91"/>
      <c r="K1702" s="91"/>
      <c r="L1702" s="94"/>
      <c r="M1702" s="93"/>
      <c r="N1702" s="92"/>
      <c r="O1702" s="92"/>
      <c r="P1702" s="91"/>
      <c r="Q1702" s="91"/>
      <c r="R1702" s="91"/>
    </row>
    <row r="1703" spans="2:18" ht="12" customHeight="1" x14ac:dyDescent="0.3">
      <c r="B1703" s="98"/>
      <c r="C1703" s="97"/>
      <c r="D1703" s="96"/>
      <c r="E1703" s="95"/>
      <c r="F1703" s="95"/>
      <c r="G1703" s="95"/>
      <c r="H1703" s="94"/>
      <c r="I1703" s="94"/>
      <c r="J1703" s="91"/>
      <c r="K1703" s="91"/>
      <c r="L1703" s="94"/>
      <c r="M1703" s="93"/>
      <c r="N1703" s="92"/>
      <c r="O1703" s="92"/>
      <c r="P1703" s="91"/>
      <c r="Q1703" s="91"/>
      <c r="R1703" s="91"/>
    </row>
    <row r="1704" spans="2:18" ht="12" customHeight="1" x14ac:dyDescent="0.3">
      <c r="B1704" s="98"/>
      <c r="C1704" s="97"/>
      <c r="D1704" s="96"/>
      <c r="E1704" s="95"/>
      <c r="F1704" s="95"/>
      <c r="G1704" s="95"/>
      <c r="H1704" s="94"/>
      <c r="I1704" s="94"/>
      <c r="J1704" s="91"/>
      <c r="K1704" s="91"/>
      <c r="L1704" s="94"/>
      <c r="M1704" s="93"/>
      <c r="N1704" s="92"/>
      <c r="O1704" s="92"/>
      <c r="P1704" s="91"/>
      <c r="Q1704" s="91"/>
      <c r="R1704" s="91"/>
    </row>
    <row r="1705" spans="2:18" ht="12" customHeight="1" x14ac:dyDescent="0.3">
      <c r="B1705" s="98"/>
      <c r="C1705" s="97"/>
      <c r="D1705" s="96"/>
      <c r="E1705" s="95"/>
      <c r="F1705" s="95"/>
      <c r="G1705" s="95"/>
      <c r="H1705" s="94"/>
      <c r="I1705" s="94"/>
      <c r="J1705" s="91"/>
      <c r="K1705" s="91"/>
      <c r="L1705" s="94"/>
      <c r="M1705" s="93"/>
      <c r="N1705" s="92"/>
      <c r="O1705" s="92"/>
      <c r="P1705" s="91"/>
      <c r="Q1705" s="91"/>
      <c r="R1705" s="91"/>
    </row>
    <row r="1706" spans="2:18" ht="12" customHeight="1" x14ac:dyDescent="0.3">
      <c r="B1706" s="98"/>
      <c r="C1706" s="97"/>
      <c r="D1706" s="96"/>
      <c r="E1706" s="95"/>
      <c r="F1706" s="95"/>
      <c r="G1706" s="95"/>
      <c r="H1706" s="94"/>
      <c r="I1706" s="94"/>
      <c r="J1706" s="91"/>
      <c r="K1706" s="91"/>
      <c r="L1706" s="94"/>
      <c r="M1706" s="93"/>
      <c r="N1706" s="92"/>
      <c r="O1706" s="92"/>
      <c r="P1706" s="91"/>
      <c r="Q1706" s="91"/>
      <c r="R1706" s="91"/>
    </row>
    <row r="1707" spans="2:18" ht="12" customHeight="1" x14ac:dyDescent="0.3">
      <c r="B1707" s="98"/>
      <c r="C1707" s="97"/>
      <c r="D1707" s="96"/>
      <c r="E1707" s="95"/>
      <c r="F1707" s="95"/>
      <c r="G1707" s="95"/>
      <c r="H1707" s="94"/>
      <c r="I1707" s="94"/>
      <c r="J1707" s="91"/>
      <c r="K1707" s="91"/>
      <c r="L1707" s="94"/>
      <c r="M1707" s="93"/>
      <c r="N1707" s="92"/>
      <c r="O1707" s="92"/>
      <c r="P1707" s="91"/>
      <c r="Q1707" s="91"/>
      <c r="R1707" s="91"/>
    </row>
    <row r="1708" spans="2:18" ht="12" customHeight="1" x14ac:dyDescent="0.3">
      <c r="B1708" s="98"/>
      <c r="C1708" s="97"/>
      <c r="D1708" s="96"/>
      <c r="E1708" s="95"/>
      <c r="F1708" s="95"/>
      <c r="G1708" s="95"/>
      <c r="H1708" s="94"/>
      <c r="I1708" s="94"/>
      <c r="J1708" s="91"/>
      <c r="K1708" s="91"/>
      <c r="L1708" s="94"/>
      <c r="M1708" s="93"/>
      <c r="N1708" s="92"/>
      <c r="O1708" s="92"/>
      <c r="P1708" s="91"/>
      <c r="Q1708" s="91"/>
      <c r="R1708" s="91"/>
    </row>
    <row r="1709" spans="2:18" ht="12" customHeight="1" x14ac:dyDescent="0.3">
      <c r="B1709" s="98"/>
      <c r="C1709" s="97"/>
      <c r="D1709" s="96"/>
      <c r="E1709" s="95"/>
      <c r="F1709" s="95"/>
      <c r="G1709" s="95"/>
      <c r="H1709" s="94"/>
      <c r="I1709" s="94"/>
      <c r="J1709" s="91"/>
      <c r="K1709" s="91"/>
      <c r="L1709" s="94"/>
      <c r="M1709" s="93"/>
      <c r="N1709" s="92"/>
      <c r="O1709" s="92"/>
      <c r="P1709" s="91"/>
      <c r="Q1709" s="91"/>
      <c r="R1709" s="91"/>
    </row>
    <row r="1710" spans="2:18" ht="12" customHeight="1" x14ac:dyDescent="0.3">
      <c r="B1710" s="98"/>
      <c r="C1710" s="97"/>
      <c r="D1710" s="96"/>
      <c r="E1710" s="95"/>
      <c r="F1710" s="95"/>
      <c r="G1710" s="95"/>
      <c r="H1710" s="94"/>
      <c r="I1710" s="94"/>
      <c r="J1710" s="91"/>
      <c r="K1710" s="91"/>
      <c r="L1710" s="94"/>
      <c r="M1710" s="93"/>
      <c r="N1710" s="92"/>
      <c r="O1710" s="92"/>
      <c r="P1710" s="91"/>
      <c r="Q1710" s="91"/>
      <c r="R1710" s="91"/>
    </row>
    <row r="1711" spans="2:18" ht="12" customHeight="1" x14ac:dyDescent="0.3">
      <c r="B1711" s="98"/>
      <c r="C1711" s="97"/>
      <c r="D1711" s="96"/>
      <c r="E1711" s="95"/>
      <c r="F1711" s="95"/>
      <c r="G1711" s="95"/>
      <c r="H1711" s="94"/>
      <c r="I1711" s="94"/>
      <c r="J1711" s="91"/>
      <c r="K1711" s="91"/>
      <c r="L1711" s="94"/>
      <c r="M1711" s="93"/>
      <c r="N1711" s="92"/>
      <c r="O1711" s="92"/>
      <c r="P1711" s="91"/>
      <c r="Q1711" s="91"/>
      <c r="R1711" s="91"/>
    </row>
    <row r="1712" spans="2:18" ht="12" customHeight="1" x14ac:dyDescent="0.3">
      <c r="B1712" s="98"/>
      <c r="C1712" s="97"/>
      <c r="D1712" s="96"/>
      <c r="E1712" s="95"/>
      <c r="F1712" s="95"/>
      <c r="G1712" s="95"/>
      <c r="H1712" s="94"/>
      <c r="I1712" s="94"/>
      <c r="J1712" s="91"/>
      <c r="K1712" s="91"/>
      <c r="L1712" s="94"/>
      <c r="M1712" s="93"/>
      <c r="N1712" s="92"/>
      <c r="O1712" s="92"/>
      <c r="P1712" s="91"/>
      <c r="Q1712" s="91"/>
      <c r="R1712" s="91"/>
    </row>
    <row r="1713" spans="2:18" ht="12" customHeight="1" x14ac:dyDescent="0.3">
      <c r="B1713" s="98"/>
      <c r="C1713" s="97"/>
      <c r="D1713" s="96"/>
      <c r="E1713" s="95"/>
      <c r="F1713" s="95"/>
      <c r="G1713" s="95"/>
      <c r="H1713" s="94"/>
      <c r="I1713" s="94"/>
      <c r="J1713" s="91"/>
      <c r="K1713" s="91"/>
      <c r="L1713" s="94"/>
      <c r="M1713" s="93"/>
      <c r="N1713" s="92"/>
      <c r="O1713" s="92"/>
      <c r="P1713" s="91"/>
      <c r="Q1713" s="91"/>
      <c r="R1713" s="91"/>
    </row>
    <row r="1714" spans="2:18" ht="12" customHeight="1" x14ac:dyDescent="0.3">
      <c r="B1714" s="98"/>
      <c r="C1714" s="97"/>
      <c r="D1714" s="96"/>
      <c r="E1714" s="95"/>
      <c r="F1714" s="95"/>
      <c r="G1714" s="95"/>
      <c r="H1714" s="94"/>
      <c r="I1714" s="94"/>
      <c r="J1714" s="91"/>
      <c r="K1714" s="91"/>
      <c r="L1714" s="94"/>
      <c r="M1714" s="93"/>
      <c r="N1714" s="92"/>
      <c r="O1714" s="92"/>
      <c r="P1714" s="91"/>
      <c r="Q1714" s="91"/>
      <c r="R1714" s="91"/>
    </row>
    <row r="1715" spans="2:18" ht="12" customHeight="1" x14ac:dyDescent="0.3">
      <c r="B1715" s="98"/>
      <c r="C1715" s="97"/>
      <c r="D1715" s="96"/>
      <c r="E1715" s="95"/>
      <c r="F1715" s="95"/>
      <c r="G1715" s="95"/>
      <c r="H1715" s="94"/>
      <c r="I1715" s="94"/>
      <c r="J1715" s="91"/>
      <c r="K1715" s="91"/>
      <c r="L1715" s="94"/>
      <c r="M1715" s="93"/>
      <c r="N1715" s="92"/>
      <c r="O1715" s="92"/>
      <c r="P1715" s="91"/>
      <c r="Q1715" s="91"/>
      <c r="R1715" s="91"/>
    </row>
    <row r="1716" spans="2:18" ht="12" customHeight="1" x14ac:dyDescent="0.3">
      <c r="B1716" s="98"/>
      <c r="C1716" s="97"/>
      <c r="D1716" s="96"/>
      <c r="E1716" s="95"/>
      <c r="F1716" s="95"/>
      <c r="G1716" s="95"/>
      <c r="H1716" s="94"/>
      <c r="I1716" s="94"/>
      <c r="J1716" s="91"/>
      <c r="K1716" s="91"/>
      <c r="L1716" s="94"/>
      <c r="M1716" s="93"/>
      <c r="N1716" s="92"/>
      <c r="O1716" s="92"/>
      <c r="P1716" s="91"/>
      <c r="Q1716" s="91"/>
      <c r="R1716" s="91"/>
    </row>
    <row r="1717" spans="2:18" ht="12" customHeight="1" x14ac:dyDescent="0.3">
      <c r="B1717" s="98"/>
      <c r="C1717" s="97"/>
      <c r="D1717" s="96"/>
      <c r="E1717" s="95"/>
      <c r="F1717" s="95"/>
      <c r="G1717" s="95"/>
      <c r="H1717" s="94"/>
      <c r="I1717" s="94"/>
      <c r="J1717" s="91"/>
      <c r="K1717" s="91"/>
      <c r="L1717" s="94"/>
      <c r="M1717" s="93"/>
      <c r="N1717" s="92"/>
      <c r="O1717" s="92"/>
      <c r="P1717" s="91"/>
      <c r="Q1717" s="91"/>
      <c r="R1717" s="91"/>
    </row>
    <row r="1718" spans="2:18" ht="12" customHeight="1" x14ac:dyDescent="0.3">
      <c r="B1718" s="98"/>
      <c r="C1718" s="97"/>
      <c r="D1718" s="96"/>
      <c r="E1718" s="95"/>
      <c r="F1718" s="95"/>
      <c r="G1718" s="95"/>
      <c r="H1718" s="94"/>
      <c r="I1718" s="94"/>
      <c r="J1718" s="91"/>
      <c r="K1718" s="91"/>
      <c r="L1718" s="94"/>
      <c r="M1718" s="93"/>
      <c r="N1718" s="92"/>
      <c r="O1718" s="92"/>
      <c r="P1718" s="91"/>
      <c r="Q1718" s="91"/>
      <c r="R1718" s="91"/>
    </row>
    <row r="1719" spans="2:18" ht="12" customHeight="1" x14ac:dyDescent="0.3">
      <c r="B1719" s="98"/>
      <c r="C1719" s="97"/>
      <c r="D1719" s="96"/>
      <c r="E1719" s="95"/>
      <c r="F1719" s="95"/>
      <c r="G1719" s="95"/>
      <c r="H1719" s="94"/>
      <c r="I1719" s="94"/>
      <c r="J1719" s="91"/>
      <c r="K1719" s="91"/>
      <c r="L1719" s="94"/>
      <c r="M1719" s="93"/>
      <c r="N1719" s="92"/>
      <c r="O1719" s="92"/>
      <c r="P1719" s="91"/>
      <c r="Q1719" s="91"/>
      <c r="R1719" s="91"/>
    </row>
    <row r="1720" spans="2:18" ht="12" customHeight="1" x14ac:dyDescent="0.3">
      <c r="B1720" s="98"/>
      <c r="C1720" s="97"/>
      <c r="D1720" s="96"/>
      <c r="E1720" s="95"/>
      <c r="F1720" s="95"/>
      <c r="G1720" s="95"/>
      <c r="H1720" s="94"/>
      <c r="I1720" s="94"/>
      <c r="J1720" s="91"/>
      <c r="K1720" s="91"/>
      <c r="L1720" s="94"/>
      <c r="M1720" s="93"/>
      <c r="N1720" s="92"/>
      <c r="O1720" s="92"/>
      <c r="P1720" s="91"/>
      <c r="Q1720" s="91"/>
      <c r="R1720" s="91"/>
    </row>
    <row r="1721" spans="2:18" ht="12" customHeight="1" x14ac:dyDescent="0.3">
      <c r="B1721" s="98"/>
      <c r="C1721" s="97"/>
      <c r="D1721" s="96"/>
      <c r="E1721" s="95"/>
      <c r="F1721" s="95"/>
      <c r="G1721" s="95"/>
      <c r="H1721" s="94"/>
      <c r="I1721" s="94"/>
      <c r="J1721" s="91"/>
      <c r="K1721" s="91"/>
      <c r="L1721" s="94"/>
      <c r="M1721" s="93"/>
      <c r="N1721" s="92"/>
      <c r="O1721" s="92"/>
      <c r="P1721" s="91"/>
      <c r="Q1721" s="91"/>
      <c r="R1721" s="91"/>
    </row>
    <row r="1722" spans="2:18" ht="12" customHeight="1" x14ac:dyDescent="0.3">
      <c r="B1722" s="98"/>
      <c r="C1722" s="97"/>
      <c r="D1722" s="96"/>
      <c r="E1722" s="95"/>
      <c r="F1722" s="95"/>
      <c r="G1722" s="95"/>
      <c r="H1722" s="94"/>
      <c r="I1722" s="94"/>
      <c r="J1722" s="91"/>
      <c r="K1722" s="91"/>
      <c r="L1722" s="94"/>
      <c r="M1722" s="93"/>
      <c r="N1722" s="92"/>
      <c r="O1722" s="92"/>
      <c r="P1722" s="91"/>
      <c r="Q1722" s="91"/>
      <c r="R1722" s="91"/>
    </row>
    <row r="1723" spans="2:18" ht="12" customHeight="1" x14ac:dyDescent="0.3">
      <c r="B1723" s="98"/>
      <c r="C1723" s="97"/>
      <c r="D1723" s="96"/>
      <c r="E1723" s="95"/>
      <c r="F1723" s="95"/>
      <c r="G1723" s="95"/>
      <c r="H1723" s="94"/>
      <c r="I1723" s="94"/>
      <c r="J1723" s="91"/>
      <c r="K1723" s="91"/>
      <c r="L1723" s="94"/>
      <c r="M1723" s="93"/>
      <c r="N1723" s="92"/>
      <c r="O1723" s="92"/>
      <c r="P1723" s="91"/>
      <c r="Q1723" s="91"/>
      <c r="R1723" s="91"/>
    </row>
    <row r="1724" spans="2:18" ht="12" customHeight="1" x14ac:dyDescent="0.3">
      <c r="B1724" s="98"/>
      <c r="C1724" s="97"/>
      <c r="D1724" s="96"/>
      <c r="E1724" s="95"/>
      <c r="F1724" s="95"/>
      <c r="G1724" s="95"/>
      <c r="H1724" s="94"/>
      <c r="I1724" s="94"/>
      <c r="J1724" s="91"/>
      <c r="K1724" s="91"/>
      <c r="L1724" s="94"/>
      <c r="M1724" s="93"/>
      <c r="N1724" s="92"/>
      <c r="O1724" s="92"/>
      <c r="P1724" s="91"/>
      <c r="Q1724" s="91"/>
      <c r="R1724" s="91"/>
    </row>
    <row r="1725" spans="2:18" ht="12" customHeight="1" x14ac:dyDescent="0.3">
      <c r="B1725" s="98"/>
      <c r="C1725" s="97"/>
      <c r="D1725" s="96"/>
      <c r="E1725" s="95"/>
      <c r="F1725" s="95"/>
      <c r="G1725" s="95"/>
      <c r="H1725" s="94"/>
      <c r="I1725" s="94"/>
      <c r="J1725" s="91"/>
      <c r="K1725" s="91"/>
      <c r="L1725" s="94"/>
      <c r="M1725" s="93"/>
      <c r="N1725" s="92"/>
      <c r="O1725" s="92"/>
      <c r="P1725" s="91"/>
      <c r="Q1725" s="91"/>
      <c r="R1725" s="91"/>
    </row>
    <row r="1726" spans="2:18" ht="12" customHeight="1" x14ac:dyDescent="0.3">
      <c r="B1726" s="98"/>
      <c r="C1726" s="97"/>
      <c r="D1726" s="96"/>
      <c r="E1726" s="95"/>
      <c r="F1726" s="95"/>
      <c r="G1726" s="95"/>
      <c r="H1726" s="94"/>
      <c r="I1726" s="94"/>
      <c r="J1726" s="91"/>
      <c r="K1726" s="91"/>
      <c r="L1726" s="94"/>
      <c r="M1726" s="93"/>
      <c r="N1726" s="92"/>
      <c r="O1726" s="92"/>
      <c r="P1726" s="91"/>
      <c r="Q1726" s="91"/>
      <c r="R1726" s="91"/>
    </row>
    <row r="1727" spans="2:18" ht="12" customHeight="1" x14ac:dyDescent="0.3">
      <c r="B1727" s="98"/>
      <c r="C1727" s="97"/>
      <c r="D1727" s="96"/>
      <c r="E1727" s="95"/>
      <c r="F1727" s="95"/>
      <c r="G1727" s="95"/>
      <c r="H1727" s="94"/>
      <c r="I1727" s="94"/>
      <c r="J1727" s="91"/>
      <c r="K1727" s="91"/>
      <c r="L1727" s="94"/>
      <c r="M1727" s="93"/>
      <c r="N1727" s="92"/>
      <c r="O1727" s="92"/>
      <c r="P1727" s="91"/>
      <c r="Q1727" s="91"/>
      <c r="R1727" s="91"/>
    </row>
    <row r="1728" spans="2:18" ht="12" customHeight="1" x14ac:dyDescent="0.3">
      <c r="B1728" s="98"/>
      <c r="C1728" s="97"/>
      <c r="D1728" s="96"/>
      <c r="E1728" s="95"/>
      <c r="F1728" s="95"/>
      <c r="G1728" s="95"/>
      <c r="H1728" s="94"/>
      <c r="I1728" s="94"/>
      <c r="J1728" s="91"/>
      <c r="K1728" s="91"/>
      <c r="L1728" s="94"/>
      <c r="M1728" s="93"/>
      <c r="N1728" s="92"/>
      <c r="O1728" s="92"/>
      <c r="P1728" s="91"/>
      <c r="Q1728" s="91"/>
      <c r="R1728" s="91"/>
    </row>
    <row r="1729" spans="2:18" ht="12" customHeight="1" x14ac:dyDescent="0.3">
      <c r="B1729" s="98"/>
      <c r="C1729" s="97"/>
      <c r="D1729" s="96"/>
      <c r="E1729" s="95"/>
      <c r="F1729" s="95"/>
      <c r="G1729" s="95"/>
      <c r="H1729" s="94"/>
      <c r="I1729" s="94"/>
      <c r="J1729" s="91"/>
      <c r="K1729" s="91"/>
      <c r="L1729" s="94"/>
      <c r="M1729" s="93"/>
      <c r="N1729" s="92"/>
      <c r="O1729" s="92"/>
      <c r="P1729" s="91"/>
      <c r="Q1729" s="91"/>
      <c r="R1729" s="91"/>
    </row>
    <row r="1730" spans="2:18" ht="12" customHeight="1" x14ac:dyDescent="0.3">
      <c r="B1730" s="98"/>
      <c r="C1730" s="97"/>
      <c r="D1730" s="96"/>
      <c r="E1730" s="95"/>
      <c r="F1730" s="95"/>
      <c r="G1730" s="95"/>
      <c r="H1730" s="94"/>
      <c r="I1730" s="94"/>
      <c r="J1730" s="91"/>
      <c r="K1730" s="91"/>
      <c r="L1730" s="94"/>
      <c r="M1730" s="93"/>
      <c r="N1730" s="92"/>
      <c r="O1730" s="92"/>
      <c r="P1730" s="91"/>
      <c r="Q1730" s="91"/>
      <c r="R1730" s="91"/>
    </row>
  </sheetData>
  <mergeCells count="4">
    <mergeCell ref="B1:R1"/>
    <mergeCell ref="B2:R2"/>
    <mergeCell ref="T23:X23"/>
    <mergeCell ref="T112:W112"/>
  </mergeCells>
  <hyperlinks>
    <hyperlink ref="P3" r:id="rId1" xr:uid="{4079541F-4B42-4979-8639-AEFAE26FBD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PAYMENTS SUMMARY</vt:lpstr>
      <vt:lpstr>AAC BLOCKS</vt:lpstr>
      <vt:lpstr>Sheet1</vt:lpstr>
      <vt:lpstr>Sheet4</vt:lpstr>
      <vt:lpstr>Prasad Expenses</vt:lpstr>
      <vt:lpstr>Sheet5</vt:lpstr>
      <vt:lpstr>Sheet3</vt:lpstr>
      <vt:lpstr>Sheet2</vt:lpstr>
      <vt:lpstr>MATERIAL INVENTORY - SUMMAR (U)</vt:lpstr>
      <vt:lpstr>'AAC BLOCKS'!Print_Area</vt:lpstr>
      <vt:lpstr>'PAYMENTS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adhi.reddy.1001@outlook.com</dc:creator>
  <cp:lastModifiedBy>durgaprasad sirigirisetty</cp:lastModifiedBy>
  <cp:lastPrinted>2026-08-20T09:55:30Z</cp:lastPrinted>
  <dcterms:created xsi:type="dcterms:W3CDTF">2026-06-06T19:11:42Z</dcterms:created>
  <dcterms:modified xsi:type="dcterms:W3CDTF">2026-08-31T07:59:05Z</dcterms:modified>
</cp:coreProperties>
</file>